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EIA-ME" sheetId="1" state="visible" r:id="rId1"/>
    <sheet name="01_CONFIG_GLOBAL" sheetId="2" state="visible" r:id="rId2"/>
    <sheet name="02_SOHIPREN" sheetId="3" state="visible" r:id="rId3"/>
    <sheet name="03_AGCO" sheetId="4" state="visible" r:id="rId4"/>
    <sheet name="04_GRECO" sheetId="5" state="visible" r:id="rId5"/>
    <sheet name="05_JOHN_DEERE" sheetId="6" state="visible" r:id="rId6"/>
    <sheet name="07_GTS" sheetId="7" state="visible" r:id="rId7"/>
    <sheet name="06_STARA" sheetId="8" state="visible" r:id="rId8"/>
    <sheet name="08_FERTISYSTEM" sheetId="9" state="visible" r:id="rId9"/>
  </sheets>
  <definedNames>
    <definedName name="_xlnm._FilterDatabase" localSheetId="2" hidden="1">'02_SOHIPREN'!$A$5:$AP$1013</definedName>
    <definedName name="_xlnm._FilterDatabase" localSheetId="3" hidden="1">'03_AGCO'!$A$5:$AT$51</definedName>
    <definedName name="_xlnm._FilterDatabase" localSheetId="4" hidden="1">'04_GRECO'!$A$5:$AP$15</definedName>
    <definedName name="_xlnm._FilterDatabase" localSheetId="5" hidden="1">'05_JOHN_DEERE'!$A$5:$AR$68</definedName>
    <definedName name="_xlnm._FilterDatabase" localSheetId="7" hidden="1">'06_STARA'!$A$5:$AR$47</definedName>
    <definedName name="_xlnm._FilterDatabase" localSheetId="8" hidden="1">'08_FERTISYSTEM'!$A$5:$AP$6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$ &quot;#,##0.00"/>
    <numFmt numFmtId="165" formatCode="#,##0.00;\-"/>
    <numFmt numFmtId="166" formatCode="&quot;R$ &quot;#,##0.00;[Red]&quot;(R$ &quot;#,##0.00\);\-"/>
    <numFmt numFmtId="167" formatCode="0.0%"/>
    <numFmt numFmtId="168" formatCode="[$R$ -416]#,##0.00"/>
    <numFmt numFmtId="169" formatCode="_-* #,##0.00_-;\-* #,##0.00_-;_-* &quot;-&quot;??_-;_-@"/>
  </numFmts>
  <fonts count="29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1B4332"/>
      <sz val="20"/>
    </font>
    <font>
      <name val="Calibri"/>
      <b val="1"/>
      <color rgb="FFFFFFFF"/>
      <sz val="18"/>
    </font>
    <font>
      <name val="Calibri"/>
      <i val="1"/>
      <color rgb="FF2F2F2F"/>
      <sz val="11"/>
    </font>
    <font/>
    <font>
      <name val="Calibri"/>
      <b val="1"/>
      <color rgb="FFFFFFFF"/>
      <sz val="13"/>
    </font>
    <font>
      <name val="Calibri"/>
      <b val="1"/>
      <color theme="1"/>
      <sz val="10"/>
    </font>
    <font>
      <name val="Calibri"/>
      <b val="1"/>
      <color rgb="FFFFFFFF"/>
      <sz val="10"/>
    </font>
    <font>
      <name val="Calibri"/>
      <color rgb="FF2F2F2F"/>
      <sz val="11"/>
    </font>
    <font>
      <name val="Calibri"/>
      <b val="1"/>
      <color rgb="FF1B4332"/>
      <sz val="10"/>
    </font>
    <font>
      <name val="Calibri"/>
      <b val="1"/>
      <color rgb="FF9C5700"/>
      <sz val="10"/>
    </font>
    <font>
      <name val="Calibri"/>
      <b val="1"/>
      <color theme="1"/>
      <sz val="11"/>
    </font>
    <font>
      <name val="Calibri"/>
      <color rgb="FF0000FF"/>
      <sz val="10"/>
    </font>
    <font>
      <name val="Calibri"/>
      <i val="1"/>
      <color rgb="FF2F2F2F"/>
      <sz val="10"/>
    </font>
    <font>
      <name val="Calibri"/>
      <b val="1"/>
      <color rgb="FFC0392B"/>
      <sz val="10"/>
    </font>
    <font>
      <name val="Calibri"/>
      <b val="1"/>
      <color rgb="FFD4AF37"/>
      <sz val="11"/>
    </font>
    <font>
      <name val="Calibri"/>
      <b val="1"/>
      <color rgb="FFFFFFFF"/>
      <sz val="11"/>
    </font>
    <font>
      <name val="Calibri"/>
      <b val="1"/>
      <color rgb="FFFFFFFF"/>
      <sz val="17"/>
    </font>
    <font>
      <name val="Calibri"/>
      <color theme="1"/>
      <scheme val="minor"/>
    </font>
    <font>
      <name val="Calibri"/>
      <color rgb="FF2F2F2F"/>
      <sz val="10"/>
    </font>
    <font>
      <name val="Calibri"/>
      <color rgb="FF0000FF"/>
    </font>
    <font>
      <name val="Calibri"/>
      <color theme="1"/>
    </font>
    <font>
      <name val="Calibri"/>
      <b val="1"/>
      <color rgb="FF1B4332"/>
    </font>
    <font>
      <name val="Calibri"/>
      <color rgb="FF333333"/>
    </font>
    <font>
      <name val="Calibri"/>
      <color rgb="FF0000FF"/>
      <sz val="11"/>
    </font>
    <font>
      <name val="Calibri"/>
      <color rgb="FF000000"/>
      <sz val="11"/>
    </font>
    <font>
      <name val="Calibri"/>
      <color theme="1"/>
      <sz val="10"/>
    </font>
    <font>
      <name val="Calibri"/>
      <color theme="1"/>
      <sz val="6"/>
    </font>
  </fonts>
  <fills count="17">
    <fill>
      <patternFill/>
    </fill>
    <fill>
      <patternFill patternType="lightGray"/>
    </fill>
    <fill>
      <patternFill patternType="solid">
        <fgColor rgb="FF1B4332"/>
        <bgColor rgb="FF1B4332"/>
      </patternFill>
    </fill>
    <fill>
      <patternFill patternType="solid">
        <fgColor rgb="FFE6E1D9"/>
        <bgColor rgb="FFE6E1D9"/>
      </patternFill>
    </fill>
    <fill>
      <patternFill patternType="solid">
        <fgColor rgb="FFFFFFFF"/>
        <bgColor rgb="FFFFFFFF"/>
      </patternFill>
    </fill>
    <fill>
      <patternFill patternType="solid">
        <fgColor rgb="FF2F6B4F"/>
        <bgColor rgb="FF2F6B4F"/>
      </patternFill>
    </fill>
    <fill>
      <patternFill patternType="solid">
        <fgColor rgb="FF1D3557"/>
        <bgColor rgb="FF1D3557"/>
      </patternFill>
    </fill>
    <fill>
      <patternFill patternType="solid">
        <fgColor rgb="FF5A7D5A"/>
        <bgColor rgb="FF5A7D5A"/>
      </patternFill>
    </fill>
    <fill>
      <patternFill patternType="solid">
        <fgColor rgb="FFF4F4F4"/>
        <bgColor rgb="FFF4F4F4"/>
      </patternFill>
    </fill>
    <fill>
      <patternFill patternType="solid">
        <fgColor rgb="FF999999"/>
        <bgColor rgb="FF999999"/>
      </patternFill>
    </fill>
    <fill>
      <patternFill patternType="solid">
        <fgColor rgb="FFFFF3B0"/>
        <bgColor rgb="FFFFF3B0"/>
      </patternFill>
    </fill>
    <fill>
      <patternFill patternType="solid">
        <fgColor rgb="FFB8893A"/>
        <bgColor rgb="FFB8893A"/>
      </patternFill>
    </fill>
    <fill>
      <patternFill patternType="solid">
        <fgColor rgb="FF8B5A2B"/>
        <bgColor rgb="FF8B5A2B"/>
      </patternFill>
    </fill>
    <fill>
      <patternFill patternType="solid">
        <fgColor rgb="FF4A4A4A"/>
        <bgColor rgb="FF4A4A4A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5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/>
      <top style="thin">
        <color rgb="FF999999"/>
      </top>
      <bottom style="thin">
        <color rgb="FF999999"/>
      </bottom>
    </border>
    <border>
      <right style="thin">
        <color rgb="FFD9D9D9"/>
      </right>
      <bottom style="thin">
        <color rgb="FFD9D9D9"/>
      </bottom>
    </border>
    <border>
      <left style="thin">
        <color rgb="FF999999"/>
      </left>
      <right/>
      <top style="thin">
        <color rgb="FF999999"/>
      </top>
    </border>
    <border>
      <left style="thin">
        <color rgb="FF999999"/>
      </left>
      <right/>
    </border>
    <border>
      <left style="thin">
        <color rgb="FF999999"/>
      </left>
      <right/>
      <bottom style="thin">
        <color rgb="FF999999"/>
      </bottom>
    </border>
    <border>
      <left style="thin">
        <color rgb="FF999999"/>
      </left>
    </border>
    <border>
      <left style="thin">
        <color rgb="FF999999"/>
      </left>
      <bottom style="thin">
        <color rgb="FF999999"/>
      </bottom>
    </border>
    <border>
      <top style="thin">
        <color rgb="FF999999"/>
      </top>
    </border>
  </borders>
  <cellStyleXfs count="1">
    <xf numFmtId="0" fontId="0" fillId="0" borderId="0"/>
  </cellStyleXfs>
  <cellXfs count="10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5" fillId="0" borderId="3" pivotButton="0" quotePrefix="0" xfId="0"/>
    <xf numFmtId="0" fontId="6" fillId="2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3" borderId="1" pivotButton="0" quotePrefix="0" xfId="0"/>
    <xf numFmtId="10" fontId="13" fillId="4" borderId="4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center"/>
    </xf>
    <xf numFmtId="164" fontId="13" fillId="4" borderId="4" applyAlignment="1" pivotButton="0" quotePrefix="0" xfId="0">
      <alignment horizontal="left" vertical="center"/>
    </xf>
    <xf numFmtId="0" fontId="16" fillId="5" borderId="5" applyAlignment="1" pivotButton="0" quotePrefix="0" xfId="0">
      <alignment horizontal="center" vertical="center"/>
    </xf>
    <xf numFmtId="0" fontId="5" fillId="0" borderId="6" pivotButton="0" quotePrefix="0" xfId="0"/>
    <xf numFmtId="0" fontId="17" fillId="6" borderId="7" applyAlignment="1" pivotButton="0" quotePrefix="0" xfId="0">
      <alignment horizontal="center" vertical="center"/>
    </xf>
    <xf numFmtId="0" fontId="13" fillId="4" borderId="4" applyAlignment="1" pivotButton="0" quotePrefix="0" xfId="0">
      <alignment horizontal="left" vertical="center"/>
    </xf>
    <xf numFmtId="0" fontId="17" fillId="7" borderId="7" applyAlignment="1" pivotButton="0" quotePrefix="0" xfId="0">
      <alignment horizontal="center" vertical="center"/>
    </xf>
    <xf numFmtId="0" fontId="17" fillId="2" borderId="8" applyAlignment="1" pivotButton="0" quotePrefix="0" xfId="0">
      <alignment horizontal="left" vertical="center" wrapText="1"/>
    </xf>
    <xf numFmtId="0" fontId="16" fillId="5" borderId="6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9" fillId="0" borderId="0" pivotButton="0" quotePrefix="0" xfId="0"/>
    <xf numFmtId="0" fontId="20" fillId="8" borderId="4" applyAlignment="1" pivotButton="0" quotePrefix="0" xfId="0">
      <alignment horizontal="right" vertical="center"/>
    </xf>
    <xf numFmtId="49" fontId="13" fillId="4" borderId="4" applyAlignment="1" pivotButton="0" quotePrefix="0" xfId="0">
      <alignment horizontal="center" vertical="center"/>
    </xf>
    <xf numFmtId="165" fontId="13" fillId="4" borderId="4" applyAlignment="1" pivotButton="0" quotePrefix="0" xfId="0">
      <alignment horizontal="left" vertical="center"/>
    </xf>
    <xf numFmtId="165" fontId="13" fillId="4" borderId="4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165" fontId="20" fillId="8" borderId="4" applyAlignment="1" pivotButton="0" quotePrefix="0" xfId="0">
      <alignment horizontal="right" vertical="center"/>
    </xf>
    <xf numFmtId="165" fontId="20" fillId="4" borderId="4" applyAlignment="1" pivotButton="0" quotePrefix="0" xfId="0">
      <alignment horizontal="right" vertical="center"/>
    </xf>
    <xf numFmtId="166" fontId="13" fillId="4" borderId="4" applyAlignment="1" pivotButton="0" quotePrefix="0" xfId="0">
      <alignment horizontal="left" vertical="center"/>
    </xf>
    <xf numFmtId="0" fontId="17" fillId="2" borderId="9" applyAlignment="1" pivotButton="0" quotePrefix="0" xfId="0">
      <alignment horizontal="center" vertical="center" textRotation="90"/>
    </xf>
    <xf numFmtId="0" fontId="11" fillId="10" borderId="4" applyAlignment="1" pivotButton="0" quotePrefix="0" xfId="0">
      <alignment horizontal="center" vertical="center"/>
    </xf>
    <xf numFmtId="167" fontId="13" fillId="4" borderId="4" applyAlignment="1" pivotButton="0" quotePrefix="0" xfId="0">
      <alignment horizontal="left" vertical="center"/>
    </xf>
    <xf numFmtId="168" fontId="21" fillId="4" borderId="4" applyAlignment="1" pivotButton="0" quotePrefix="0" xfId="0">
      <alignment horizontal="left"/>
    </xf>
    <xf numFmtId="166" fontId="20" fillId="8" borderId="4" applyAlignment="1" pivotButton="0" quotePrefix="0" xfId="0">
      <alignment horizontal="right" vertical="center"/>
    </xf>
    <xf numFmtId="0" fontId="5" fillId="0" borderId="10" pivotButton="0" quotePrefix="0" xfId="0"/>
    <xf numFmtId="167" fontId="20" fillId="8" borderId="4" applyAlignment="1" pivotButton="0" quotePrefix="0" xfId="0">
      <alignment horizontal="right" vertical="center"/>
    </xf>
    <xf numFmtId="0" fontId="22" fillId="0" borderId="0" pivotButton="0" quotePrefix="0" xfId="0"/>
    <xf numFmtId="0" fontId="5" fillId="0" borderId="11" pivotButton="0" quotePrefix="0" xfId="0"/>
    <xf numFmtId="0" fontId="17" fillId="6" borderId="9" applyAlignment="1" pivotButton="0" quotePrefix="0" xfId="0">
      <alignment horizontal="center" vertical="center" textRotation="90"/>
    </xf>
    <xf numFmtId="0" fontId="17" fillId="7" borderId="9" applyAlignment="1" pivotButton="0" quotePrefix="0" xfId="0">
      <alignment horizontal="center" vertical="center" textRotation="90"/>
    </xf>
    <xf numFmtId="0" fontId="17" fillId="11" borderId="9" applyAlignment="1" pivotButton="0" quotePrefix="0" xfId="0">
      <alignment horizontal="center" vertical="center" textRotation="90"/>
    </xf>
    <xf numFmtId="0" fontId="17" fillId="12" borderId="9" applyAlignment="1" pivotButton="0" quotePrefix="0" xfId="0">
      <alignment horizontal="center" vertical="center" textRotation="90"/>
    </xf>
    <xf numFmtId="0" fontId="21" fillId="4" borderId="4" pivotButton="0" quotePrefix="0" xfId="0"/>
    <xf numFmtId="0" fontId="17" fillId="13" borderId="9" applyAlignment="1" pivotButton="0" quotePrefix="0" xfId="0">
      <alignment horizontal="center" vertical="center" textRotation="90"/>
    </xf>
    <xf numFmtId="166" fontId="20" fillId="14" borderId="4" applyAlignment="1" pivotButton="0" quotePrefix="0" xfId="0">
      <alignment horizontal="right" vertical="center"/>
    </xf>
    <xf numFmtId="166" fontId="20" fillId="15" borderId="4" applyAlignment="1" pivotButton="0" quotePrefix="0" xfId="0">
      <alignment horizontal="right" vertical="center"/>
    </xf>
    <xf numFmtId="165" fontId="1" fillId="0" borderId="0" applyAlignment="1" pivotButton="0" quotePrefix="0" xfId="0">
      <alignment horizontal="center"/>
    </xf>
    <xf numFmtId="165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5" fontId="12" fillId="0" borderId="0" applyAlignment="1" pivotButton="0" quotePrefix="0" xfId="0">
      <alignment horizontal="center"/>
    </xf>
    <xf numFmtId="0" fontId="23" fillId="0" borderId="0" pivotButton="0" quotePrefix="0" xfId="0"/>
    <xf numFmtId="0" fontId="24" fillId="0" borderId="0" pivotButton="0" quotePrefix="0" xfId="0"/>
    <xf numFmtId="0" fontId="13" fillId="16" borderId="4" applyAlignment="1" pivotButton="0" quotePrefix="0" xfId="0">
      <alignment horizontal="left" vertical="center"/>
    </xf>
    <xf numFmtId="0" fontId="20" fillId="16" borderId="4" applyAlignment="1" pivotButton="0" quotePrefix="0" xfId="0">
      <alignment horizontal="right" vertical="center"/>
    </xf>
    <xf numFmtId="165" fontId="25" fillId="16" borderId="4" pivotButton="0" quotePrefix="0" xfId="0"/>
    <xf numFmtId="165" fontId="20" fillId="16" borderId="4" applyAlignment="1" pivotButton="0" quotePrefix="0" xfId="0">
      <alignment horizontal="right" vertical="center"/>
    </xf>
    <xf numFmtId="166" fontId="13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166" fontId="20" fillId="16" borderId="4" applyAlignment="1" pivotButton="0" quotePrefix="0" xfId="0">
      <alignment horizontal="right" vertical="center"/>
    </xf>
    <xf numFmtId="167" fontId="20" fillId="16" borderId="4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bottom"/>
    </xf>
    <xf numFmtId="0" fontId="26" fillId="0" borderId="0" applyAlignment="1" pivotButton="0" quotePrefix="0" xfId="0">
      <alignment horizontal="right" vertical="bottom"/>
    </xf>
    <xf numFmtId="169" fontId="1" fillId="0" borderId="0" applyAlignment="1" pivotButton="0" quotePrefix="0" xfId="0">
      <alignment horizontal="center"/>
    </xf>
    <xf numFmtId="168" fontId="1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7" fillId="13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/>
    </xf>
    <xf numFmtId="0" fontId="12" fillId="0" borderId="0" pivotButton="0" quotePrefix="0" xfId="0"/>
    <xf numFmtId="0" fontId="13" fillId="15" borderId="4" applyAlignment="1" pivotButton="0" quotePrefix="0" xfId="0">
      <alignment horizontal="left" vertical="center"/>
    </xf>
    <xf numFmtId="0" fontId="20" fillId="15" borderId="4" applyAlignment="1" pivotButton="0" quotePrefix="0" xfId="0">
      <alignment horizontal="right" vertical="center"/>
    </xf>
    <xf numFmtId="0" fontId="21" fillId="15" borderId="4" pivotButton="0" quotePrefix="0" xfId="0"/>
    <xf numFmtId="165" fontId="13" fillId="15" borderId="4" applyAlignment="1" pivotButton="0" quotePrefix="0" xfId="0">
      <alignment horizontal="left" vertical="center"/>
    </xf>
    <xf numFmtId="165" fontId="20" fillId="15" borderId="4" applyAlignment="1" pivotButton="0" quotePrefix="0" xfId="0">
      <alignment horizontal="right" vertical="center"/>
    </xf>
    <xf numFmtId="166" fontId="13" fillId="15" borderId="4" applyAlignment="1" pivotButton="0" quotePrefix="0" xfId="0">
      <alignment horizontal="left" vertical="center"/>
    </xf>
    <xf numFmtId="167" fontId="13" fillId="15" borderId="4" applyAlignment="1" pivotButton="0" quotePrefix="0" xfId="0">
      <alignment horizontal="left" vertical="center"/>
    </xf>
    <xf numFmtId="167" fontId="20" fillId="15" borderId="4" applyAlignment="1" pivotButton="0" quotePrefix="0" xfId="0">
      <alignment horizontal="right" vertical="center"/>
    </xf>
    <xf numFmtId="0" fontId="1" fillId="15" borderId="0" pivotButton="0" quotePrefix="0" xfId="0"/>
    <xf numFmtId="166" fontId="1" fillId="15" borderId="0" pivotButton="0" quotePrefix="0" xfId="0"/>
    <xf numFmtId="0" fontId="22" fillId="15" borderId="0" pivotButton="0" quotePrefix="0" xfId="0"/>
    <xf numFmtId="0" fontId="1" fillId="15" borderId="0" applyAlignment="1" pivotButton="0" quotePrefix="0" xfId="0">
      <alignment horizontal="left"/>
    </xf>
    <xf numFmtId="0" fontId="13" fillId="15" borderId="0" applyAlignment="1" pivotButton="0" quotePrefix="0" xfId="0">
      <alignment horizontal="left" vertical="center"/>
    </xf>
    <xf numFmtId="0" fontId="0" fillId="0" borderId="0" pivotButton="0" quotePrefix="0" xfId="0"/>
    <xf numFmtId="0" fontId="17" fillId="2" borderId="7" applyAlignment="1" pivotButton="0" quotePrefix="0" xfId="0">
      <alignment horizontal="center" vertical="center" textRotation="90"/>
    </xf>
    <xf numFmtId="0" fontId="0" fillId="0" borderId="12" pivotButton="0" quotePrefix="0" xfId="0"/>
    <xf numFmtId="0" fontId="0" fillId="0" borderId="13" pivotButton="0" quotePrefix="0" xfId="0"/>
    <xf numFmtId="0" fontId="17" fillId="6" borderId="7" applyAlignment="1" pivotButton="0" quotePrefix="0" xfId="0">
      <alignment horizontal="center" vertical="center" textRotation="90"/>
    </xf>
    <xf numFmtId="0" fontId="17" fillId="7" borderId="7" applyAlignment="1" pivotButton="0" quotePrefix="0" xfId="0">
      <alignment horizontal="center" vertical="center" textRotation="90"/>
    </xf>
    <xf numFmtId="0" fontId="17" fillId="11" borderId="7" applyAlignment="1" pivotButton="0" quotePrefix="0" xfId="0">
      <alignment horizontal="center" vertical="center" textRotation="90"/>
    </xf>
    <xf numFmtId="0" fontId="17" fillId="12" borderId="7" applyAlignment="1" pivotButton="0" quotePrefix="0" xfId="0">
      <alignment horizontal="center" vertical="center" textRotation="90"/>
    </xf>
    <xf numFmtId="0" fontId="17" fillId="13" borderId="7" applyAlignment="1" pivotButton="0" quotePrefix="0" xfId="0">
      <alignment horizontal="center" vertical="center" textRotation="90"/>
    </xf>
    <xf numFmtId="0" fontId="0" fillId="0" borderId="6" pivotButton="0" quotePrefix="0" xfId="0"/>
  </cellXfs>
  <cellStyles count="1">
    <cellStyle name="Normal" xfId="0" builtinId="0"/>
  </cellStyles>
  <dxfs count="6">
    <dxf>
      <font/>
      <fill>
        <patternFill patternType="solid">
          <fgColor rgb="FFFFF3B0"/>
          <bgColor rgb="FFFFF3B0"/>
        </patternFill>
      </fill>
      <border/>
    </dxf>
    <dxf>
      <font/>
      <fill>
        <patternFill patternType="solid">
          <fgColor rgb="FFD4EDDA"/>
          <bgColor rgb="FFD4EDDA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F3F6F4"/>
          <bgColor rgb="FFF3F6F4"/>
        </patternFill>
      </fill>
      <border/>
    </dxf>
    <dxf>
      <font/>
      <fill>
        <patternFill patternType="solid">
          <fgColor rgb="FFFDE2E1"/>
          <bgColor rgb="FFFDE2E1"/>
        </patternFill>
      </fill>
      <border/>
    </dxf>
    <dxf>
      <font/>
      <fill>
        <patternFill patternType="solid">
          <fgColor rgb="FFFFF4D6"/>
          <bgColor rgb="FFFFF4D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None</author>
  </authors>
  <commentList>
    <comment ref="A5" authorId="0" shapeId="0">
      <text>
        <t>======
ID#AAAB6WLUGOc
Unknown Author    (2026-05-25 18:56:16)
Chave de match com Shopify (Codigo SOHIPREN | Referencia AGRAL | Código GRECO/AGCO)</t>
      </text>
    </comment>
    <comment ref="B5" authorId="0" shapeId="0">
      <text>
        <t>======
ID#AAAB6WLUGR4
Unknown Author    (2026-05-25 18:56:16)
Cód. Reduzido / cross-reference do fabricante</t>
      </text>
    </comment>
    <comment ref="C5" authorId="0" shapeId="0">
      <text>
        <t>======
ID#AAAB6WLUGXE
Unknown Author    (2026-05-25 18:56:16)
URL slug — minúsculas, sem acento, hífen entre palavras</t>
      </text>
    </comment>
    <comment ref="D5" authorId="0" shapeId="0">
      <text>
        <t>======
ID#AAAB6WLUGRA
Unknown Author    (2026-05-25 18:56:16)
Nome do produto que aparece no Shopify e no Google</t>
      </text>
    </comment>
    <comment ref="E5" authorId="0" shapeId="0">
      <text>
        <t>======
ID#AAAB6WLUGQE
Unknown Author    (2026-05-25 18:56:16)
Bombas Hidráulicas | Sensores Agrícolas | Peças Plásticas Injetadas</t>
      </text>
    </comment>
    <comment ref="F5" authorId="0" shapeId="0">
      <text>
        <t>======
ID#AAAB6WLUGTc
Unknown Author    (2026-05-25 18:56:16)
SOHIPREN | AGRAL | GRECO | AGCO | ADG | LIVENZA</t>
      </text>
    </comment>
    <comment ref="G5" authorId="0" shapeId="0">
      <text>
        <t>======
ID#AAAB6WLUGW4
Unknown Author    (2026-05-25 18:56:16)
Ex: bomba,hidraulica,trator,massey-ferguson — separe por vírgula</t>
      </text>
    </comment>
    <comment ref="H5" authorId="0" shapeId="0">
      <text>
        <t>======
ID#AAAB6WLUGQA
Unknown Author    (2026-05-25 18:56:16)
active | draft | archived</t>
      </text>
    </comment>
    <comment ref="I5" authorId="0" shapeId="0">
      <text>
        <t>======
ID#AAAB6WLUGS8
Unknown Author    (2026-05-25 18:56:16)
Marca do equipamento original (CBT, Massey Ferguson, John Deere etc.)</t>
      </text>
    </comment>
    <comment ref="J5" authorId="0" shapeId="0">
      <text>
        <t>======
ID#AAAB6WLUGPM
Unknown Author    (2026-05-25 18:56:16)
Modelo(s) compatíveis</t>
      </text>
    </comment>
    <comment ref="K5" authorId="0" shapeId="0">
      <text>
        <t>======
ID#AAAB6WLUGRY
Unknown Author    (2026-05-25 18:56:16)
Direção, hidráulica, levante 3 pontos etc.</t>
      </text>
    </comment>
    <comment ref="L5" authorId="0" shapeId="0">
      <text>
        <t>======
ID#AAAB6WLUGPA
Unknown Author    (2026-05-25 18:56:16)
Outros part numbers compatíveis (OEM, concorrentes)</t>
      </text>
    </comment>
    <comment ref="N5" authorId="0" shapeId="0">
      <text>
        <t>======
ID#AAAB6WLUGNg
Unknown Author    (2026-05-25 18:56:16)
Peso bruto unitário com embalagem</t>
      </text>
    </comment>
    <comment ref="O5" authorId="0" shapeId="0">
      <text>
        <t>======
ID#AAAB6WLUGSY
Unknown Author    (2026-05-25 18:56:16)
Maior dimensão da embalagem</t>
      </text>
    </comment>
    <comment ref="P5" authorId="0" shapeId="0">
      <text>
        <t>======
ID#AAAB6WLUGVU
Unknown Author    (2026-05-25 18:56:16)
Segunda dimensão</t>
      </text>
    </comment>
    <comment ref="Q5" authorId="0" shapeId="0">
      <text>
        <t>======
ID#AAAB6WLUGTs
Unknown Author    (2026-05-25 18:56:16)
Terceira dimensão</t>
      </text>
    </comment>
    <comment ref="R5" authorId="0" shapeId="0">
      <text>
        <t>======
ID#AAAB6WLUGOg
Unknown Author    (2026-05-25 18:56:16)
Fórmula: (C*L*A)/6000 — padrão Correios/transportadoras BR</t>
      </text>
    </comment>
    <comment ref="S5" authorId="0" shapeId="0">
      <text>
        <t>======
ID#AAAB6WLUGOI
Unknown Author    (2026-05-25 18:56:16)
MAX(Peso real, Peso cubado) — é o que a transportadora cobra</t>
      </text>
    </comment>
    <comment ref="T5" authorId="0" shapeId="0">
      <text>
        <t>======
ID#AAAB6WLUGVM
Unknown Author    (2026-05-25 18:56:16)
Custo de logística inbound (fornecedor até o CD/operação APP)</t>
      </text>
    </comment>
    <comment ref="U5" authorId="0" shapeId="0">
      <text>
        <t>======
ID#AAAB6WLUGO4
Unknown Author    (2026-05-25 18:56:16)
fornecedor | medido | pesquisado | FALTA</t>
      </text>
    </comment>
    <comment ref="V5" authorId="0" shapeId="0">
      <text>
        <t>======
ID#AAAB6WLUGVk
Unknown Author    (2026-05-25 18:56:16)
Preço de compra net do fornecedor (sem impostos adicionais)</t>
      </text>
    </comment>
    <comment ref="W5" authorId="0" shapeId="0">
      <text>
        <t>======
ID#AAAB6WLUGS4
Unknown Author    (2026-05-25 18:56:16)
Margem desejada (ex: 0.30 = 30%). Modifica preço final</t>
      </text>
    </comment>
    <comment ref="X5" authorId="0" shapeId="0">
      <text>
        <t>======
ID#AAAB6WLUGQc
Unknown Author    (2026-05-25 18:56:16)
Custo + frete fábrica → eCom</t>
      </text>
    </comment>
    <comment ref="Y5" authorId="0" shapeId="0">
      <text>
        <t>======
ID#AAAB6WLUGUw
Unknown Author    (2026-05-25 18:56:16)
(Custo+frete) / (1 - margem) — markup composto</t>
      </text>
    </comment>
    <comment ref="Z5" authorId="0" shapeId="0">
      <text>
        <t>======
ID#AAAB6WLUGSM
Unknown Author    (2026-05-25 18:56:16)
Puxa de CONFIG_GLOBAL</t>
      </text>
    </comment>
    <comment ref="AA5" authorId="0" shapeId="0">
      <text>
        <t>======
ID#AAAB6WLUGW0
Unknown Author    (2026-05-25 18:56:16)
Preço c/ margem × Taxa MP</t>
      </text>
    </comment>
    <comment ref="AB5" authorId="0" shapeId="0">
      <text>
        <t>======
ID#AAAB6WLUGNE
Unknown Author    (2026-05-25 18:56:16)
Preço c/ margem ajustado para absorver taxa MP</t>
      </text>
    </comment>
    <comment ref="AC5" authorId="0" shapeId="0">
      <text>
        <t>======
ID#AAAB6WLUGO8
Unknown Author    (2026-05-25 18:56:16)
Mercado Livre, site concorrente etc.</t>
      </text>
    </comment>
    <comment ref="AD5" authorId="0" shapeId="0">
      <text>
        <t>======
ID#AAAB6WLUGXA
Unknown Author    (2026-05-25 18:56:16)
Preço público visto</t>
      </text>
    </comment>
    <comment ref="AI5" authorId="0" shapeId="0">
      <text>
        <t>======
ID#AAAB6WLUGVo
Unknown Author    (2026-05-25 18:56:16)
MÉDIA dos 3 preços</t>
      </text>
    </comment>
    <comment ref="AJ5" authorId="0" shapeId="0">
      <text>
        <t>======
ID#AAAB6WLUGVE
Unknown Author    (2026-05-25 18:56:16)
abaixo / em linha / acima — vs média concorrência</t>
      </text>
    </comment>
    <comment ref="AK5" authorId="0" shapeId="0">
      <text>
        <t>======
ID#AAAB6WLUGRg
Unknown Author    (2026-05-25 18:56:16)
sim | não | divergente</t>
      </text>
    </comment>
    <comment ref="AL5" authorId="0" shapeId="0">
      <text>
        <t>======
ID#AAAB6WLUGQg
Unknown Author    (2026-05-25 18:56:16)
Data DD/MM/AAAA</t>
      </text>
    </comment>
    <comment ref="AM5" authorId="0" shapeId="0">
      <text>
        <t>======
ID#AAAB6WLUGNw
Unknown Author    (2026-05-25 18:56:16)
Nome de quem revisou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5" authorId="0" shapeId="0">
      <text>
        <t>======
ID#AAAB6WLUGQk
Unknown Author    (2026-05-25 18:56:16)
Chave de match com Shopify (Codigo SOHIPREN | Referencia AGRAL | Código GRECO/AGCO)</t>
      </text>
    </comment>
    <comment ref="B5" authorId="0" shapeId="0">
      <text>
        <t>======
ID#AAAB6WLUGNA
Unknown Author    (2026-05-25 18:56:16)
Cód. Reduzido / cross-reference do fabricante</t>
      </text>
    </comment>
    <comment ref="C5" authorId="0" shapeId="0">
      <text>
        <t>======
ID#AAAB6WLUGPw
Unknown Author    (2026-05-25 18:56:16)
URL slug — minúsculas, sem acento, hífen entre palavras</t>
      </text>
    </comment>
    <comment ref="D5" authorId="0" shapeId="0">
      <text>
        <t>======
ID#AAAB6WLUGPc
Unknown Author    (2026-05-25 18:56:16)
Nome do produto que aparece no Shopify e no Google</t>
      </text>
    </comment>
    <comment ref="E5" authorId="0" shapeId="0">
      <text>
        <t>======
ID#AAAB6WLUGPg
Unknown Author    (2026-05-25 18:56:16)
Bombas Hidráulicas | Sensores Agrícolas | Peças Plásticas Injetadas</t>
      </text>
    </comment>
    <comment ref="F5" authorId="0" shapeId="0">
      <text>
        <t>======
ID#AAAB6WLUGR8
Unknown Author    (2026-05-25 18:56:16)
SOHIPREN | AGRAL | GRECO | AGCO | ADG | LIVENZA</t>
      </text>
    </comment>
    <comment ref="G5" authorId="0" shapeId="0">
      <text>
        <t>======
ID#AAAB6WLUGRU
Unknown Author    (2026-05-25 18:56:16)
Ex: bomba,hidraulica,trator,massey-ferguson — separe por vírgula</t>
      </text>
    </comment>
    <comment ref="H5" authorId="0" shapeId="0">
      <text>
        <t>======
ID#AAAB6WLUGTk
Unknown Author    (2026-05-25 18:56:16)
active | draft | archived</t>
      </text>
    </comment>
    <comment ref="I5" authorId="0" shapeId="0">
      <text>
        <t>======
ID#AAAB6WLUGVA
Unknown Author    (2026-05-25 18:56:16)
Marca do equipamento original (CBT, Massey Ferguson, John Deere etc.)</t>
      </text>
    </comment>
    <comment ref="J5" authorId="0" shapeId="0">
      <text>
        <t>======
ID#AAAB6WLUGXU
Unknown Author    (2026-05-25 18:56:16)
Modelo(s) compatíveis</t>
      </text>
    </comment>
    <comment ref="K5" authorId="0" shapeId="0">
      <text>
        <t>======
ID#AAAB6WLUGVg
Unknown Author    (2026-05-25 18:56:16)
Direção, hidráulica, levante 3 pontos etc.</t>
      </text>
    </comment>
    <comment ref="L5" authorId="0" shapeId="0">
      <text>
        <t>======
ID#AAAB6WLUGSw
Unknown Author    (2026-05-25 18:56:16)
Outros part numbers compatíveis (OEM, concorrentes)</t>
      </text>
    </comment>
    <comment ref="P5" authorId="0" shapeId="0">
      <text>
        <t>======
ID#AAAB6WLUGSI
Unknown Author    (2026-05-25 18:56:16)
Peso bruto unitário com embalagem</t>
      </text>
    </comment>
    <comment ref="Q5" authorId="0" shapeId="0">
      <text>
        <t>======
ID#AAAB6WLUGTI
Unknown Author    (2026-05-25 18:56:16)
Maior dimensão da embalagem</t>
      </text>
    </comment>
    <comment ref="R5" authorId="0" shapeId="0">
      <text>
        <t>======
ID#AAAB6WLUGNY
Unknown Author    (2026-05-25 18:56:16)
Segunda dimensão</t>
      </text>
    </comment>
    <comment ref="S5" authorId="0" shapeId="0">
      <text>
        <t>======
ID#AAAB6WLUGPs
Unknown Author    (2026-05-25 18:56:16)
Terceira dimensão</t>
      </text>
    </comment>
    <comment ref="U5" authorId="0" shapeId="0">
      <text>
        <t>======
ID#AAAB6WLUGNM
Unknown Author    (2026-05-25 18:56:16)
Fórmula: (C*L*A)/6000 — padrão Correios/transportadoras BR</t>
      </text>
    </comment>
    <comment ref="V5" authorId="0" shapeId="0">
      <text>
        <t>======
ID#AAAB6WLUGM8
Unknown Author    (2026-05-25 18:56:16)
MAX(Peso real, Peso cubado) — é o que a transportadora cobra</t>
      </text>
    </comment>
    <comment ref="W5" authorId="0" shapeId="0">
      <text>
        <t>======
ID#AAAB6WLUGNs
Unknown Author    (2026-05-25 18:56:16)
Custo de logística inbound (fornecedor até o CD/operação APP)</t>
      </text>
    </comment>
    <comment ref="X5" authorId="0" shapeId="0">
      <text>
        <t>======
ID#AAAB6WLUGRw
Unknown Author    (2026-05-25 18:56:16)
fornecedor | medido | pesquisado | FALTA</t>
      </text>
    </comment>
    <comment ref="Y5" authorId="0" shapeId="0">
      <text>
        <t>======
ID#AAAB6WLUGQs
Unknown Author    (2026-05-25 18:56:16)
Preço de compra net do fornecedor (sem impostos adicionais)</t>
      </text>
    </comment>
    <comment ref="AA5" authorId="0" shapeId="0">
      <text>
        <t>======
ID#AAAB6WLUGNk
Unknown Author    (2026-05-25 18:56:16)
Custo + frete fábrica → eCom</t>
      </text>
    </comment>
    <comment ref="AB5" authorId="0" shapeId="0">
      <text>
        <t>======
ID#AAAB6WLUGQU
Unknown Author    (2026-05-25 18:56:16)
(Custo+frete) / (1 - margem) — markup composto</t>
      </text>
    </comment>
    <comment ref="AC5" authorId="0" shapeId="0">
      <text>
        <t>======
ID#AAAB6WLUGP4
Unknown Author    (2026-05-25 18:56:16)
Puxa de CONFIG_GLOBAL</t>
      </text>
    </comment>
    <comment ref="AD5" authorId="0" shapeId="0">
      <text>
        <t>======
ID#AAAB6WLUGUE
Unknown Author    (2026-05-25 18:56:16)
Preço c/ margem × Taxa MP</t>
      </text>
    </comment>
    <comment ref="AE5" authorId="0" shapeId="0">
      <text>
        <t>======
ID#AAAB6WLUGPo
Unknown Author    (2026-05-25 18:56:16)
Preço c/ margem ajustado para absorver taxa MP</t>
      </text>
    </comment>
    <comment ref="AF5" authorId="0" shapeId="0">
      <text>
        <t>======
ID#AAAB6WLUGV4
Unknown Author    (2026-05-25 18:56:16)
Mercado Livre, site concorrente etc.</t>
      </text>
    </comment>
    <comment ref="AG5" authorId="0" shapeId="0">
      <text>
        <t>======
ID#AAAB6WLUGNI
Unknown Author    (2026-05-25 18:56:16)
Preço público visto</t>
      </text>
    </comment>
    <comment ref="AL5" authorId="0" shapeId="0">
      <text>
        <t>======
ID#AAAB6WLUGMc
Unknown Author    (2026-05-25 18:56:16)
MÉDIA dos 3 preços</t>
      </text>
    </comment>
    <comment ref="AM5" authorId="0" shapeId="0">
      <text>
        <t>======
ID#AAAB6WLUGOs
Unknown Author    (2026-05-25 18:56:16)
abaixo / em linha / acima — vs média concorrência</t>
      </text>
    </comment>
    <comment ref="AN5" authorId="0" shapeId="0">
      <text>
        <t>======
ID#AAAB6WLUGUo
Unknown Author    (2026-05-25 18:56:16)
sim | não | divergente</t>
      </text>
    </comment>
    <comment ref="AO5" authorId="0" shapeId="0">
      <text>
        <t>======
ID#AAAB6WLUGO0
Unknown Author    (2026-05-25 18:56:16)
Data DD/MM/AAAA</t>
      </text>
    </comment>
    <comment ref="AP5" authorId="0" shapeId="0">
      <text>
        <t>======
ID#AAAB6WLUGOQ
Unknown Author    (2026-05-25 18:56:16)
Nome de quem revisou</t>
      </text>
    </comment>
    <comment ref="AR5" authorId="0" shapeId="0">
      <text>
        <t>======
ID#AAAB6WLUGPU
Unknown Author    (2026-05-25 18:56:16)
Notas livres para a equipe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5" authorId="0" shapeId="0">
      <text>
        <t>======
ID#AAAB6WLUGTo
Unknown Author    (2026-05-25 18:56:16)
Chave de match com Shopify (Codigo SOHIPREN | Referencia AGRAL | Código GRECO/AGCO)</t>
      </text>
    </comment>
    <comment ref="B5" authorId="0" shapeId="0">
      <text>
        <t>======
ID#AAAB6WLUGWI
Unknown Author    (2026-05-25 18:56:16)
Cód. Reduzido / cross-reference do fabricante</t>
      </text>
    </comment>
    <comment ref="C5" authorId="0" shapeId="0">
      <text>
        <t>======
ID#AAAB6WLUGU0
Unknown Author    (2026-05-25 18:56:16)
URL slug — minúsculas, sem acento, hífen entre palavras</t>
      </text>
    </comment>
    <comment ref="D5" authorId="0" shapeId="0">
      <text>
        <t>======
ID#AAAB6WLUGSA
Unknown Author    (2026-05-25 18:56:16)
Nome do produto que aparece no Shopify e no Google</t>
      </text>
    </comment>
    <comment ref="E5" authorId="0" shapeId="0">
      <text>
        <t>======
ID#AAAB6WLUGSQ
Unknown Author    (2026-05-25 18:56:16)
Bombas Hidráulicas | Sensores Agrícolas | Peças Plásticas Injetadas</t>
      </text>
    </comment>
    <comment ref="F5" authorId="0" shapeId="0">
      <text>
        <t>======
ID#AAAB6WLUGWk
Unknown Author    (2026-05-25 18:56:16)
SOHIPREN | AGRAL | GRECO | AGCO | ADG | LIVENZA</t>
      </text>
    </comment>
    <comment ref="G5" authorId="0" shapeId="0">
      <text>
        <t>======
ID#AAAB6WLUGT4
Unknown Author    (2026-05-25 18:56:16)
Ex: bomba,hidraulica,trator,massey-ferguson — separe por vírgula</t>
      </text>
    </comment>
    <comment ref="H5" authorId="0" shapeId="0">
      <text>
        <t>======
ID#AAAB6WLUGU8
Unknown Author    (2026-05-25 18:56:16)
active | draft | archived</t>
      </text>
    </comment>
    <comment ref="I5" authorId="0" shapeId="0">
      <text>
        <t>======
ID#AAAB6WLUGSo
Unknown Author    (2026-05-25 18:56:16)
Marca do equipamento original (CBT, Massey Ferguson, John Deere etc.)</t>
      </text>
    </comment>
    <comment ref="J5" authorId="0" shapeId="0">
      <text>
        <t>======
ID#AAAB6WLUGUg
Unknown Author    (2026-05-25 18:56:16)
Modelo(s) compatíveis</t>
      </text>
    </comment>
    <comment ref="K5" authorId="0" shapeId="0">
      <text>
        <t>======
ID#AAAB6WLUGNQ
Unknown Author    (2026-05-25 18:56:16)
Direção, hidráulica, levante 3 pontos etc.</t>
      </text>
    </comment>
    <comment ref="L5" authorId="0" shapeId="0">
      <text>
        <t>======
ID#AAAB6WLUGR0
Unknown Author    (2026-05-25 18:56:16)
Outros part numbers compatíveis (OEM, concorrentes)</t>
      </text>
    </comment>
    <comment ref="N5" authorId="0" shapeId="0">
      <text>
        <t>======
ID#AAAB6WLUGQ0
Unknown Author    (2026-05-25 18:56:16)
Peso bruto unitário com embalagem</t>
      </text>
    </comment>
    <comment ref="O5" authorId="0" shapeId="0">
      <text>
        <t>======
ID#AAAB6WLUGP0
Unknown Author    (2026-05-25 18:56:16)
Maior dimensão da embalagem</t>
      </text>
    </comment>
    <comment ref="P5" authorId="0" shapeId="0">
      <text>
        <t>======
ID#AAAB6WLUGUU
Unknown Author    (2026-05-25 18:56:16)
Segunda dimensão</t>
      </text>
    </comment>
    <comment ref="Q5" authorId="0" shapeId="0">
      <text>
        <t>======
ID#AAAB6WLUGOY
Unknown Author    (2026-05-25 18:56:16)
Terceira dimensão</t>
      </text>
    </comment>
    <comment ref="R5" authorId="0" shapeId="0">
      <text>
        <t>======
ID#AAAB6WLUGQM
Unknown Author    (2026-05-25 18:56:16)
Fórmula: (C*L*A)/6000 — padrão Correios/transportadoras BR</t>
      </text>
    </comment>
    <comment ref="S5" authorId="0" shapeId="0">
      <text>
        <t>======
ID#AAAB6WLUGSk
Unknown Author    (2026-05-25 18:56:16)
MAX(Peso real, Peso cubado) — é o que a transportadora cobra</t>
      </text>
    </comment>
    <comment ref="T5" authorId="0" shapeId="0">
      <text>
        <t>======
ID#AAAB6WLUGSs
Unknown Author    (2026-05-25 18:56:16)
Custo de logística inbound (fornecedor até o CD/operação APP)</t>
      </text>
    </comment>
    <comment ref="U5" authorId="0" shapeId="0">
      <text>
        <t>======
ID#AAAB6WLUGOo
Unknown Author    (2026-05-25 18:56:16)
fornecedor | medido | pesquisado | FALTA</t>
      </text>
    </comment>
    <comment ref="V5" authorId="0" shapeId="0">
      <text>
        <t>======
ID#AAAB6WLUGOU
Unknown Author    (2026-05-25 18:56:16)
Preço de compra net do fornecedor (sem impostos adicionais)</t>
      </text>
    </comment>
    <comment ref="W5" authorId="0" shapeId="0">
      <text>
        <t>======
ID#AAAB6WLUGRQ
Unknown Author    (2026-05-25 18:56:16)
Margem desejada (ex: 0.30 = 30%). Modifica preço final</t>
      </text>
    </comment>
    <comment ref="X5" authorId="0" shapeId="0">
      <text>
        <t>======
ID#AAAB6WLUGWU
Unknown Author    (2026-05-25 18:56:16)
Custo + frete fábrica → eCom</t>
      </text>
    </comment>
    <comment ref="Y5" authorId="0" shapeId="0">
      <text>
        <t>======
ID#AAAB6WLUGOA
Unknown Author    (2026-05-25 18:56:16)
(Custo+frete) / (1 - margem) — markup composto</t>
      </text>
    </comment>
    <comment ref="Z5" authorId="0" shapeId="0">
      <text>
        <t>======
ID#AAAB6WLUGV0
Unknown Author    (2026-05-25 18:56:16)
Puxa de CONFIG_GLOBAL</t>
      </text>
    </comment>
    <comment ref="AA5" authorId="0" shapeId="0">
      <text>
        <t>======
ID#AAAB6WLUGOw
Unknown Author    (2026-05-25 18:56:16)
Preço c/ margem × Taxa MP</t>
      </text>
    </comment>
    <comment ref="AB5" authorId="0" shapeId="0">
      <text>
        <t>======
ID#AAAB6WLUGRE
Unknown Author    (2026-05-25 18:56:16)
Preço c/ margem ajustado para absorver taxa MP</t>
      </text>
    </comment>
    <comment ref="AC5" authorId="0" shapeId="0">
      <text>
        <t>======
ID#AAAB6WLUGTY
Unknown Author    (2026-05-25 18:56:16)
Mercado Livre, site concorrente etc.</t>
      </text>
    </comment>
    <comment ref="AD5" authorId="0" shapeId="0">
      <text>
        <t>======
ID#AAAB6WLUGP8
Unknown Author    (2026-05-25 18:56:16)
Preço público visto</t>
      </text>
    </comment>
    <comment ref="AI5" authorId="0" shapeId="0">
      <text>
        <t>======
ID#AAAB6WLUGRc
Unknown Author    (2026-05-25 18:56:16)
MÉDIA dos 3 preços</t>
      </text>
    </comment>
    <comment ref="AJ5" authorId="0" shapeId="0">
      <text>
        <t>======
ID#AAAB6WLUGRs
Unknown Author    (2026-05-25 18:56:16)
abaixo / em linha / acima — vs média concorrência</t>
      </text>
    </comment>
    <comment ref="AK5" authorId="0" shapeId="0">
      <text>
        <t>======
ID#AAAB6WLUGRI
Unknown Author    (2026-05-25 18:56:16)
sim | não | divergente</t>
      </text>
    </comment>
    <comment ref="AL5" authorId="0" shapeId="0">
      <text>
        <t>======
ID#AAAB6WLUGUs
Unknown Author    (2026-05-25 18:56:16)
Data DD/MM/AAAA</t>
      </text>
    </comment>
    <comment ref="AM5" authorId="0" shapeId="0">
      <text>
        <t>======
ID#AAAB6WLUGVY
Unknown Author    (2026-05-25 18:56:16)
Nome de quem revisou</t>
      </text>
    </comment>
    <comment ref="AN5" authorId="0" shapeId="0">
      <text>
        <t>======
ID#AAAB6WLUGOE
Unknown Author    (2026-05-25 18:56:16)
Notas livres para a equipe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B5" authorId="0" shapeId="0">
      <text>
        <t>======
ID#AAAB6WLUGVI
Unknown Author    (2026-05-25 18:56:16)
Cód. Reduzido / cross-reference do fabricante</t>
      </text>
    </comment>
    <comment ref="C5" authorId="0" shapeId="0">
      <text>
        <t>======
ID#AAAB6WLUGSE
Unknown Author    (2026-05-25 18:56:16)
URL slug — minúsculas, sem acento, hífen entre palavras</t>
      </text>
    </comment>
    <comment ref="D5" authorId="0" shapeId="0">
      <text>
        <t>======
ID#AAAB6WLUGMs
Unknown Author    (2026-05-25 18:56:16)
Nome do produto que aparece no Shopify e no Google</t>
      </text>
    </comment>
    <comment ref="E5" authorId="0" shapeId="0">
      <text>
        <t>======
ID#AAAB6WLUGOk
Unknown Author    (2026-05-25 18:56:16)
Bombas Hidráulicas | Sensores Agrícolas | Peças Plásticas Injetadas</t>
      </text>
    </comment>
    <comment ref="F5" authorId="0" shapeId="0">
      <text>
        <t>======
ID#AAAB6WLUGN8
Unknown Author    (2026-05-25 18:56:16)
SOHIPREN | AGRAL | GRECO | AGCO | ADG | LIVENZA</t>
      </text>
    </comment>
    <comment ref="G5" authorId="0" shapeId="0">
      <text>
        <t>======
ID#AAAB6WLUGWo
Unknown Author    (2026-05-25 18:56:16)
Ex: bomba,hidraulica,trator,massey-ferguson — separe por vírgula</t>
      </text>
    </comment>
    <comment ref="H5" authorId="0" shapeId="0">
      <text>
        <t>======
ID#AAAB6WLUGMg
Unknown Author    (2026-05-25 18:56:16)
active | draft | archived</t>
      </text>
    </comment>
    <comment ref="I5" authorId="0" shapeId="0">
      <text>
        <t>======
ID#AAAB6WLUGSc
Unknown Author    (2026-05-25 18:56:16)
Marca do equipamento original (CBT, Massey Ferguson, John Deere etc.)</t>
      </text>
    </comment>
    <comment ref="J5" authorId="0" shapeId="0">
      <text>
        <t>======
ID#AAAB6WLUGWw
Unknown Author    (2026-05-25 18:56:16)
Modelo(s) compatíveis</t>
      </text>
    </comment>
    <comment ref="K5" authorId="0" shapeId="0">
      <text>
        <t>======
ID#AAAB6WLUGWc
Unknown Author    (2026-05-25 18:56:16)
Direção, hidráulica, levante 3 pontos etc.</t>
      </text>
    </comment>
    <comment ref="L5" authorId="0" shapeId="0">
      <text>
        <t>======
ID#AAAB6WLUGPI
Unknown Author    (2026-05-25 18:56:16)
Outros part numbers compatíveis (OEM, concorrentes)</t>
      </text>
    </comment>
    <comment ref="O5" authorId="0" shapeId="0">
      <text>
        <t>======
ID#AAAB6WLUGRo
Unknown Author    (2026-05-25 18:56:16)
Peso bruto unitário com embalagem</t>
      </text>
    </comment>
    <comment ref="Q5" authorId="0" shapeId="0">
      <text>
        <t>======
ID#AAAB6WLUGQo
Unknown Author    (2026-05-25 18:56:16)
Segunda dimensão</t>
      </text>
    </comment>
    <comment ref="R5" authorId="0" shapeId="0">
      <text>
        <t>======
ID#AAAB6WLUGOM
Unknown Author    (2026-05-25 18:56:16)
Terceira dimensão</t>
      </text>
    </comment>
    <comment ref="T5" authorId="0" shapeId="0">
      <text>
        <t>======
ID#AAAB6WLUGTE
Unknown Author    (2026-05-25 18:56:16)
Fórmula: (C*L*A)/6000 — padrão Correios/transportadoras BR</t>
      </text>
    </comment>
    <comment ref="U5" authorId="0" shapeId="0">
      <text>
        <t>======
ID#AAAB6WLUGU4
Unknown Author    (2026-05-25 18:56:16)
MAX(Peso real, Peso cubado) — é o que a transportadora cobra</t>
      </text>
    </comment>
    <comment ref="V5" authorId="0" shapeId="0">
      <text>
        <t>======
ID#AAAB6WLUGWQ
Unknown Author    (2026-05-25 18:56:16)
Custo de logística inbound (fornecedor até o CD/operação APP)</t>
      </text>
    </comment>
    <comment ref="W5" authorId="0" shapeId="0">
      <text>
        <t>======
ID#AAAB6WLUGQ4
Unknown Author    (2026-05-25 18:56:16)
fornecedor | medido | pesquisado | FALTA</t>
      </text>
    </comment>
    <comment ref="X5" authorId="0" shapeId="0">
      <text>
        <t>======
ID#AAAB6WLUGUY
Unknown Author    (2026-05-25 18:56:16)
Preço de compra net do fornecedor (sem impostos adicionais)</t>
      </text>
    </comment>
    <comment ref="Y5" authorId="0" shapeId="0">
      <text>
        <t>======
ID#AAAB6WLUGSU
Unknown Author    (2026-05-25 18:56:16)
Margem desejada (ex: 0.30 = 30%). Modifica preço final</t>
      </text>
    </comment>
    <comment ref="Z5" authorId="0" shapeId="0">
      <text>
        <t>======
ID#AAAB6WLUGWs
Unknown Author    (2026-05-25 18:56:16)
Custo + frete fábrica → eCom</t>
      </text>
    </comment>
    <comment ref="AA5" authorId="0" shapeId="0">
      <text>
        <t>======
ID#AAAB6WLUGUA
Unknown Author    (2026-05-25 18:56:16)
(Custo+frete) / (1 - margem) — markup composto</t>
      </text>
    </comment>
    <comment ref="AB5" authorId="0" shapeId="0">
      <text>
        <t>======
ID#AAAB6WLUGN4
Unknown Author    (2026-05-25 18:56:16)
Puxa de CONFIG_GLOBAL</t>
      </text>
    </comment>
    <comment ref="AC5" authorId="0" shapeId="0">
      <text>
        <t>======
ID#AAAB6WLUGMo
Unknown Author    (2026-05-25 18:56:16)
Preço c/ margem × Taxa MP</t>
      </text>
    </comment>
    <comment ref="AD5" authorId="0" shapeId="0">
      <text>
        <t>======
ID#AAAB6WLUGTU
Unknown Author    (2026-05-25 18:56:16)
Preço c/ margem ajustado para absorver taxa MP</t>
      </text>
    </comment>
    <comment ref="AE5" authorId="0" shapeId="0">
      <text>
        <t>======
ID#AAAB6WLUGT0
Unknown Author    (2026-05-25 18:56:16)
Mercado Livre, site concorrente etc.</t>
      </text>
    </comment>
    <comment ref="AF5" authorId="0" shapeId="0">
      <text>
        <t>======
ID#AAAB6WLUGV8
Unknown Author    (2026-05-25 18:56:16)
Preço público visto</t>
      </text>
    </comment>
    <comment ref="AK5" authorId="0" shapeId="0">
      <text>
        <t>======
ID#AAAB6WLUGQI
Unknown Author    (2026-05-25 18:56:16)
MÉDIA dos 3 preços</t>
      </text>
    </comment>
    <comment ref="AL5" authorId="0" shapeId="0">
      <text>
        <t>======
ID#AAAB6WLUGQw
Unknown Author    (2026-05-25 18:56:16)
abaixo / em linha / acima — vs média concorrência</t>
      </text>
    </comment>
    <comment ref="AM5" authorId="0" shapeId="0">
      <text>
        <t>======
ID#AAAB6WLUGVc
Unknown Author    (2026-05-25 18:56:16)
sim | não | divergente</t>
      </text>
    </comment>
    <comment ref="AN5" authorId="0" shapeId="0">
      <text>
        <t>======
ID#AAAB6WLUGM4
Unknown Author    (2026-05-25 18:56:16)
Data DD/MM/AAAA</t>
      </text>
    </comment>
    <comment ref="AO5" authorId="0" shapeId="0">
      <text>
        <t>======
ID#AAAB6WLUGNo
Unknown Author    (2026-05-25 18:56:16)
Nome de quem revisou</t>
      </text>
    </comment>
    <comment ref="AP5" authorId="0" shapeId="0">
      <text>
        <t>======
ID#AAAB6WLUGXI
Unknown Author    (2026-05-25 18:56:16)
Notas livres para a equipe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6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93" min="1" max="1"/>
    <col width="110" customWidth="1" style="93" min="2" max="2"/>
    <col width="8.710000000000001" customWidth="1" style="93" min="3" max="6"/>
  </cols>
  <sheetData>
    <row r="1">
      <c r="A1" s="1" t="inlineStr">
        <is>
          <t>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2" t="inlineStr">
        <is>
          <t>APP — Agro Peças Padrão | Master de Produtos Shopify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4" t="inlineStr">
        <is>
          <t>Documento de referência única (single source of truth) para subida e atualização de produtos.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 s="93">
      <c r="A5" s="1" t="n"/>
      <c r="B5" s="7" t="inlineStr">
        <is>
          <t>📋 OBJETIVO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1" t="inlineStr">
        <is>
          <t>Padronizar o cadastro de produtos antes de subir para o Shopify (via CSV import, Admin API ou Shopify CLI/MCP). Esta planilha consolida custo, frete inbound, embalagem (peso+dimensões), margem, taxa Mercado Pago e pesquisa de mercado por SKU — eliminando re-trabalho e divergência entre planilha e loja.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 s="93">
      <c r="A8" s="1" t="n"/>
      <c r="B8" s="7" t="inlineStr">
        <is>
          <t>🗂️ ESTRUTURA DAS ABAS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8" customHeight="1" s="93">
      <c r="A9" s="1" t="n"/>
      <c r="B9" s="11" t="inlineStr">
        <is>
          <t>• 00_LEIA-ME — este guia
• 01_CONFIG_GLOBAL — parâmetros globais (taxa MP, margem padrão, frete padrão) usados como referência em todas as abas
• 02_SOHIPREN — bombas hidráulicas (1.005 SKUs já pré-carregados)
• 03_AGRAL — peças plásticas injetadas (35 SKUs pré-carregados)
• 04_GRECO — sensores agrícolas (11 SKUs pré-carregados)
• 05_AGCO — peças plásticas (22 SKUs pré-carregados)
• 06_ADG — estrutura vazia (aguardando definição da parceria)
• 08_RESUMO_GERAL — dashboard de status
• 09_PESQUISA_MERCADO — consolidação dos preços de concorrência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idden="1" s="93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idden="1" ht="25.5" customHeight="1" s="93">
      <c r="A11" s="1" t="n"/>
      <c r="B11" s="7" t="inlineStr">
        <is>
          <t>🎨 CONVENÇÃO DE CORES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idden="1" ht="144" customHeight="1" s="93">
      <c r="A12" s="1" t="n"/>
      <c r="B12" s="11" t="inlineStr">
        <is>
          <t>• Verde Campo (#1B4332) — cabeçalhos primários
• Dourado (#D4AF37) — agrupamentos
• Texto azul — célula de INPUT do operador
• Fundo cinza claro — célula CALCULADA (não editar)
• Fundo amarelo — FALTA dado, pesquisar / preencher
• Fundo verde claro — Posicionamento abaixo da concorrência (oportunidade)
• Fundo vermelho claro — Posicionamento acima ou cadastro divergente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5.5" customHeight="1" s="93">
      <c r="A14" s="1" t="n"/>
      <c r="B14" s="7" t="inlineStr">
        <is>
          <t>🔑 CHAVE DE MATCH COM SHOPIFY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6" customHeight="1" s="93">
      <c r="A15" s="1" t="n"/>
      <c r="B15" s="11" t="inlineStr">
        <is>
          <t>A coluna 'SKU / Código' (coluna A) é a chave única que liga esta planilha ao Shopify.
• SOHIPREN → coluna 'Codigo' da MACRO (ex: 5.1621.0620002.0)
• AGRAL → coluna 'Referencia' da MACRO (ex: 6424-4005)
• GRECO → coluna 'Código' da MACRO (ex: GR141207)
• AGCO → coluna 'Código' da MACRO (ex: ACX3266690)
Todos esses códigos devem ser gravados no campo 'SKU' do variant do Shopify.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5.5" customHeight="1" s="93">
      <c r="A17" s="1" t="n"/>
      <c r="B17" s="7" t="inlineStr">
        <is>
          <t>⚙️ FÓRMULAS AUTOMÁTICAS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2" customHeight="1" s="93">
      <c r="A18" s="1" t="n"/>
      <c r="B18" s="11" t="inlineStr">
        <is>
          <t>• Handle (Shopify) — slug gerado do Title
• Peso cubado (kg) = (C × L × A em cm) / 6000
• Peso considerado = MAX(peso real, peso cubado) — é o que a transportadora cobra
• Custo + frete inbound = Custo unitário + Frete fábrica→eCom
• Preço c/ margem = (Custo+frete) / (1 − %margem)
• Taxa MP () = Preço c/ margem × Taxa MP global
• Preço final site = Preço c/ margem / (1 − Taxa MP)
• Posicionamento = compara preço final vs média concorrência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 s="93">
      <c r="A20" s="1" t="n"/>
      <c r="B20" s="7" t="inlineStr">
        <is>
          <t>📦 FORNECEDORES COM DADO DE EMBALAGEM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90" customHeight="1" s="93">
      <c r="A21" s="1" t="n"/>
      <c r="B21" s="11" t="inlineStr">
        <is>
          <t>• SOHIPREN — 52 SKUs já têm dimensões conhecidas (300×125×125 mm padrão pequeno, 350×310×200 mm padrão médio).
  Use estas dimensões como referência para os 953 SKUs SOHIPREN restantes, agrupando por família de produto.
• AGRAL/LIVENZA/GRECO/AGCO — solicitar dados oficiais ao fornecedor OU medir manualmente.
  Onde não houver dado, a coluna 'Origem do dado embalagem' fica marcada como FALTA (amarelo).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5.5" customHeight="1" s="93">
      <c r="A23" s="1" t="n"/>
      <c r="B23" s="7" t="inlineStr">
        <is>
          <t>🚀 FLUXO RECOMENDADO DE TRABALHO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6" customHeight="1" s="93">
      <c r="A24" s="1" t="n"/>
      <c r="B24" s="11" t="inlineStr">
        <is>
          <t>1. Operador completa: peso, dimensões, custo, margem, frete inbound
2. Pesquisa preço em 3 concorrentes (Mercado Livre, concorrente direto, OEM)
3. Confere posicionamento e ajusta margem se necessário
4. Marca 'Cadastrado Shopify?' = sim/não/divergente
5. Roda o agente Claude Code/MCP (prompt em arquivo separado) para sincronizar com a loja
6. Revisão semanal: filtrar 'divergente' e 'FALTA' para priorizar correções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9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9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9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93">
      <c r="A225" s="1" t="n"/>
      <c r="B225" s="1" t="n"/>
      <c r="C225" s="1" t="n"/>
      <c r="D225" s="1" t="n"/>
      <c r="E225" s="1" t="n"/>
      <c r="F225" s="1" t="n"/>
    </row>
    <row r="226" ht="15.75" customHeight="1" s="93">
      <c r="A226" s="1" t="n"/>
      <c r="B226" s="1" t="n"/>
      <c r="C226" s="1" t="n"/>
      <c r="D226" s="1" t="n"/>
      <c r="E226" s="1" t="n"/>
      <c r="F226" s="1" t="n"/>
    </row>
    <row r="227" ht="15.75" customHeight="1" s="93">
      <c r="A227" s="1" t="n"/>
      <c r="B227" s="1" t="n"/>
      <c r="C227" s="1" t="n"/>
      <c r="D227" s="1" t="n"/>
      <c r="E227" s="1" t="n"/>
      <c r="F227" s="1" t="n"/>
    </row>
    <row r="228" ht="15.75" customHeight="1" s="93">
      <c r="A228" s="1" t="n"/>
      <c r="B228" s="1" t="n"/>
      <c r="C228" s="1" t="n"/>
      <c r="D228" s="1" t="n"/>
      <c r="E228" s="1" t="n"/>
      <c r="F228" s="1" t="n"/>
    </row>
    <row r="229" ht="15.75" customHeight="1" s="93">
      <c r="A229" s="1" t="n"/>
      <c r="B229" s="1" t="n"/>
      <c r="C229" s="1" t="n"/>
      <c r="D229" s="1" t="n"/>
      <c r="E229" s="1" t="n"/>
      <c r="F229" s="1" t="n"/>
    </row>
    <row r="230" ht="15.75" customHeight="1" s="93">
      <c r="A230" s="1" t="n"/>
      <c r="B230" s="1" t="n"/>
      <c r="C230" s="1" t="n"/>
      <c r="D230" s="1" t="n"/>
      <c r="E230" s="1" t="n"/>
      <c r="F230" s="1" t="n"/>
    </row>
    <row r="231" ht="15.75" customHeight="1" s="93">
      <c r="A231" s="1" t="n"/>
      <c r="B231" s="1" t="n"/>
      <c r="C231" s="1" t="n"/>
      <c r="D231" s="1" t="n"/>
      <c r="E231" s="1" t="n"/>
      <c r="F231" s="1" t="n"/>
    </row>
    <row r="232" ht="15.75" customHeight="1" s="93">
      <c r="A232" s="1" t="n"/>
      <c r="B232" s="1" t="n"/>
      <c r="C232" s="1" t="n"/>
      <c r="D232" s="1" t="n"/>
      <c r="E232" s="1" t="n"/>
      <c r="F232" s="1" t="n"/>
    </row>
    <row r="233" ht="15.75" customHeight="1" s="93">
      <c r="A233" s="1" t="n"/>
      <c r="B233" s="1" t="n"/>
      <c r="C233" s="1" t="n"/>
      <c r="D233" s="1" t="n"/>
      <c r="E233" s="1" t="n"/>
      <c r="F233" s="1" t="n"/>
    </row>
    <row r="234" ht="15.75" customHeight="1" s="93">
      <c r="A234" s="1" t="n"/>
      <c r="B234" s="1" t="n"/>
      <c r="C234" s="1" t="n"/>
      <c r="D234" s="1" t="n"/>
      <c r="E234" s="1" t="n"/>
      <c r="F234" s="1" t="n"/>
    </row>
    <row r="235" ht="15.75" customHeight="1" s="93">
      <c r="A235" s="1" t="n"/>
      <c r="B235" s="1" t="n"/>
      <c r="C235" s="1" t="n"/>
      <c r="D235" s="1" t="n"/>
      <c r="E235" s="1" t="n"/>
      <c r="F235" s="1" t="n"/>
    </row>
    <row r="236" ht="15.75" customHeight="1" s="93">
      <c r="A236" s="1" t="n"/>
      <c r="B236" s="1" t="n"/>
      <c r="C236" s="1" t="n"/>
      <c r="D236" s="1" t="n"/>
      <c r="E236" s="1" t="n"/>
      <c r="F236" s="1" t="n"/>
    </row>
    <row r="237" ht="15.75" customHeight="1" s="93">
      <c r="A237" s="1" t="n"/>
      <c r="B237" s="1" t="n"/>
      <c r="C237" s="1" t="n"/>
      <c r="D237" s="1" t="n"/>
      <c r="E237" s="1" t="n"/>
      <c r="F237" s="1" t="n"/>
    </row>
    <row r="238" ht="15.75" customHeight="1" s="93">
      <c r="A238" s="1" t="n"/>
      <c r="B238" s="1" t="n"/>
      <c r="C238" s="1" t="n"/>
      <c r="D238" s="1" t="n"/>
      <c r="E238" s="1" t="n"/>
      <c r="F238" s="1" t="n"/>
    </row>
    <row r="239" ht="15.75" customHeight="1" s="93">
      <c r="A239" s="1" t="n"/>
      <c r="B239" s="1" t="n"/>
      <c r="C239" s="1" t="n"/>
      <c r="D239" s="1" t="n"/>
      <c r="E239" s="1" t="n"/>
      <c r="F239" s="1" t="n"/>
    </row>
    <row r="240" ht="15.75" customHeight="1" s="93">
      <c r="A240" s="1" t="n"/>
      <c r="B240" s="1" t="n"/>
      <c r="C240" s="1" t="n"/>
      <c r="D240" s="1" t="n"/>
      <c r="E240" s="1" t="n"/>
      <c r="F240" s="1" t="n"/>
    </row>
    <row r="241" ht="15.75" customHeight="1" s="93">
      <c r="A241" s="1" t="n"/>
      <c r="B241" s="1" t="n"/>
      <c r="C241" s="1" t="n"/>
      <c r="D241" s="1" t="n"/>
      <c r="E241" s="1" t="n"/>
      <c r="F241" s="1" t="n"/>
    </row>
    <row r="242" ht="15.75" customHeight="1" s="93">
      <c r="A242" s="1" t="n"/>
      <c r="B242" s="1" t="n"/>
      <c r="C242" s="1" t="n"/>
      <c r="D242" s="1" t="n"/>
      <c r="E242" s="1" t="n"/>
      <c r="F242" s="1" t="n"/>
    </row>
    <row r="243" ht="15.75" customHeight="1" s="93">
      <c r="A243" s="1" t="n"/>
      <c r="B243" s="1" t="n"/>
      <c r="C243" s="1" t="n"/>
      <c r="D243" s="1" t="n"/>
      <c r="E243" s="1" t="n"/>
      <c r="F243" s="1" t="n"/>
    </row>
    <row r="244" ht="15.75" customHeight="1" s="93">
      <c r="A244" s="1" t="n"/>
      <c r="B244" s="1" t="n"/>
      <c r="C244" s="1" t="n"/>
      <c r="D244" s="1" t="n"/>
      <c r="E244" s="1" t="n"/>
      <c r="F244" s="1" t="n"/>
    </row>
    <row r="245" ht="15.75" customHeight="1" s="93">
      <c r="A245" s="1" t="n"/>
      <c r="B245" s="1" t="n"/>
      <c r="C245" s="1" t="n"/>
      <c r="D245" s="1" t="n"/>
      <c r="E245" s="1" t="n"/>
      <c r="F245" s="1" t="n"/>
    </row>
    <row r="246" ht="15.75" customHeight="1" s="93">
      <c r="A246" s="1" t="n"/>
      <c r="B246" s="1" t="n"/>
      <c r="C246" s="1" t="n"/>
      <c r="D246" s="1" t="n"/>
      <c r="E246" s="1" t="n"/>
      <c r="F246" s="1" t="n"/>
    </row>
    <row r="247" ht="15.75" customHeight="1" s="93">
      <c r="A247" s="1" t="n"/>
      <c r="B247" s="1" t="n"/>
      <c r="C247" s="1" t="n"/>
      <c r="D247" s="1" t="n"/>
      <c r="E247" s="1" t="n"/>
      <c r="F247" s="1" t="n"/>
    </row>
    <row r="248" ht="15.75" customHeight="1" s="93">
      <c r="A248" s="1" t="n"/>
      <c r="B248" s="1" t="n"/>
      <c r="C248" s="1" t="n"/>
      <c r="D248" s="1" t="n"/>
      <c r="E248" s="1" t="n"/>
      <c r="F248" s="1" t="n"/>
    </row>
    <row r="249" ht="15.75" customHeight="1" s="93">
      <c r="A249" s="1" t="n"/>
      <c r="B249" s="1" t="n"/>
      <c r="C249" s="1" t="n"/>
      <c r="D249" s="1" t="n"/>
      <c r="E249" s="1" t="n"/>
      <c r="F249" s="1" t="n"/>
    </row>
    <row r="250" ht="15.75" customHeight="1" s="93">
      <c r="A250" s="1" t="n"/>
      <c r="B250" s="1" t="n"/>
      <c r="C250" s="1" t="n"/>
      <c r="D250" s="1" t="n"/>
      <c r="E250" s="1" t="n"/>
      <c r="F250" s="1" t="n"/>
    </row>
    <row r="251" ht="15.75" customHeight="1" s="93">
      <c r="A251" s="1" t="n"/>
      <c r="B251" s="1" t="n"/>
      <c r="C251" s="1" t="n"/>
      <c r="D251" s="1" t="n"/>
      <c r="E251" s="1" t="n"/>
      <c r="F251" s="1" t="n"/>
    </row>
    <row r="252" ht="15.75" customHeight="1" s="93">
      <c r="A252" s="1" t="n"/>
      <c r="B252" s="1" t="n"/>
      <c r="C252" s="1" t="n"/>
      <c r="D252" s="1" t="n"/>
      <c r="E252" s="1" t="n"/>
      <c r="F252" s="1" t="n"/>
    </row>
    <row r="253" ht="15.75" customHeight="1" s="93">
      <c r="A253" s="1" t="n"/>
      <c r="B253" s="1" t="n"/>
      <c r="C253" s="1" t="n"/>
      <c r="D253" s="1" t="n"/>
      <c r="E253" s="1" t="n"/>
      <c r="F253" s="1" t="n"/>
    </row>
    <row r="254" ht="15.75" customHeight="1" s="93">
      <c r="A254" s="1" t="n"/>
      <c r="B254" s="1" t="n"/>
      <c r="C254" s="1" t="n"/>
      <c r="D254" s="1" t="n"/>
      <c r="E254" s="1" t="n"/>
      <c r="F254" s="1" t="n"/>
    </row>
    <row r="255" ht="15.75" customHeight="1" s="93">
      <c r="A255" s="1" t="n"/>
      <c r="B255" s="1" t="n"/>
      <c r="C255" s="1" t="n"/>
      <c r="D255" s="1" t="n"/>
      <c r="E255" s="1" t="n"/>
      <c r="F255" s="1" t="n"/>
    </row>
    <row r="256" ht="15.75" customHeight="1" s="93">
      <c r="A256" s="1" t="n"/>
      <c r="B256" s="1" t="n"/>
      <c r="C256" s="1" t="n"/>
      <c r="D256" s="1" t="n"/>
      <c r="E256" s="1" t="n"/>
      <c r="F256" s="1" t="n"/>
    </row>
    <row r="257" ht="15.75" customHeight="1" s="93">
      <c r="A257" s="1" t="n"/>
      <c r="B257" s="1" t="n"/>
      <c r="C257" s="1" t="n"/>
      <c r="D257" s="1" t="n"/>
      <c r="E257" s="1" t="n"/>
      <c r="F257" s="1" t="n"/>
    </row>
    <row r="258" ht="15.75" customHeight="1" s="93">
      <c r="A258" s="1" t="n"/>
      <c r="B258" s="1" t="n"/>
      <c r="C258" s="1" t="n"/>
      <c r="D258" s="1" t="n"/>
      <c r="E258" s="1" t="n"/>
      <c r="F258" s="1" t="n"/>
    </row>
    <row r="259" ht="15.75" customHeight="1" s="93">
      <c r="A259" s="1" t="n"/>
      <c r="B259" s="1" t="n"/>
      <c r="C259" s="1" t="n"/>
      <c r="D259" s="1" t="n"/>
      <c r="E259" s="1" t="n"/>
      <c r="F259" s="1" t="n"/>
    </row>
    <row r="260" ht="15.75" customHeight="1" s="93">
      <c r="A260" s="1" t="n"/>
      <c r="B260" s="1" t="n"/>
      <c r="C260" s="1" t="n"/>
      <c r="D260" s="1" t="n"/>
      <c r="E260" s="1" t="n"/>
      <c r="F260" s="1" t="n"/>
    </row>
    <row r="261" ht="15.75" customHeight="1" s="93">
      <c r="A261" s="1" t="n"/>
      <c r="B261" s="1" t="n"/>
      <c r="C261" s="1" t="n"/>
      <c r="D261" s="1" t="n"/>
      <c r="E261" s="1" t="n"/>
      <c r="F261" s="1" t="n"/>
    </row>
    <row r="262" ht="15.75" customHeight="1" s="93">
      <c r="A262" s="1" t="n"/>
      <c r="B262" s="1" t="n"/>
      <c r="C262" s="1" t="n"/>
      <c r="D262" s="1" t="n"/>
      <c r="E262" s="1" t="n"/>
      <c r="F262" s="1" t="n"/>
    </row>
    <row r="263" ht="15.75" customHeight="1" s="93">
      <c r="A263" s="1" t="n"/>
      <c r="B263" s="1" t="n"/>
      <c r="C263" s="1" t="n"/>
      <c r="D263" s="1" t="n"/>
      <c r="E263" s="1" t="n"/>
      <c r="F263" s="1" t="n"/>
    </row>
    <row r="264" ht="15.75" customHeight="1" s="93">
      <c r="A264" s="1" t="n"/>
      <c r="B264" s="1" t="n"/>
      <c r="C264" s="1" t="n"/>
      <c r="D264" s="1" t="n"/>
      <c r="E264" s="1" t="n"/>
      <c r="F264" s="1" t="n"/>
    </row>
    <row r="265" ht="15.75" customHeight="1" s="93">
      <c r="A265" s="1" t="n"/>
      <c r="B265" s="1" t="n"/>
      <c r="C265" s="1" t="n"/>
      <c r="D265" s="1" t="n"/>
      <c r="E265" s="1" t="n"/>
      <c r="F265" s="1" t="n"/>
    </row>
    <row r="266" ht="15.75" customHeight="1" s="93">
      <c r="A266" s="1" t="n"/>
      <c r="B266" s="1" t="n"/>
      <c r="C266" s="1" t="n"/>
      <c r="D266" s="1" t="n"/>
      <c r="E266" s="1" t="n"/>
      <c r="F266" s="1" t="n"/>
    </row>
    <row r="267" ht="15.75" customHeight="1" s="93">
      <c r="A267" s="1" t="n"/>
      <c r="B267" s="1" t="n"/>
      <c r="C267" s="1" t="n"/>
      <c r="D267" s="1" t="n"/>
      <c r="E267" s="1" t="n"/>
      <c r="F267" s="1" t="n"/>
    </row>
    <row r="268" ht="15.75" customHeight="1" s="93">
      <c r="A268" s="1" t="n"/>
      <c r="B268" s="1" t="n"/>
      <c r="C268" s="1" t="n"/>
      <c r="D268" s="1" t="n"/>
      <c r="E268" s="1" t="n"/>
      <c r="F268" s="1" t="n"/>
    </row>
    <row r="269" ht="15.75" customHeight="1" s="93">
      <c r="A269" s="1" t="n"/>
      <c r="B269" s="1" t="n"/>
      <c r="C269" s="1" t="n"/>
      <c r="D269" s="1" t="n"/>
      <c r="E269" s="1" t="n"/>
      <c r="F269" s="1" t="n"/>
    </row>
    <row r="270" ht="15.75" customHeight="1" s="93">
      <c r="A270" s="1" t="n"/>
      <c r="B270" s="1" t="n"/>
      <c r="C270" s="1" t="n"/>
      <c r="D270" s="1" t="n"/>
      <c r="E270" s="1" t="n"/>
      <c r="F270" s="1" t="n"/>
    </row>
    <row r="271" ht="15.75" customHeight="1" s="93">
      <c r="A271" s="1" t="n"/>
      <c r="B271" s="1" t="n"/>
      <c r="C271" s="1" t="n"/>
      <c r="D271" s="1" t="n"/>
      <c r="E271" s="1" t="n"/>
      <c r="F271" s="1" t="n"/>
    </row>
    <row r="272" ht="15.75" customHeight="1" s="93">
      <c r="A272" s="1" t="n"/>
      <c r="B272" s="1" t="n"/>
      <c r="C272" s="1" t="n"/>
      <c r="D272" s="1" t="n"/>
      <c r="E272" s="1" t="n"/>
      <c r="F272" s="1" t="n"/>
    </row>
    <row r="273" ht="15.75" customHeight="1" s="93">
      <c r="A273" s="1" t="n"/>
      <c r="B273" s="1" t="n"/>
      <c r="C273" s="1" t="n"/>
      <c r="D273" s="1" t="n"/>
      <c r="E273" s="1" t="n"/>
      <c r="F273" s="1" t="n"/>
    </row>
    <row r="274" ht="15.75" customHeight="1" s="93">
      <c r="A274" s="1" t="n"/>
      <c r="B274" s="1" t="n"/>
      <c r="C274" s="1" t="n"/>
      <c r="D274" s="1" t="n"/>
      <c r="E274" s="1" t="n"/>
      <c r="F274" s="1" t="n"/>
    </row>
    <row r="275" ht="15.75" customHeight="1" s="93">
      <c r="A275" s="1" t="n"/>
      <c r="B275" s="1" t="n"/>
      <c r="C275" s="1" t="n"/>
      <c r="D275" s="1" t="n"/>
      <c r="E275" s="1" t="n"/>
      <c r="F275" s="1" t="n"/>
    </row>
    <row r="276" ht="15.75" customHeight="1" s="93">
      <c r="A276" s="1" t="n"/>
      <c r="B276" s="1" t="n"/>
      <c r="C276" s="1" t="n"/>
      <c r="D276" s="1" t="n"/>
      <c r="E276" s="1" t="n"/>
      <c r="F276" s="1" t="n"/>
    </row>
    <row r="277" ht="15.75" customHeight="1" s="93">
      <c r="A277" s="1" t="n"/>
      <c r="B277" s="1" t="n"/>
      <c r="C277" s="1" t="n"/>
      <c r="D277" s="1" t="n"/>
      <c r="E277" s="1" t="n"/>
      <c r="F277" s="1" t="n"/>
    </row>
    <row r="278" ht="15.75" customHeight="1" s="93">
      <c r="A278" s="1" t="n"/>
      <c r="B278" s="1" t="n"/>
      <c r="C278" s="1" t="n"/>
      <c r="D278" s="1" t="n"/>
      <c r="E278" s="1" t="n"/>
      <c r="F278" s="1" t="n"/>
    </row>
    <row r="279" ht="15.75" customHeight="1" s="93">
      <c r="A279" s="1" t="n"/>
      <c r="B279" s="1" t="n"/>
      <c r="C279" s="1" t="n"/>
      <c r="D279" s="1" t="n"/>
      <c r="E279" s="1" t="n"/>
      <c r="F279" s="1" t="n"/>
    </row>
    <row r="280" ht="15.75" customHeight="1" s="93">
      <c r="A280" s="1" t="n"/>
      <c r="B280" s="1" t="n"/>
      <c r="C280" s="1" t="n"/>
      <c r="D280" s="1" t="n"/>
      <c r="E280" s="1" t="n"/>
      <c r="F280" s="1" t="n"/>
    </row>
    <row r="281" ht="15.75" customHeight="1" s="93">
      <c r="A281" s="1" t="n"/>
      <c r="B281" s="1" t="n"/>
      <c r="C281" s="1" t="n"/>
      <c r="D281" s="1" t="n"/>
      <c r="E281" s="1" t="n"/>
      <c r="F281" s="1" t="n"/>
    </row>
    <row r="282" ht="15.75" customHeight="1" s="93">
      <c r="A282" s="1" t="n"/>
      <c r="B282" s="1" t="n"/>
      <c r="C282" s="1" t="n"/>
      <c r="D282" s="1" t="n"/>
      <c r="E282" s="1" t="n"/>
      <c r="F282" s="1" t="n"/>
    </row>
    <row r="283" ht="15.75" customHeight="1" s="93">
      <c r="A283" s="1" t="n"/>
      <c r="B283" s="1" t="n"/>
      <c r="C283" s="1" t="n"/>
      <c r="D283" s="1" t="n"/>
      <c r="E283" s="1" t="n"/>
      <c r="F283" s="1" t="n"/>
    </row>
    <row r="284" ht="15.75" customHeight="1" s="93">
      <c r="A284" s="1" t="n"/>
      <c r="B284" s="1" t="n"/>
      <c r="C284" s="1" t="n"/>
      <c r="D284" s="1" t="n"/>
      <c r="E284" s="1" t="n"/>
      <c r="F284" s="1" t="n"/>
    </row>
    <row r="285" ht="15.75" customHeight="1" s="93">
      <c r="A285" s="1" t="n"/>
      <c r="B285" s="1" t="n"/>
      <c r="C285" s="1" t="n"/>
      <c r="D285" s="1" t="n"/>
      <c r="E285" s="1" t="n"/>
      <c r="F285" s="1" t="n"/>
    </row>
    <row r="286" ht="15.75" customHeight="1" s="93">
      <c r="A286" s="1" t="n"/>
      <c r="B286" s="1" t="n"/>
      <c r="C286" s="1" t="n"/>
      <c r="D286" s="1" t="n"/>
      <c r="E286" s="1" t="n"/>
      <c r="F286" s="1" t="n"/>
    </row>
    <row r="287" ht="15.75" customHeight="1" s="93">
      <c r="A287" s="1" t="n"/>
      <c r="B287" s="1" t="n"/>
      <c r="C287" s="1" t="n"/>
      <c r="D287" s="1" t="n"/>
      <c r="E287" s="1" t="n"/>
      <c r="F287" s="1" t="n"/>
    </row>
    <row r="288" ht="15.75" customHeight="1" s="93">
      <c r="A288" s="1" t="n"/>
      <c r="B288" s="1" t="n"/>
      <c r="C288" s="1" t="n"/>
      <c r="D288" s="1" t="n"/>
      <c r="E288" s="1" t="n"/>
      <c r="F288" s="1" t="n"/>
    </row>
    <row r="289" ht="15.75" customHeight="1" s="93">
      <c r="A289" s="1" t="n"/>
      <c r="B289" s="1" t="n"/>
      <c r="C289" s="1" t="n"/>
      <c r="D289" s="1" t="n"/>
      <c r="E289" s="1" t="n"/>
      <c r="F289" s="1" t="n"/>
    </row>
    <row r="290" ht="15.75" customHeight="1" s="93">
      <c r="A290" s="1" t="n"/>
      <c r="B290" s="1" t="n"/>
      <c r="C290" s="1" t="n"/>
      <c r="D290" s="1" t="n"/>
      <c r="E290" s="1" t="n"/>
      <c r="F290" s="1" t="n"/>
    </row>
    <row r="291" ht="15.75" customHeight="1" s="93">
      <c r="A291" s="1" t="n"/>
      <c r="B291" s="1" t="n"/>
      <c r="C291" s="1" t="n"/>
      <c r="D291" s="1" t="n"/>
      <c r="E291" s="1" t="n"/>
      <c r="F291" s="1" t="n"/>
    </row>
    <row r="292" ht="15.75" customHeight="1" s="93">
      <c r="A292" s="1" t="n"/>
      <c r="B292" s="1" t="n"/>
      <c r="C292" s="1" t="n"/>
      <c r="D292" s="1" t="n"/>
      <c r="E292" s="1" t="n"/>
      <c r="F292" s="1" t="n"/>
    </row>
    <row r="293" ht="15.75" customHeight="1" s="93">
      <c r="A293" s="1" t="n"/>
      <c r="B293" s="1" t="n"/>
      <c r="C293" s="1" t="n"/>
      <c r="D293" s="1" t="n"/>
      <c r="E293" s="1" t="n"/>
      <c r="F293" s="1" t="n"/>
    </row>
    <row r="294" ht="15.75" customHeight="1" s="93">
      <c r="A294" s="1" t="n"/>
      <c r="B294" s="1" t="n"/>
      <c r="C294" s="1" t="n"/>
      <c r="D294" s="1" t="n"/>
      <c r="E294" s="1" t="n"/>
      <c r="F294" s="1" t="n"/>
    </row>
    <row r="295" ht="15.75" customHeight="1" s="93">
      <c r="A295" s="1" t="n"/>
      <c r="B295" s="1" t="n"/>
      <c r="C295" s="1" t="n"/>
      <c r="D295" s="1" t="n"/>
      <c r="E295" s="1" t="n"/>
      <c r="F295" s="1" t="n"/>
    </row>
    <row r="296" ht="15.75" customHeight="1" s="93">
      <c r="A296" s="1" t="n"/>
      <c r="B296" s="1" t="n"/>
      <c r="C296" s="1" t="n"/>
      <c r="D296" s="1" t="n"/>
      <c r="E296" s="1" t="n"/>
      <c r="F296" s="1" t="n"/>
    </row>
    <row r="297" ht="15.75" customHeight="1" s="93">
      <c r="A297" s="1" t="n"/>
      <c r="B297" s="1" t="n"/>
      <c r="C297" s="1" t="n"/>
      <c r="D297" s="1" t="n"/>
      <c r="E297" s="1" t="n"/>
      <c r="F297" s="1" t="n"/>
    </row>
    <row r="298" ht="15.75" customHeight="1" s="93">
      <c r="A298" s="1" t="n"/>
      <c r="B298" s="1" t="n"/>
      <c r="C298" s="1" t="n"/>
      <c r="D298" s="1" t="n"/>
      <c r="E298" s="1" t="n"/>
      <c r="F298" s="1" t="n"/>
    </row>
    <row r="299" ht="15.75" customHeight="1" s="93">
      <c r="A299" s="1" t="n"/>
      <c r="B299" s="1" t="n"/>
      <c r="C299" s="1" t="n"/>
      <c r="D299" s="1" t="n"/>
      <c r="E299" s="1" t="n"/>
      <c r="F299" s="1" t="n"/>
    </row>
    <row r="300" ht="15.75" customHeight="1" s="93">
      <c r="A300" s="1" t="n"/>
      <c r="B300" s="1" t="n"/>
      <c r="C300" s="1" t="n"/>
      <c r="D300" s="1" t="n"/>
      <c r="E300" s="1" t="n"/>
      <c r="F300" s="1" t="n"/>
    </row>
    <row r="301" ht="15.75" customHeight="1" s="93">
      <c r="A301" s="1" t="n"/>
      <c r="B301" s="1" t="n"/>
      <c r="C301" s="1" t="n"/>
      <c r="D301" s="1" t="n"/>
      <c r="E301" s="1" t="n"/>
      <c r="F301" s="1" t="n"/>
    </row>
    <row r="302" ht="15.75" customHeight="1" s="93">
      <c r="A302" s="1" t="n"/>
      <c r="B302" s="1" t="n"/>
      <c r="C302" s="1" t="n"/>
      <c r="D302" s="1" t="n"/>
      <c r="E302" s="1" t="n"/>
      <c r="F302" s="1" t="n"/>
    </row>
    <row r="303" ht="15.75" customHeight="1" s="93">
      <c r="A303" s="1" t="n"/>
      <c r="B303" s="1" t="n"/>
      <c r="C303" s="1" t="n"/>
      <c r="D303" s="1" t="n"/>
      <c r="E303" s="1" t="n"/>
      <c r="F303" s="1" t="n"/>
    </row>
    <row r="304" ht="15.75" customHeight="1" s="93">
      <c r="A304" s="1" t="n"/>
      <c r="B304" s="1" t="n"/>
      <c r="C304" s="1" t="n"/>
      <c r="D304" s="1" t="n"/>
      <c r="E304" s="1" t="n"/>
      <c r="F304" s="1" t="n"/>
    </row>
    <row r="305" ht="15.75" customHeight="1" s="93">
      <c r="A305" s="1" t="n"/>
      <c r="B305" s="1" t="n"/>
      <c r="C305" s="1" t="n"/>
      <c r="D305" s="1" t="n"/>
      <c r="E305" s="1" t="n"/>
      <c r="F305" s="1" t="n"/>
    </row>
    <row r="306" ht="15.75" customHeight="1" s="93">
      <c r="A306" s="1" t="n"/>
      <c r="B306" s="1" t="n"/>
      <c r="C306" s="1" t="n"/>
      <c r="D306" s="1" t="n"/>
      <c r="E306" s="1" t="n"/>
      <c r="F306" s="1" t="n"/>
    </row>
    <row r="307" ht="15.75" customHeight="1" s="93">
      <c r="A307" s="1" t="n"/>
      <c r="B307" s="1" t="n"/>
      <c r="C307" s="1" t="n"/>
      <c r="D307" s="1" t="n"/>
      <c r="E307" s="1" t="n"/>
      <c r="F307" s="1" t="n"/>
    </row>
    <row r="308" ht="15.75" customHeight="1" s="93">
      <c r="A308" s="1" t="n"/>
      <c r="B308" s="1" t="n"/>
      <c r="C308" s="1" t="n"/>
      <c r="D308" s="1" t="n"/>
      <c r="E308" s="1" t="n"/>
      <c r="F308" s="1" t="n"/>
    </row>
    <row r="309" ht="15.75" customHeight="1" s="93">
      <c r="A309" s="1" t="n"/>
      <c r="B309" s="1" t="n"/>
      <c r="C309" s="1" t="n"/>
      <c r="D309" s="1" t="n"/>
      <c r="E309" s="1" t="n"/>
      <c r="F309" s="1" t="n"/>
    </row>
    <row r="310" ht="15.75" customHeight="1" s="93">
      <c r="A310" s="1" t="n"/>
      <c r="B310" s="1" t="n"/>
      <c r="C310" s="1" t="n"/>
      <c r="D310" s="1" t="n"/>
      <c r="E310" s="1" t="n"/>
      <c r="F310" s="1" t="n"/>
    </row>
    <row r="311" ht="15.75" customHeight="1" s="93">
      <c r="A311" s="1" t="n"/>
      <c r="B311" s="1" t="n"/>
      <c r="C311" s="1" t="n"/>
      <c r="D311" s="1" t="n"/>
      <c r="E311" s="1" t="n"/>
      <c r="F311" s="1" t="n"/>
    </row>
    <row r="312" ht="15.75" customHeight="1" s="93">
      <c r="A312" s="1" t="n"/>
      <c r="B312" s="1" t="n"/>
      <c r="C312" s="1" t="n"/>
      <c r="D312" s="1" t="n"/>
      <c r="E312" s="1" t="n"/>
      <c r="F312" s="1" t="n"/>
    </row>
    <row r="313" ht="15.75" customHeight="1" s="93">
      <c r="A313" s="1" t="n"/>
      <c r="B313" s="1" t="n"/>
      <c r="C313" s="1" t="n"/>
      <c r="D313" s="1" t="n"/>
      <c r="E313" s="1" t="n"/>
      <c r="F313" s="1" t="n"/>
    </row>
    <row r="314" ht="15.75" customHeight="1" s="93">
      <c r="A314" s="1" t="n"/>
      <c r="B314" s="1" t="n"/>
      <c r="C314" s="1" t="n"/>
      <c r="D314" s="1" t="n"/>
      <c r="E314" s="1" t="n"/>
      <c r="F314" s="1" t="n"/>
    </row>
    <row r="315" ht="15.75" customHeight="1" s="93">
      <c r="A315" s="1" t="n"/>
      <c r="B315" s="1" t="n"/>
      <c r="C315" s="1" t="n"/>
      <c r="D315" s="1" t="n"/>
      <c r="E315" s="1" t="n"/>
      <c r="F315" s="1" t="n"/>
    </row>
    <row r="316" ht="15.75" customHeight="1" s="93">
      <c r="A316" s="1" t="n"/>
      <c r="B316" s="1" t="n"/>
      <c r="C316" s="1" t="n"/>
      <c r="D316" s="1" t="n"/>
      <c r="E316" s="1" t="n"/>
      <c r="F316" s="1" t="n"/>
    </row>
    <row r="317" ht="15.75" customHeight="1" s="93">
      <c r="A317" s="1" t="n"/>
      <c r="B317" s="1" t="n"/>
      <c r="C317" s="1" t="n"/>
      <c r="D317" s="1" t="n"/>
      <c r="E317" s="1" t="n"/>
      <c r="F317" s="1" t="n"/>
    </row>
    <row r="318" ht="15.75" customHeight="1" s="93">
      <c r="A318" s="1" t="n"/>
      <c r="B318" s="1" t="n"/>
      <c r="C318" s="1" t="n"/>
      <c r="D318" s="1" t="n"/>
      <c r="E318" s="1" t="n"/>
      <c r="F318" s="1" t="n"/>
    </row>
    <row r="319" ht="15.75" customHeight="1" s="93">
      <c r="A319" s="1" t="n"/>
      <c r="B319" s="1" t="n"/>
      <c r="C319" s="1" t="n"/>
      <c r="D319" s="1" t="n"/>
      <c r="E319" s="1" t="n"/>
      <c r="F319" s="1" t="n"/>
    </row>
    <row r="320" ht="15.75" customHeight="1" s="93">
      <c r="A320" s="1" t="n"/>
      <c r="B320" s="1" t="n"/>
      <c r="C320" s="1" t="n"/>
      <c r="D320" s="1" t="n"/>
      <c r="E320" s="1" t="n"/>
      <c r="F320" s="1" t="n"/>
    </row>
    <row r="321" ht="15.75" customHeight="1" s="93">
      <c r="A321" s="1" t="n"/>
      <c r="B321" s="1" t="n"/>
      <c r="C321" s="1" t="n"/>
      <c r="D321" s="1" t="n"/>
      <c r="E321" s="1" t="n"/>
      <c r="F321" s="1" t="n"/>
    </row>
    <row r="322" ht="15.75" customHeight="1" s="93">
      <c r="A322" s="1" t="n"/>
      <c r="B322" s="1" t="n"/>
      <c r="C322" s="1" t="n"/>
      <c r="D322" s="1" t="n"/>
      <c r="E322" s="1" t="n"/>
      <c r="F322" s="1" t="n"/>
    </row>
    <row r="323" ht="15.75" customHeight="1" s="93">
      <c r="A323" s="1" t="n"/>
      <c r="B323" s="1" t="n"/>
      <c r="C323" s="1" t="n"/>
      <c r="D323" s="1" t="n"/>
      <c r="E323" s="1" t="n"/>
      <c r="F323" s="1" t="n"/>
    </row>
    <row r="324" ht="15.75" customHeight="1" s="93">
      <c r="A324" s="1" t="n"/>
      <c r="B324" s="1" t="n"/>
      <c r="C324" s="1" t="n"/>
      <c r="D324" s="1" t="n"/>
      <c r="E324" s="1" t="n"/>
      <c r="F324" s="1" t="n"/>
    </row>
    <row r="325" ht="15.75" customHeight="1" s="93">
      <c r="A325" s="1" t="n"/>
      <c r="B325" s="1" t="n"/>
      <c r="C325" s="1" t="n"/>
      <c r="D325" s="1" t="n"/>
      <c r="E325" s="1" t="n"/>
      <c r="F325" s="1" t="n"/>
    </row>
    <row r="326" ht="15.75" customHeight="1" s="93">
      <c r="A326" s="1" t="n"/>
      <c r="B326" s="1" t="n"/>
      <c r="C326" s="1" t="n"/>
      <c r="D326" s="1" t="n"/>
      <c r="E326" s="1" t="n"/>
      <c r="F326" s="1" t="n"/>
    </row>
    <row r="327" ht="15.75" customHeight="1" s="93">
      <c r="A327" s="1" t="n"/>
      <c r="B327" s="1" t="n"/>
      <c r="C327" s="1" t="n"/>
      <c r="D327" s="1" t="n"/>
      <c r="E327" s="1" t="n"/>
      <c r="F327" s="1" t="n"/>
    </row>
    <row r="328" ht="15.75" customHeight="1" s="93">
      <c r="A328" s="1" t="n"/>
      <c r="B328" s="1" t="n"/>
      <c r="C328" s="1" t="n"/>
      <c r="D328" s="1" t="n"/>
      <c r="E328" s="1" t="n"/>
      <c r="F328" s="1" t="n"/>
    </row>
    <row r="329" ht="15.75" customHeight="1" s="93">
      <c r="A329" s="1" t="n"/>
      <c r="B329" s="1" t="n"/>
      <c r="C329" s="1" t="n"/>
      <c r="D329" s="1" t="n"/>
      <c r="E329" s="1" t="n"/>
      <c r="F329" s="1" t="n"/>
    </row>
    <row r="330" ht="15.75" customHeight="1" s="93">
      <c r="A330" s="1" t="n"/>
      <c r="B330" s="1" t="n"/>
      <c r="C330" s="1" t="n"/>
      <c r="D330" s="1" t="n"/>
      <c r="E330" s="1" t="n"/>
      <c r="F330" s="1" t="n"/>
    </row>
    <row r="331" ht="15.75" customHeight="1" s="93">
      <c r="A331" s="1" t="n"/>
      <c r="B331" s="1" t="n"/>
      <c r="C331" s="1" t="n"/>
      <c r="D331" s="1" t="n"/>
      <c r="E331" s="1" t="n"/>
      <c r="F331" s="1" t="n"/>
    </row>
    <row r="332" ht="15.75" customHeight="1" s="93">
      <c r="A332" s="1" t="n"/>
      <c r="B332" s="1" t="n"/>
      <c r="C332" s="1" t="n"/>
      <c r="D332" s="1" t="n"/>
      <c r="E332" s="1" t="n"/>
      <c r="F332" s="1" t="n"/>
    </row>
    <row r="333" ht="15.75" customHeight="1" s="93">
      <c r="A333" s="1" t="n"/>
      <c r="B333" s="1" t="n"/>
      <c r="C333" s="1" t="n"/>
      <c r="D333" s="1" t="n"/>
      <c r="E333" s="1" t="n"/>
      <c r="F333" s="1" t="n"/>
    </row>
    <row r="334" ht="15.75" customHeight="1" s="93">
      <c r="A334" s="1" t="n"/>
      <c r="B334" s="1" t="n"/>
      <c r="C334" s="1" t="n"/>
      <c r="D334" s="1" t="n"/>
      <c r="E334" s="1" t="n"/>
      <c r="F334" s="1" t="n"/>
    </row>
    <row r="335" ht="15.75" customHeight="1" s="93">
      <c r="A335" s="1" t="n"/>
      <c r="B335" s="1" t="n"/>
      <c r="C335" s="1" t="n"/>
      <c r="D335" s="1" t="n"/>
      <c r="E335" s="1" t="n"/>
      <c r="F335" s="1" t="n"/>
    </row>
    <row r="336" ht="15.75" customHeight="1" s="93">
      <c r="A336" s="1" t="n"/>
      <c r="B336" s="1" t="n"/>
      <c r="C336" s="1" t="n"/>
      <c r="D336" s="1" t="n"/>
      <c r="E336" s="1" t="n"/>
      <c r="F336" s="1" t="n"/>
    </row>
    <row r="337" ht="15.75" customHeight="1" s="93">
      <c r="A337" s="1" t="n"/>
      <c r="B337" s="1" t="n"/>
      <c r="C337" s="1" t="n"/>
      <c r="D337" s="1" t="n"/>
      <c r="E337" s="1" t="n"/>
      <c r="F337" s="1" t="n"/>
    </row>
    <row r="338" ht="15.75" customHeight="1" s="93">
      <c r="A338" s="1" t="n"/>
      <c r="B338" s="1" t="n"/>
      <c r="C338" s="1" t="n"/>
      <c r="D338" s="1" t="n"/>
      <c r="E338" s="1" t="n"/>
      <c r="F338" s="1" t="n"/>
    </row>
    <row r="339" ht="15.75" customHeight="1" s="93">
      <c r="A339" s="1" t="n"/>
      <c r="B339" s="1" t="n"/>
      <c r="C339" s="1" t="n"/>
      <c r="D339" s="1" t="n"/>
      <c r="E339" s="1" t="n"/>
      <c r="F339" s="1" t="n"/>
    </row>
    <row r="340" ht="15.75" customHeight="1" s="93">
      <c r="A340" s="1" t="n"/>
      <c r="B340" s="1" t="n"/>
      <c r="C340" s="1" t="n"/>
      <c r="D340" s="1" t="n"/>
      <c r="E340" s="1" t="n"/>
      <c r="F340" s="1" t="n"/>
    </row>
    <row r="341" ht="15.75" customHeight="1" s="93">
      <c r="A341" s="1" t="n"/>
      <c r="B341" s="1" t="n"/>
      <c r="C341" s="1" t="n"/>
      <c r="D341" s="1" t="n"/>
      <c r="E341" s="1" t="n"/>
      <c r="F341" s="1" t="n"/>
    </row>
    <row r="342" ht="15.75" customHeight="1" s="93">
      <c r="A342" s="1" t="n"/>
      <c r="B342" s="1" t="n"/>
      <c r="C342" s="1" t="n"/>
      <c r="D342" s="1" t="n"/>
      <c r="E342" s="1" t="n"/>
      <c r="F342" s="1" t="n"/>
    </row>
    <row r="343" ht="15.75" customHeight="1" s="93">
      <c r="A343" s="1" t="n"/>
      <c r="B343" s="1" t="n"/>
      <c r="C343" s="1" t="n"/>
      <c r="D343" s="1" t="n"/>
      <c r="E343" s="1" t="n"/>
      <c r="F343" s="1" t="n"/>
    </row>
    <row r="344" ht="15.75" customHeight="1" s="93">
      <c r="A344" s="1" t="n"/>
      <c r="B344" s="1" t="n"/>
      <c r="C344" s="1" t="n"/>
      <c r="D344" s="1" t="n"/>
      <c r="E344" s="1" t="n"/>
      <c r="F344" s="1" t="n"/>
    </row>
    <row r="345" ht="15.75" customHeight="1" s="93">
      <c r="A345" s="1" t="n"/>
      <c r="B345" s="1" t="n"/>
      <c r="C345" s="1" t="n"/>
      <c r="D345" s="1" t="n"/>
      <c r="E345" s="1" t="n"/>
      <c r="F345" s="1" t="n"/>
    </row>
    <row r="346" ht="15.75" customHeight="1" s="93">
      <c r="A346" s="1" t="n"/>
      <c r="B346" s="1" t="n"/>
      <c r="C346" s="1" t="n"/>
      <c r="D346" s="1" t="n"/>
      <c r="E346" s="1" t="n"/>
      <c r="F346" s="1" t="n"/>
    </row>
    <row r="347" ht="15.75" customHeight="1" s="93">
      <c r="A347" s="1" t="n"/>
      <c r="B347" s="1" t="n"/>
      <c r="C347" s="1" t="n"/>
      <c r="D347" s="1" t="n"/>
      <c r="E347" s="1" t="n"/>
      <c r="F347" s="1" t="n"/>
    </row>
    <row r="348" ht="15.75" customHeight="1" s="93">
      <c r="A348" s="1" t="n"/>
      <c r="B348" s="1" t="n"/>
      <c r="C348" s="1" t="n"/>
      <c r="D348" s="1" t="n"/>
      <c r="E348" s="1" t="n"/>
      <c r="F348" s="1" t="n"/>
    </row>
    <row r="349" ht="15.75" customHeight="1" s="93">
      <c r="A349" s="1" t="n"/>
      <c r="B349" s="1" t="n"/>
      <c r="C349" s="1" t="n"/>
      <c r="D349" s="1" t="n"/>
      <c r="E349" s="1" t="n"/>
      <c r="F349" s="1" t="n"/>
    </row>
    <row r="350" ht="15.75" customHeight="1" s="93">
      <c r="A350" s="1" t="n"/>
      <c r="B350" s="1" t="n"/>
      <c r="C350" s="1" t="n"/>
      <c r="D350" s="1" t="n"/>
      <c r="E350" s="1" t="n"/>
      <c r="F350" s="1" t="n"/>
    </row>
    <row r="351" ht="15.75" customHeight="1" s="93">
      <c r="A351" s="1" t="n"/>
      <c r="B351" s="1" t="n"/>
      <c r="C351" s="1" t="n"/>
      <c r="D351" s="1" t="n"/>
      <c r="E351" s="1" t="n"/>
      <c r="F351" s="1" t="n"/>
    </row>
    <row r="352" ht="15.75" customHeight="1" s="93">
      <c r="A352" s="1" t="n"/>
      <c r="B352" s="1" t="n"/>
      <c r="C352" s="1" t="n"/>
      <c r="D352" s="1" t="n"/>
      <c r="E352" s="1" t="n"/>
      <c r="F352" s="1" t="n"/>
    </row>
    <row r="353" ht="15.75" customHeight="1" s="93">
      <c r="A353" s="1" t="n"/>
      <c r="B353" s="1" t="n"/>
      <c r="C353" s="1" t="n"/>
      <c r="D353" s="1" t="n"/>
      <c r="E353" s="1" t="n"/>
      <c r="F353" s="1" t="n"/>
    </row>
    <row r="354" ht="15.75" customHeight="1" s="93">
      <c r="A354" s="1" t="n"/>
      <c r="B354" s="1" t="n"/>
      <c r="C354" s="1" t="n"/>
      <c r="D354" s="1" t="n"/>
      <c r="E354" s="1" t="n"/>
      <c r="F354" s="1" t="n"/>
    </row>
    <row r="355" ht="15.75" customHeight="1" s="93">
      <c r="A355" s="1" t="n"/>
      <c r="B355" s="1" t="n"/>
      <c r="C355" s="1" t="n"/>
      <c r="D355" s="1" t="n"/>
      <c r="E355" s="1" t="n"/>
      <c r="F355" s="1" t="n"/>
    </row>
    <row r="356" ht="15.75" customHeight="1" s="93">
      <c r="A356" s="1" t="n"/>
      <c r="B356" s="1" t="n"/>
      <c r="C356" s="1" t="n"/>
      <c r="D356" s="1" t="n"/>
      <c r="E356" s="1" t="n"/>
      <c r="F356" s="1" t="n"/>
    </row>
    <row r="357" ht="15.75" customHeight="1" s="93">
      <c r="A357" s="1" t="n"/>
      <c r="B357" s="1" t="n"/>
      <c r="C357" s="1" t="n"/>
      <c r="D357" s="1" t="n"/>
      <c r="E357" s="1" t="n"/>
      <c r="F357" s="1" t="n"/>
    </row>
    <row r="358" ht="15.75" customHeight="1" s="93">
      <c r="A358" s="1" t="n"/>
      <c r="B358" s="1" t="n"/>
      <c r="C358" s="1" t="n"/>
      <c r="D358" s="1" t="n"/>
      <c r="E358" s="1" t="n"/>
      <c r="F358" s="1" t="n"/>
    </row>
    <row r="359" ht="15.75" customHeight="1" s="93">
      <c r="A359" s="1" t="n"/>
      <c r="B359" s="1" t="n"/>
      <c r="C359" s="1" t="n"/>
      <c r="D359" s="1" t="n"/>
      <c r="E359" s="1" t="n"/>
      <c r="F359" s="1" t="n"/>
    </row>
    <row r="360" ht="15.75" customHeight="1" s="93">
      <c r="A360" s="1" t="n"/>
      <c r="B360" s="1" t="n"/>
      <c r="C360" s="1" t="n"/>
      <c r="D360" s="1" t="n"/>
      <c r="E360" s="1" t="n"/>
      <c r="F360" s="1" t="n"/>
    </row>
    <row r="361" ht="15.75" customHeight="1" s="93">
      <c r="A361" s="1" t="n"/>
      <c r="B361" s="1" t="n"/>
      <c r="C361" s="1" t="n"/>
      <c r="D361" s="1" t="n"/>
      <c r="E361" s="1" t="n"/>
      <c r="F361" s="1" t="n"/>
    </row>
    <row r="362" ht="15.75" customHeight="1" s="93">
      <c r="A362" s="1" t="n"/>
      <c r="B362" s="1" t="n"/>
      <c r="C362" s="1" t="n"/>
      <c r="D362" s="1" t="n"/>
      <c r="E362" s="1" t="n"/>
      <c r="F362" s="1" t="n"/>
    </row>
    <row r="363" ht="15.75" customHeight="1" s="93">
      <c r="A363" s="1" t="n"/>
      <c r="B363" s="1" t="n"/>
      <c r="C363" s="1" t="n"/>
      <c r="D363" s="1" t="n"/>
      <c r="E363" s="1" t="n"/>
      <c r="F363" s="1" t="n"/>
    </row>
    <row r="364" ht="15.75" customHeight="1" s="93">
      <c r="A364" s="1" t="n"/>
      <c r="B364" s="1" t="n"/>
      <c r="C364" s="1" t="n"/>
      <c r="D364" s="1" t="n"/>
      <c r="E364" s="1" t="n"/>
      <c r="F364" s="1" t="n"/>
    </row>
    <row r="365" ht="15.75" customHeight="1" s="93">
      <c r="A365" s="1" t="n"/>
      <c r="B365" s="1" t="n"/>
      <c r="C365" s="1" t="n"/>
      <c r="D365" s="1" t="n"/>
      <c r="E365" s="1" t="n"/>
      <c r="F365" s="1" t="n"/>
    </row>
    <row r="366" ht="15.75" customHeight="1" s="93">
      <c r="A366" s="1" t="n"/>
      <c r="B366" s="1" t="n"/>
      <c r="C366" s="1" t="n"/>
      <c r="D366" s="1" t="n"/>
      <c r="E366" s="1" t="n"/>
      <c r="F366" s="1" t="n"/>
    </row>
    <row r="367" ht="15.75" customHeight="1" s="93">
      <c r="A367" s="1" t="n"/>
      <c r="B367" s="1" t="n"/>
      <c r="C367" s="1" t="n"/>
      <c r="D367" s="1" t="n"/>
      <c r="E367" s="1" t="n"/>
      <c r="F367" s="1" t="n"/>
    </row>
    <row r="368" ht="15.75" customHeight="1" s="93">
      <c r="A368" s="1" t="n"/>
      <c r="B368" s="1" t="n"/>
      <c r="C368" s="1" t="n"/>
      <c r="D368" s="1" t="n"/>
      <c r="E368" s="1" t="n"/>
      <c r="F368" s="1" t="n"/>
    </row>
    <row r="369" ht="15.75" customHeight="1" s="93">
      <c r="A369" s="1" t="n"/>
      <c r="B369" s="1" t="n"/>
      <c r="C369" s="1" t="n"/>
      <c r="D369" s="1" t="n"/>
      <c r="E369" s="1" t="n"/>
      <c r="F369" s="1" t="n"/>
    </row>
    <row r="370" ht="15.75" customHeight="1" s="93">
      <c r="A370" s="1" t="n"/>
      <c r="B370" s="1" t="n"/>
      <c r="C370" s="1" t="n"/>
      <c r="D370" s="1" t="n"/>
      <c r="E370" s="1" t="n"/>
      <c r="F370" s="1" t="n"/>
    </row>
    <row r="371" ht="15.75" customHeight="1" s="93">
      <c r="A371" s="1" t="n"/>
      <c r="B371" s="1" t="n"/>
      <c r="C371" s="1" t="n"/>
      <c r="D371" s="1" t="n"/>
      <c r="E371" s="1" t="n"/>
      <c r="F371" s="1" t="n"/>
    </row>
    <row r="372" ht="15.75" customHeight="1" s="93">
      <c r="A372" s="1" t="n"/>
      <c r="B372" s="1" t="n"/>
      <c r="C372" s="1" t="n"/>
      <c r="D372" s="1" t="n"/>
      <c r="E372" s="1" t="n"/>
      <c r="F372" s="1" t="n"/>
    </row>
    <row r="373" ht="15.75" customHeight="1" s="93">
      <c r="A373" s="1" t="n"/>
      <c r="B373" s="1" t="n"/>
      <c r="C373" s="1" t="n"/>
      <c r="D373" s="1" t="n"/>
      <c r="E373" s="1" t="n"/>
      <c r="F373" s="1" t="n"/>
    </row>
    <row r="374" ht="15.75" customHeight="1" s="93">
      <c r="A374" s="1" t="n"/>
      <c r="B374" s="1" t="n"/>
      <c r="C374" s="1" t="n"/>
      <c r="D374" s="1" t="n"/>
      <c r="E374" s="1" t="n"/>
      <c r="F374" s="1" t="n"/>
    </row>
    <row r="375" ht="15.75" customHeight="1" s="93">
      <c r="A375" s="1" t="n"/>
      <c r="B375" s="1" t="n"/>
      <c r="C375" s="1" t="n"/>
      <c r="D375" s="1" t="n"/>
      <c r="E375" s="1" t="n"/>
      <c r="F375" s="1" t="n"/>
    </row>
    <row r="376" ht="15.75" customHeight="1" s="93">
      <c r="A376" s="1" t="n"/>
      <c r="B376" s="1" t="n"/>
      <c r="C376" s="1" t="n"/>
      <c r="D376" s="1" t="n"/>
      <c r="E376" s="1" t="n"/>
      <c r="F376" s="1" t="n"/>
    </row>
    <row r="377" ht="15.75" customHeight="1" s="93">
      <c r="A377" s="1" t="n"/>
      <c r="B377" s="1" t="n"/>
      <c r="C377" s="1" t="n"/>
      <c r="D377" s="1" t="n"/>
      <c r="E377" s="1" t="n"/>
      <c r="F377" s="1" t="n"/>
    </row>
    <row r="378" ht="15.75" customHeight="1" s="93">
      <c r="A378" s="1" t="n"/>
      <c r="B378" s="1" t="n"/>
      <c r="C378" s="1" t="n"/>
      <c r="D378" s="1" t="n"/>
      <c r="E378" s="1" t="n"/>
      <c r="F378" s="1" t="n"/>
    </row>
    <row r="379" ht="15.75" customHeight="1" s="93">
      <c r="A379" s="1" t="n"/>
      <c r="B379" s="1" t="n"/>
      <c r="C379" s="1" t="n"/>
      <c r="D379" s="1" t="n"/>
      <c r="E379" s="1" t="n"/>
      <c r="F379" s="1" t="n"/>
    </row>
    <row r="380" ht="15.75" customHeight="1" s="93">
      <c r="A380" s="1" t="n"/>
      <c r="B380" s="1" t="n"/>
      <c r="C380" s="1" t="n"/>
      <c r="D380" s="1" t="n"/>
      <c r="E380" s="1" t="n"/>
      <c r="F380" s="1" t="n"/>
    </row>
    <row r="381" ht="15.75" customHeight="1" s="93">
      <c r="A381" s="1" t="n"/>
      <c r="B381" s="1" t="n"/>
      <c r="C381" s="1" t="n"/>
      <c r="D381" s="1" t="n"/>
      <c r="E381" s="1" t="n"/>
      <c r="F381" s="1" t="n"/>
    </row>
    <row r="382" ht="15.75" customHeight="1" s="93">
      <c r="A382" s="1" t="n"/>
      <c r="B382" s="1" t="n"/>
      <c r="C382" s="1" t="n"/>
      <c r="D382" s="1" t="n"/>
      <c r="E382" s="1" t="n"/>
      <c r="F382" s="1" t="n"/>
    </row>
    <row r="383" ht="15.75" customHeight="1" s="93">
      <c r="A383" s="1" t="n"/>
      <c r="B383" s="1" t="n"/>
      <c r="C383" s="1" t="n"/>
      <c r="D383" s="1" t="n"/>
      <c r="E383" s="1" t="n"/>
      <c r="F383" s="1" t="n"/>
    </row>
    <row r="384" ht="15.75" customHeight="1" s="93">
      <c r="A384" s="1" t="n"/>
      <c r="B384" s="1" t="n"/>
      <c r="C384" s="1" t="n"/>
      <c r="D384" s="1" t="n"/>
      <c r="E384" s="1" t="n"/>
      <c r="F384" s="1" t="n"/>
    </row>
    <row r="385" ht="15.75" customHeight="1" s="93">
      <c r="A385" s="1" t="n"/>
      <c r="B385" s="1" t="n"/>
      <c r="C385" s="1" t="n"/>
      <c r="D385" s="1" t="n"/>
      <c r="E385" s="1" t="n"/>
      <c r="F385" s="1" t="n"/>
    </row>
    <row r="386" ht="15.75" customHeight="1" s="93">
      <c r="A386" s="1" t="n"/>
      <c r="B386" s="1" t="n"/>
      <c r="C386" s="1" t="n"/>
      <c r="D386" s="1" t="n"/>
      <c r="E386" s="1" t="n"/>
      <c r="F386" s="1" t="n"/>
    </row>
    <row r="387" ht="15.75" customHeight="1" s="93">
      <c r="A387" s="1" t="n"/>
      <c r="B387" s="1" t="n"/>
      <c r="C387" s="1" t="n"/>
      <c r="D387" s="1" t="n"/>
      <c r="E387" s="1" t="n"/>
      <c r="F387" s="1" t="n"/>
    </row>
    <row r="388" ht="15.75" customHeight="1" s="93">
      <c r="A388" s="1" t="n"/>
      <c r="B388" s="1" t="n"/>
      <c r="C388" s="1" t="n"/>
      <c r="D388" s="1" t="n"/>
      <c r="E388" s="1" t="n"/>
      <c r="F388" s="1" t="n"/>
    </row>
    <row r="389" ht="15.75" customHeight="1" s="93">
      <c r="A389" s="1" t="n"/>
      <c r="B389" s="1" t="n"/>
      <c r="C389" s="1" t="n"/>
      <c r="D389" s="1" t="n"/>
      <c r="E389" s="1" t="n"/>
      <c r="F389" s="1" t="n"/>
    </row>
    <row r="390" ht="15.75" customHeight="1" s="93">
      <c r="A390" s="1" t="n"/>
      <c r="B390" s="1" t="n"/>
      <c r="C390" s="1" t="n"/>
      <c r="D390" s="1" t="n"/>
      <c r="E390" s="1" t="n"/>
      <c r="F390" s="1" t="n"/>
    </row>
    <row r="391" ht="15.75" customHeight="1" s="93">
      <c r="A391" s="1" t="n"/>
      <c r="B391" s="1" t="n"/>
      <c r="C391" s="1" t="n"/>
      <c r="D391" s="1" t="n"/>
      <c r="E391" s="1" t="n"/>
      <c r="F391" s="1" t="n"/>
    </row>
    <row r="392" ht="15.75" customHeight="1" s="93">
      <c r="A392" s="1" t="n"/>
      <c r="B392" s="1" t="n"/>
      <c r="C392" s="1" t="n"/>
      <c r="D392" s="1" t="n"/>
      <c r="E392" s="1" t="n"/>
      <c r="F392" s="1" t="n"/>
    </row>
    <row r="393" ht="15.75" customHeight="1" s="93">
      <c r="A393" s="1" t="n"/>
      <c r="B393" s="1" t="n"/>
      <c r="C393" s="1" t="n"/>
      <c r="D393" s="1" t="n"/>
      <c r="E393" s="1" t="n"/>
      <c r="F393" s="1" t="n"/>
    </row>
    <row r="394" ht="15.75" customHeight="1" s="93">
      <c r="A394" s="1" t="n"/>
      <c r="B394" s="1" t="n"/>
      <c r="C394" s="1" t="n"/>
      <c r="D394" s="1" t="n"/>
      <c r="E394" s="1" t="n"/>
      <c r="F394" s="1" t="n"/>
    </row>
    <row r="395" ht="15.75" customHeight="1" s="93">
      <c r="A395" s="1" t="n"/>
      <c r="B395" s="1" t="n"/>
      <c r="C395" s="1" t="n"/>
      <c r="D395" s="1" t="n"/>
      <c r="E395" s="1" t="n"/>
      <c r="F395" s="1" t="n"/>
    </row>
    <row r="396" ht="15.75" customHeight="1" s="93">
      <c r="A396" s="1" t="n"/>
      <c r="B396" s="1" t="n"/>
      <c r="C396" s="1" t="n"/>
      <c r="D396" s="1" t="n"/>
      <c r="E396" s="1" t="n"/>
      <c r="F396" s="1" t="n"/>
    </row>
    <row r="397" ht="15.75" customHeight="1" s="93">
      <c r="A397" s="1" t="n"/>
      <c r="B397" s="1" t="n"/>
      <c r="C397" s="1" t="n"/>
      <c r="D397" s="1" t="n"/>
      <c r="E397" s="1" t="n"/>
      <c r="F397" s="1" t="n"/>
    </row>
    <row r="398" ht="15.75" customHeight="1" s="93">
      <c r="A398" s="1" t="n"/>
      <c r="B398" s="1" t="n"/>
      <c r="C398" s="1" t="n"/>
      <c r="D398" s="1" t="n"/>
      <c r="E398" s="1" t="n"/>
      <c r="F398" s="1" t="n"/>
    </row>
    <row r="399" ht="15.75" customHeight="1" s="93">
      <c r="A399" s="1" t="n"/>
      <c r="B399" s="1" t="n"/>
      <c r="C399" s="1" t="n"/>
      <c r="D399" s="1" t="n"/>
      <c r="E399" s="1" t="n"/>
      <c r="F399" s="1" t="n"/>
    </row>
    <row r="400" ht="15.75" customHeight="1" s="93">
      <c r="A400" s="1" t="n"/>
      <c r="B400" s="1" t="n"/>
      <c r="C400" s="1" t="n"/>
      <c r="D400" s="1" t="n"/>
      <c r="E400" s="1" t="n"/>
      <c r="F400" s="1" t="n"/>
    </row>
    <row r="401" ht="15.75" customHeight="1" s="93">
      <c r="A401" s="1" t="n"/>
      <c r="B401" s="1" t="n"/>
      <c r="C401" s="1" t="n"/>
      <c r="D401" s="1" t="n"/>
      <c r="E401" s="1" t="n"/>
      <c r="F401" s="1" t="n"/>
    </row>
    <row r="402" ht="15.75" customHeight="1" s="93">
      <c r="A402" s="1" t="n"/>
      <c r="B402" s="1" t="n"/>
      <c r="C402" s="1" t="n"/>
      <c r="D402" s="1" t="n"/>
      <c r="E402" s="1" t="n"/>
      <c r="F402" s="1" t="n"/>
    </row>
    <row r="403" ht="15.75" customHeight="1" s="93">
      <c r="A403" s="1" t="n"/>
      <c r="B403" s="1" t="n"/>
      <c r="C403" s="1" t="n"/>
      <c r="D403" s="1" t="n"/>
      <c r="E403" s="1" t="n"/>
      <c r="F403" s="1" t="n"/>
    </row>
    <row r="404" ht="15.75" customHeight="1" s="93">
      <c r="A404" s="1" t="n"/>
      <c r="B404" s="1" t="n"/>
      <c r="C404" s="1" t="n"/>
      <c r="D404" s="1" t="n"/>
      <c r="E404" s="1" t="n"/>
      <c r="F404" s="1" t="n"/>
    </row>
    <row r="405" ht="15.75" customHeight="1" s="93">
      <c r="A405" s="1" t="n"/>
      <c r="B405" s="1" t="n"/>
      <c r="C405" s="1" t="n"/>
      <c r="D405" s="1" t="n"/>
      <c r="E405" s="1" t="n"/>
      <c r="F405" s="1" t="n"/>
    </row>
    <row r="406" ht="15.75" customHeight="1" s="93">
      <c r="A406" s="1" t="n"/>
      <c r="B406" s="1" t="n"/>
      <c r="C406" s="1" t="n"/>
      <c r="D406" s="1" t="n"/>
      <c r="E406" s="1" t="n"/>
      <c r="F406" s="1" t="n"/>
    </row>
    <row r="407" ht="15.75" customHeight="1" s="93">
      <c r="A407" s="1" t="n"/>
      <c r="B407" s="1" t="n"/>
      <c r="C407" s="1" t="n"/>
      <c r="D407" s="1" t="n"/>
      <c r="E407" s="1" t="n"/>
      <c r="F407" s="1" t="n"/>
    </row>
    <row r="408" ht="15.75" customHeight="1" s="93">
      <c r="A408" s="1" t="n"/>
      <c r="B408" s="1" t="n"/>
      <c r="C408" s="1" t="n"/>
      <c r="D408" s="1" t="n"/>
      <c r="E408" s="1" t="n"/>
      <c r="F408" s="1" t="n"/>
    </row>
    <row r="409" ht="15.75" customHeight="1" s="93">
      <c r="A409" s="1" t="n"/>
      <c r="B409" s="1" t="n"/>
      <c r="C409" s="1" t="n"/>
      <c r="D409" s="1" t="n"/>
      <c r="E409" s="1" t="n"/>
      <c r="F409" s="1" t="n"/>
    </row>
    <row r="410" ht="15.75" customHeight="1" s="93">
      <c r="A410" s="1" t="n"/>
      <c r="B410" s="1" t="n"/>
      <c r="C410" s="1" t="n"/>
      <c r="D410" s="1" t="n"/>
      <c r="E410" s="1" t="n"/>
      <c r="F410" s="1" t="n"/>
    </row>
    <row r="411" ht="15.75" customHeight="1" s="93">
      <c r="A411" s="1" t="n"/>
      <c r="B411" s="1" t="n"/>
      <c r="C411" s="1" t="n"/>
      <c r="D411" s="1" t="n"/>
      <c r="E411" s="1" t="n"/>
      <c r="F411" s="1" t="n"/>
    </row>
    <row r="412" ht="15.75" customHeight="1" s="93">
      <c r="A412" s="1" t="n"/>
      <c r="B412" s="1" t="n"/>
      <c r="C412" s="1" t="n"/>
      <c r="D412" s="1" t="n"/>
      <c r="E412" s="1" t="n"/>
      <c r="F412" s="1" t="n"/>
    </row>
    <row r="413" ht="15.75" customHeight="1" s="93">
      <c r="A413" s="1" t="n"/>
      <c r="B413" s="1" t="n"/>
      <c r="C413" s="1" t="n"/>
      <c r="D413" s="1" t="n"/>
      <c r="E413" s="1" t="n"/>
      <c r="F413" s="1" t="n"/>
    </row>
    <row r="414" ht="15.75" customHeight="1" s="93">
      <c r="A414" s="1" t="n"/>
      <c r="B414" s="1" t="n"/>
      <c r="C414" s="1" t="n"/>
      <c r="D414" s="1" t="n"/>
      <c r="E414" s="1" t="n"/>
      <c r="F414" s="1" t="n"/>
    </row>
    <row r="415" ht="15.75" customHeight="1" s="93">
      <c r="A415" s="1" t="n"/>
      <c r="B415" s="1" t="n"/>
      <c r="C415" s="1" t="n"/>
      <c r="D415" s="1" t="n"/>
      <c r="E415" s="1" t="n"/>
      <c r="F415" s="1" t="n"/>
    </row>
    <row r="416" ht="15.75" customHeight="1" s="93">
      <c r="A416" s="1" t="n"/>
      <c r="B416" s="1" t="n"/>
      <c r="C416" s="1" t="n"/>
      <c r="D416" s="1" t="n"/>
      <c r="E416" s="1" t="n"/>
      <c r="F416" s="1" t="n"/>
    </row>
    <row r="417" ht="15.75" customHeight="1" s="93">
      <c r="A417" s="1" t="n"/>
      <c r="B417" s="1" t="n"/>
      <c r="C417" s="1" t="n"/>
      <c r="D417" s="1" t="n"/>
      <c r="E417" s="1" t="n"/>
      <c r="F417" s="1" t="n"/>
    </row>
    <row r="418" ht="15.75" customHeight="1" s="93">
      <c r="A418" s="1" t="n"/>
      <c r="B418" s="1" t="n"/>
      <c r="C418" s="1" t="n"/>
      <c r="D418" s="1" t="n"/>
      <c r="E418" s="1" t="n"/>
      <c r="F418" s="1" t="n"/>
    </row>
    <row r="419" ht="15.75" customHeight="1" s="93">
      <c r="A419" s="1" t="n"/>
      <c r="B419" s="1" t="n"/>
      <c r="C419" s="1" t="n"/>
      <c r="D419" s="1" t="n"/>
      <c r="E419" s="1" t="n"/>
      <c r="F419" s="1" t="n"/>
    </row>
    <row r="420" ht="15.75" customHeight="1" s="93">
      <c r="A420" s="1" t="n"/>
      <c r="B420" s="1" t="n"/>
      <c r="C420" s="1" t="n"/>
      <c r="D420" s="1" t="n"/>
      <c r="E420" s="1" t="n"/>
      <c r="F420" s="1" t="n"/>
    </row>
    <row r="421" ht="15.75" customHeight="1" s="93">
      <c r="A421" s="1" t="n"/>
      <c r="B421" s="1" t="n"/>
      <c r="C421" s="1" t="n"/>
      <c r="D421" s="1" t="n"/>
      <c r="E421" s="1" t="n"/>
      <c r="F421" s="1" t="n"/>
    </row>
    <row r="422" ht="15.75" customHeight="1" s="93">
      <c r="A422" s="1" t="n"/>
      <c r="B422" s="1" t="n"/>
      <c r="C422" s="1" t="n"/>
      <c r="D422" s="1" t="n"/>
      <c r="E422" s="1" t="n"/>
      <c r="F422" s="1" t="n"/>
    </row>
    <row r="423" ht="15.75" customHeight="1" s="93">
      <c r="A423" s="1" t="n"/>
      <c r="B423" s="1" t="n"/>
      <c r="C423" s="1" t="n"/>
      <c r="D423" s="1" t="n"/>
      <c r="E423" s="1" t="n"/>
      <c r="F423" s="1" t="n"/>
    </row>
    <row r="424" ht="15.75" customHeight="1" s="93">
      <c r="A424" s="1" t="n"/>
      <c r="B424" s="1" t="n"/>
      <c r="C424" s="1" t="n"/>
      <c r="D424" s="1" t="n"/>
      <c r="E424" s="1" t="n"/>
      <c r="F424" s="1" t="n"/>
    </row>
    <row r="425" ht="15.75" customHeight="1" s="93">
      <c r="A425" s="1" t="n"/>
      <c r="B425" s="1" t="n"/>
      <c r="C425" s="1" t="n"/>
      <c r="D425" s="1" t="n"/>
      <c r="E425" s="1" t="n"/>
      <c r="F425" s="1" t="n"/>
    </row>
    <row r="426" ht="15.75" customHeight="1" s="93">
      <c r="A426" s="1" t="n"/>
      <c r="B426" s="1" t="n"/>
      <c r="C426" s="1" t="n"/>
      <c r="D426" s="1" t="n"/>
      <c r="E426" s="1" t="n"/>
      <c r="F426" s="1" t="n"/>
    </row>
    <row r="427" ht="15.75" customHeight="1" s="93">
      <c r="A427" s="1" t="n"/>
      <c r="B427" s="1" t="n"/>
      <c r="C427" s="1" t="n"/>
      <c r="D427" s="1" t="n"/>
      <c r="E427" s="1" t="n"/>
      <c r="F427" s="1" t="n"/>
    </row>
    <row r="428" ht="15.75" customHeight="1" s="93">
      <c r="A428" s="1" t="n"/>
      <c r="B428" s="1" t="n"/>
      <c r="C428" s="1" t="n"/>
      <c r="D428" s="1" t="n"/>
      <c r="E428" s="1" t="n"/>
      <c r="F428" s="1" t="n"/>
    </row>
    <row r="429" ht="15.75" customHeight="1" s="93">
      <c r="A429" s="1" t="n"/>
      <c r="B429" s="1" t="n"/>
      <c r="C429" s="1" t="n"/>
      <c r="D429" s="1" t="n"/>
      <c r="E429" s="1" t="n"/>
      <c r="F429" s="1" t="n"/>
    </row>
    <row r="430" ht="15.75" customHeight="1" s="93">
      <c r="A430" s="1" t="n"/>
      <c r="B430" s="1" t="n"/>
      <c r="C430" s="1" t="n"/>
      <c r="D430" s="1" t="n"/>
      <c r="E430" s="1" t="n"/>
      <c r="F430" s="1" t="n"/>
    </row>
    <row r="431" ht="15.75" customHeight="1" s="93">
      <c r="A431" s="1" t="n"/>
      <c r="B431" s="1" t="n"/>
      <c r="C431" s="1" t="n"/>
      <c r="D431" s="1" t="n"/>
      <c r="E431" s="1" t="n"/>
      <c r="F431" s="1" t="n"/>
    </row>
    <row r="432" ht="15.75" customHeight="1" s="93">
      <c r="A432" s="1" t="n"/>
      <c r="B432" s="1" t="n"/>
      <c r="C432" s="1" t="n"/>
      <c r="D432" s="1" t="n"/>
      <c r="E432" s="1" t="n"/>
      <c r="F432" s="1" t="n"/>
    </row>
    <row r="433" ht="15.75" customHeight="1" s="93">
      <c r="A433" s="1" t="n"/>
      <c r="B433" s="1" t="n"/>
      <c r="C433" s="1" t="n"/>
      <c r="D433" s="1" t="n"/>
      <c r="E433" s="1" t="n"/>
      <c r="F433" s="1" t="n"/>
    </row>
    <row r="434" ht="15.75" customHeight="1" s="93">
      <c r="A434" s="1" t="n"/>
      <c r="B434" s="1" t="n"/>
      <c r="C434" s="1" t="n"/>
      <c r="D434" s="1" t="n"/>
      <c r="E434" s="1" t="n"/>
      <c r="F434" s="1" t="n"/>
    </row>
    <row r="435" ht="15.75" customHeight="1" s="93">
      <c r="A435" s="1" t="n"/>
      <c r="B435" s="1" t="n"/>
      <c r="C435" s="1" t="n"/>
      <c r="D435" s="1" t="n"/>
      <c r="E435" s="1" t="n"/>
      <c r="F435" s="1" t="n"/>
    </row>
    <row r="436" ht="15.75" customHeight="1" s="93">
      <c r="A436" s="1" t="n"/>
      <c r="B436" s="1" t="n"/>
      <c r="C436" s="1" t="n"/>
      <c r="D436" s="1" t="n"/>
      <c r="E436" s="1" t="n"/>
      <c r="F436" s="1" t="n"/>
    </row>
    <row r="437" ht="15.75" customHeight="1" s="93">
      <c r="A437" s="1" t="n"/>
      <c r="B437" s="1" t="n"/>
      <c r="C437" s="1" t="n"/>
      <c r="D437" s="1" t="n"/>
      <c r="E437" s="1" t="n"/>
      <c r="F437" s="1" t="n"/>
    </row>
    <row r="438" ht="15.75" customHeight="1" s="93">
      <c r="A438" s="1" t="n"/>
      <c r="B438" s="1" t="n"/>
      <c r="C438" s="1" t="n"/>
      <c r="D438" s="1" t="n"/>
      <c r="E438" s="1" t="n"/>
      <c r="F438" s="1" t="n"/>
    </row>
    <row r="439" ht="15.75" customHeight="1" s="93">
      <c r="A439" s="1" t="n"/>
      <c r="B439" s="1" t="n"/>
      <c r="C439" s="1" t="n"/>
      <c r="D439" s="1" t="n"/>
      <c r="E439" s="1" t="n"/>
      <c r="F439" s="1" t="n"/>
    </row>
    <row r="440" ht="15.75" customHeight="1" s="93">
      <c r="A440" s="1" t="n"/>
      <c r="B440" s="1" t="n"/>
      <c r="C440" s="1" t="n"/>
      <c r="D440" s="1" t="n"/>
      <c r="E440" s="1" t="n"/>
      <c r="F440" s="1" t="n"/>
    </row>
    <row r="441" ht="15.75" customHeight="1" s="93">
      <c r="A441" s="1" t="n"/>
      <c r="B441" s="1" t="n"/>
      <c r="C441" s="1" t="n"/>
      <c r="D441" s="1" t="n"/>
      <c r="E441" s="1" t="n"/>
      <c r="F441" s="1" t="n"/>
    </row>
    <row r="442" ht="15.75" customHeight="1" s="93">
      <c r="A442" s="1" t="n"/>
      <c r="B442" s="1" t="n"/>
      <c r="C442" s="1" t="n"/>
      <c r="D442" s="1" t="n"/>
      <c r="E442" s="1" t="n"/>
      <c r="F442" s="1" t="n"/>
    </row>
    <row r="443" ht="15.75" customHeight="1" s="93">
      <c r="A443" s="1" t="n"/>
      <c r="B443" s="1" t="n"/>
      <c r="C443" s="1" t="n"/>
      <c r="D443" s="1" t="n"/>
      <c r="E443" s="1" t="n"/>
      <c r="F443" s="1" t="n"/>
    </row>
    <row r="444" ht="15.75" customHeight="1" s="93">
      <c r="A444" s="1" t="n"/>
      <c r="B444" s="1" t="n"/>
      <c r="C444" s="1" t="n"/>
      <c r="D444" s="1" t="n"/>
      <c r="E444" s="1" t="n"/>
      <c r="F444" s="1" t="n"/>
    </row>
    <row r="445" ht="15.75" customHeight="1" s="93">
      <c r="A445" s="1" t="n"/>
      <c r="B445" s="1" t="n"/>
      <c r="C445" s="1" t="n"/>
      <c r="D445" s="1" t="n"/>
      <c r="E445" s="1" t="n"/>
      <c r="F445" s="1" t="n"/>
    </row>
    <row r="446" ht="15.75" customHeight="1" s="93">
      <c r="A446" s="1" t="n"/>
      <c r="B446" s="1" t="n"/>
      <c r="C446" s="1" t="n"/>
      <c r="D446" s="1" t="n"/>
      <c r="E446" s="1" t="n"/>
      <c r="F446" s="1" t="n"/>
    </row>
    <row r="447" ht="15.75" customHeight="1" s="93">
      <c r="A447" s="1" t="n"/>
      <c r="B447" s="1" t="n"/>
      <c r="C447" s="1" t="n"/>
      <c r="D447" s="1" t="n"/>
      <c r="E447" s="1" t="n"/>
      <c r="F447" s="1" t="n"/>
    </row>
    <row r="448" ht="15.75" customHeight="1" s="93">
      <c r="A448" s="1" t="n"/>
      <c r="B448" s="1" t="n"/>
      <c r="C448" s="1" t="n"/>
      <c r="D448" s="1" t="n"/>
      <c r="E448" s="1" t="n"/>
      <c r="F448" s="1" t="n"/>
    </row>
    <row r="449" ht="15.75" customHeight="1" s="93">
      <c r="A449" s="1" t="n"/>
      <c r="B449" s="1" t="n"/>
      <c r="C449" s="1" t="n"/>
      <c r="D449" s="1" t="n"/>
      <c r="E449" s="1" t="n"/>
      <c r="F449" s="1" t="n"/>
    </row>
    <row r="450" ht="15.75" customHeight="1" s="93">
      <c r="A450" s="1" t="n"/>
      <c r="B450" s="1" t="n"/>
      <c r="C450" s="1" t="n"/>
      <c r="D450" s="1" t="n"/>
      <c r="E450" s="1" t="n"/>
      <c r="F450" s="1" t="n"/>
    </row>
    <row r="451" ht="15.75" customHeight="1" s="93">
      <c r="A451" s="1" t="n"/>
      <c r="B451" s="1" t="n"/>
      <c r="C451" s="1" t="n"/>
      <c r="D451" s="1" t="n"/>
      <c r="E451" s="1" t="n"/>
      <c r="F451" s="1" t="n"/>
    </row>
    <row r="452" ht="15.75" customHeight="1" s="93">
      <c r="A452" s="1" t="n"/>
      <c r="B452" s="1" t="n"/>
      <c r="C452" s="1" t="n"/>
      <c r="D452" s="1" t="n"/>
      <c r="E452" s="1" t="n"/>
      <c r="F452" s="1" t="n"/>
    </row>
    <row r="453" ht="15.75" customHeight="1" s="93">
      <c r="A453" s="1" t="n"/>
      <c r="B453" s="1" t="n"/>
      <c r="C453" s="1" t="n"/>
      <c r="D453" s="1" t="n"/>
      <c r="E453" s="1" t="n"/>
      <c r="F453" s="1" t="n"/>
    </row>
    <row r="454" ht="15.75" customHeight="1" s="93">
      <c r="A454" s="1" t="n"/>
      <c r="B454" s="1" t="n"/>
      <c r="C454" s="1" t="n"/>
      <c r="D454" s="1" t="n"/>
      <c r="E454" s="1" t="n"/>
      <c r="F454" s="1" t="n"/>
    </row>
    <row r="455" ht="15.75" customHeight="1" s="93">
      <c r="A455" s="1" t="n"/>
      <c r="B455" s="1" t="n"/>
      <c r="C455" s="1" t="n"/>
      <c r="D455" s="1" t="n"/>
      <c r="E455" s="1" t="n"/>
      <c r="F455" s="1" t="n"/>
    </row>
    <row r="456" ht="15.75" customHeight="1" s="93">
      <c r="A456" s="1" t="n"/>
      <c r="B456" s="1" t="n"/>
      <c r="C456" s="1" t="n"/>
      <c r="D456" s="1" t="n"/>
      <c r="E456" s="1" t="n"/>
      <c r="F456" s="1" t="n"/>
    </row>
    <row r="457" ht="15.75" customHeight="1" s="93">
      <c r="A457" s="1" t="n"/>
      <c r="B457" s="1" t="n"/>
      <c r="C457" s="1" t="n"/>
      <c r="D457" s="1" t="n"/>
      <c r="E457" s="1" t="n"/>
      <c r="F457" s="1" t="n"/>
    </row>
    <row r="458" ht="15.75" customHeight="1" s="93">
      <c r="A458" s="1" t="n"/>
      <c r="B458" s="1" t="n"/>
      <c r="C458" s="1" t="n"/>
      <c r="D458" s="1" t="n"/>
      <c r="E458" s="1" t="n"/>
      <c r="F458" s="1" t="n"/>
    </row>
    <row r="459" ht="15.75" customHeight="1" s="93">
      <c r="A459" s="1" t="n"/>
      <c r="B459" s="1" t="n"/>
      <c r="C459" s="1" t="n"/>
      <c r="D459" s="1" t="n"/>
      <c r="E459" s="1" t="n"/>
      <c r="F459" s="1" t="n"/>
    </row>
    <row r="460" ht="15.75" customHeight="1" s="93">
      <c r="A460" s="1" t="n"/>
      <c r="B460" s="1" t="n"/>
      <c r="C460" s="1" t="n"/>
      <c r="D460" s="1" t="n"/>
      <c r="E460" s="1" t="n"/>
      <c r="F460" s="1" t="n"/>
    </row>
    <row r="461" ht="15.75" customHeight="1" s="93">
      <c r="A461" s="1" t="n"/>
      <c r="B461" s="1" t="n"/>
      <c r="C461" s="1" t="n"/>
      <c r="D461" s="1" t="n"/>
      <c r="E461" s="1" t="n"/>
      <c r="F461" s="1" t="n"/>
    </row>
    <row r="462" ht="15.75" customHeight="1" s="93">
      <c r="A462" s="1" t="n"/>
      <c r="B462" s="1" t="n"/>
      <c r="C462" s="1" t="n"/>
      <c r="D462" s="1" t="n"/>
      <c r="E462" s="1" t="n"/>
      <c r="F462" s="1" t="n"/>
    </row>
    <row r="463" ht="15.75" customHeight="1" s="93">
      <c r="A463" s="1" t="n"/>
      <c r="B463" s="1" t="n"/>
      <c r="C463" s="1" t="n"/>
      <c r="D463" s="1" t="n"/>
      <c r="E463" s="1" t="n"/>
      <c r="F463" s="1" t="n"/>
    </row>
    <row r="464" ht="15.75" customHeight="1" s="93">
      <c r="A464" s="1" t="n"/>
      <c r="B464" s="1" t="n"/>
      <c r="C464" s="1" t="n"/>
      <c r="D464" s="1" t="n"/>
      <c r="E464" s="1" t="n"/>
      <c r="F464" s="1" t="n"/>
    </row>
    <row r="465" ht="15.75" customHeight="1" s="93">
      <c r="A465" s="1" t="n"/>
      <c r="B465" s="1" t="n"/>
      <c r="C465" s="1" t="n"/>
      <c r="D465" s="1" t="n"/>
      <c r="E465" s="1" t="n"/>
      <c r="F465" s="1" t="n"/>
    </row>
    <row r="466" ht="15.75" customHeight="1" s="93">
      <c r="A466" s="1" t="n"/>
      <c r="B466" s="1" t="n"/>
      <c r="C466" s="1" t="n"/>
      <c r="D466" s="1" t="n"/>
      <c r="E466" s="1" t="n"/>
      <c r="F466" s="1" t="n"/>
    </row>
    <row r="467" ht="15.75" customHeight="1" s="93">
      <c r="A467" s="1" t="n"/>
      <c r="B467" s="1" t="n"/>
      <c r="C467" s="1" t="n"/>
      <c r="D467" s="1" t="n"/>
      <c r="E467" s="1" t="n"/>
      <c r="F467" s="1" t="n"/>
    </row>
    <row r="468" ht="15.75" customHeight="1" s="93">
      <c r="A468" s="1" t="n"/>
      <c r="B468" s="1" t="n"/>
      <c r="C468" s="1" t="n"/>
      <c r="D468" s="1" t="n"/>
      <c r="E468" s="1" t="n"/>
      <c r="F468" s="1" t="n"/>
    </row>
    <row r="469" ht="15.75" customHeight="1" s="93">
      <c r="A469" s="1" t="n"/>
      <c r="B469" s="1" t="n"/>
      <c r="C469" s="1" t="n"/>
      <c r="D469" s="1" t="n"/>
      <c r="E469" s="1" t="n"/>
      <c r="F469" s="1" t="n"/>
    </row>
    <row r="470" ht="15.75" customHeight="1" s="93">
      <c r="A470" s="1" t="n"/>
      <c r="B470" s="1" t="n"/>
      <c r="C470" s="1" t="n"/>
      <c r="D470" s="1" t="n"/>
      <c r="E470" s="1" t="n"/>
      <c r="F470" s="1" t="n"/>
    </row>
    <row r="471" ht="15.75" customHeight="1" s="93">
      <c r="A471" s="1" t="n"/>
      <c r="B471" s="1" t="n"/>
      <c r="C471" s="1" t="n"/>
      <c r="D471" s="1" t="n"/>
      <c r="E471" s="1" t="n"/>
      <c r="F471" s="1" t="n"/>
    </row>
    <row r="472" ht="15.75" customHeight="1" s="93">
      <c r="A472" s="1" t="n"/>
      <c r="B472" s="1" t="n"/>
      <c r="C472" s="1" t="n"/>
      <c r="D472" s="1" t="n"/>
      <c r="E472" s="1" t="n"/>
      <c r="F472" s="1" t="n"/>
    </row>
    <row r="473" ht="15.75" customHeight="1" s="93">
      <c r="A473" s="1" t="n"/>
      <c r="B473" s="1" t="n"/>
      <c r="C473" s="1" t="n"/>
      <c r="D473" s="1" t="n"/>
      <c r="E473" s="1" t="n"/>
      <c r="F473" s="1" t="n"/>
    </row>
    <row r="474" ht="15.75" customHeight="1" s="93">
      <c r="A474" s="1" t="n"/>
      <c r="B474" s="1" t="n"/>
      <c r="C474" s="1" t="n"/>
      <c r="D474" s="1" t="n"/>
      <c r="E474" s="1" t="n"/>
      <c r="F474" s="1" t="n"/>
    </row>
    <row r="475" ht="15.75" customHeight="1" s="93">
      <c r="A475" s="1" t="n"/>
      <c r="B475" s="1" t="n"/>
      <c r="C475" s="1" t="n"/>
      <c r="D475" s="1" t="n"/>
      <c r="E475" s="1" t="n"/>
      <c r="F475" s="1" t="n"/>
    </row>
    <row r="476" ht="15.75" customHeight="1" s="93">
      <c r="A476" s="1" t="n"/>
      <c r="B476" s="1" t="n"/>
      <c r="C476" s="1" t="n"/>
      <c r="D476" s="1" t="n"/>
      <c r="E476" s="1" t="n"/>
      <c r="F476" s="1" t="n"/>
    </row>
    <row r="477" ht="15.75" customHeight="1" s="93">
      <c r="A477" s="1" t="n"/>
      <c r="B477" s="1" t="n"/>
      <c r="C477" s="1" t="n"/>
      <c r="D477" s="1" t="n"/>
      <c r="E477" s="1" t="n"/>
      <c r="F477" s="1" t="n"/>
    </row>
    <row r="478" ht="15.75" customHeight="1" s="93">
      <c r="A478" s="1" t="n"/>
      <c r="B478" s="1" t="n"/>
      <c r="C478" s="1" t="n"/>
      <c r="D478" s="1" t="n"/>
      <c r="E478" s="1" t="n"/>
      <c r="F478" s="1" t="n"/>
    </row>
    <row r="479" ht="15.75" customHeight="1" s="93">
      <c r="A479" s="1" t="n"/>
      <c r="B479" s="1" t="n"/>
      <c r="C479" s="1" t="n"/>
      <c r="D479" s="1" t="n"/>
      <c r="E479" s="1" t="n"/>
      <c r="F479" s="1" t="n"/>
    </row>
    <row r="480" ht="15.75" customHeight="1" s="93">
      <c r="A480" s="1" t="n"/>
      <c r="B480" s="1" t="n"/>
      <c r="C480" s="1" t="n"/>
      <c r="D480" s="1" t="n"/>
      <c r="E480" s="1" t="n"/>
      <c r="F480" s="1" t="n"/>
    </row>
    <row r="481" ht="15.75" customHeight="1" s="93">
      <c r="A481" s="1" t="n"/>
      <c r="B481" s="1" t="n"/>
      <c r="C481" s="1" t="n"/>
      <c r="D481" s="1" t="n"/>
      <c r="E481" s="1" t="n"/>
      <c r="F481" s="1" t="n"/>
    </row>
    <row r="482" ht="15.75" customHeight="1" s="93">
      <c r="A482" s="1" t="n"/>
      <c r="B482" s="1" t="n"/>
      <c r="C482" s="1" t="n"/>
      <c r="D482" s="1" t="n"/>
      <c r="E482" s="1" t="n"/>
      <c r="F482" s="1" t="n"/>
    </row>
    <row r="483" ht="15.75" customHeight="1" s="93">
      <c r="A483" s="1" t="n"/>
      <c r="B483" s="1" t="n"/>
      <c r="C483" s="1" t="n"/>
      <c r="D483" s="1" t="n"/>
      <c r="E483" s="1" t="n"/>
      <c r="F483" s="1" t="n"/>
    </row>
    <row r="484" ht="15.75" customHeight="1" s="93">
      <c r="A484" s="1" t="n"/>
      <c r="B484" s="1" t="n"/>
      <c r="C484" s="1" t="n"/>
      <c r="D484" s="1" t="n"/>
      <c r="E484" s="1" t="n"/>
      <c r="F484" s="1" t="n"/>
    </row>
    <row r="485" ht="15.75" customHeight="1" s="93">
      <c r="A485" s="1" t="n"/>
      <c r="B485" s="1" t="n"/>
      <c r="C485" s="1" t="n"/>
      <c r="D485" s="1" t="n"/>
      <c r="E485" s="1" t="n"/>
      <c r="F485" s="1" t="n"/>
    </row>
    <row r="486" ht="15.75" customHeight="1" s="93">
      <c r="A486" s="1" t="n"/>
      <c r="B486" s="1" t="n"/>
      <c r="C486" s="1" t="n"/>
      <c r="D486" s="1" t="n"/>
      <c r="E486" s="1" t="n"/>
      <c r="F486" s="1" t="n"/>
    </row>
    <row r="487" ht="15.75" customHeight="1" s="93">
      <c r="A487" s="1" t="n"/>
      <c r="B487" s="1" t="n"/>
      <c r="C487" s="1" t="n"/>
      <c r="D487" s="1" t="n"/>
      <c r="E487" s="1" t="n"/>
      <c r="F487" s="1" t="n"/>
    </row>
    <row r="488" ht="15.75" customHeight="1" s="93">
      <c r="A488" s="1" t="n"/>
      <c r="B488" s="1" t="n"/>
      <c r="C488" s="1" t="n"/>
      <c r="D488" s="1" t="n"/>
      <c r="E488" s="1" t="n"/>
      <c r="F488" s="1" t="n"/>
    </row>
    <row r="489" ht="15.75" customHeight="1" s="93">
      <c r="A489" s="1" t="n"/>
      <c r="B489" s="1" t="n"/>
      <c r="C489" s="1" t="n"/>
      <c r="D489" s="1" t="n"/>
      <c r="E489" s="1" t="n"/>
      <c r="F489" s="1" t="n"/>
    </row>
    <row r="490" ht="15.75" customHeight="1" s="93">
      <c r="A490" s="1" t="n"/>
      <c r="B490" s="1" t="n"/>
      <c r="C490" s="1" t="n"/>
      <c r="D490" s="1" t="n"/>
      <c r="E490" s="1" t="n"/>
      <c r="F490" s="1" t="n"/>
    </row>
    <row r="491" ht="15.75" customHeight="1" s="93">
      <c r="A491" s="1" t="n"/>
      <c r="B491" s="1" t="n"/>
      <c r="C491" s="1" t="n"/>
      <c r="D491" s="1" t="n"/>
      <c r="E491" s="1" t="n"/>
      <c r="F491" s="1" t="n"/>
    </row>
    <row r="492" ht="15.75" customHeight="1" s="93">
      <c r="A492" s="1" t="n"/>
      <c r="B492" s="1" t="n"/>
      <c r="C492" s="1" t="n"/>
      <c r="D492" s="1" t="n"/>
      <c r="E492" s="1" t="n"/>
      <c r="F492" s="1" t="n"/>
    </row>
    <row r="493" ht="15.75" customHeight="1" s="93">
      <c r="A493" s="1" t="n"/>
      <c r="B493" s="1" t="n"/>
      <c r="C493" s="1" t="n"/>
      <c r="D493" s="1" t="n"/>
      <c r="E493" s="1" t="n"/>
      <c r="F493" s="1" t="n"/>
    </row>
    <row r="494" ht="15.75" customHeight="1" s="93">
      <c r="A494" s="1" t="n"/>
      <c r="B494" s="1" t="n"/>
      <c r="C494" s="1" t="n"/>
      <c r="D494" s="1" t="n"/>
      <c r="E494" s="1" t="n"/>
      <c r="F494" s="1" t="n"/>
    </row>
    <row r="495" ht="15.75" customHeight="1" s="93">
      <c r="A495" s="1" t="n"/>
      <c r="B495" s="1" t="n"/>
      <c r="C495" s="1" t="n"/>
      <c r="D495" s="1" t="n"/>
      <c r="E495" s="1" t="n"/>
      <c r="F495" s="1" t="n"/>
    </row>
    <row r="496" ht="15.75" customHeight="1" s="93">
      <c r="A496" s="1" t="n"/>
      <c r="B496" s="1" t="n"/>
      <c r="C496" s="1" t="n"/>
      <c r="D496" s="1" t="n"/>
      <c r="E496" s="1" t="n"/>
      <c r="F496" s="1" t="n"/>
    </row>
    <row r="497" ht="15.75" customHeight="1" s="93">
      <c r="A497" s="1" t="n"/>
      <c r="B497" s="1" t="n"/>
      <c r="C497" s="1" t="n"/>
      <c r="D497" s="1" t="n"/>
      <c r="E497" s="1" t="n"/>
      <c r="F497" s="1" t="n"/>
    </row>
    <row r="498" ht="15.75" customHeight="1" s="93">
      <c r="A498" s="1" t="n"/>
      <c r="B498" s="1" t="n"/>
      <c r="C498" s="1" t="n"/>
      <c r="D498" s="1" t="n"/>
      <c r="E498" s="1" t="n"/>
      <c r="F498" s="1" t="n"/>
    </row>
    <row r="499" ht="15.75" customHeight="1" s="93">
      <c r="A499" s="1" t="n"/>
      <c r="B499" s="1" t="n"/>
      <c r="C499" s="1" t="n"/>
      <c r="D499" s="1" t="n"/>
      <c r="E499" s="1" t="n"/>
      <c r="F499" s="1" t="n"/>
    </row>
    <row r="500" ht="15.75" customHeight="1" s="93">
      <c r="A500" s="1" t="n"/>
      <c r="B500" s="1" t="n"/>
      <c r="C500" s="1" t="n"/>
      <c r="D500" s="1" t="n"/>
      <c r="E500" s="1" t="n"/>
      <c r="F500" s="1" t="n"/>
    </row>
    <row r="501" ht="15.75" customHeight="1" s="93">
      <c r="A501" s="1" t="n"/>
      <c r="B501" s="1" t="n"/>
      <c r="C501" s="1" t="n"/>
      <c r="D501" s="1" t="n"/>
      <c r="E501" s="1" t="n"/>
      <c r="F501" s="1" t="n"/>
    </row>
    <row r="502" ht="15.75" customHeight="1" s="93">
      <c r="A502" s="1" t="n"/>
      <c r="B502" s="1" t="n"/>
      <c r="C502" s="1" t="n"/>
      <c r="D502" s="1" t="n"/>
      <c r="E502" s="1" t="n"/>
      <c r="F502" s="1" t="n"/>
    </row>
    <row r="503" ht="15.75" customHeight="1" s="93">
      <c r="A503" s="1" t="n"/>
      <c r="B503" s="1" t="n"/>
      <c r="C503" s="1" t="n"/>
      <c r="D503" s="1" t="n"/>
      <c r="E503" s="1" t="n"/>
      <c r="F503" s="1" t="n"/>
    </row>
    <row r="504" ht="15.75" customHeight="1" s="93">
      <c r="A504" s="1" t="n"/>
      <c r="B504" s="1" t="n"/>
      <c r="C504" s="1" t="n"/>
      <c r="D504" s="1" t="n"/>
      <c r="E504" s="1" t="n"/>
      <c r="F504" s="1" t="n"/>
    </row>
    <row r="505" ht="15.75" customHeight="1" s="93">
      <c r="A505" s="1" t="n"/>
      <c r="B505" s="1" t="n"/>
      <c r="C505" s="1" t="n"/>
      <c r="D505" s="1" t="n"/>
      <c r="E505" s="1" t="n"/>
      <c r="F505" s="1" t="n"/>
    </row>
    <row r="506" ht="15.75" customHeight="1" s="93">
      <c r="A506" s="1" t="n"/>
      <c r="B506" s="1" t="n"/>
      <c r="C506" s="1" t="n"/>
      <c r="D506" s="1" t="n"/>
      <c r="E506" s="1" t="n"/>
      <c r="F506" s="1" t="n"/>
    </row>
    <row r="507" ht="15.75" customHeight="1" s="93">
      <c r="A507" s="1" t="n"/>
      <c r="B507" s="1" t="n"/>
      <c r="C507" s="1" t="n"/>
      <c r="D507" s="1" t="n"/>
      <c r="E507" s="1" t="n"/>
      <c r="F507" s="1" t="n"/>
    </row>
    <row r="508" ht="15.75" customHeight="1" s="93">
      <c r="A508" s="1" t="n"/>
      <c r="B508" s="1" t="n"/>
      <c r="C508" s="1" t="n"/>
      <c r="D508" s="1" t="n"/>
      <c r="E508" s="1" t="n"/>
      <c r="F508" s="1" t="n"/>
    </row>
    <row r="509" ht="15.75" customHeight="1" s="93">
      <c r="A509" s="1" t="n"/>
      <c r="B509" s="1" t="n"/>
      <c r="C509" s="1" t="n"/>
      <c r="D509" s="1" t="n"/>
      <c r="E509" s="1" t="n"/>
      <c r="F509" s="1" t="n"/>
    </row>
    <row r="510" ht="15.75" customHeight="1" s="93">
      <c r="A510" s="1" t="n"/>
      <c r="B510" s="1" t="n"/>
      <c r="C510" s="1" t="n"/>
      <c r="D510" s="1" t="n"/>
      <c r="E510" s="1" t="n"/>
      <c r="F510" s="1" t="n"/>
    </row>
    <row r="511" ht="15.75" customHeight="1" s="93">
      <c r="A511" s="1" t="n"/>
      <c r="B511" s="1" t="n"/>
      <c r="C511" s="1" t="n"/>
      <c r="D511" s="1" t="n"/>
      <c r="E511" s="1" t="n"/>
      <c r="F511" s="1" t="n"/>
    </row>
    <row r="512" ht="15.75" customHeight="1" s="93">
      <c r="A512" s="1" t="n"/>
      <c r="B512" s="1" t="n"/>
      <c r="C512" s="1" t="n"/>
      <c r="D512" s="1" t="n"/>
      <c r="E512" s="1" t="n"/>
      <c r="F512" s="1" t="n"/>
    </row>
    <row r="513" ht="15.75" customHeight="1" s="93">
      <c r="A513" s="1" t="n"/>
      <c r="B513" s="1" t="n"/>
      <c r="C513" s="1" t="n"/>
      <c r="D513" s="1" t="n"/>
      <c r="E513" s="1" t="n"/>
      <c r="F513" s="1" t="n"/>
    </row>
    <row r="514" ht="15.75" customHeight="1" s="93">
      <c r="A514" s="1" t="n"/>
      <c r="B514" s="1" t="n"/>
      <c r="C514" s="1" t="n"/>
      <c r="D514" s="1" t="n"/>
      <c r="E514" s="1" t="n"/>
      <c r="F514" s="1" t="n"/>
    </row>
    <row r="515" ht="15.75" customHeight="1" s="93">
      <c r="A515" s="1" t="n"/>
      <c r="B515" s="1" t="n"/>
      <c r="C515" s="1" t="n"/>
      <c r="D515" s="1" t="n"/>
      <c r="E515" s="1" t="n"/>
      <c r="F515" s="1" t="n"/>
    </row>
    <row r="516" ht="15.75" customHeight="1" s="93">
      <c r="A516" s="1" t="n"/>
      <c r="B516" s="1" t="n"/>
      <c r="C516" s="1" t="n"/>
      <c r="D516" s="1" t="n"/>
      <c r="E516" s="1" t="n"/>
      <c r="F516" s="1" t="n"/>
    </row>
    <row r="517" ht="15.75" customHeight="1" s="93">
      <c r="A517" s="1" t="n"/>
      <c r="B517" s="1" t="n"/>
      <c r="C517" s="1" t="n"/>
      <c r="D517" s="1" t="n"/>
      <c r="E517" s="1" t="n"/>
      <c r="F517" s="1" t="n"/>
    </row>
    <row r="518" ht="15.75" customHeight="1" s="93">
      <c r="A518" s="1" t="n"/>
      <c r="B518" s="1" t="n"/>
      <c r="C518" s="1" t="n"/>
      <c r="D518" s="1" t="n"/>
      <c r="E518" s="1" t="n"/>
      <c r="F518" s="1" t="n"/>
    </row>
    <row r="519" ht="15.75" customHeight="1" s="93">
      <c r="A519" s="1" t="n"/>
      <c r="B519" s="1" t="n"/>
      <c r="C519" s="1" t="n"/>
      <c r="D519" s="1" t="n"/>
      <c r="E519" s="1" t="n"/>
      <c r="F519" s="1" t="n"/>
    </row>
    <row r="520" ht="15.75" customHeight="1" s="93">
      <c r="A520" s="1" t="n"/>
      <c r="B520" s="1" t="n"/>
      <c r="C520" s="1" t="n"/>
      <c r="D520" s="1" t="n"/>
      <c r="E520" s="1" t="n"/>
      <c r="F520" s="1" t="n"/>
    </row>
    <row r="521" ht="15.75" customHeight="1" s="93">
      <c r="A521" s="1" t="n"/>
      <c r="B521" s="1" t="n"/>
      <c r="C521" s="1" t="n"/>
      <c r="D521" s="1" t="n"/>
      <c r="E521" s="1" t="n"/>
      <c r="F521" s="1" t="n"/>
    </row>
    <row r="522" ht="15.75" customHeight="1" s="93">
      <c r="A522" s="1" t="n"/>
      <c r="B522" s="1" t="n"/>
      <c r="C522" s="1" t="n"/>
      <c r="D522" s="1" t="n"/>
      <c r="E522" s="1" t="n"/>
      <c r="F522" s="1" t="n"/>
    </row>
    <row r="523" ht="15.75" customHeight="1" s="93">
      <c r="A523" s="1" t="n"/>
      <c r="B523" s="1" t="n"/>
      <c r="C523" s="1" t="n"/>
      <c r="D523" s="1" t="n"/>
      <c r="E523" s="1" t="n"/>
      <c r="F523" s="1" t="n"/>
    </row>
    <row r="524" ht="15.75" customHeight="1" s="93">
      <c r="A524" s="1" t="n"/>
      <c r="B524" s="1" t="n"/>
      <c r="C524" s="1" t="n"/>
      <c r="D524" s="1" t="n"/>
      <c r="E524" s="1" t="n"/>
      <c r="F524" s="1" t="n"/>
    </row>
    <row r="525" ht="15.75" customHeight="1" s="93">
      <c r="A525" s="1" t="n"/>
      <c r="B525" s="1" t="n"/>
      <c r="C525" s="1" t="n"/>
      <c r="D525" s="1" t="n"/>
      <c r="E525" s="1" t="n"/>
      <c r="F525" s="1" t="n"/>
    </row>
    <row r="526" ht="15.75" customHeight="1" s="93">
      <c r="A526" s="1" t="n"/>
      <c r="B526" s="1" t="n"/>
      <c r="C526" s="1" t="n"/>
      <c r="D526" s="1" t="n"/>
      <c r="E526" s="1" t="n"/>
      <c r="F526" s="1" t="n"/>
    </row>
    <row r="527" ht="15.75" customHeight="1" s="93">
      <c r="A527" s="1" t="n"/>
      <c r="B527" s="1" t="n"/>
      <c r="C527" s="1" t="n"/>
      <c r="D527" s="1" t="n"/>
      <c r="E527" s="1" t="n"/>
      <c r="F527" s="1" t="n"/>
    </row>
    <row r="528" ht="15.75" customHeight="1" s="93">
      <c r="A528" s="1" t="n"/>
      <c r="B528" s="1" t="n"/>
      <c r="C528" s="1" t="n"/>
      <c r="D528" s="1" t="n"/>
      <c r="E528" s="1" t="n"/>
      <c r="F528" s="1" t="n"/>
    </row>
    <row r="529" ht="15.75" customHeight="1" s="93">
      <c r="A529" s="1" t="n"/>
      <c r="B529" s="1" t="n"/>
      <c r="C529" s="1" t="n"/>
      <c r="D529" s="1" t="n"/>
      <c r="E529" s="1" t="n"/>
      <c r="F529" s="1" t="n"/>
    </row>
    <row r="530" ht="15.75" customHeight="1" s="93">
      <c r="A530" s="1" t="n"/>
      <c r="B530" s="1" t="n"/>
      <c r="C530" s="1" t="n"/>
      <c r="D530" s="1" t="n"/>
      <c r="E530" s="1" t="n"/>
      <c r="F530" s="1" t="n"/>
    </row>
    <row r="531" ht="15.75" customHeight="1" s="93">
      <c r="A531" s="1" t="n"/>
      <c r="B531" s="1" t="n"/>
      <c r="C531" s="1" t="n"/>
      <c r="D531" s="1" t="n"/>
      <c r="E531" s="1" t="n"/>
      <c r="F531" s="1" t="n"/>
    </row>
    <row r="532" ht="15.75" customHeight="1" s="93">
      <c r="A532" s="1" t="n"/>
      <c r="B532" s="1" t="n"/>
      <c r="C532" s="1" t="n"/>
      <c r="D532" s="1" t="n"/>
      <c r="E532" s="1" t="n"/>
      <c r="F532" s="1" t="n"/>
    </row>
    <row r="533" ht="15.75" customHeight="1" s="93">
      <c r="A533" s="1" t="n"/>
      <c r="B533" s="1" t="n"/>
      <c r="C533" s="1" t="n"/>
      <c r="D533" s="1" t="n"/>
      <c r="E533" s="1" t="n"/>
      <c r="F533" s="1" t="n"/>
    </row>
    <row r="534" ht="15.75" customHeight="1" s="93">
      <c r="A534" s="1" t="n"/>
      <c r="B534" s="1" t="n"/>
      <c r="C534" s="1" t="n"/>
      <c r="D534" s="1" t="n"/>
      <c r="E534" s="1" t="n"/>
      <c r="F534" s="1" t="n"/>
    </row>
    <row r="535" ht="15.75" customHeight="1" s="93">
      <c r="A535" s="1" t="n"/>
      <c r="B535" s="1" t="n"/>
      <c r="C535" s="1" t="n"/>
      <c r="D535" s="1" t="n"/>
      <c r="E535" s="1" t="n"/>
      <c r="F535" s="1" t="n"/>
    </row>
    <row r="536" ht="15.75" customHeight="1" s="93">
      <c r="A536" s="1" t="n"/>
      <c r="B536" s="1" t="n"/>
      <c r="C536" s="1" t="n"/>
      <c r="D536" s="1" t="n"/>
      <c r="E536" s="1" t="n"/>
      <c r="F536" s="1" t="n"/>
    </row>
    <row r="537" ht="15.75" customHeight="1" s="93">
      <c r="A537" s="1" t="n"/>
      <c r="B537" s="1" t="n"/>
      <c r="C537" s="1" t="n"/>
      <c r="D537" s="1" t="n"/>
      <c r="E537" s="1" t="n"/>
      <c r="F537" s="1" t="n"/>
    </row>
    <row r="538" ht="15.75" customHeight="1" s="93">
      <c r="A538" s="1" t="n"/>
      <c r="B538" s="1" t="n"/>
      <c r="C538" s="1" t="n"/>
      <c r="D538" s="1" t="n"/>
      <c r="E538" s="1" t="n"/>
      <c r="F538" s="1" t="n"/>
    </row>
    <row r="539" ht="15.75" customHeight="1" s="93">
      <c r="A539" s="1" t="n"/>
      <c r="B539" s="1" t="n"/>
      <c r="C539" s="1" t="n"/>
      <c r="D539" s="1" t="n"/>
      <c r="E539" s="1" t="n"/>
      <c r="F539" s="1" t="n"/>
    </row>
    <row r="540" ht="15.75" customHeight="1" s="93">
      <c r="A540" s="1" t="n"/>
      <c r="B540" s="1" t="n"/>
      <c r="C540" s="1" t="n"/>
      <c r="D540" s="1" t="n"/>
      <c r="E540" s="1" t="n"/>
      <c r="F540" s="1" t="n"/>
    </row>
    <row r="541" ht="15.75" customHeight="1" s="93">
      <c r="A541" s="1" t="n"/>
      <c r="B541" s="1" t="n"/>
      <c r="C541" s="1" t="n"/>
      <c r="D541" s="1" t="n"/>
      <c r="E541" s="1" t="n"/>
      <c r="F541" s="1" t="n"/>
    </row>
    <row r="542" ht="15.75" customHeight="1" s="93">
      <c r="A542" s="1" t="n"/>
      <c r="B542" s="1" t="n"/>
      <c r="C542" s="1" t="n"/>
      <c r="D542" s="1" t="n"/>
      <c r="E542" s="1" t="n"/>
      <c r="F542" s="1" t="n"/>
    </row>
    <row r="543" ht="15.75" customHeight="1" s="93">
      <c r="A543" s="1" t="n"/>
      <c r="B543" s="1" t="n"/>
      <c r="C543" s="1" t="n"/>
      <c r="D543" s="1" t="n"/>
      <c r="E543" s="1" t="n"/>
      <c r="F543" s="1" t="n"/>
    </row>
    <row r="544" ht="15.75" customHeight="1" s="93">
      <c r="A544" s="1" t="n"/>
      <c r="B544" s="1" t="n"/>
      <c r="C544" s="1" t="n"/>
      <c r="D544" s="1" t="n"/>
      <c r="E544" s="1" t="n"/>
      <c r="F544" s="1" t="n"/>
    </row>
    <row r="545" ht="15.75" customHeight="1" s="93">
      <c r="A545" s="1" t="n"/>
      <c r="B545" s="1" t="n"/>
      <c r="C545" s="1" t="n"/>
      <c r="D545" s="1" t="n"/>
      <c r="E545" s="1" t="n"/>
      <c r="F545" s="1" t="n"/>
    </row>
    <row r="546" ht="15.75" customHeight="1" s="93">
      <c r="A546" s="1" t="n"/>
      <c r="B546" s="1" t="n"/>
      <c r="C546" s="1" t="n"/>
      <c r="D546" s="1" t="n"/>
      <c r="E546" s="1" t="n"/>
      <c r="F546" s="1" t="n"/>
    </row>
    <row r="547" ht="15.75" customHeight="1" s="93">
      <c r="A547" s="1" t="n"/>
      <c r="B547" s="1" t="n"/>
      <c r="C547" s="1" t="n"/>
      <c r="D547" s="1" t="n"/>
      <c r="E547" s="1" t="n"/>
      <c r="F547" s="1" t="n"/>
    </row>
    <row r="548" ht="15.75" customHeight="1" s="93">
      <c r="A548" s="1" t="n"/>
      <c r="B548" s="1" t="n"/>
      <c r="C548" s="1" t="n"/>
      <c r="D548" s="1" t="n"/>
      <c r="E548" s="1" t="n"/>
      <c r="F548" s="1" t="n"/>
    </row>
    <row r="549" ht="15.75" customHeight="1" s="93">
      <c r="A549" s="1" t="n"/>
      <c r="B549" s="1" t="n"/>
      <c r="C549" s="1" t="n"/>
      <c r="D549" s="1" t="n"/>
      <c r="E549" s="1" t="n"/>
      <c r="F549" s="1" t="n"/>
    </row>
    <row r="550" ht="15.75" customHeight="1" s="93">
      <c r="A550" s="1" t="n"/>
      <c r="B550" s="1" t="n"/>
      <c r="C550" s="1" t="n"/>
      <c r="D550" s="1" t="n"/>
      <c r="E550" s="1" t="n"/>
      <c r="F550" s="1" t="n"/>
    </row>
    <row r="551" ht="15.75" customHeight="1" s="93">
      <c r="A551" s="1" t="n"/>
      <c r="B551" s="1" t="n"/>
      <c r="C551" s="1" t="n"/>
      <c r="D551" s="1" t="n"/>
      <c r="E551" s="1" t="n"/>
      <c r="F551" s="1" t="n"/>
    </row>
    <row r="552" ht="15.75" customHeight="1" s="93">
      <c r="A552" s="1" t="n"/>
      <c r="B552" s="1" t="n"/>
      <c r="C552" s="1" t="n"/>
      <c r="D552" s="1" t="n"/>
      <c r="E552" s="1" t="n"/>
      <c r="F552" s="1" t="n"/>
    </row>
    <row r="553" ht="15.75" customHeight="1" s="93">
      <c r="A553" s="1" t="n"/>
      <c r="B553" s="1" t="n"/>
      <c r="C553" s="1" t="n"/>
      <c r="D553" s="1" t="n"/>
      <c r="E553" s="1" t="n"/>
      <c r="F553" s="1" t="n"/>
    </row>
    <row r="554" ht="15.75" customHeight="1" s="93">
      <c r="A554" s="1" t="n"/>
      <c r="B554" s="1" t="n"/>
      <c r="C554" s="1" t="n"/>
      <c r="D554" s="1" t="n"/>
      <c r="E554" s="1" t="n"/>
      <c r="F554" s="1" t="n"/>
    </row>
    <row r="555" ht="15.75" customHeight="1" s="93">
      <c r="A555" s="1" t="n"/>
      <c r="B555" s="1" t="n"/>
      <c r="C555" s="1" t="n"/>
      <c r="D555" s="1" t="n"/>
      <c r="E555" s="1" t="n"/>
      <c r="F555" s="1" t="n"/>
    </row>
    <row r="556" ht="15.75" customHeight="1" s="93">
      <c r="A556" s="1" t="n"/>
      <c r="B556" s="1" t="n"/>
      <c r="C556" s="1" t="n"/>
      <c r="D556" s="1" t="n"/>
      <c r="E556" s="1" t="n"/>
      <c r="F556" s="1" t="n"/>
    </row>
    <row r="557" ht="15.75" customHeight="1" s="93">
      <c r="A557" s="1" t="n"/>
      <c r="B557" s="1" t="n"/>
      <c r="C557" s="1" t="n"/>
      <c r="D557" s="1" t="n"/>
      <c r="E557" s="1" t="n"/>
      <c r="F557" s="1" t="n"/>
    </row>
    <row r="558" ht="15.75" customHeight="1" s="93">
      <c r="A558" s="1" t="n"/>
      <c r="B558" s="1" t="n"/>
      <c r="C558" s="1" t="n"/>
      <c r="D558" s="1" t="n"/>
      <c r="E558" s="1" t="n"/>
      <c r="F558" s="1" t="n"/>
    </row>
    <row r="559" ht="15.75" customHeight="1" s="93">
      <c r="A559" s="1" t="n"/>
      <c r="B559" s="1" t="n"/>
      <c r="C559" s="1" t="n"/>
      <c r="D559" s="1" t="n"/>
      <c r="E559" s="1" t="n"/>
      <c r="F559" s="1" t="n"/>
    </row>
    <row r="560" ht="15.75" customHeight="1" s="93">
      <c r="A560" s="1" t="n"/>
      <c r="B560" s="1" t="n"/>
      <c r="C560" s="1" t="n"/>
      <c r="D560" s="1" t="n"/>
      <c r="E560" s="1" t="n"/>
      <c r="F560" s="1" t="n"/>
    </row>
    <row r="561" ht="15.75" customHeight="1" s="93">
      <c r="A561" s="1" t="n"/>
      <c r="B561" s="1" t="n"/>
      <c r="C561" s="1" t="n"/>
      <c r="D561" s="1" t="n"/>
      <c r="E561" s="1" t="n"/>
      <c r="F561" s="1" t="n"/>
    </row>
    <row r="562" ht="15.75" customHeight="1" s="93">
      <c r="A562" s="1" t="n"/>
      <c r="B562" s="1" t="n"/>
      <c r="C562" s="1" t="n"/>
      <c r="D562" s="1" t="n"/>
      <c r="E562" s="1" t="n"/>
      <c r="F562" s="1" t="n"/>
    </row>
    <row r="563" ht="15.75" customHeight="1" s="93">
      <c r="A563" s="1" t="n"/>
      <c r="B563" s="1" t="n"/>
      <c r="C563" s="1" t="n"/>
      <c r="D563" s="1" t="n"/>
      <c r="E563" s="1" t="n"/>
      <c r="F563" s="1" t="n"/>
    </row>
    <row r="564" ht="15.75" customHeight="1" s="93">
      <c r="A564" s="1" t="n"/>
      <c r="B564" s="1" t="n"/>
      <c r="C564" s="1" t="n"/>
      <c r="D564" s="1" t="n"/>
      <c r="E564" s="1" t="n"/>
      <c r="F564" s="1" t="n"/>
    </row>
    <row r="565" ht="15.75" customHeight="1" s="93">
      <c r="A565" s="1" t="n"/>
      <c r="B565" s="1" t="n"/>
      <c r="C565" s="1" t="n"/>
      <c r="D565" s="1" t="n"/>
      <c r="E565" s="1" t="n"/>
      <c r="F565" s="1" t="n"/>
    </row>
    <row r="566" ht="15.75" customHeight="1" s="93">
      <c r="A566" s="1" t="n"/>
      <c r="B566" s="1" t="n"/>
      <c r="C566" s="1" t="n"/>
      <c r="D566" s="1" t="n"/>
      <c r="E566" s="1" t="n"/>
      <c r="F566" s="1" t="n"/>
    </row>
    <row r="567" ht="15.75" customHeight="1" s="93">
      <c r="A567" s="1" t="n"/>
      <c r="B567" s="1" t="n"/>
      <c r="C567" s="1" t="n"/>
      <c r="D567" s="1" t="n"/>
      <c r="E567" s="1" t="n"/>
      <c r="F567" s="1" t="n"/>
    </row>
    <row r="568" ht="15.75" customHeight="1" s="93">
      <c r="A568" s="1" t="n"/>
      <c r="B568" s="1" t="n"/>
      <c r="C568" s="1" t="n"/>
      <c r="D568" s="1" t="n"/>
      <c r="E568" s="1" t="n"/>
      <c r="F568" s="1" t="n"/>
    </row>
    <row r="569" ht="15.75" customHeight="1" s="93">
      <c r="A569" s="1" t="n"/>
      <c r="B569" s="1" t="n"/>
      <c r="C569" s="1" t="n"/>
      <c r="D569" s="1" t="n"/>
      <c r="E569" s="1" t="n"/>
      <c r="F569" s="1" t="n"/>
    </row>
    <row r="570" ht="15.75" customHeight="1" s="93">
      <c r="A570" s="1" t="n"/>
      <c r="B570" s="1" t="n"/>
      <c r="C570" s="1" t="n"/>
      <c r="D570" s="1" t="n"/>
      <c r="E570" s="1" t="n"/>
      <c r="F570" s="1" t="n"/>
    </row>
    <row r="571" ht="15.75" customHeight="1" s="93">
      <c r="A571" s="1" t="n"/>
      <c r="B571" s="1" t="n"/>
      <c r="C571" s="1" t="n"/>
      <c r="D571" s="1" t="n"/>
      <c r="E571" s="1" t="n"/>
      <c r="F571" s="1" t="n"/>
    </row>
    <row r="572" ht="15.75" customHeight="1" s="93">
      <c r="A572" s="1" t="n"/>
      <c r="B572" s="1" t="n"/>
      <c r="C572" s="1" t="n"/>
      <c r="D572" s="1" t="n"/>
      <c r="E572" s="1" t="n"/>
      <c r="F572" s="1" t="n"/>
    </row>
    <row r="573" ht="15.75" customHeight="1" s="93">
      <c r="A573" s="1" t="n"/>
      <c r="B573" s="1" t="n"/>
      <c r="C573" s="1" t="n"/>
      <c r="D573" s="1" t="n"/>
      <c r="E573" s="1" t="n"/>
      <c r="F573" s="1" t="n"/>
    </row>
    <row r="574" ht="15.75" customHeight="1" s="93">
      <c r="A574" s="1" t="n"/>
      <c r="B574" s="1" t="n"/>
      <c r="C574" s="1" t="n"/>
      <c r="D574" s="1" t="n"/>
      <c r="E574" s="1" t="n"/>
      <c r="F574" s="1" t="n"/>
    </row>
    <row r="575" ht="15.75" customHeight="1" s="93">
      <c r="A575" s="1" t="n"/>
      <c r="B575" s="1" t="n"/>
      <c r="C575" s="1" t="n"/>
      <c r="D575" s="1" t="n"/>
      <c r="E575" s="1" t="n"/>
      <c r="F575" s="1" t="n"/>
    </row>
    <row r="576" ht="15.75" customHeight="1" s="93">
      <c r="A576" s="1" t="n"/>
      <c r="B576" s="1" t="n"/>
      <c r="C576" s="1" t="n"/>
      <c r="D576" s="1" t="n"/>
      <c r="E576" s="1" t="n"/>
      <c r="F576" s="1" t="n"/>
    </row>
    <row r="577" ht="15.75" customHeight="1" s="93">
      <c r="A577" s="1" t="n"/>
      <c r="B577" s="1" t="n"/>
      <c r="C577" s="1" t="n"/>
      <c r="D577" s="1" t="n"/>
      <c r="E577" s="1" t="n"/>
      <c r="F577" s="1" t="n"/>
    </row>
    <row r="578" ht="15.75" customHeight="1" s="93">
      <c r="A578" s="1" t="n"/>
      <c r="B578" s="1" t="n"/>
      <c r="C578" s="1" t="n"/>
      <c r="D578" s="1" t="n"/>
      <c r="E578" s="1" t="n"/>
      <c r="F578" s="1" t="n"/>
    </row>
    <row r="579" ht="15.75" customHeight="1" s="93">
      <c r="A579" s="1" t="n"/>
      <c r="B579" s="1" t="n"/>
      <c r="C579" s="1" t="n"/>
      <c r="D579" s="1" t="n"/>
      <c r="E579" s="1" t="n"/>
      <c r="F579" s="1" t="n"/>
    </row>
    <row r="580" ht="15.75" customHeight="1" s="93">
      <c r="A580" s="1" t="n"/>
      <c r="B580" s="1" t="n"/>
      <c r="C580" s="1" t="n"/>
      <c r="D580" s="1" t="n"/>
      <c r="E580" s="1" t="n"/>
      <c r="F580" s="1" t="n"/>
    </row>
    <row r="581" ht="15.75" customHeight="1" s="93">
      <c r="A581" s="1" t="n"/>
      <c r="B581" s="1" t="n"/>
      <c r="C581" s="1" t="n"/>
      <c r="D581" s="1" t="n"/>
      <c r="E581" s="1" t="n"/>
      <c r="F581" s="1" t="n"/>
    </row>
    <row r="582" ht="15.75" customHeight="1" s="93">
      <c r="A582" s="1" t="n"/>
      <c r="B582" s="1" t="n"/>
      <c r="C582" s="1" t="n"/>
      <c r="D582" s="1" t="n"/>
      <c r="E582" s="1" t="n"/>
      <c r="F582" s="1" t="n"/>
    </row>
    <row r="583" ht="15.75" customHeight="1" s="93">
      <c r="A583" s="1" t="n"/>
      <c r="B583" s="1" t="n"/>
      <c r="C583" s="1" t="n"/>
      <c r="D583" s="1" t="n"/>
      <c r="E583" s="1" t="n"/>
      <c r="F583" s="1" t="n"/>
    </row>
    <row r="584" ht="15.75" customHeight="1" s="93">
      <c r="A584" s="1" t="n"/>
      <c r="B584" s="1" t="n"/>
      <c r="C584" s="1" t="n"/>
      <c r="D584" s="1" t="n"/>
      <c r="E584" s="1" t="n"/>
      <c r="F584" s="1" t="n"/>
    </row>
    <row r="585" ht="15.75" customHeight="1" s="93">
      <c r="A585" s="1" t="n"/>
      <c r="B585" s="1" t="n"/>
      <c r="C585" s="1" t="n"/>
      <c r="D585" s="1" t="n"/>
      <c r="E585" s="1" t="n"/>
      <c r="F585" s="1" t="n"/>
    </row>
    <row r="586" ht="15.75" customHeight="1" s="93">
      <c r="A586" s="1" t="n"/>
      <c r="B586" s="1" t="n"/>
      <c r="C586" s="1" t="n"/>
      <c r="D586" s="1" t="n"/>
      <c r="E586" s="1" t="n"/>
      <c r="F586" s="1" t="n"/>
    </row>
    <row r="587" ht="15.75" customHeight="1" s="93">
      <c r="A587" s="1" t="n"/>
      <c r="B587" s="1" t="n"/>
      <c r="C587" s="1" t="n"/>
      <c r="D587" s="1" t="n"/>
      <c r="E587" s="1" t="n"/>
      <c r="F587" s="1" t="n"/>
    </row>
    <row r="588" ht="15.75" customHeight="1" s="93">
      <c r="A588" s="1" t="n"/>
      <c r="B588" s="1" t="n"/>
      <c r="C588" s="1" t="n"/>
      <c r="D588" s="1" t="n"/>
      <c r="E588" s="1" t="n"/>
      <c r="F588" s="1" t="n"/>
    </row>
    <row r="589" ht="15.75" customHeight="1" s="93">
      <c r="A589" s="1" t="n"/>
      <c r="B589" s="1" t="n"/>
      <c r="C589" s="1" t="n"/>
      <c r="D589" s="1" t="n"/>
      <c r="E589" s="1" t="n"/>
      <c r="F589" s="1" t="n"/>
    </row>
    <row r="590" ht="15.75" customHeight="1" s="93">
      <c r="A590" s="1" t="n"/>
      <c r="B590" s="1" t="n"/>
      <c r="C590" s="1" t="n"/>
      <c r="D590" s="1" t="n"/>
      <c r="E590" s="1" t="n"/>
      <c r="F590" s="1" t="n"/>
    </row>
    <row r="591" ht="15.75" customHeight="1" s="93">
      <c r="A591" s="1" t="n"/>
      <c r="B591" s="1" t="n"/>
      <c r="C591" s="1" t="n"/>
      <c r="D591" s="1" t="n"/>
      <c r="E591" s="1" t="n"/>
      <c r="F591" s="1" t="n"/>
    </row>
    <row r="592" ht="15.75" customHeight="1" s="93">
      <c r="A592" s="1" t="n"/>
      <c r="B592" s="1" t="n"/>
      <c r="C592" s="1" t="n"/>
      <c r="D592" s="1" t="n"/>
      <c r="E592" s="1" t="n"/>
      <c r="F592" s="1" t="n"/>
    </row>
    <row r="593" ht="15.75" customHeight="1" s="93">
      <c r="A593" s="1" t="n"/>
      <c r="B593" s="1" t="n"/>
      <c r="C593" s="1" t="n"/>
      <c r="D593" s="1" t="n"/>
      <c r="E593" s="1" t="n"/>
      <c r="F593" s="1" t="n"/>
    </row>
    <row r="594" ht="15.75" customHeight="1" s="93">
      <c r="A594" s="1" t="n"/>
      <c r="B594" s="1" t="n"/>
      <c r="C594" s="1" t="n"/>
      <c r="D594" s="1" t="n"/>
      <c r="E594" s="1" t="n"/>
      <c r="F594" s="1" t="n"/>
    </row>
    <row r="595" ht="15.75" customHeight="1" s="93">
      <c r="A595" s="1" t="n"/>
      <c r="B595" s="1" t="n"/>
      <c r="C595" s="1" t="n"/>
      <c r="D595" s="1" t="n"/>
      <c r="E595" s="1" t="n"/>
      <c r="F595" s="1" t="n"/>
    </row>
    <row r="596" ht="15.75" customHeight="1" s="93">
      <c r="A596" s="1" t="n"/>
      <c r="B596" s="1" t="n"/>
      <c r="C596" s="1" t="n"/>
      <c r="D596" s="1" t="n"/>
      <c r="E596" s="1" t="n"/>
      <c r="F596" s="1" t="n"/>
    </row>
    <row r="597" ht="15.75" customHeight="1" s="93">
      <c r="A597" s="1" t="n"/>
      <c r="B597" s="1" t="n"/>
      <c r="C597" s="1" t="n"/>
      <c r="D597" s="1" t="n"/>
      <c r="E597" s="1" t="n"/>
      <c r="F597" s="1" t="n"/>
    </row>
    <row r="598" ht="15.75" customHeight="1" s="93">
      <c r="A598" s="1" t="n"/>
      <c r="B598" s="1" t="n"/>
      <c r="C598" s="1" t="n"/>
      <c r="D598" s="1" t="n"/>
      <c r="E598" s="1" t="n"/>
      <c r="F598" s="1" t="n"/>
    </row>
    <row r="599" ht="15.75" customHeight="1" s="93">
      <c r="A599" s="1" t="n"/>
      <c r="B599" s="1" t="n"/>
      <c r="C599" s="1" t="n"/>
      <c r="D599" s="1" t="n"/>
      <c r="E599" s="1" t="n"/>
      <c r="F599" s="1" t="n"/>
    </row>
    <row r="600" ht="15.75" customHeight="1" s="93">
      <c r="A600" s="1" t="n"/>
      <c r="B600" s="1" t="n"/>
      <c r="C600" s="1" t="n"/>
      <c r="D600" s="1" t="n"/>
      <c r="E600" s="1" t="n"/>
      <c r="F600" s="1" t="n"/>
    </row>
    <row r="601" ht="15.75" customHeight="1" s="93">
      <c r="A601" s="1" t="n"/>
      <c r="B601" s="1" t="n"/>
      <c r="C601" s="1" t="n"/>
      <c r="D601" s="1" t="n"/>
      <c r="E601" s="1" t="n"/>
      <c r="F601" s="1" t="n"/>
    </row>
    <row r="602" ht="15.75" customHeight="1" s="93">
      <c r="A602" s="1" t="n"/>
      <c r="B602" s="1" t="n"/>
      <c r="C602" s="1" t="n"/>
      <c r="D602" s="1" t="n"/>
      <c r="E602" s="1" t="n"/>
      <c r="F602" s="1" t="n"/>
    </row>
    <row r="603" ht="15.75" customHeight="1" s="93">
      <c r="A603" s="1" t="n"/>
      <c r="B603" s="1" t="n"/>
      <c r="C603" s="1" t="n"/>
      <c r="D603" s="1" t="n"/>
      <c r="E603" s="1" t="n"/>
      <c r="F603" s="1" t="n"/>
    </row>
    <row r="604" ht="15.75" customHeight="1" s="93">
      <c r="A604" s="1" t="n"/>
      <c r="B604" s="1" t="n"/>
      <c r="C604" s="1" t="n"/>
      <c r="D604" s="1" t="n"/>
      <c r="E604" s="1" t="n"/>
      <c r="F604" s="1" t="n"/>
    </row>
    <row r="605" ht="15.75" customHeight="1" s="93">
      <c r="A605" s="1" t="n"/>
      <c r="B605" s="1" t="n"/>
      <c r="C605" s="1" t="n"/>
      <c r="D605" s="1" t="n"/>
      <c r="E605" s="1" t="n"/>
      <c r="F605" s="1" t="n"/>
    </row>
    <row r="606" ht="15.75" customHeight="1" s="93">
      <c r="A606" s="1" t="n"/>
      <c r="B606" s="1" t="n"/>
      <c r="C606" s="1" t="n"/>
      <c r="D606" s="1" t="n"/>
      <c r="E606" s="1" t="n"/>
      <c r="F606" s="1" t="n"/>
    </row>
    <row r="607" ht="15.75" customHeight="1" s="93">
      <c r="A607" s="1" t="n"/>
      <c r="B607" s="1" t="n"/>
      <c r="C607" s="1" t="n"/>
      <c r="D607" s="1" t="n"/>
      <c r="E607" s="1" t="n"/>
      <c r="F607" s="1" t="n"/>
    </row>
    <row r="608" ht="15.75" customHeight="1" s="93">
      <c r="A608" s="1" t="n"/>
      <c r="B608" s="1" t="n"/>
      <c r="C608" s="1" t="n"/>
      <c r="D608" s="1" t="n"/>
      <c r="E608" s="1" t="n"/>
      <c r="F608" s="1" t="n"/>
    </row>
    <row r="609" ht="15.75" customHeight="1" s="93">
      <c r="A609" s="1" t="n"/>
      <c r="B609" s="1" t="n"/>
      <c r="C609" s="1" t="n"/>
      <c r="D609" s="1" t="n"/>
      <c r="E609" s="1" t="n"/>
      <c r="F609" s="1" t="n"/>
    </row>
    <row r="610" ht="15.75" customHeight="1" s="93">
      <c r="A610" s="1" t="n"/>
      <c r="B610" s="1" t="n"/>
      <c r="C610" s="1" t="n"/>
      <c r="D610" s="1" t="n"/>
      <c r="E610" s="1" t="n"/>
      <c r="F610" s="1" t="n"/>
    </row>
    <row r="611" ht="15.75" customHeight="1" s="93">
      <c r="A611" s="1" t="n"/>
      <c r="B611" s="1" t="n"/>
      <c r="C611" s="1" t="n"/>
      <c r="D611" s="1" t="n"/>
      <c r="E611" s="1" t="n"/>
      <c r="F611" s="1" t="n"/>
    </row>
    <row r="612" ht="15.75" customHeight="1" s="93">
      <c r="A612" s="1" t="n"/>
      <c r="B612" s="1" t="n"/>
      <c r="C612" s="1" t="n"/>
      <c r="D612" s="1" t="n"/>
      <c r="E612" s="1" t="n"/>
      <c r="F612" s="1" t="n"/>
    </row>
    <row r="613" ht="15.75" customHeight="1" s="93">
      <c r="A613" s="1" t="n"/>
      <c r="B613" s="1" t="n"/>
      <c r="C613" s="1" t="n"/>
      <c r="D613" s="1" t="n"/>
      <c r="E613" s="1" t="n"/>
      <c r="F613" s="1" t="n"/>
    </row>
    <row r="614" ht="15.75" customHeight="1" s="93">
      <c r="A614" s="1" t="n"/>
      <c r="B614" s="1" t="n"/>
      <c r="C614" s="1" t="n"/>
      <c r="D614" s="1" t="n"/>
      <c r="E614" s="1" t="n"/>
      <c r="F614" s="1" t="n"/>
    </row>
    <row r="615" ht="15.75" customHeight="1" s="93">
      <c r="A615" s="1" t="n"/>
      <c r="B615" s="1" t="n"/>
      <c r="C615" s="1" t="n"/>
      <c r="D615" s="1" t="n"/>
      <c r="E615" s="1" t="n"/>
      <c r="F615" s="1" t="n"/>
    </row>
    <row r="616" ht="15.75" customHeight="1" s="93">
      <c r="A616" s="1" t="n"/>
      <c r="B616" s="1" t="n"/>
      <c r="C616" s="1" t="n"/>
      <c r="D616" s="1" t="n"/>
      <c r="E616" s="1" t="n"/>
      <c r="F616" s="1" t="n"/>
    </row>
    <row r="617" ht="15.75" customHeight="1" s="93">
      <c r="A617" s="1" t="n"/>
      <c r="B617" s="1" t="n"/>
      <c r="C617" s="1" t="n"/>
      <c r="D617" s="1" t="n"/>
      <c r="E617" s="1" t="n"/>
      <c r="F617" s="1" t="n"/>
    </row>
    <row r="618" ht="15.75" customHeight="1" s="93">
      <c r="A618" s="1" t="n"/>
      <c r="B618" s="1" t="n"/>
      <c r="C618" s="1" t="n"/>
      <c r="D618" s="1" t="n"/>
      <c r="E618" s="1" t="n"/>
      <c r="F618" s="1" t="n"/>
    </row>
    <row r="619" ht="15.75" customHeight="1" s="93">
      <c r="A619" s="1" t="n"/>
      <c r="B619" s="1" t="n"/>
      <c r="C619" s="1" t="n"/>
      <c r="D619" s="1" t="n"/>
      <c r="E619" s="1" t="n"/>
      <c r="F619" s="1" t="n"/>
    </row>
    <row r="620" ht="15.75" customHeight="1" s="93">
      <c r="A620" s="1" t="n"/>
      <c r="B620" s="1" t="n"/>
      <c r="C620" s="1" t="n"/>
      <c r="D620" s="1" t="n"/>
      <c r="E620" s="1" t="n"/>
      <c r="F620" s="1" t="n"/>
    </row>
    <row r="621" ht="15.75" customHeight="1" s="93">
      <c r="A621" s="1" t="n"/>
      <c r="B621" s="1" t="n"/>
      <c r="C621" s="1" t="n"/>
      <c r="D621" s="1" t="n"/>
      <c r="E621" s="1" t="n"/>
      <c r="F621" s="1" t="n"/>
    </row>
    <row r="622" ht="15.75" customHeight="1" s="93">
      <c r="A622" s="1" t="n"/>
      <c r="B622" s="1" t="n"/>
      <c r="C622" s="1" t="n"/>
      <c r="D622" s="1" t="n"/>
      <c r="E622" s="1" t="n"/>
      <c r="F622" s="1" t="n"/>
    </row>
    <row r="623" ht="15.75" customHeight="1" s="93">
      <c r="A623" s="1" t="n"/>
      <c r="B623" s="1" t="n"/>
      <c r="C623" s="1" t="n"/>
      <c r="D623" s="1" t="n"/>
      <c r="E623" s="1" t="n"/>
      <c r="F623" s="1" t="n"/>
    </row>
    <row r="624" ht="15.75" customHeight="1" s="93">
      <c r="A624" s="1" t="n"/>
      <c r="B624" s="1" t="n"/>
      <c r="C624" s="1" t="n"/>
      <c r="D624" s="1" t="n"/>
      <c r="E624" s="1" t="n"/>
      <c r="F624" s="1" t="n"/>
    </row>
    <row r="625" ht="15.75" customHeight="1" s="93">
      <c r="A625" s="1" t="n"/>
      <c r="B625" s="1" t="n"/>
      <c r="C625" s="1" t="n"/>
      <c r="D625" s="1" t="n"/>
      <c r="E625" s="1" t="n"/>
      <c r="F625" s="1" t="n"/>
    </row>
    <row r="626" ht="15.75" customHeight="1" s="93">
      <c r="A626" s="1" t="n"/>
      <c r="B626" s="1" t="n"/>
      <c r="C626" s="1" t="n"/>
      <c r="D626" s="1" t="n"/>
      <c r="E626" s="1" t="n"/>
      <c r="F626" s="1" t="n"/>
    </row>
    <row r="627" ht="15.75" customHeight="1" s="93">
      <c r="A627" s="1" t="n"/>
      <c r="B627" s="1" t="n"/>
      <c r="C627" s="1" t="n"/>
      <c r="D627" s="1" t="n"/>
      <c r="E627" s="1" t="n"/>
      <c r="F627" s="1" t="n"/>
    </row>
    <row r="628" ht="15.75" customHeight="1" s="93">
      <c r="A628" s="1" t="n"/>
      <c r="B628" s="1" t="n"/>
      <c r="C628" s="1" t="n"/>
      <c r="D628" s="1" t="n"/>
      <c r="E628" s="1" t="n"/>
      <c r="F628" s="1" t="n"/>
    </row>
    <row r="629" ht="15.75" customHeight="1" s="93">
      <c r="A629" s="1" t="n"/>
      <c r="B629" s="1" t="n"/>
      <c r="C629" s="1" t="n"/>
      <c r="D629" s="1" t="n"/>
      <c r="E629" s="1" t="n"/>
      <c r="F629" s="1" t="n"/>
    </row>
    <row r="630" ht="15.75" customHeight="1" s="93">
      <c r="A630" s="1" t="n"/>
      <c r="B630" s="1" t="n"/>
      <c r="C630" s="1" t="n"/>
      <c r="D630" s="1" t="n"/>
      <c r="E630" s="1" t="n"/>
      <c r="F630" s="1" t="n"/>
    </row>
    <row r="631" ht="15.75" customHeight="1" s="93">
      <c r="A631" s="1" t="n"/>
      <c r="B631" s="1" t="n"/>
      <c r="C631" s="1" t="n"/>
      <c r="D631" s="1" t="n"/>
      <c r="E631" s="1" t="n"/>
      <c r="F631" s="1" t="n"/>
    </row>
    <row r="632" ht="15.75" customHeight="1" s="93">
      <c r="A632" s="1" t="n"/>
      <c r="B632" s="1" t="n"/>
      <c r="C632" s="1" t="n"/>
      <c r="D632" s="1" t="n"/>
      <c r="E632" s="1" t="n"/>
      <c r="F632" s="1" t="n"/>
    </row>
    <row r="633" ht="15.75" customHeight="1" s="93">
      <c r="A633" s="1" t="n"/>
      <c r="B633" s="1" t="n"/>
      <c r="C633" s="1" t="n"/>
      <c r="D633" s="1" t="n"/>
      <c r="E633" s="1" t="n"/>
      <c r="F633" s="1" t="n"/>
    </row>
    <row r="634" ht="15.75" customHeight="1" s="93">
      <c r="A634" s="1" t="n"/>
      <c r="B634" s="1" t="n"/>
      <c r="C634" s="1" t="n"/>
      <c r="D634" s="1" t="n"/>
      <c r="E634" s="1" t="n"/>
      <c r="F634" s="1" t="n"/>
    </row>
    <row r="635" ht="15.75" customHeight="1" s="93">
      <c r="A635" s="1" t="n"/>
      <c r="B635" s="1" t="n"/>
      <c r="C635" s="1" t="n"/>
      <c r="D635" s="1" t="n"/>
      <c r="E635" s="1" t="n"/>
      <c r="F635" s="1" t="n"/>
    </row>
    <row r="636" ht="15.75" customHeight="1" s="93">
      <c r="A636" s="1" t="n"/>
      <c r="B636" s="1" t="n"/>
      <c r="C636" s="1" t="n"/>
      <c r="D636" s="1" t="n"/>
      <c r="E636" s="1" t="n"/>
      <c r="F636" s="1" t="n"/>
    </row>
    <row r="637" ht="15.75" customHeight="1" s="93">
      <c r="A637" s="1" t="n"/>
      <c r="B637" s="1" t="n"/>
      <c r="C637" s="1" t="n"/>
      <c r="D637" s="1" t="n"/>
      <c r="E637" s="1" t="n"/>
      <c r="F637" s="1" t="n"/>
    </row>
    <row r="638" ht="15.75" customHeight="1" s="93">
      <c r="A638" s="1" t="n"/>
      <c r="B638" s="1" t="n"/>
      <c r="C638" s="1" t="n"/>
      <c r="D638" s="1" t="n"/>
      <c r="E638" s="1" t="n"/>
      <c r="F638" s="1" t="n"/>
    </row>
    <row r="639" ht="15.75" customHeight="1" s="93">
      <c r="A639" s="1" t="n"/>
      <c r="B639" s="1" t="n"/>
      <c r="C639" s="1" t="n"/>
      <c r="D639" s="1" t="n"/>
      <c r="E639" s="1" t="n"/>
      <c r="F639" s="1" t="n"/>
    </row>
    <row r="640" ht="15.75" customHeight="1" s="93">
      <c r="A640" s="1" t="n"/>
      <c r="B640" s="1" t="n"/>
      <c r="C640" s="1" t="n"/>
      <c r="D640" s="1" t="n"/>
      <c r="E640" s="1" t="n"/>
      <c r="F640" s="1" t="n"/>
    </row>
    <row r="641" ht="15.75" customHeight="1" s="93">
      <c r="A641" s="1" t="n"/>
      <c r="B641" s="1" t="n"/>
      <c r="C641" s="1" t="n"/>
      <c r="D641" s="1" t="n"/>
      <c r="E641" s="1" t="n"/>
      <c r="F641" s="1" t="n"/>
    </row>
    <row r="642" ht="15.75" customHeight="1" s="93">
      <c r="A642" s="1" t="n"/>
      <c r="B642" s="1" t="n"/>
      <c r="C642" s="1" t="n"/>
      <c r="D642" s="1" t="n"/>
      <c r="E642" s="1" t="n"/>
      <c r="F642" s="1" t="n"/>
    </row>
    <row r="643" ht="15.75" customHeight="1" s="93">
      <c r="A643" s="1" t="n"/>
      <c r="B643" s="1" t="n"/>
      <c r="C643" s="1" t="n"/>
      <c r="D643" s="1" t="n"/>
      <c r="E643" s="1" t="n"/>
      <c r="F643" s="1" t="n"/>
    </row>
    <row r="644" ht="15.75" customHeight="1" s="93">
      <c r="A644" s="1" t="n"/>
      <c r="B644" s="1" t="n"/>
      <c r="C644" s="1" t="n"/>
      <c r="D644" s="1" t="n"/>
      <c r="E644" s="1" t="n"/>
      <c r="F644" s="1" t="n"/>
    </row>
    <row r="645" ht="15.75" customHeight="1" s="93">
      <c r="A645" s="1" t="n"/>
      <c r="B645" s="1" t="n"/>
      <c r="C645" s="1" t="n"/>
      <c r="D645" s="1" t="n"/>
      <c r="E645" s="1" t="n"/>
      <c r="F645" s="1" t="n"/>
    </row>
    <row r="646" ht="15.75" customHeight="1" s="93">
      <c r="A646" s="1" t="n"/>
      <c r="B646" s="1" t="n"/>
      <c r="C646" s="1" t="n"/>
      <c r="D646" s="1" t="n"/>
      <c r="E646" s="1" t="n"/>
      <c r="F646" s="1" t="n"/>
    </row>
    <row r="647" ht="15.75" customHeight="1" s="93">
      <c r="A647" s="1" t="n"/>
      <c r="B647" s="1" t="n"/>
      <c r="C647" s="1" t="n"/>
      <c r="D647" s="1" t="n"/>
      <c r="E647" s="1" t="n"/>
      <c r="F647" s="1" t="n"/>
    </row>
    <row r="648" ht="15.75" customHeight="1" s="93">
      <c r="A648" s="1" t="n"/>
      <c r="B648" s="1" t="n"/>
      <c r="C648" s="1" t="n"/>
      <c r="D648" s="1" t="n"/>
      <c r="E648" s="1" t="n"/>
      <c r="F648" s="1" t="n"/>
    </row>
    <row r="649" ht="15.75" customHeight="1" s="93">
      <c r="A649" s="1" t="n"/>
      <c r="B649" s="1" t="n"/>
      <c r="C649" s="1" t="n"/>
      <c r="D649" s="1" t="n"/>
      <c r="E649" s="1" t="n"/>
      <c r="F649" s="1" t="n"/>
    </row>
    <row r="650" ht="15.75" customHeight="1" s="93">
      <c r="A650" s="1" t="n"/>
      <c r="B650" s="1" t="n"/>
      <c r="C650" s="1" t="n"/>
      <c r="D650" s="1" t="n"/>
      <c r="E650" s="1" t="n"/>
      <c r="F650" s="1" t="n"/>
    </row>
    <row r="651" ht="15.75" customHeight="1" s="93">
      <c r="A651" s="1" t="n"/>
      <c r="B651" s="1" t="n"/>
      <c r="C651" s="1" t="n"/>
      <c r="D651" s="1" t="n"/>
      <c r="E651" s="1" t="n"/>
      <c r="F651" s="1" t="n"/>
    </row>
    <row r="652" ht="15.75" customHeight="1" s="93">
      <c r="A652" s="1" t="n"/>
      <c r="B652" s="1" t="n"/>
      <c r="C652" s="1" t="n"/>
      <c r="D652" s="1" t="n"/>
      <c r="E652" s="1" t="n"/>
      <c r="F652" s="1" t="n"/>
    </row>
    <row r="653" ht="15.75" customHeight="1" s="93">
      <c r="A653" s="1" t="n"/>
      <c r="B653" s="1" t="n"/>
      <c r="C653" s="1" t="n"/>
      <c r="D653" s="1" t="n"/>
      <c r="E653" s="1" t="n"/>
      <c r="F653" s="1" t="n"/>
    </row>
    <row r="654" ht="15.75" customHeight="1" s="93">
      <c r="A654" s="1" t="n"/>
      <c r="B654" s="1" t="n"/>
      <c r="C654" s="1" t="n"/>
      <c r="D654" s="1" t="n"/>
      <c r="E654" s="1" t="n"/>
      <c r="F654" s="1" t="n"/>
    </row>
    <row r="655" ht="15.75" customHeight="1" s="93">
      <c r="A655" s="1" t="n"/>
      <c r="B655" s="1" t="n"/>
      <c r="C655" s="1" t="n"/>
      <c r="D655" s="1" t="n"/>
      <c r="E655" s="1" t="n"/>
      <c r="F655" s="1" t="n"/>
    </row>
    <row r="656" ht="15.75" customHeight="1" s="93">
      <c r="A656" s="1" t="n"/>
      <c r="B656" s="1" t="n"/>
      <c r="C656" s="1" t="n"/>
      <c r="D656" s="1" t="n"/>
      <c r="E656" s="1" t="n"/>
      <c r="F656" s="1" t="n"/>
    </row>
    <row r="657" ht="15.75" customHeight="1" s="93">
      <c r="A657" s="1" t="n"/>
      <c r="B657" s="1" t="n"/>
      <c r="C657" s="1" t="n"/>
      <c r="D657" s="1" t="n"/>
      <c r="E657" s="1" t="n"/>
      <c r="F657" s="1" t="n"/>
    </row>
    <row r="658" ht="15.75" customHeight="1" s="93">
      <c r="A658" s="1" t="n"/>
      <c r="B658" s="1" t="n"/>
      <c r="C658" s="1" t="n"/>
      <c r="D658" s="1" t="n"/>
      <c r="E658" s="1" t="n"/>
      <c r="F658" s="1" t="n"/>
    </row>
    <row r="659" ht="15.75" customHeight="1" s="93">
      <c r="A659" s="1" t="n"/>
      <c r="B659" s="1" t="n"/>
      <c r="C659" s="1" t="n"/>
      <c r="D659" s="1" t="n"/>
      <c r="E659" s="1" t="n"/>
      <c r="F659" s="1" t="n"/>
    </row>
    <row r="660" ht="15.75" customHeight="1" s="93">
      <c r="A660" s="1" t="n"/>
      <c r="B660" s="1" t="n"/>
      <c r="C660" s="1" t="n"/>
      <c r="D660" s="1" t="n"/>
      <c r="E660" s="1" t="n"/>
      <c r="F660" s="1" t="n"/>
    </row>
    <row r="661" ht="15.75" customHeight="1" s="93">
      <c r="A661" s="1" t="n"/>
      <c r="B661" s="1" t="n"/>
      <c r="C661" s="1" t="n"/>
      <c r="D661" s="1" t="n"/>
      <c r="E661" s="1" t="n"/>
      <c r="F661" s="1" t="n"/>
    </row>
    <row r="662" ht="15.75" customHeight="1" s="93">
      <c r="A662" s="1" t="n"/>
      <c r="B662" s="1" t="n"/>
      <c r="C662" s="1" t="n"/>
      <c r="D662" s="1" t="n"/>
      <c r="E662" s="1" t="n"/>
      <c r="F662" s="1" t="n"/>
    </row>
    <row r="663" ht="15.75" customHeight="1" s="93">
      <c r="A663" s="1" t="n"/>
      <c r="B663" s="1" t="n"/>
      <c r="C663" s="1" t="n"/>
      <c r="D663" s="1" t="n"/>
      <c r="E663" s="1" t="n"/>
      <c r="F663" s="1" t="n"/>
    </row>
    <row r="664" ht="15.75" customHeight="1" s="93">
      <c r="A664" s="1" t="n"/>
      <c r="B664" s="1" t="n"/>
      <c r="C664" s="1" t="n"/>
      <c r="D664" s="1" t="n"/>
      <c r="E664" s="1" t="n"/>
      <c r="F664" s="1" t="n"/>
    </row>
    <row r="665" ht="15.75" customHeight="1" s="93">
      <c r="A665" s="1" t="n"/>
      <c r="B665" s="1" t="n"/>
      <c r="C665" s="1" t="n"/>
      <c r="D665" s="1" t="n"/>
      <c r="E665" s="1" t="n"/>
      <c r="F665" s="1" t="n"/>
    </row>
    <row r="666" ht="15.75" customHeight="1" s="93">
      <c r="A666" s="1" t="n"/>
      <c r="B666" s="1" t="n"/>
      <c r="C666" s="1" t="n"/>
      <c r="D666" s="1" t="n"/>
      <c r="E666" s="1" t="n"/>
      <c r="F666" s="1" t="n"/>
    </row>
    <row r="667" ht="15.75" customHeight="1" s="93">
      <c r="A667" s="1" t="n"/>
      <c r="B667" s="1" t="n"/>
      <c r="C667" s="1" t="n"/>
      <c r="D667" s="1" t="n"/>
      <c r="E667" s="1" t="n"/>
      <c r="F667" s="1" t="n"/>
    </row>
    <row r="668" ht="15.75" customHeight="1" s="93">
      <c r="A668" s="1" t="n"/>
      <c r="B668" s="1" t="n"/>
      <c r="C668" s="1" t="n"/>
      <c r="D668" s="1" t="n"/>
      <c r="E668" s="1" t="n"/>
      <c r="F668" s="1" t="n"/>
    </row>
    <row r="669" ht="15.75" customHeight="1" s="93">
      <c r="A669" s="1" t="n"/>
      <c r="B669" s="1" t="n"/>
      <c r="C669" s="1" t="n"/>
      <c r="D669" s="1" t="n"/>
      <c r="E669" s="1" t="n"/>
      <c r="F669" s="1" t="n"/>
    </row>
    <row r="670" ht="15.75" customHeight="1" s="93">
      <c r="A670" s="1" t="n"/>
      <c r="B670" s="1" t="n"/>
      <c r="C670" s="1" t="n"/>
      <c r="D670" s="1" t="n"/>
      <c r="E670" s="1" t="n"/>
      <c r="F670" s="1" t="n"/>
    </row>
    <row r="671" ht="15.75" customHeight="1" s="93">
      <c r="A671" s="1" t="n"/>
      <c r="B671" s="1" t="n"/>
      <c r="C671" s="1" t="n"/>
      <c r="D671" s="1" t="n"/>
      <c r="E671" s="1" t="n"/>
      <c r="F671" s="1" t="n"/>
    </row>
    <row r="672" ht="15.75" customHeight="1" s="93">
      <c r="A672" s="1" t="n"/>
      <c r="B672" s="1" t="n"/>
      <c r="C672" s="1" t="n"/>
      <c r="D672" s="1" t="n"/>
      <c r="E672" s="1" t="n"/>
      <c r="F672" s="1" t="n"/>
    </row>
    <row r="673" ht="15.75" customHeight="1" s="93">
      <c r="A673" s="1" t="n"/>
      <c r="B673" s="1" t="n"/>
      <c r="C673" s="1" t="n"/>
      <c r="D673" s="1" t="n"/>
      <c r="E673" s="1" t="n"/>
      <c r="F673" s="1" t="n"/>
    </row>
    <row r="674" ht="15.75" customHeight="1" s="93">
      <c r="A674" s="1" t="n"/>
      <c r="B674" s="1" t="n"/>
      <c r="C674" s="1" t="n"/>
      <c r="D674" s="1" t="n"/>
      <c r="E674" s="1" t="n"/>
      <c r="F674" s="1" t="n"/>
    </row>
    <row r="675" ht="15.75" customHeight="1" s="93">
      <c r="A675" s="1" t="n"/>
      <c r="B675" s="1" t="n"/>
      <c r="C675" s="1" t="n"/>
      <c r="D675" s="1" t="n"/>
      <c r="E675" s="1" t="n"/>
      <c r="F675" s="1" t="n"/>
    </row>
    <row r="676" ht="15.75" customHeight="1" s="93">
      <c r="A676" s="1" t="n"/>
      <c r="B676" s="1" t="n"/>
      <c r="C676" s="1" t="n"/>
      <c r="D676" s="1" t="n"/>
      <c r="E676" s="1" t="n"/>
      <c r="F676" s="1" t="n"/>
    </row>
    <row r="677" ht="15.75" customHeight="1" s="93">
      <c r="A677" s="1" t="n"/>
      <c r="B677" s="1" t="n"/>
      <c r="C677" s="1" t="n"/>
      <c r="D677" s="1" t="n"/>
      <c r="E677" s="1" t="n"/>
      <c r="F677" s="1" t="n"/>
    </row>
    <row r="678" ht="15.75" customHeight="1" s="93">
      <c r="A678" s="1" t="n"/>
      <c r="B678" s="1" t="n"/>
      <c r="C678" s="1" t="n"/>
      <c r="D678" s="1" t="n"/>
      <c r="E678" s="1" t="n"/>
      <c r="F678" s="1" t="n"/>
    </row>
    <row r="679" ht="15.75" customHeight="1" s="93">
      <c r="A679" s="1" t="n"/>
      <c r="B679" s="1" t="n"/>
      <c r="C679" s="1" t="n"/>
      <c r="D679" s="1" t="n"/>
      <c r="E679" s="1" t="n"/>
      <c r="F679" s="1" t="n"/>
    </row>
    <row r="680" ht="15.75" customHeight="1" s="93">
      <c r="A680" s="1" t="n"/>
      <c r="B680" s="1" t="n"/>
      <c r="C680" s="1" t="n"/>
      <c r="D680" s="1" t="n"/>
      <c r="E680" s="1" t="n"/>
      <c r="F680" s="1" t="n"/>
    </row>
    <row r="681" ht="15.75" customHeight="1" s="93">
      <c r="A681" s="1" t="n"/>
      <c r="B681" s="1" t="n"/>
      <c r="C681" s="1" t="n"/>
      <c r="D681" s="1" t="n"/>
      <c r="E681" s="1" t="n"/>
      <c r="F681" s="1" t="n"/>
    </row>
    <row r="682" ht="15.75" customHeight="1" s="93">
      <c r="A682" s="1" t="n"/>
      <c r="B682" s="1" t="n"/>
      <c r="C682" s="1" t="n"/>
      <c r="D682" s="1" t="n"/>
      <c r="E682" s="1" t="n"/>
      <c r="F682" s="1" t="n"/>
    </row>
    <row r="683" ht="15.75" customHeight="1" s="93">
      <c r="A683" s="1" t="n"/>
      <c r="B683" s="1" t="n"/>
      <c r="C683" s="1" t="n"/>
      <c r="D683" s="1" t="n"/>
      <c r="E683" s="1" t="n"/>
      <c r="F683" s="1" t="n"/>
    </row>
    <row r="684" ht="15.75" customHeight="1" s="93">
      <c r="A684" s="1" t="n"/>
      <c r="B684" s="1" t="n"/>
      <c r="C684" s="1" t="n"/>
      <c r="D684" s="1" t="n"/>
      <c r="E684" s="1" t="n"/>
      <c r="F684" s="1" t="n"/>
    </row>
    <row r="685" ht="15.75" customHeight="1" s="93">
      <c r="A685" s="1" t="n"/>
      <c r="B685" s="1" t="n"/>
      <c r="C685" s="1" t="n"/>
      <c r="D685" s="1" t="n"/>
      <c r="E685" s="1" t="n"/>
      <c r="F685" s="1" t="n"/>
    </row>
    <row r="686" ht="15.75" customHeight="1" s="93">
      <c r="A686" s="1" t="n"/>
      <c r="B686" s="1" t="n"/>
      <c r="C686" s="1" t="n"/>
      <c r="D686" s="1" t="n"/>
      <c r="E686" s="1" t="n"/>
      <c r="F686" s="1" t="n"/>
    </row>
    <row r="687" ht="15.75" customHeight="1" s="93">
      <c r="A687" s="1" t="n"/>
      <c r="B687" s="1" t="n"/>
      <c r="C687" s="1" t="n"/>
      <c r="D687" s="1" t="n"/>
      <c r="E687" s="1" t="n"/>
      <c r="F687" s="1" t="n"/>
    </row>
    <row r="688" ht="15.75" customHeight="1" s="93">
      <c r="A688" s="1" t="n"/>
      <c r="B688" s="1" t="n"/>
      <c r="C688" s="1" t="n"/>
      <c r="D688" s="1" t="n"/>
      <c r="E688" s="1" t="n"/>
      <c r="F688" s="1" t="n"/>
    </row>
    <row r="689" ht="15.75" customHeight="1" s="93">
      <c r="A689" s="1" t="n"/>
      <c r="B689" s="1" t="n"/>
      <c r="C689" s="1" t="n"/>
      <c r="D689" s="1" t="n"/>
      <c r="E689" s="1" t="n"/>
      <c r="F689" s="1" t="n"/>
    </row>
    <row r="690" ht="15.75" customHeight="1" s="93">
      <c r="A690" s="1" t="n"/>
      <c r="B690" s="1" t="n"/>
      <c r="C690" s="1" t="n"/>
      <c r="D690" s="1" t="n"/>
      <c r="E690" s="1" t="n"/>
      <c r="F690" s="1" t="n"/>
    </row>
    <row r="691" ht="15.75" customHeight="1" s="93">
      <c r="A691" s="1" t="n"/>
      <c r="B691" s="1" t="n"/>
      <c r="C691" s="1" t="n"/>
      <c r="D691" s="1" t="n"/>
      <c r="E691" s="1" t="n"/>
      <c r="F691" s="1" t="n"/>
    </row>
    <row r="692" ht="15.75" customHeight="1" s="93">
      <c r="A692" s="1" t="n"/>
      <c r="B692" s="1" t="n"/>
      <c r="C692" s="1" t="n"/>
      <c r="D692" s="1" t="n"/>
      <c r="E692" s="1" t="n"/>
      <c r="F692" s="1" t="n"/>
    </row>
    <row r="693" ht="15.75" customHeight="1" s="93">
      <c r="A693" s="1" t="n"/>
      <c r="B693" s="1" t="n"/>
      <c r="C693" s="1" t="n"/>
      <c r="D693" s="1" t="n"/>
      <c r="E693" s="1" t="n"/>
      <c r="F693" s="1" t="n"/>
    </row>
    <row r="694" ht="15.75" customHeight="1" s="93">
      <c r="A694" s="1" t="n"/>
      <c r="B694" s="1" t="n"/>
      <c r="C694" s="1" t="n"/>
      <c r="D694" s="1" t="n"/>
      <c r="E694" s="1" t="n"/>
      <c r="F694" s="1" t="n"/>
    </row>
    <row r="695" ht="15.75" customHeight="1" s="93">
      <c r="A695" s="1" t="n"/>
      <c r="B695" s="1" t="n"/>
      <c r="C695" s="1" t="n"/>
      <c r="D695" s="1" t="n"/>
      <c r="E695" s="1" t="n"/>
      <c r="F695" s="1" t="n"/>
    </row>
    <row r="696" ht="15.75" customHeight="1" s="93">
      <c r="A696" s="1" t="n"/>
      <c r="B696" s="1" t="n"/>
      <c r="C696" s="1" t="n"/>
      <c r="D696" s="1" t="n"/>
      <c r="E696" s="1" t="n"/>
      <c r="F696" s="1" t="n"/>
    </row>
    <row r="697" ht="15.75" customHeight="1" s="93">
      <c r="A697" s="1" t="n"/>
      <c r="B697" s="1" t="n"/>
      <c r="C697" s="1" t="n"/>
      <c r="D697" s="1" t="n"/>
      <c r="E697" s="1" t="n"/>
      <c r="F697" s="1" t="n"/>
    </row>
    <row r="698" ht="15.75" customHeight="1" s="93">
      <c r="A698" s="1" t="n"/>
      <c r="B698" s="1" t="n"/>
      <c r="C698" s="1" t="n"/>
      <c r="D698" s="1" t="n"/>
      <c r="E698" s="1" t="n"/>
      <c r="F698" s="1" t="n"/>
    </row>
    <row r="699" ht="15.75" customHeight="1" s="93">
      <c r="A699" s="1" t="n"/>
      <c r="B699" s="1" t="n"/>
      <c r="C699" s="1" t="n"/>
      <c r="D699" s="1" t="n"/>
      <c r="E699" s="1" t="n"/>
      <c r="F699" s="1" t="n"/>
    </row>
    <row r="700" ht="15.75" customHeight="1" s="93">
      <c r="A700" s="1" t="n"/>
      <c r="B700" s="1" t="n"/>
      <c r="C700" s="1" t="n"/>
      <c r="D700" s="1" t="n"/>
      <c r="E700" s="1" t="n"/>
      <c r="F700" s="1" t="n"/>
    </row>
    <row r="701" ht="15.75" customHeight="1" s="93">
      <c r="A701" s="1" t="n"/>
      <c r="B701" s="1" t="n"/>
      <c r="C701" s="1" t="n"/>
      <c r="D701" s="1" t="n"/>
      <c r="E701" s="1" t="n"/>
      <c r="F701" s="1" t="n"/>
    </row>
    <row r="702" ht="15.75" customHeight="1" s="93">
      <c r="A702" s="1" t="n"/>
      <c r="B702" s="1" t="n"/>
      <c r="C702" s="1" t="n"/>
      <c r="D702" s="1" t="n"/>
      <c r="E702" s="1" t="n"/>
      <c r="F702" s="1" t="n"/>
    </row>
    <row r="703" ht="15.75" customHeight="1" s="93">
      <c r="A703" s="1" t="n"/>
      <c r="B703" s="1" t="n"/>
      <c r="C703" s="1" t="n"/>
      <c r="D703" s="1" t="n"/>
      <c r="E703" s="1" t="n"/>
      <c r="F703" s="1" t="n"/>
    </row>
    <row r="704" ht="15.75" customHeight="1" s="93">
      <c r="A704" s="1" t="n"/>
      <c r="B704" s="1" t="n"/>
      <c r="C704" s="1" t="n"/>
      <c r="D704" s="1" t="n"/>
      <c r="E704" s="1" t="n"/>
      <c r="F704" s="1" t="n"/>
    </row>
    <row r="705" ht="15.75" customHeight="1" s="93">
      <c r="A705" s="1" t="n"/>
      <c r="B705" s="1" t="n"/>
      <c r="C705" s="1" t="n"/>
      <c r="D705" s="1" t="n"/>
      <c r="E705" s="1" t="n"/>
      <c r="F705" s="1" t="n"/>
    </row>
    <row r="706" ht="15.75" customHeight="1" s="93">
      <c r="A706" s="1" t="n"/>
      <c r="B706" s="1" t="n"/>
      <c r="C706" s="1" t="n"/>
      <c r="D706" s="1" t="n"/>
      <c r="E706" s="1" t="n"/>
      <c r="F706" s="1" t="n"/>
    </row>
    <row r="707" ht="15.75" customHeight="1" s="93">
      <c r="A707" s="1" t="n"/>
      <c r="B707" s="1" t="n"/>
      <c r="C707" s="1" t="n"/>
      <c r="D707" s="1" t="n"/>
      <c r="E707" s="1" t="n"/>
      <c r="F707" s="1" t="n"/>
    </row>
    <row r="708" ht="15.75" customHeight="1" s="93">
      <c r="A708" s="1" t="n"/>
      <c r="B708" s="1" t="n"/>
      <c r="C708" s="1" t="n"/>
      <c r="D708" s="1" t="n"/>
      <c r="E708" s="1" t="n"/>
      <c r="F708" s="1" t="n"/>
    </row>
    <row r="709" ht="15.75" customHeight="1" s="93">
      <c r="A709" s="1" t="n"/>
      <c r="B709" s="1" t="n"/>
      <c r="C709" s="1" t="n"/>
      <c r="D709" s="1" t="n"/>
      <c r="E709" s="1" t="n"/>
      <c r="F709" s="1" t="n"/>
    </row>
    <row r="710" ht="15.75" customHeight="1" s="93">
      <c r="A710" s="1" t="n"/>
      <c r="B710" s="1" t="n"/>
      <c r="C710" s="1" t="n"/>
      <c r="D710" s="1" t="n"/>
      <c r="E710" s="1" t="n"/>
      <c r="F710" s="1" t="n"/>
    </row>
    <row r="711" ht="15.75" customHeight="1" s="93">
      <c r="A711" s="1" t="n"/>
      <c r="B711" s="1" t="n"/>
      <c r="C711" s="1" t="n"/>
      <c r="D711" s="1" t="n"/>
      <c r="E711" s="1" t="n"/>
      <c r="F711" s="1" t="n"/>
    </row>
    <row r="712" ht="15.75" customHeight="1" s="93">
      <c r="A712" s="1" t="n"/>
      <c r="B712" s="1" t="n"/>
      <c r="C712" s="1" t="n"/>
      <c r="D712" s="1" t="n"/>
      <c r="E712" s="1" t="n"/>
      <c r="F712" s="1" t="n"/>
    </row>
    <row r="713" ht="15.75" customHeight="1" s="93">
      <c r="A713" s="1" t="n"/>
      <c r="B713" s="1" t="n"/>
      <c r="C713" s="1" t="n"/>
      <c r="D713" s="1" t="n"/>
      <c r="E713" s="1" t="n"/>
      <c r="F713" s="1" t="n"/>
    </row>
    <row r="714" ht="15.75" customHeight="1" s="93">
      <c r="A714" s="1" t="n"/>
      <c r="B714" s="1" t="n"/>
      <c r="C714" s="1" t="n"/>
      <c r="D714" s="1" t="n"/>
      <c r="E714" s="1" t="n"/>
      <c r="F714" s="1" t="n"/>
    </row>
    <row r="715" ht="15.75" customHeight="1" s="93">
      <c r="A715" s="1" t="n"/>
      <c r="B715" s="1" t="n"/>
      <c r="C715" s="1" t="n"/>
      <c r="D715" s="1" t="n"/>
      <c r="E715" s="1" t="n"/>
      <c r="F715" s="1" t="n"/>
    </row>
    <row r="716" ht="15.75" customHeight="1" s="93">
      <c r="A716" s="1" t="n"/>
      <c r="B716" s="1" t="n"/>
      <c r="C716" s="1" t="n"/>
      <c r="D716" s="1" t="n"/>
      <c r="E716" s="1" t="n"/>
      <c r="F716" s="1" t="n"/>
    </row>
    <row r="717" ht="15.75" customHeight="1" s="93">
      <c r="A717" s="1" t="n"/>
      <c r="B717" s="1" t="n"/>
      <c r="C717" s="1" t="n"/>
      <c r="D717" s="1" t="n"/>
      <c r="E717" s="1" t="n"/>
      <c r="F717" s="1" t="n"/>
    </row>
    <row r="718" ht="15.75" customHeight="1" s="93">
      <c r="A718" s="1" t="n"/>
      <c r="B718" s="1" t="n"/>
      <c r="C718" s="1" t="n"/>
      <c r="D718" s="1" t="n"/>
      <c r="E718" s="1" t="n"/>
      <c r="F718" s="1" t="n"/>
    </row>
    <row r="719" ht="15.75" customHeight="1" s="93">
      <c r="A719" s="1" t="n"/>
      <c r="B719" s="1" t="n"/>
      <c r="C719" s="1" t="n"/>
      <c r="D719" s="1" t="n"/>
      <c r="E719" s="1" t="n"/>
      <c r="F719" s="1" t="n"/>
    </row>
    <row r="720" ht="15.75" customHeight="1" s="93">
      <c r="A720" s="1" t="n"/>
      <c r="B720" s="1" t="n"/>
      <c r="C720" s="1" t="n"/>
      <c r="D720" s="1" t="n"/>
      <c r="E720" s="1" t="n"/>
      <c r="F720" s="1" t="n"/>
    </row>
    <row r="721" ht="15.75" customHeight="1" s="93">
      <c r="A721" s="1" t="n"/>
      <c r="B721" s="1" t="n"/>
      <c r="C721" s="1" t="n"/>
      <c r="D721" s="1" t="n"/>
      <c r="E721" s="1" t="n"/>
      <c r="F721" s="1" t="n"/>
    </row>
    <row r="722" ht="15.75" customHeight="1" s="93">
      <c r="A722" s="1" t="n"/>
      <c r="B722" s="1" t="n"/>
      <c r="C722" s="1" t="n"/>
      <c r="D722" s="1" t="n"/>
      <c r="E722" s="1" t="n"/>
      <c r="F722" s="1" t="n"/>
    </row>
    <row r="723" ht="15.75" customHeight="1" s="93">
      <c r="A723" s="1" t="n"/>
      <c r="B723" s="1" t="n"/>
      <c r="C723" s="1" t="n"/>
      <c r="D723" s="1" t="n"/>
      <c r="E723" s="1" t="n"/>
      <c r="F723" s="1" t="n"/>
    </row>
    <row r="724" ht="15.75" customHeight="1" s="93">
      <c r="A724" s="1" t="n"/>
      <c r="B724" s="1" t="n"/>
      <c r="C724" s="1" t="n"/>
      <c r="D724" s="1" t="n"/>
      <c r="E724" s="1" t="n"/>
      <c r="F724" s="1" t="n"/>
    </row>
    <row r="725" ht="15.75" customHeight="1" s="93">
      <c r="A725" s="1" t="n"/>
      <c r="B725" s="1" t="n"/>
      <c r="C725" s="1" t="n"/>
      <c r="D725" s="1" t="n"/>
      <c r="E725" s="1" t="n"/>
      <c r="F725" s="1" t="n"/>
    </row>
    <row r="726" ht="15.75" customHeight="1" s="93">
      <c r="A726" s="1" t="n"/>
      <c r="B726" s="1" t="n"/>
      <c r="C726" s="1" t="n"/>
      <c r="D726" s="1" t="n"/>
      <c r="E726" s="1" t="n"/>
      <c r="F726" s="1" t="n"/>
    </row>
    <row r="727" ht="15.75" customHeight="1" s="93">
      <c r="A727" s="1" t="n"/>
      <c r="B727" s="1" t="n"/>
      <c r="C727" s="1" t="n"/>
      <c r="D727" s="1" t="n"/>
      <c r="E727" s="1" t="n"/>
      <c r="F727" s="1" t="n"/>
    </row>
    <row r="728" ht="15.75" customHeight="1" s="93">
      <c r="A728" s="1" t="n"/>
      <c r="B728" s="1" t="n"/>
      <c r="C728" s="1" t="n"/>
      <c r="D728" s="1" t="n"/>
      <c r="E728" s="1" t="n"/>
      <c r="F728" s="1" t="n"/>
    </row>
    <row r="729" ht="15.75" customHeight="1" s="93">
      <c r="A729" s="1" t="n"/>
      <c r="B729" s="1" t="n"/>
      <c r="C729" s="1" t="n"/>
      <c r="D729" s="1" t="n"/>
      <c r="E729" s="1" t="n"/>
      <c r="F729" s="1" t="n"/>
    </row>
    <row r="730" ht="15.75" customHeight="1" s="93">
      <c r="A730" s="1" t="n"/>
      <c r="B730" s="1" t="n"/>
      <c r="C730" s="1" t="n"/>
      <c r="D730" s="1" t="n"/>
      <c r="E730" s="1" t="n"/>
      <c r="F730" s="1" t="n"/>
    </row>
    <row r="731" ht="15.75" customHeight="1" s="93">
      <c r="A731" s="1" t="n"/>
      <c r="B731" s="1" t="n"/>
      <c r="C731" s="1" t="n"/>
      <c r="D731" s="1" t="n"/>
      <c r="E731" s="1" t="n"/>
      <c r="F731" s="1" t="n"/>
    </row>
    <row r="732" ht="15.75" customHeight="1" s="93">
      <c r="A732" s="1" t="n"/>
      <c r="B732" s="1" t="n"/>
      <c r="C732" s="1" t="n"/>
      <c r="D732" s="1" t="n"/>
      <c r="E732" s="1" t="n"/>
      <c r="F732" s="1" t="n"/>
    </row>
    <row r="733" ht="15.75" customHeight="1" s="93">
      <c r="A733" s="1" t="n"/>
      <c r="B733" s="1" t="n"/>
      <c r="C733" s="1" t="n"/>
      <c r="D733" s="1" t="n"/>
      <c r="E733" s="1" t="n"/>
      <c r="F733" s="1" t="n"/>
    </row>
    <row r="734" ht="15.75" customHeight="1" s="93">
      <c r="A734" s="1" t="n"/>
      <c r="B734" s="1" t="n"/>
      <c r="C734" s="1" t="n"/>
      <c r="D734" s="1" t="n"/>
      <c r="E734" s="1" t="n"/>
      <c r="F734" s="1" t="n"/>
    </row>
    <row r="735" ht="15.75" customHeight="1" s="93">
      <c r="A735" s="1" t="n"/>
      <c r="B735" s="1" t="n"/>
      <c r="C735" s="1" t="n"/>
      <c r="D735" s="1" t="n"/>
      <c r="E735" s="1" t="n"/>
      <c r="F735" s="1" t="n"/>
    </row>
    <row r="736" ht="15.75" customHeight="1" s="93">
      <c r="A736" s="1" t="n"/>
      <c r="B736" s="1" t="n"/>
      <c r="C736" s="1" t="n"/>
      <c r="D736" s="1" t="n"/>
      <c r="E736" s="1" t="n"/>
      <c r="F736" s="1" t="n"/>
    </row>
    <row r="737" ht="15.75" customHeight="1" s="93">
      <c r="A737" s="1" t="n"/>
      <c r="B737" s="1" t="n"/>
      <c r="C737" s="1" t="n"/>
      <c r="D737" s="1" t="n"/>
      <c r="E737" s="1" t="n"/>
      <c r="F737" s="1" t="n"/>
    </row>
    <row r="738" ht="15.75" customHeight="1" s="93">
      <c r="A738" s="1" t="n"/>
      <c r="B738" s="1" t="n"/>
      <c r="C738" s="1" t="n"/>
      <c r="D738" s="1" t="n"/>
      <c r="E738" s="1" t="n"/>
      <c r="F738" s="1" t="n"/>
    </row>
    <row r="739" ht="15.75" customHeight="1" s="93">
      <c r="A739" s="1" t="n"/>
      <c r="B739" s="1" t="n"/>
      <c r="C739" s="1" t="n"/>
      <c r="D739" s="1" t="n"/>
      <c r="E739" s="1" t="n"/>
      <c r="F739" s="1" t="n"/>
    </row>
    <row r="740" ht="15.75" customHeight="1" s="93">
      <c r="A740" s="1" t="n"/>
      <c r="B740" s="1" t="n"/>
      <c r="C740" s="1" t="n"/>
      <c r="D740" s="1" t="n"/>
      <c r="E740" s="1" t="n"/>
      <c r="F740" s="1" t="n"/>
    </row>
    <row r="741" ht="15.75" customHeight="1" s="93">
      <c r="A741" s="1" t="n"/>
      <c r="B741" s="1" t="n"/>
      <c r="C741" s="1" t="n"/>
      <c r="D741" s="1" t="n"/>
      <c r="E741" s="1" t="n"/>
      <c r="F741" s="1" t="n"/>
    </row>
    <row r="742" ht="15.75" customHeight="1" s="93">
      <c r="A742" s="1" t="n"/>
      <c r="B742" s="1" t="n"/>
      <c r="C742" s="1" t="n"/>
      <c r="D742" s="1" t="n"/>
      <c r="E742" s="1" t="n"/>
      <c r="F742" s="1" t="n"/>
    </row>
    <row r="743" ht="15.75" customHeight="1" s="93">
      <c r="A743" s="1" t="n"/>
      <c r="B743" s="1" t="n"/>
      <c r="C743" s="1" t="n"/>
      <c r="D743" s="1" t="n"/>
      <c r="E743" s="1" t="n"/>
      <c r="F743" s="1" t="n"/>
    </row>
    <row r="744" ht="15.75" customHeight="1" s="93">
      <c r="A744" s="1" t="n"/>
      <c r="B744" s="1" t="n"/>
      <c r="C744" s="1" t="n"/>
      <c r="D744" s="1" t="n"/>
      <c r="E744" s="1" t="n"/>
      <c r="F744" s="1" t="n"/>
    </row>
    <row r="745" ht="15.75" customHeight="1" s="93">
      <c r="A745" s="1" t="n"/>
      <c r="B745" s="1" t="n"/>
      <c r="C745" s="1" t="n"/>
      <c r="D745" s="1" t="n"/>
      <c r="E745" s="1" t="n"/>
      <c r="F745" s="1" t="n"/>
    </row>
    <row r="746" ht="15.75" customHeight="1" s="93">
      <c r="A746" s="1" t="n"/>
      <c r="B746" s="1" t="n"/>
      <c r="C746" s="1" t="n"/>
      <c r="D746" s="1" t="n"/>
      <c r="E746" s="1" t="n"/>
      <c r="F746" s="1" t="n"/>
    </row>
    <row r="747" ht="15.75" customHeight="1" s="93">
      <c r="A747" s="1" t="n"/>
      <c r="B747" s="1" t="n"/>
      <c r="C747" s="1" t="n"/>
      <c r="D747" s="1" t="n"/>
      <c r="E747" s="1" t="n"/>
      <c r="F747" s="1" t="n"/>
    </row>
    <row r="748" ht="15.75" customHeight="1" s="93">
      <c r="A748" s="1" t="n"/>
      <c r="B748" s="1" t="n"/>
      <c r="C748" s="1" t="n"/>
      <c r="D748" s="1" t="n"/>
      <c r="E748" s="1" t="n"/>
      <c r="F748" s="1" t="n"/>
    </row>
    <row r="749" ht="15.75" customHeight="1" s="93">
      <c r="A749" s="1" t="n"/>
      <c r="B749" s="1" t="n"/>
      <c r="C749" s="1" t="n"/>
      <c r="D749" s="1" t="n"/>
      <c r="E749" s="1" t="n"/>
      <c r="F749" s="1" t="n"/>
    </row>
    <row r="750" ht="15.75" customHeight="1" s="93">
      <c r="A750" s="1" t="n"/>
      <c r="B750" s="1" t="n"/>
      <c r="C750" s="1" t="n"/>
      <c r="D750" s="1" t="n"/>
      <c r="E750" s="1" t="n"/>
      <c r="F750" s="1" t="n"/>
    </row>
    <row r="751" ht="15.75" customHeight="1" s="93">
      <c r="A751" s="1" t="n"/>
      <c r="B751" s="1" t="n"/>
      <c r="C751" s="1" t="n"/>
      <c r="D751" s="1" t="n"/>
      <c r="E751" s="1" t="n"/>
      <c r="F751" s="1" t="n"/>
    </row>
    <row r="752" ht="15.75" customHeight="1" s="93">
      <c r="A752" s="1" t="n"/>
      <c r="B752" s="1" t="n"/>
      <c r="C752" s="1" t="n"/>
      <c r="D752" s="1" t="n"/>
      <c r="E752" s="1" t="n"/>
      <c r="F752" s="1" t="n"/>
    </row>
    <row r="753" ht="15.75" customHeight="1" s="93">
      <c r="A753" s="1" t="n"/>
      <c r="B753" s="1" t="n"/>
      <c r="C753" s="1" t="n"/>
      <c r="D753" s="1" t="n"/>
      <c r="E753" s="1" t="n"/>
      <c r="F753" s="1" t="n"/>
    </row>
    <row r="754" ht="15.75" customHeight="1" s="93">
      <c r="A754" s="1" t="n"/>
      <c r="B754" s="1" t="n"/>
      <c r="C754" s="1" t="n"/>
      <c r="D754" s="1" t="n"/>
      <c r="E754" s="1" t="n"/>
      <c r="F754" s="1" t="n"/>
    </row>
    <row r="755" ht="15.75" customHeight="1" s="93">
      <c r="A755" s="1" t="n"/>
      <c r="B755" s="1" t="n"/>
      <c r="C755" s="1" t="n"/>
      <c r="D755" s="1" t="n"/>
      <c r="E755" s="1" t="n"/>
      <c r="F755" s="1" t="n"/>
    </row>
    <row r="756" ht="15.75" customHeight="1" s="93">
      <c r="A756" s="1" t="n"/>
      <c r="B756" s="1" t="n"/>
      <c r="C756" s="1" t="n"/>
      <c r="D756" s="1" t="n"/>
      <c r="E756" s="1" t="n"/>
      <c r="F756" s="1" t="n"/>
    </row>
    <row r="757" ht="15.75" customHeight="1" s="93">
      <c r="A757" s="1" t="n"/>
      <c r="B757" s="1" t="n"/>
      <c r="C757" s="1" t="n"/>
      <c r="D757" s="1" t="n"/>
      <c r="E757" s="1" t="n"/>
      <c r="F757" s="1" t="n"/>
    </row>
    <row r="758" ht="15.75" customHeight="1" s="93">
      <c r="A758" s="1" t="n"/>
      <c r="B758" s="1" t="n"/>
      <c r="C758" s="1" t="n"/>
      <c r="D758" s="1" t="n"/>
      <c r="E758" s="1" t="n"/>
      <c r="F758" s="1" t="n"/>
    </row>
    <row r="759" ht="15.75" customHeight="1" s="93">
      <c r="A759" s="1" t="n"/>
      <c r="B759" s="1" t="n"/>
      <c r="C759" s="1" t="n"/>
      <c r="D759" s="1" t="n"/>
      <c r="E759" s="1" t="n"/>
      <c r="F759" s="1" t="n"/>
    </row>
    <row r="760" ht="15.75" customHeight="1" s="93">
      <c r="A760" s="1" t="n"/>
      <c r="B760" s="1" t="n"/>
      <c r="C760" s="1" t="n"/>
      <c r="D760" s="1" t="n"/>
      <c r="E760" s="1" t="n"/>
      <c r="F760" s="1" t="n"/>
    </row>
    <row r="761" ht="15.75" customHeight="1" s="93">
      <c r="A761" s="1" t="n"/>
      <c r="B761" s="1" t="n"/>
      <c r="C761" s="1" t="n"/>
      <c r="D761" s="1" t="n"/>
      <c r="E761" s="1" t="n"/>
      <c r="F761" s="1" t="n"/>
    </row>
    <row r="762" ht="15.75" customHeight="1" s="93">
      <c r="A762" s="1" t="n"/>
      <c r="B762" s="1" t="n"/>
      <c r="C762" s="1" t="n"/>
      <c r="D762" s="1" t="n"/>
      <c r="E762" s="1" t="n"/>
      <c r="F762" s="1" t="n"/>
    </row>
    <row r="763" ht="15.75" customHeight="1" s="93">
      <c r="A763" s="1" t="n"/>
      <c r="B763" s="1" t="n"/>
      <c r="C763" s="1" t="n"/>
      <c r="D763" s="1" t="n"/>
      <c r="E763" s="1" t="n"/>
      <c r="F763" s="1" t="n"/>
    </row>
    <row r="764" ht="15.75" customHeight="1" s="93">
      <c r="A764" s="1" t="n"/>
      <c r="B764" s="1" t="n"/>
      <c r="C764" s="1" t="n"/>
      <c r="D764" s="1" t="n"/>
      <c r="E764" s="1" t="n"/>
      <c r="F764" s="1" t="n"/>
    </row>
    <row r="765" ht="15.75" customHeight="1" s="93">
      <c r="A765" s="1" t="n"/>
      <c r="B765" s="1" t="n"/>
      <c r="C765" s="1" t="n"/>
      <c r="D765" s="1" t="n"/>
      <c r="E765" s="1" t="n"/>
      <c r="F765" s="1" t="n"/>
    </row>
    <row r="766" ht="15.75" customHeight="1" s="93">
      <c r="A766" s="1" t="n"/>
      <c r="B766" s="1" t="n"/>
      <c r="C766" s="1" t="n"/>
      <c r="D766" s="1" t="n"/>
      <c r="E766" s="1" t="n"/>
      <c r="F766" s="1" t="n"/>
    </row>
    <row r="767" ht="15.75" customHeight="1" s="93">
      <c r="A767" s="1" t="n"/>
      <c r="B767" s="1" t="n"/>
      <c r="C767" s="1" t="n"/>
      <c r="D767" s="1" t="n"/>
      <c r="E767" s="1" t="n"/>
      <c r="F767" s="1" t="n"/>
    </row>
    <row r="768" ht="15.75" customHeight="1" s="93">
      <c r="A768" s="1" t="n"/>
      <c r="B768" s="1" t="n"/>
      <c r="C768" s="1" t="n"/>
      <c r="D768" s="1" t="n"/>
      <c r="E768" s="1" t="n"/>
      <c r="F768" s="1" t="n"/>
    </row>
    <row r="769" ht="15.75" customHeight="1" s="93">
      <c r="A769" s="1" t="n"/>
      <c r="B769" s="1" t="n"/>
      <c r="C769" s="1" t="n"/>
      <c r="D769" s="1" t="n"/>
      <c r="E769" s="1" t="n"/>
      <c r="F769" s="1" t="n"/>
    </row>
    <row r="770" ht="15.75" customHeight="1" s="93">
      <c r="A770" s="1" t="n"/>
      <c r="B770" s="1" t="n"/>
      <c r="C770" s="1" t="n"/>
      <c r="D770" s="1" t="n"/>
      <c r="E770" s="1" t="n"/>
      <c r="F770" s="1" t="n"/>
    </row>
    <row r="771" ht="15.75" customHeight="1" s="93">
      <c r="A771" s="1" t="n"/>
      <c r="B771" s="1" t="n"/>
      <c r="C771" s="1" t="n"/>
      <c r="D771" s="1" t="n"/>
      <c r="E771" s="1" t="n"/>
      <c r="F771" s="1" t="n"/>
    </row>
    <row r="772" ht="15.75" customHeight="1" s="93">
      <c r="A772" s="1" t="n"/>
      <c r="B772" s="1" t="n"/>
      <c r="C772" s="1" t="n"/>
      <c r="D772" s="1" t="n"/>
      <c r="E772" s="1" t="n"/>
      <c r="F772" s="1" t="n"/>
    </row>
    <row r="773" ht="15.75" customHeight="1" s="93">
      <c r="A773" s="1" t="n"/>
      <c r="B773" s="1" t="n"/>
      <c r="C773" s="1" t="n"/>
      <c r="D773" s="1" t="n"/>
      <c r="E773" s="1" t="n"/>
      <c r="F773" s="1" t="n"/>
    </row>
    <row r="774" ht="15.75" customHeight="1" s="93">
      <c r="A774" s="1" t="n"/>
      <c r="B774" s="1" t="n"/>
      <c r="C774" s="1" t="n"/>
      <c r="D774" s="1" t="n"/>
      <c r="E774" s="1" t="n"/>
      <c r="F774" s="1" t="n"/>
    </row>
    <row r="775" ht="15.75" customHeight="1" s="93">
      <c r="A775" s="1" t="n"/>
      <c r="B775" s="1" t="n"/>
      <c r="C775" s="1" t="n"/>
      <c r="D775" s="1" t="n"/>
      <c r="E775" s="1" t="n"/>
      <c r="F775" s="1" t="n"/>
    </row>
    <row r="776" ht="15.75" customHeight="1" s="93">
      <c r="A776" s="1" t="n"/>
      <c r="B776" s="1" t="n"/>
      <c r="C776" s="1" t="n"/>
      <c r="D776" s="1" t="n"/>
      <c r="E776" s="1" t="n"/>
      <c r="F776" s="1" t="n"/>
    </row>
    <row r="777" ht="15.75" customHeight="1" s="93">
      <c r="A777" s="1" t="n"/>
      <c r="B777" s="1" t="n"/>
      <c r="C777" s="1" t="n"/>
      <c r="D777" s="1" t="n"/>
      <c r="E777" s="1" t="n"/>
      <c r="F777" s="1" t="n"/>
    </row>
    <row r="778" ht="15.75" customHeight="1" s="93">
      <c r="A778" s="1" t="n"/>
      <c r="B778" s="1" t="n"/>
      <c r="C778" s="1" t="n"/>
      <c r="D778" s="1" t="n"/>
      <c r="E778" s="1" t="n"/>
      <c r="F778" s="1" t="n"/>
    </row>
    <row r="779" ht="15.75" customHeight="1" s="93">
      <c r="A779" s="1" t="n"/>
      <c r="B779" s="1" t="n"/>
      <c r="C779" s="1" t="n"/>
      <c r="D779" s="1" t="n"/>
      <c r="E779" s="1" t="n"/>
      <c r="F779" s="1" t="n"/>
    </row>
    <row r="780" ht="15.75" customHeight="1" s="93">
      <c r="A780" s="1" t="n"/>
      <c r="B780" s="1" t="n"/>
      <c r="C780" s="1" t="n"/>
      <c r="D780" s="1" t="n"/>
      <c r="E780" s="1" t="n"/>
      <c r="F780" s="1" t="n"/>
    </row>
    <row r="781" ht="15.75" customHeight="1" s="93">
      <c r="A781" s="1" t="n"/>
      <c r="B781" s="1" t="n"/>
      <c r="C781" s="1" t="n"/>
      <c r="D781" s="1" t="n"/>
      <c r="E781" s="1" t="n"/>
      <c r="F781" s="1" t="n"/>
    </row>
    <row r="782" ht="15.75" customHeight="1" s="93">
      <c r="A782" s="1" t="n"/>
      <c r="B782" s="1" t="n"/>
      <c r="C782" s="1" t="n"/>
      <c r="D782" s="1" t="n"/>
      <c r="E782" s="1" t="n"/>
      <c r="F782" s="1" t="n"/>
    </row>
    <row r="783" ht="15.75" customHeight="1" s="93">
      <c r="A783" s="1" t="n"/>
      <c r="B783" s="1" t="n"/>
      <c r="C783" s="1" t="n"/>
      <c r="D783" s="1" t="n"/>
      <c r="E783" s="1" t="n"/>
      <c r="F783" s="1" t="n"/>
    </row>
    <row r="784" ht="15.75" customHeight="1" s="93">
      <c r="A784" s="1" t="n"/>
      <c r="B784" s="1" t="n"/>
      <c r="C784" s="1" t="n"/>
      <c r="D784" s="1" t="n"/>
      <c r="E784" s="1" t="n"/>
      <c r="F784" s="1" t="n"/>
    </row>
    <row r="785" ht="15.75" customHeight="1" s="93">
      <c r="A785" s="1" t="n"/>
      <c r="B785" s="1" t="n"/>
      <c r="C785" s="1" t="n"/>
      <c r="D785" s="1" t="n"/>
      <c r="E785" s="1" t="n"/>
      <c r="F785" s="1" t="n"/>
    </row>
    <row r="786" ht="15.75" customHeight="1" s="93">
      <c r="A786" s="1" t="n"/>
      <c r="B786" s="1" t="n"/>
      <c r="C786" s="1" t="n"/>
      <c r="D786" s="1" t="n"/>
      <c r="E786" s="1" t="n"/>
      <c r="F786" s="1" t="n"/>
    </row>
    <row r="787" ht="15.75" customHeight="1" s="93">
      <c r="A787" s="1" t="n"/>
      <c r="B787" s="1" t="n"/>
      <c r="C787" s="1" t="n"/>
      <c r="D787" s="1" t="n"/>
      <c r="E787" s="1" t="n"/>
      <c r="F787" s="1" t="n"/>
    </row>
    <row r="788" ht="15.75" customHeight="1" s="93">
      <c r="A788" s="1" t="n"/>
      <c r="B788" s="1" t="n"/>
      <c r="C788" s="1" t="n"/>
      <c r="D788" s="1" t="n"/>
      <c r="E788" s="1" t="n"/>
      <c r="F788" s="1" t="n"/>
    </row>
    <row r="789" ht="15.75" customHeight="1" s="93">
      <c r="A789" s="1" t="n"/>
      <c r="B789" s="1" t="n"/>
      <c r="C789" s="1" t="n"/>
      <c r="D789" s="1" t="n"/>
      <c r="E789" s="1" t="n"/>
      <c r="F789" s="1" t="n"/>
    </row>
    <row r="790" ht="15.75" customHeight="1" s="93">
      <c r="A790" s="1" t="n"/>
      <c r="B790" s="1" t="n"/>
      <c r="C790" s="1" t="n"/>
      <c r="D790" s="1" t="n"/>
      <c r="E790" s="1" t="n"/>
      <c r="F790" s="1" t="n"/>
    </row>
    <row r="791" ht="15.75" customHeight="1" s="93">
      <c r="A791" s="1" t="n"/>
      <c r="B791" s="1" t="n"/>
      <c r="C791" s="1" t="n"/>
      <c r="D791" s="1" t="n"/>
      <c r="E791" s="1" t="n"/>
      <c r="F791" s="1" t="n"/>
    </row>
    <row r="792" ht="15.75" customHeight="1" s="93">
      <c r="A792" s="1" t="n"/>
      <c r="B792" s="1" t="n"/>
      <c r="C792" s="1" t="n"/>
      <c r="D792" s="1" t="n"/>
      <c r="E792" s="1" t="n"/>
      <c r="F792" s="1" t="n"/>
    </row>
    <row r="793" ht="15.75" customHeight="1" s="93">
      <c r="A793" s="1" t="n"/>
      <c r="B793" s="1" t="n"/>
      <c r="C793" s="1" t="n"/>
      <c r="D793" s="1" t="n"/>
      <c r="E793" s="1" t="n"/>
      <c r="F793" s="1" t="n"/>
    </row>
    <row r="794" ht="15.75" customHeight="1" s="93">
      <c r="A794" s="1" t="n"/>
      <c r="B794" s="1" t="n"/>
      <c r="C794" s="1" t="n"/>
      <c r="D794" s="1" t="n"/>
      <c r="E794" s="1" t="n"/>
      <c r="F794" s="1" t="n"/>
    </row>
    <row r="795" ht="15.75" customHeight="1" s="93">
      <c r="A795" s="1" t="n"/>
      <c r="B795" s="1" t="n"/>
      <c r="C795" s="1" t="n"/>
      <c r="D795" s="1" t="n"/>
      <c r="E795" s="1" t="n"/>
      <c r="F795" s="1" t="n"/>
    </row>
    <row r="796" ht="15.75" customHeight="1" s="93">
      <c r="A796" s="1" t="n"/>
      <c r="B796" s="1" t="n"/>
      <c r="C796" s="1" t="n"/>
      <c r="D796" s="1" t="n"/>
      <c r="E796" s="1" t="n"/>
      <c r="F796" s="1" t="n"/>
    </row>
    <row r="797" ht="15.75" customHeight="1" s="93">
      <c r="A797" s="1" t="n"/>
      <c r="B797" s="1" t="n"/>
      <c r="C797" s="1" t="n"/>
      <c r="D797" s="1" t="n"/>
      <c r="E797" s="1" t="n"/>
      <c r="F797" s="1" t="n"/>
    </row>
    <row r="798" ht="15.75" customHeight="1" s="93">
      <c r="A798" s="1" t="n"/>
      <c r="B798" s="1" t="n"/>
      <c r="C798" s="1" t="n"/>
      <c r="D798" s="1" t="n"/>
      <c r="E798" s="1" t="n"/>
      <c r="F798" s="1" t="n"/>
    </row>
    <row r="799" ht="15.75" customHeight="1" s="93">
      <c r="A799" s="1" t="n"/>
      <c r="B799" s="1" t="n"/>
      <c r="C799" s="1" t="n"/>
      <c r="D799" s="1" t="n"/>
      <c r="E799" s="1" t="n"/>
      <c r="F799" s="1" t="n"/>
    </row>
    <row r="800" ht="15.75" customHeight="1" s="93">
      <c r="A800" s="1" t="n"/>
      <c r="B800" s="1" t="n"/>
      <c r="C800" s="1" t="n"/>
      <c r="D800" s="1" t="n"/>
      <c r="E800" s="1" t="n"/>
      <c r="F800" s="1" t="n"/>
    </row>
    <row r="801" ht="15.75" customHeight="1" s="93">
      <c r="A801" s="1" t="n"/>
      <c r="B801" s="1" t="n"/>
      <c r="C801" s="1" t="n"/>
      <c r="D801" s="1" t="n"/>
      <c r="E801" s="1" t="n"/>
      <c r="F801" s="1" t="n"/>
    </row>
    <row r="802" ht="15.75" customHeight="1" s="93">
      <c r="A802" s="1" t="n"/>
      <c r="B802" s="1" t="n"/>
      <c r="C802" s="1" t="n"/>
      <c r="D802" s="1" t="n"/>
      <c r="E802" s="1" t="n"/>
      <c r="F802" s="1" t="n"/>
    </row>
    <row r="803" ht="15.75" customHeight="1" s="93">
      <c r="A803" s="1" t="n"/>
      <c r="B803" s="1" t="n"/>
      <c r="C803" s="1" t="n"/>
      <c r="D803" s="1" t="n"/>
      <c r="E803" s="1" t="n"/>
      <c r="F803" s="1" t="n"/>
    </row>
    <row r="804" ht="15.75" customHeight="1" s="93">
      <c r="A804" s="1" t="n"/>
      <c r="B804" s="1" t="n"/>
      <c r="C804" s="1" t="n"/>
      <c r="D804" s="1" t="n"/>
      <c r="E804" s="1" t="n"/>
      <c r="F804" s="1" t="n"/>
    </row>
    <row r="805" ht="15.75" customHeight="1" s="93">
      <c r="A805" s="1" t="n"/>
      <c r="B805" s="1" t="n"/>
      <c r="C805" s="1" t="n"/>
      <c r="D805" s="1" t="n"/>
      <c r="E805" s="1" t="n"/>
      <c r="F805" s="1" t="n"/>
    </row>
    <row r="806" ht="15.75" customHeight="1" s="93">
      <c r="A806" s="1" t="n"/>
      <c r="B806" s="1" t="n"/>
      <c r="C806" s="1" t="n"/>
      <c r="D806" s="1" t="n"/>
      <c r="E806" s="1" t="n"/>
      <c r="F806" s="1" t="n"/>
    </row>
    <row r="807" ht="15.75" customHeight="1" s="93">
      <c r="A807" s="1" t="n"/>
      <c r="B807" s="1" t="n"/>
      <c r="C807" s="1" t="n"/>
      <c r="D807" s="1" t="n"/>
      <c r="E807" s="1" t="n"/>
      <c r="F807" s="1" t="n"/>
    </row>
    <row r="808" ht="15.75" customHeight="1" s="93">
      <c r="A808" s="1" t="n"/>
      <c r="B808" s="1" t="n"/>
      <c r="C808" s="1" t="n"/>
      <c r="D808" s="1" t="n"/>
      <c r="E808" s="1" t="n"/>
      <c r="F808" s="1" t="n"/>
    </row>
    <row r="809" ht="15.75" customHeight="1" s="93">
      <c r="A809" s="1" t="n"/>
      <c r="B809" s="1" t="n"/>
      <c r="C809" s="1" t="n"/>
      <c r="D809" s="1" t="n"/>
      <c r="E809" s="1" t="n"/>
      <c r="F809" s="1" t="n"/>
    </row>
    <row r="810" ht="15.75" customHeight="1" s="93">
      <c r="A810" s="1" t="n"/>
      <c r="B810" s="1" t="n"/>
      <c r="C810" s="1" t="n"/>
      <c r="D810" s="1" t="n"/>
      <c r="E810" s="1" t="n"/>
      <c r="F810" s="1" t="n"/>
    </row>
    <row r="811" ht="15.75" customHeight="1" s="93">
      <c r="A811" s="1" t="n"/>
      <c r="B811" s="1" t="n"/>
      <c r="C811" s="1" t="n"/>
      <c r="D811" s="1" t="n"/>
      <c r="E811" s="1" t="n"/>
      <c r="F811" s="1" t="n"/>
    </row>
    <row r="812" ht="15.75" customHeight="1" s="93">
      <c r="A812" s="1" t="n"/>
      <c r="B812" s="1" t="n"/>
      <c r="C812" s="1" t="n"/>
      <c r="D812" s="1" t="n"/>
      <c r="E812" s="1" t="n"/>
      <c r="F812" s="1" t="n"/>
    </row>
    <row r="813" ht="15.75" customHeight="1" s="93">
      <c r="A813" s="1" t="n"/>
      <c r="B813" s="1" t="n"/>
      <c r="C813" s="1" t="n"/>
      <c r="D813" s="1" t="n"/>
      <c r="E813" s="1" t="n"/>
      <c r="F813" s="1" t="n"/>
    </row>
    <row r="814" ht="15.75" customHeight="1" s="93">
      <c r="A814" s="1" t="n"/>
      <c r="B814" s="1" t="n"/>
      <c r="C814" s="1" t="n"/>
      <c r="D814" s="1" t="n"/>
      <c r="E814" s="1" t="n"/>
      <c r="F814" s="1" t="n"/>
    </row>
    <row r="815" ht="15.75" customHeight="1" s="93">
      <c r="A815" s="1" t="n"/>
      <c r="B815" s="1" t="n"/>
      <c r="C815" s="1" t="n"/>
      <c r="D815" s="1" t="n"/>
      <c r="E815" s="1" t="n"/>
      <c r="F815" s="1" t="n"/>
    </row>
    <row r="816" ht="15.75" customHeight="1" s="93">
      <c r="A816" s="1" t="n"/>
      <c r="B816" s="1" t="n"/>
      <c r="C816" s="1" t="n"/>
      <c r="D816" s="1" t="n"/>
      <c r="E816" s="1" t="n"/>
      <c r="F816" s="1" t="n"/>
    </row>
    <row r="817" ht="15.75" customHeight="1" s="93">
      <c r="A817" s="1" t="n"/>
      <c r="B817" s="1" t="n"/>
      <c r="C817" s="1" t="n"/>
      <c r="D817" s="1" t="n"/>
      <c r="E817" s="1" t="n"/>
      <c r="F817" s="1" t="n"/>
    </row>
    <row r="818" ht="15.75" customHeight="1" s="93">
      <c r="A818" s="1" t="n"/>
      <c r="B818" s="1" t="n"/>
      <c r="C818" s="1" t="n"/>
      <c r="D818" s="1" t="n"/>
      <c r="E818" s="1" t="n"/>
      <c r="F818" s="1" t="n"/>
    </row>
    <row r="819" ht="15.75" customHeight="1" s="93">
      <c r="A819" s="1" t="n"/>
      <c r="B819" s="1" t="n"/>
      <c r="C819" s="1" t="n"/>
      <c r="D819" s="1" t="n"/>
      <c r="E819" s="1" t="n"/>
      <c r="F819" s="1" t="n"/>
    </row>
    <row r="820" ht="15.75" customHeight="1" s="93">
      <c r="A820" s="1" t="n"/>
      <c r="B820" s="1" t="n"/>
      <c r="C820" s="1" t="n"/>
      <c r="D820" s="1" t="n"/>
      <c r="E820" s="1" t="n"/>
      <c r="F820" s="1" t="n"/>
    </row>
    <row r="821" ht="15.75" customHeight="1" s="93">
      <c r="A821" s="1" t="n"/>
      <c r="B821" s="1" t="n"/>
      <c r="C821" s="1" t="n"/>
      <c r="D821" s="1" t="n"/>
      <c r="E821" s="1" t="n"/>
      <c r="F821" s="1" t="n"/>
    </row>
    <row r="822" ht="15.75" customHeight="1" s="93">
      <c r="A822" s="1" t="n"/>
      <c r="B822" s="1" t="n"/>
      <c r="C822" s="1" t="n"/>
      <c r="D822" s="1" t="n"/>
      <c r="E822" s="1" t="n"/>
      <c r="F822" s="1" t="n"/>
    </row>
    <row r="823" ht="15.75" customHeight="1" s="93">
      <c r="A823" s="1" t="n"/>
      <c r="B823" s="1" t="n"/>
      <c r="C823" s="1" t="n"/>
      <c r="D823" s="1" t="n"/>
      <c r="E823" s="1" t="n"/>
      <c r="F823" s="1" t="n"/>
    </row>
    <row r="824" ht="15.75" customHeight="1" s="93">
      <c r="A824" s="1" t="n"/>
      <c r="B824" s="1" t="n"/>
      <c r="C824" s="1" t="n"/>
      <c r="D824" s="1" t="n"/>
      <c r="E824" s="1" t="n"/>
      <c r="F824" s="1" t="n"/>
    </row>
    <row r="825" ht="15.75" customHeight="1" s="93">
      <c r="A825" s="1" t="n"/>
      <c r="B825" s="1" t="n"/>
      <c r="C825" s="1" t="n"/>
      <c r="D825" s="1" t="n"/>
      <c r="E825" s="1" t="n"/>
      <c r="F825" s="1" t="n"/>
    </row>
    <row r="826" ht="15.75" customHeight="1" s="93">
      <c r="A826" s="1" t="n"/>
      <c r="B826" s="1" t="n"/>
      <c r="C826" s="1" t="n"/>
      <c r="D826" s="1" t="n"/>
      <c r="E826" s="1" t="n"/>
      <c r="F826" s="1" t="n"/>
    </row>
    <row r="827" ht="15.75" customHeight="1" s="93">
      <c r="A827" s="1" t="n"/>
      <c r="B827" s="1" t="n"/>
      <c r="C827" s="1" t="n"/>
      <c r="D827" s="1" t="n"/>
      <c r="E827" s="1" t="n"/>
      <c r="F827" s="1" t="n"/>
    </row>
    <row r="828" ht="15.75" customHeight="1" s="93">
      <c r="A828" s="1" t="n"/>
      <c r="B828" s="1" t="n"/>
      <c r="C828" s="1" t="n"/>
      <c r="D828" s="1" t="n"/>
      <c r="E828" s="1" t="n"/>
      <c r="F828" s="1" t="n"/>
    </row>
    <row r="829" ht="15.75" customHeight="1" s="93">
      <c r="A829" s="1" t="n"/>
      <c r="B829" s="1" t="n"/>
      <c r="C829" s="1" t="n"/>
      <c r="D829" s="1" t="n"/>
      <c r="E829" s="1" t="n"/>
      <c r="F829" s="1" t="n"/>
    </row>
    <row r="830" ht="15.75" customHeight="1" s="93">
      <c r="A830" s="1" t="n"/>
      <c r="B830" s="1" t="n"/>
      <c r="C830" s="1" t="n"/>
      <c r="D830" s="1" t="n"/>
      <c r="E830" s="1" t="n"/>
      <c r="F830" s="1" t="n"/>
    </row>
    <row r="831" ht="15.75" customHeight="1" s="93">
      <c r="A831" s="1" t="n"/>
      <c r="B831" s="1" t="n"/>
      <c r="C831" s="1" t="n"/>
      <c r="D831" s="1" t="n"/>
      <c r="E831" s="1" t="n"/>
      <c r="F831" s="1" t="n"/>
    </row>
    <row r="832" ht="15.75" customHeight="1" s="93">
      <c r="A832" s="1" t="n"/>
      <c r="B832" s="1" t="n"/>
      <c r="C832" s="1" t="n"/>
      <c r="D832" s="1" t="n"/>
      <c r="E832" s="1" t="n"/>
      <c r="F832" s="1" t="n"/>
    </row>
    <row r="833" ht="15.75" customHeight="1" s="93">
      <c r="A833" s="1" t="n"/>
      <c r="B833" s="1" t="n"/>
      <c r="C833" s="1" t="n"/>
      <c r="D833" s="1" t="n"/>
      <c r="E833" s="1" t="n"/>
      <c r="F833" s="1" t="n"/>
    </row>
    <row r="834" ht="15.75" customHeight="1" s="93">
      <c r="A834" s="1" t="n"/>
      <c r="B834" s="1" t="n"/>
      <c r="C834" s="1" t="n"/>
      <c r="D834" s="1" t="n"/>
      <c r="E834" s="1" t="n"/>
      <c r="F834" s="1" t="n"/>
    </row>
    <row r="835" ht="15.75" customHeight="1" s="93">
      <c r="A835" s="1" t="n"/>
      <c r="B835" s="1" t="n"/>
      <c r="C835" s="1" t="n"/>
      <c r="D835" s="1" t="n"/>
      <c r="E835" s="1" t="n"/>
      <c r="F835" s="1" t="n"/>
    </row>
    <row r="836" ht="15.75" customHeight="1" s="93">
      <c r="A836" s="1" t="n"/>
      <c r="B836" s="1" t="n"/>
      <c r="C836" s="1" t="n"/>
      <c r="D836" s="1" t="n"/>
      <c r="E836" s="1" t="n"/>
      <c r="F836" s="1" t="n"/>
    </row>
    <row r="837" ht="15.75" customHeight="1" s="93">
      <c r="A837" s="1" t="n"/>
      <c r="B837" s="1" t="n"/>
      <c r="C837" s="1" t="n"/>
      <c r="D837" s="1" t="n"/>
      <c r="E837" s="1" t="n"/>
      <c r="F837" s="1" t="n"/>
    </row>
    <row r="838" ht="15.75" customHeight="1" s="93">
      <c r="A838" s="1" t="n"/>
      <c r="B838" s="1" t="n"/>
      <c r="C838" s="1" t="n"/>
      <c r="D838" s="1" t="n"/>
      <c r="E838" s="1" t="n"/>
      <c r="F838" s="1" t="n"/>
    </row>
    <row r="839" ht="15.75" customHeight="1" s="93">
      <c r="A839" s="1" t="n"/>
      <c r="B839" s="1" t="n"/>
      <c r="C839" s="1" t="n"/>
      <c r="D839" s="1" t="n"/>
      <c r="E839" s="1" t="n"/>
      <c r="F839" s="1" t="n"/>
    </row>
    <row r="840" ht="15.75" customHeight="1" s="93">
      <c r="A840" s="1" t="n"/>
      <c r="B840" s="1" t="n"/>
      <c r="C840" s="1" t="n"/>
      <c r="D840" s="1" t="n"/>
      <c r="E840" s="1" t="n"/>
      <c r="F840" s="1" t="n"/>
    </row>
    <row r="841" ht="15.75" customHeight="1" s="93">
      <c r="A841" s="1" t="n"/>
      <c r="B841" s="1" t="n"/>
      <c r="C841" s="1" t="n"/>
      <c r="D841" s="1" t="n"/>
      <c r="E841" s="1" t="n"/>
      <c r="F841" s="1" t="n"/>
    </row>
    <row r="842" ht="15.75" customHeight="1" s="93">
      <c r="A842" s="1" t="n"/>
      <c r="B842" s="1" t="n"/>
      <c r="C842" s="1" t="n"/>
      <c r="D842" s="1" t="n"/>
      <c r="E842" s="1" t="n"/>
      <c r="F842" s="1" t="n"/>
    </row>
    <row r="843" ht="15.75" customHeight="1" s="93">
      <c r="A843" s="1" t="n"/>
      <c r="B843" s="1" t="n"/>
      <c r="C843" s="1" t="n"/>
      <c r="D843" s="1" t="n"/>
      <c r="E843" s="1" t="n"/>
      <c r="F843" s="1" t="n"/>
    </row>
    <row r="844" ht="15.75" customHeight="1" s="93">
      <c r="A844" s="1" t="n"/>
      <c r="B844" s="1" t="n"/>
      <c r="C844" s="1" t="n"/>
      <c r="D844" s="1" t="n"/>
      <c r="E844" s="1" t="n"/>
      <c r="F844" s="1" t="n"/>
    </row>
    <row r="845" ht="15.75" customHeight="1" s="93">
      <c r="A845" s="1" t="n"/>
      <c r="B845" s="1" t="n"/>
      <c r="C845" s="1" t="n"/>
      <c r="D845" s="1" t="n"/>
      <c r="E845" s="1" t="n"/>
      <c r="F845" s="1" t="n"/>
    </row>
    <row r="846" ht="15.75" customHeight="1" s="93">
      <c r="A846" s="1" t="n"/>
      <c r="B846" s="1" t="n"/>
      <c r="C846" s="1" t="n"/>
      <c r="D846" s="1" t="n"/>
      <c r="E846" s="1" t="n"/>
      <c r="F846" s="1" t="n"/>
    </row>
    <row r="847" ht="15.75" customHeight="1" s="93">
      <c r="A847" s="1" t="n"/>
      <c r="B847" s="1" t="n"/>
      <c r="C847" s="1" t="n"/>
      <c r="D847" s="1" t="n"/>
      <c r="E847" s="1" t="n"/>
      <c r="F847" s="1" t="n"/>
    </row>
    <row r="848" ht="15.75" customHeight="1" s="93">
      <c r="A848" s="1" t="n"/>
      <c r="B848" s="1" t="n"/>
      <c r="C848" s="1" t="n"/>
      <c r="D848" s="1" t="n"/>
      <c r="E848" s="1" t="n"/>
      <c r="F848" s="1" t="n"/>
    </row>
    <row r="849" ht="15.75" customHeight="1" s="93">
      <c r="A849" s="1" t="n"/>
      <c r="B849" s="1" t="n"/>
      <c r="C849" s="1" t="n"/>
      <c r="D849" s="1" t="n"/>
      <c r="E849" s="1" t="n"/>
      <c r="F849" s="1" t="n"/>
    </row>
    <row r="850" ht="15.75" customHeight="1" s="93">
      <c r="A850" s="1" t="n"/>
      <c r="B850" s="1" t="n"/>
      <c r="C850" s="1" t="n"/>
      <c r="D850" s="1" t="n"/>
      <c r="E850" s="1" t="n"/>
      <c r="F850" s="1" t="n"/>
    </row>
    <row r="851" ht="15.75" customHeight="1" s="93">
      <c r="A851" s="1" t="n"/>
      <c r="B851" s="1" t="n"/>
      <c r="C851" s="1" t="n"/>
      <c r="D851" s="1" t="n"/>
      <c r="E851" s="1" t="n"/>
      <c r="F851" s="1" t="n"/>
    </row>
    <row r="852" ht="15.75" customHeight="1" s="93">
      <c r="A852" s="1" t="n"/>
      <c r="B852" s="1" t="n"/>
      <c r="C852" s="1" t="n"/>
      <c r="D852" s="1" t="n"/>
      <c r="E852" s="1" t="n"/>
      <c r="F852" s="1" t="n"/>
    </row>
    <row r="853" ht="15.75" customHeight="1" s="93">
      <c r="A853" s="1" t="n"/>
      <c r="B853" s="1" t="n"/>
      <c r="C853" s="1" t="n"/>
      <c r="D853" s="1" t="n"/>
      <c r="E853" s="1" t="n"/>
      <c r="F853" s="1" t="n"/>
    </row>
    <row r="854" ht="15.75" customHeight="1" s="93">
      <c r="A854" s="1" t="n"/>
      <c r="B854" s="1" t="n"/>
      <c r="C854" s="1" t="n"/>
      <c r="D854" s="1" t="n"/>
      <c r="E854" s="1" t="n"/>
      <c r="F854" s="1" t="n"/>
    </row>
    <row r="855" ht="15.75" customHeight="1" s="93">
      <c r="A855" s="1" t="n"/>
      <c r="B855" s="1" t="n"/>
      <c r="C855" s="1" t="n"/>
      <c r="D855" s="1" t="n"/>
      <c r="E855" s="1" t="n"/>
      <c r="F855" s="1" t="n"/>
    </row>
    <row r="856" ht="15.75" customHeight="1" s="93">
      <c r="A856" s="1" t="n"/>
      <c r="B856" s="1" t="n"/>
      <c r="C856" s="1" t="n"/>
      <c r="D856" s="1" t="n"/>
      <c r="E856" s="1" t="n"/>
      <c r="F856" s="1" t="n"/>
    </row>
    <row r="857" ht="15.75" customHeight="1" s="93">
      <c r="A857" s="1" t="n"/>
      <c r="B857" s="1" t="n"/>
      <c r="C857" s="1" t="n"/>
      <c r="D857" s="1" t="n"/>
      <c r="E857" s="1" t="n"/>
      <c r="F857" s="1" t="n"/>
    </row>
    <row r="858" ht="15.75" customHeight="1" s="93">
      <c r="A858" s="1" t="n"/>
      <c r="B858" s="1" t="n"/>
      <c r="C858" s="1" t="n"/>
      <c r="D858" s="1" t="n"/>
      <c r="E858" s="1" t="n"/>
      <c r="F858" s="1" t="n"/>
    </row>
    <row r="859" ht="15.75" customHeight="1" s="93">
      <c r="A859" s="1" t="n"/>
      <c r="B859" s="1" t="n"/>
      <c r="C859" s="1" t="n"/>
      <c r="D859" s="1" t="n"/>
      <c r="E859" s="1" t="n"/>
      <c r="F859" s="1" t="n"/>
    </row>
    <row r="860" ht="15.75" customHeight="1" s="93">
      <c r="A860" s="1" t="n"/>
      <c r="B860" s="1" t="n"/>
      <c r="C860" s="1" t="n"/>
      <c r="D860" s="1" t="n"/>
      <c r="E860" s="1" t="n"/>
      <c r="F860" s="1" t="n"/>
    </row>
    <row r="861" ht="15.75" customHeight="1" s="93">
      <c r="A861" s="1" t="n"/>
      <c r="B861" s="1" t="n"/>
      <c r="C861" s="1" t="n"/>
      <c r="D861" s="1" t="n"/>
      <c r="E861" s="1" t="n"/>
      <c r="F861" s="1" t="n"/>
    </row>
    <row r="862" ht="15.75" customHeight="1" s="93">
      <c r="A862" s="1" t="n"/>
      <c r="B862" s="1" t="n"/>
      <c r="C862" s="1" t="n"/>
      <c r="D862" s="1" t="n"/>
      <c r="E862" s="1" t="n"/>
      <c r="F862" s="1" t="n"/>
    </row>
    <row r="863" ht="15.75" customHeight="1" s="93">
      <c r="A863" s="1" t="n"/>
      <c r="B863" s="1" t="n"/>
      <c r="C863" s="1" t="n"/>
      <c r="D863" s="1" t="n"/>
      <c r="E863" s="1" t="n"/>
      <c r="F863" s="1" t="n"/>
    </row>
    <row r="864" ht="15.75" customHeight="1" s="93">
      <c r="A864" s="1" t="n"/>
      <c r="B864" s="1" t="n"/>
      <c r="C864" s="1" t="n"/>
      <c r="D864" s="1" t="n"/>
      <c r="E864" s="1" t="n"/>
      <c r="F864" s="1" t="n"/>
    </row>
    <row r="865" ht="15.75" customHeight="1" s="93">
      <c r="A865" s="1" t="n"/>
      <c r="B865" s="1" t="n"/>
      <c r="C865" s="1" t="n"/>
      <c r="D865" s="1" t="n"/>
      <c r="E865" s="1" t="n"/>
      <c r="F865" s="1" t="n"/>
    </row>
    <row r="866" ht="15.75" customHeight="1" s="93">
      <c r="A866" s="1" t="n"/>
      <c r="B866" s="1" t="n"/>
      <c r="C866" s="1" t="n"/>
      <c r="D866" s="1" t="n"/>
      <c r="E866" s="1" t="n"/>
      <c r="F866" s="1" t="n"/>
    </row>
    <row r="867" ht="15.75" customHeight="1" s="93">
      <c r="A867" s="1" t="n"/>
      <c r="B867" s="1" t="n"/>
      <c r="C867" s="1" t="n"/>
      <c r="D867" s="1" t="n"/>
      <c r="E867" s="1" t="n"/>
      <c r="F867" s="1" t="n"/>
    </row>
    <row r="868" ht="15.75" customHeight="1" s="93">
      <c r="A868" s="1" t="n"/>
      <c r="B868" s="1" t="n"/>
      <c r="C868" s="1" t="n"/>
      <c r="D868" s="1" t="n"/>
      <c r="E868" s="1" t="n"/>
      <c r="F868" s="1" t="n"/>
    </row>
    <row r="869" ht="15.75" customHeight="1" s="93">
      <c r="A869" s="1" t="n"/>
      <c r="B869" s="1" t="n"/>
      <c r="C869" s="1" t="n"/>
      <c r="D869" s="1" t="n"/>
      <c r="E869" s="1" t="n"/>
      <c r="F869" s="1" t="n"/>
    </row>
    <row r="870" ht="15.75" customHeight="1" s="93">
      <c r="A870" s="1" t="n"/>
      <c r="B870" s="1" t="n"/>
      <c r="C870" s="1" t="n"/>
      <c r="D870" s="1" t="n"/>
      <c r="E870" s="1" t="n"/>
      <c r="F870" s="1" t="n"/>
    </row>
    <row r="871" ht="15.75" customHeight="1" s="93">
      <c r="A871" s="1" t="n"/>
      <c r="B871" s="1" t="n"/>
      <c r="C871" s="1" t="n"/>
      <c r="D871" s="1" t="n"/>
      <c r="E871" s="1" t="n"/>
      <c r="F871" s="1" t="n"/>
    </row>
    <row r="872" ht="15.75" customHeight="1" s="93">
      <c r="A872" s="1" t="n"/>
      <c r="B872" s="1" t="n"/>
      <c r="C872" s="1" t="n"/>
      <c r="D872" s="1" t="n"/>
      <c r="E872" s="1" t="n"/>
      <c r="F872" s="1" t="n"/>
    </row>
    <row r="873" ht="15.75" customHeight="1" s="93">
      <c r="A873" s="1" t="n"/>
      <c r="B873" s="1" t="n"/>
      <c r="C873" s="1" t="n"/>
      <c r="D873" s="1" t="n"/>
      <c r="E873" s="1" t="n"/>
      <c r="F873" s="1" t="n"/>
    </row>
    <row r="874" ht="15.75" customHeight="1" s="93">
      <c r="A874" s="1" t="n"/>
      <c r="B874" s="1" t="n"/>
      <c r="C874" s="1" t="n"/>
      <c r="D874" s="1" t="n"/>
      <c r="E874" s="1" t="n"/>
      <c r="F874" s="1" t="n"/>
    </row>
    <row r="875" ht="15.75" customHeight="1" s="93">
      <c r="A875" s="1" t="n"/>
      <c r="B875" s="1" t="n"/>
      <c r="C875" s="1" t="n"/>
      <c r="D875" s="1" t="n"/>
      <c r="E875" s="1" t="n"/>
      <c r="F875" s="1" t="n"/>
    </row>
    <row r="876" ht="15.75" customHeight="1" s="93">
      <c r="A876" s="1" t="n"/>
      <c r="B876" s="1" t="n"/>
      <c r="C876" s="1" t="n"/>
      <c r="D876" s="1" t="n"/>
      <c r="E876" s="1" t="n"/>
      <c r="F876" s="1" t="n"/>
    </row>
    <row r="877" ht="15.75" customHeight="1" s="93">
      <c r="A877" s="1" t="n"/>
      <c r="B877" s="1" t="n"/>
      <c r="C877" s="1" t="n"/>
      <c r="D877" s="1" t="n"/>
      <c r="E877" s="1" t="n"/>
      <c r="F877" s="1" t="n"/>
    </row>
    <row r="878" ht="15.75" customHeight="1" s="93">
      <c r="A878" s="1" t="n"/>
      <c r="B878" s="1" t="n"/>
      <c r="C878" s="1" t="n"/>
      <c r="D878" s="1" t="n"/>
      <c r="E878" s="1" t="n"/>
      <c r="F878" s="1" t="n"/>
    </row>
    <row r="879" ht="15.75" customHeight="1" s="93">
      <c r="A879" s="1" t="n"/>
      <c r="B879" s="1" t="n"/>
      <c r="C879" s="1" t="n"/>
      <c r="D879" s="1" t="n"/>
      <c r="E879" s="1" t="n"/>
      <c r="F879" s="1" t="n"/>
    </row>
    <row r="880" ht="15.75" customHeight="1" s="93">
      <c r="A880" s="1" t="n"/>
      <c r="B880" s="1" t="n"/>
      <c r="C880" s="1" t="n"/>
      <c r="D880" s="1" t="n"/>
      <c r="E880" s="1" t="n"/>
      <c r="F880" s="1" t="n"/>
    </row>
    <row r="881" ht="15.75" customHeight="1" s="93">
      <c r="A881" s="1" t="n"/>
      <c r="B881" s="1" t="n"/>
      <c r="C881" s="1" t="n"/>
      <c r="D881" s="1" t="n"/>
      <c r="E881" s="1" t="n"/>
      <c r="F881" s="1" t="n"/>
    </row>
    <row r="882" ht="15.75" customHeight="1" s="93">
      <c r="A882" s="1" t="n"/>
      <c r="B882" s="1" t="n"/>
      <c r="C882" s="1" t="n"/>
      <c r="D882" s="1" t="n"/>
      <c r="E882" s="1" t="n"/>
      <c r="F882" s="1" t="n"/>
    </row>
    <row r="883" ht="15.75" customHeight="1" s="93">
      <c r="A883" s="1" t="n"/>
      <c r="B883" s="1" t="n"/>
      <c r="C883" s="1" t="n"/>
      <c r="D883" s="1" t="n"/>
      <c r="E883" s="1" t="n"/>
      <c r="F883" s="1" t="n"/>
    </row>
    <row r="884" ht="15.75" customHeight="1" s="93">
      <c r="A884" s="1" t="n"/>
      <c r="B884" s="1" t="n"/>
      <c r="C884" s="1" t="n"/>
      <c r="D884" s="1" t="n"/>
      <c r="E884" s="1" t="n"/>
      <c r="F884" s="1" t="n"/>
    </row>
    <row r="885" ht="15.75" customHeight="1" s="93">
      <c r="A885" s="1" t="n"/>
      <c r="B885" s="1" t="n"/>
      <c r="C885" s="1" t="n"/>
      <c r="D885" s="1" t="n"/>
      <c r="E885" s="1" t="n"/>
      <c r="F885" s="1" t="n"/>
    </row>
    <row r="886" ht="15.75" customHeight="1" s="93">
      <c r="A886" s="1" t="n"/>
      <c r="B886" s="1" t="n"/>
      <c r="C886" s="1" t="n"/>
      <c r="D886" s="1" t="n"/>
      <c r="E886" s="1" t="n"/>
      <c r="F886" s="1" t="n"/>
    </row>
    <row r="887" ht="15.75" customHeight="1" s="93">
      <c r="A887" s="1" t="n"/>
      <c r="B887" s="1" t="n"/>
      <c r="C887" s="1" t="n"/>
      <c r="D887" s="1" t="n"/>
      <c r="E887" s="1" t="n"/>
      <c r="F887" s="1" t="n"/>
    </row>
    <row r="888" ht="15.75" customHeight="1" s="93">
      <c r="A888" s="1" t="n"/>
      <c r="B888" s="1" t="n"/>
      <c r="C888" s="1" t="n"/>
      <c r="D888" s="1" t="n"/>
      <c r="E888" s="1" t="n"/>
      <c r="F888" s="1" t="n"/>
    </row>
    <row r="889" ht="15.75" customHeight="1" s="93">
      <c r="A889" s="1" t="n"/>
      <c r="B889" s="1" t="n"/>
      <c r="C889" s="1" t="n"/>
      <c r="D889" s="1" t="n"/>
      <c r="E889" s="1" t="n"/>
      <c r="F889" s="1" t="n"/>
    </row>
    <row r="890" ht="15.75" customHeight="1" s="93">
      <c r="A890" s="1" t="n"/>
      <c r="B890" s="1" t="n"/>
      <c r="C890" s="1" t="n"/>
      <c r="D890" s="1" t="n"/>
      <c r="E890" s="1" t="n"/>
      <c r="F890" s="1" t="n"/>
    </row>
    <row r="891" ht="15.75" customHeight="1" s="93">
      <c r="A891" s="1" t="n"/>
      <c r="B891" s="1" t="n"/>
      <c r="C891" s="1" t="n"/>
      <c r="D891" s="1" t="n"/>
      <c r="E891" s="1" t="n"/>
      <c r="F891" s="1" t="n"/>
    </row>
    <row r="892" ht="15.75" customHeight="1" s="93">
      <c r="A892" s="1" t="n"/>
      <c r="B892" s="1" t="n"/>
      <c r="C892" s="1" t="n"/>
      <c r="D892" s="1" t="n"/>
      <c r="E892" s="1" t="n"/>
      <c r="F892" s="1" t="n"/>
    </row>
    <row r="893" ht="15.75" customHeight="1" s="93">
      <c r="A893" s="1" t="n"/>
      <c r="B893" s="1" t="n"/>
      <c r="C893" s="1" t="n"/>
      <c r="D893" s="1" t="n"/>
      <c r="E893" s="1" t="n"/>
      <c r="F893" s="1" t="n"/>
    </row>
    <row r="894" ht="15.75" customHeight="1" s="93">
      <c r="A894" s="1" t="n"/>
      <c r="B894" s="1" t="n"/>
      <c r="C894" s="1" t="n"/>
      <c r="D894" s="1" t="n"/>
      <c r="E894" s="1" t="n"/>
      <c r="F894" s="1" t="n"/>
    </row>
    <row r="895" ht="15.75" customHeight="1" s="93">
      <c r="A895" s="1" t="n"/>
      <c r="B895" s="1" t="n"/>
      <c r="C895" s="1" t="n"/>
      <c r="D895" s="1" t="n"/>
      <c r="E895" s="1" t="n"/>
      <c r="F895" s="1" t="n"/>
    </row>
    <row r="896" ht="15.75" customHeight="1" s="93">
      <c r="A896" s="1" t="n"/>
      <c r="B896" s="1" t="n"/>
      <c r="C896" s="1" t="n"/>
      <c r="D896" s="1" t="n"/>
      <c r="E896" s="1" t="n"/>
      <c r="F896" s="1" t="n"/>
    </row>
    <row r="897" ht="15.75" customHeight="1" s="93">
      <c r="A897" s="1" t="n"/>
      <c r="B897" s="1" t="n"/>
      <c r="C897" s="1" t="n"/>
      <c r="D897" s="1" t="n"/>
      <c r="E897" s="1" t="n"/>
      <c r="F897" s="1" t="n"/>
    </row>
    <row r="898" ht="15.75" customHeight="1" s="93">
      <c r="A898" s="1" t="n"/>
      <c r="B898" s="1" t="n"/>
      <c r="C898" s="1" t="n"/>
      <c r="D898" s="1" t="n"/>
      <c r="E898" s="1" t="n"/>
      <c r="F898" s="1" t="n"/>
    </row>
    <row r="899" ht="15.75" customHeight="1" s="93">
      <c r="A899" s="1" t="n"/>
      <c r="B899" s="1" t="n"/>
      <c r="C899" s="1" t="n"/>
      <c r="D899" s="1" t="n"/>
      <c r="E899" s="1" t="n"/>
      <c r="F899" s="1" t="n"/>
    </row>
    <row r="900" ht="15.75" customHeight="1" s="93">
      <c r="A900" s="1" t="n"/>
      <c r="B900" s="1" t="n"/>
      <c r="C900" s="1" t="n"/>
      <c r="D900" s="1" t="n"/>
      <c r="E900" s="1" t="n"/>
      <c r="F900" s="1" t="n"/>
    </row>
    <row r="901" ht="15.75" customHeight="1" s="93">
      <c r="A901" s="1" t="n"/>
      <c r="B901" s="1" t="n"/>
      <c r="C901" s="1" t="n"/>
      <c r="D901" s="1" t="n"/>
      <c r="E901" s="1" t="n"/>
      <c r="F901" s="1" t="n"/>
    </row>
    <row r="902" ht="15.75" customHeight="1" s="93">
      <c r="A902" s="1" t="n"/>
      <c r="B902" s="1" t="n"/>
      <c r="C902" s="1" t="n"/>
      <c r="D902" s="1" t="n"/>
      <c r="E902" s="1" t="n"/>
      <c r="F902" s="1" t="n"/>
    </row>
    <row r="903" ht="15.75" customHeight="1" s="93">
      <c r="A903" s="1" t="n"/>
      <c r="B903" s="1" t="n"/>
      <c r="C903" s="1" t="n"/>
      <c r="D903" s="1" t="n"/>
      <c r="E903" s="1" t="n"/>
      <c r="F903" s="1" t="n"/>
    </row>
    <row r="904" ht="15.75" customHeight="1" s="93">
      <c r="A904" s="1" t="n"/>
      <c r="B904" s="1" t="n"/>
      <c r="C904" s="1" t="n"/>
      <c r="D904" s="1" t="n"/>
      <c r="E904" s="1" t="n"/>
      <c r="F904" s="1" t="n"/>
    </row>
    <row r="905" ht="15.75" customHeight="1" s="93">
      <c r="A905" s="1" t="n"/>
      <c r="B905" s="1" t="n"/>
      <c r="C905" s="1" t="n"/>
      <c r="D905" s="1" t="n"/>
      <c r="E905" s="1" t="n"/>
      <c r="F905" s="1" t="n"/>
    </row>
    <row r="906" ht="15.75" customHeight="1" s="93">
      <c r="A906" s="1" t="n"/>
      <c r="B906" s="1" t="n"/>
      <c r="C906" s="1" t="n"/>
      <c r="D906" s="1" t="n"/>
      <c r="E906" s="1" t="n"/>
      <c r="F906" s="1" t="n"/>
    </row>
    <row r="907" ht="15.75" customHeight="1" s="93">
      <c r="A907" s="1" t="n"/>
      <c r="B907" s="1" t="n"/>
      <c r="C907" s="1" t="n"/>
      <c r="D907" s="1" t="n"/>
      <c r="E907" s="1" t="n"/>
      <c r="F907" s="1" t="n"/>
    </row>
    <row r="908" ht="15.75" customHeight="1" s="93">
      <c r="A908" s="1" t="n"/>
      <c r="B908" s="1" t="n"/>
      <c r="C908" s="1" t="n"/>
      <c r="D908" s="1" t="n"/>
      <c r="E908" s="1" t="n"/>
      <c r="F908" s="1" t="n"/>
    </row>
    <row r="909" ht="15.75" customHeight="1" s="93">
      <c r="A909" s="1" t="n"/>
      <c r="B909" s="1" t="n"/>
      <c r="C909" s="1" t="n"/>
      <c r="D909" s="1" t="n"/>
      <c r="E909" s="1" t="n"/>
      <c r="F909" s="1" t="n"/>
    </row>
    <row r="910" ht="15.75" customHeight="1" s="93">
      <c r="A910" s="1" t="n"/>
      <c r="B910" s="1" t="n"/>
      <c r="C910" s="1" t="n"/>
      <c r="D910" s="1" t="n"/>
      <c r="E910" s="1" t="n"/>
      <c r="F910" s="1" t="n"/>
    </row>
    <row r="911" ht="15.75" customHeight="1" s="93">
      <c r="A911" s="1" t="n"/>
      <c r="B911" s="1" t="n"/>
      <c r="C911" s="1" t="n"/>
      <c r="D911" s="1" t="n"/>
      <c r="E911" s="1" t="n"/>
      <c r="F911" s="1" t="n"/>
    </row>
    <row r="912" ht="15.75" customHeight="1" s="93">
      <c r="A912" s="1" t="n"/>
      <c r="B912" s="1" t="n"/>
      <c r="C912" s="1" t="n"/>
      <c r="D912" s="1" t="n"/>
      <c r="E912" s="1" t="n"/>
      <c r="F912" s="1" t="n"/>
    </row>
    <row r="913" ht="15.75" customHeight="1" s="93">
      <c r="A913" s="1" t="n"/>
      <c r="B913" s="1" t="n"/>
      <c r="C913" s="1" t="n"/>
      <c r="D913" s="1" t="n"/>
      <c r="E913" s="1" t="n"/>
      <c r="F913" s="1" t="n"/>
    </row>
    <row r="914" ht="15.75" customHeight="1" s="93">
      <c r="A914" s="1" t="n"/>
      <c r="B914" s="1" t="n"/>
      <c r="C914" s="1" t="n"/>
      <c r="D914" s="1" t="n"/>
      <c r="E914" s="1" t="n"/>
      <c r="F914" s="1" t="n"/>
    </row>
    <row r="915" ht="15.75" customHeight="1" s="93">
      <c r="A915" s="1" t="n"/>
      <c r="B915" s="1" t="n"/>
      <c r="C915" s="1" t="n"/>
      <c r="D915" s="1" t="n"/>
      <c r="E915" s="1" t="n"/>
      <c r="F915" s="1" t="n"/>
    </row>
    <row r="916" ht="15.75" customHeight="1" s="93">
      <c r="A916" s="1" t="n"/>
      <c r="B916" s="1" t="n"/>
      <c r="C916" s="1" t="n"/>
      <c r="D916" s="1" t="n"/>
      <c r="E916" s="1" t="n"/>
      <c r="F916" s="1" t="n"/>
    </row>
    <row r="917" ht="15.75" customHeight="1" s="93">
      <c r="A917" s="1" t="n"/>
      <c r="B917" s="1" t="n"/>
      <c r="C917" s="1" t="n"/>
      <c r="D917" s="1" t="n"/>
      <c r="E917" s="1" t="n"/>
      <c r="F917" s="1" t="n"/>
    </row>
    <row r="918" ht="15.75" customHeight="1" s="93">
      <c r="A918" s="1" t="n"/>
      <c r="B918" s="1" t="n"/>
      <c r="C918" s="1" t="n"/>
      <c r="D918" s="1" t="n"/>
      <c r="E918" s="1" t="n"/>
      <c r="F918" s="1" t="n"/>
    </row>
    <row r="919" ht="15.75" customHeight="1" s="93">
      <c r="A919" s="1" t="n"/>
      <c r="B919" s="1" t="n"/>
      <c r="C919" s="1" t="n"/>
      <c r="D919" s="1" t="n"/>
      <c r="E919" s="1" t="n"/>
      <c r="F919" s="1" t="n"/>
    </row>
    <row r="920" ht="15.75" customHeight="1" s="93">
      <c r="A920" s="1" t="n"/>
      <c r="B920" s="1" t="n"/>
      <c r="C920" s="1" t="n"/>
      <c r="D920" s="1" t="n"/>
      <c r="E920" s="1" t="n"/>
      <c r="F920" s="1" t="n"/>
    </row>
    <row r="921" ht="15.75" customHeight="1" s="93">
      <c r="A921" s="1" t="n"/>
      <c r="B921" s="1" t="n"/>
      <c r="C921" s="1" t="n"/>
      <c r="D921" s="1" t="n"/>
      <c r="E921" s="1" t="n"/>
      <c r="F921" s="1" t="n"/>
    </row>
    <row r="922" ht="15.75" customHeight="1" s="93">
      <c r="A922" s="1" t="n"/>
      <c r="B922" s="1" t="n"/>
      <c r="C922" s="1" t="n"/>
      <c r="D922" s="1" t="n"/>
      <c r="E922" s="1" t="n"/>
      <c r="F922" s="1" t="n"/>
    </row>
    <row r="923" ht="15.75" customHeight="1" s="93">
      <c r="A923" s="1" t="n"/>
      <c r="B923" s="1" t="n"/>
      <c r="C923" s="1" t="n"/>
      <c r="D923" s="1" t="n"/>
      <c r="E923" s="1" t="n"/>
      <c r="F923" s="1" t="n"/>
    </row>
    <row r="924" ht="15.75" customHeight="1" s="93">
      <c r="A924" s="1" t="n"/>
      <c r="B924" s="1" t="n"/>
      <c r="C924" s="1" t="n"/>
      <c r="D924" s="1" t="n"/>
      <c r="E924" s="1" t="n"/>
      <c r="F924" s="1" t="n"/>
    </row>
    <row r="925" ht="15.75" customHeight="1" s="93">
      <c r="A925" s="1" t="n"/>
      <c r="B925" s="1" t="n"/>
      <c r="C925" s="1" t="n"/>
      <c r="D925" s="1" t="n"/>
      <c r="E925" s="1" t="n"/>
      <c r="F925" s="1" t="n"/>
    </row>
    <row r="926" ht="15.75" customHeight="1" s="93">
      <c r="A926" s="1" t="n"/>
      <c r="B926" s="1" t="n"/>
      <c r="C926" s="1" t="n"/>
      <c r="D926" s="1" t="n"/>
      <c r="E926" s="1" t="n"/>
      <c r="F926" s="1" t="n"/>
    </row>
    <row r="927" ht="15.75" customHeight="1" s="93">
      <c r="A927" s="1" t="n"/>
      <c r="B927" s="1" t="n"/>
      <c r="C927" s="1" t="n"/>
      <c r="D927" s="1" t="n"/>
      <c r="E927" s="1" t="n"/>
      <c r="F927" s="1" t="n"/>
    </row>
    <row r="928" ht="15.75" customHeight="1" s="93">
      <c r="A928" s="1" t="n"/>
      <c r="B928" s="1" t="n"/>
      <c r="C928" s="1" t="n"/>
      <c r="D928" s="1" t="n"/>
      <c r="E928" s="1" t="n"/>
      <c r="F928" s="1" t="n"/>
    </row>
    <row r="929" ht="15.75" customHeight="1" s="93">
      <c r="A929" s="1" t="n"/>
      <c r="B929" s="1" t="n"/>
      <c r="C929" s="1" t="n"/>
      <c r="D929" s="1" t="n"/>
      <c r="E929" s="1" t="n"/>
      <c r="F929" s="1" t="n"/>
    </row>
    <row r="930" ht="15.75" customHeight="1" s="93">
      <c r="A930" s="1" t="n"/>
      <c r="B930" s="1" t="n"/>
      <c r="C930" s="1" t="n"/>
      <c r="D930" s="1" t="n"/>
      <c r="E930" s="1" t="n"/>
      <c r="F930" s="1" t="n"/>
    </row>
    <row r="931" ht="15.75" customHeight="1" s="93">
      <c r="A931" s="1" t="n"/>
      <c r="B931" s="1" t="n"/>
      <c r="C931" s="1" t="n"/>
      <c r="D931" s="1" t="n"/>
      <c r="E931" s="1" t="n"/>
      <c r="F931" s="1" t="n"/>
    </row>
    <row r="932" ht="15.75" customHeight="1" s="93">
      <c r="A932" s="1" t="n"/>
      <c r="B932" s="1" t="n"/>
      <c r="C932" s="1" t="n"/>
      <c r="D932" s="1" t="n"/>
      <c r="E932" s="1" t="n"/>
      <c r="F932" s="1" t="n"/>
    </row>
    <row r="933" ht="15.75" customHeight="1" s="93">
      <c r="A933" s="1" t="n"/>
      <c r="B933" s="1" t="n"/>
      <c r="C933" s="1" t="n"/>
      <c r="D933" s="1" t="n"/>
      <c r="E933" s="1" t="n"/>
      <c r="F933" s="1" t="n"/>
    </row>
    <row r="934" ht="15.75" customHeight="1" s="93">
      <c r="A934" s="1" t="n"/>
      <c r="B934" s="1" t="n"/>
      <c r="C934" s="1" t="n"/>
      <c r="D934" s="1" t="n"/>
      <c r="E934" s="1" t="n"/>
      <c r="F934" s="1" t="n"/>
    </row>
    <row r="935" ht="15.75" customHeight="1" s="93">
      <c r="A935" s="1" t="n"/>
      <c r="B935" s="1" t="n"/>
      <c r="C935" s="1" t="n"/>
      <c r="D935" s="1" t="n"/>
      <c r="E935" s="1" t="n"/>
      <c r="F935" s="1" t="n"/>
    </row>
    <row r="936" ht="15.75" customHeight="1" s="93">
      <c r="A936" s="1" t="n"/>
      <c r="B936" s="1" t="n"/>
      <c r="C936" s="1" t="n"/>
      <c r="D936" s="1" t="n"/>
      <c r="E936" s="1" t="n"/>
      <c r="F936" s="1" t="n"/>
    </row>
    <row r="937" ht="15.75" customHeight="1" s="93">
      <c r="A937" s="1" t="n"/>
      <c r="B937" s="1" t="n"/>
      <c r="C937" s="1" t="n"/>
      <c r="D937" s="1" t="n"/>
      <c r="E937" s="1" t="n"/>
      <c r="F937" s="1" t="n"/>
    </row>
    <row r="938" ht="15.75" customHeight="1" s="93">
      <c r="A938" s="1" t="n"/>
      <c r="B938" s="1" t="n"/>
      <c r="C938" s="1" t="n"/>
      <c r="D938" s="1" t="n"/>
      <c r="E938" s="1" t="n"/>
      <c r="F938" s="1" t="n"/>
    </row>
    <row r="939" ht="15.75" customHeight="1" s="93">
      <c r="A939" s="1" t="n"/>
      <c r="B939" s="1" t="n"/>
      <c r="C939" s="1" t="n"/>
      <c r="D939" s="1" t="n"/>
      <c r="E939" s="1" t="n"/>
      <c r="F939" s="1" t="n"/>
    </row>
    <row r="940" ht="15.75" customHeight="1" s="93">
      <c r="A940" s="1" t="n"/>
      <c r="B940" s="1" t="n"/>
      <c r="C940" s="1" t="n"/>
      <c r="D940" s="1" t="n"/>
      <c r="E940" s="1" t="n"/>
      <c r="F940" s="1" t="n"/>
    </row>
    <row r="941" ht="15.75" customHeight="1" s="93">
      <c r="A941" s="1" t="n"/>
      <c r="B941" s="1" t="n"/>
      <c r="C941" s="1" t="n"/>
      <c r="D941" s="1" t="n"/>
      <c r="E941" s="1" t="n"/>
      <c r="F941" s="1" t="n"/>
    </row>
    <row r="942" ht="15.75" customHeight="1" s="93">
      <c r="A942" s="1" t="n"/>
      <c r="B942" s="1" t="n"/>
      <c r="C942" s="1" t="n"/>
      <c r="D942" s="1" t="n"/>
      <c r="E942" s="1" t="n"/>
      <c r="F942" s="1" t="n"/>
    </row>
    <row r="943" ht="15.75" customHeight="1" s="93">
      <c r="A943" s="1" t="n"/>
      <c r="B943" s="1" t="n"/>
      <c r="C943" s="1" t="n"/>
      <c r="D943" s="1" t="n"/>
      <c r="E943" s="1" t="n"/>
      <c r="F943" s="1" t="n"/>
    </row>
    <row r="944" ht="15.75" customHeight="1" s="93">
      <c r="A944" s="1" t="n"/>
      <c r="B944" s="1" t="n"/>
      <c r="C944" s="1" t="n"/>
      <c r="D944" s="1" t="n"/>
      <c r="E944" s="1" t="n"/>
      <c r="F944" s="1" t="n"/>
    </row>
    <row r="945" ht="15.75" customHeight="1" s="93">
      <c r="A945" s="1" t="n"/>
      <c r="B945" s="1" t="n"/>
      <c r="C945" s="1" t="n"/>
      <c r="D945" s="1" t="n"/>
      <c r="E945" s="1" t="n"/>
      <c r="F945" s="1" t="n"/>
    </row>
    <row r="946" ht="15.75" customHeight="1" s="93">
      <c r="A946" s="1" t="n"/>
      <c r="B946" s="1" t="n"/>
      <c r="C946" s="1" t="n"/>
      <c r="D946" s="1" t="n"/>
      <c r="E946" s="1" t="n"/>
      <c r="F946" s="1" t="n"/>
    </row>
    <row r="947" ht="15.75" customHeight="1" s="93">
      <c r="A947" s="1" t="n"/>
      <c r="B947" s="1" t="n"/>
      <c r="C947" s="1" t="n"/>
      <c r="D947" s="1" t="n"/>
      <c r="E947" s="1" t="n"/>
      <c r="F947" s="1" t="n"/>
    </row>
    <row r="948" ht="15.75" customHeight="1" s="93">
      <c r="A948" s="1" t="n"/>
      <c r="B948" s="1" t="n"/>
      <c r="C948" s="1" t="n"/>
      <c r="D948" s="1" t="n"/>
      <c r="E948" s="1" t="n"/>
      <c r="F948" s="1" t="n"/>
    </row>
    <row r="949" ht="15.75" customHeight="1" s="93">
      <c r="A949" s="1" t="n"/>
      <c r="B949" s="1" t="n"/>
      <c r="C949" s="1" t="n"/>
      <c r="D949" s="1" t="n"/>
      <c r="E949" s="1" t="n"/>
      <c r="F949" s="1" t="n"/>
    </row>
    <row r="950" ht="15.75" customHeight="1" s="93">
      <c r="A950" s="1" t="n"/>
      <c r="B950" s="1" t="n"/>
      <c r="C950" s="1" t="n"/>
      <c r="D950" s="1" t="n"/>
      <c r="E950" s="1" t="n"/>
      <c r="F950" s="1" t="n"/>
    </row>
    <row r="951" ht="15.75" customHeight="1" s="93">
      <c r="A951" s="1" t="n"/>
      <c r="B951" s="1" t="n"/>
      <c r="C951" s="1" t="n"/>
      <c r="D951" s="1" t="n"/>
      <c r="E951" s="1" t="n"/>
      <c r="F951" s="1" t="n"/>
    </row>
    <row r="952" ht="15.75" customHeight="1" s="93">
      <c r="A952" s="1" t="n"/>
      <c r="B952" s="1" t="n"/>
      <c r="C952" s="1" t="n"/>
      <c r="D952" s="1" t="n"/>
      <c r="E952" s="1" t="n"/>
      <c r="F952" s="1" t="n"/>
    </row>
    <row r="953" ht="15.75" customHeight="1" s="93">
      <c r="A953" s="1" t="n"/>
      <c r="B953" s="1" t="n"/>
      <c r="C953" s="1" t="n"/>
      <c r="D953" s="1" t="n"/>
      <c r="E953" s="1" t="n"/>
      <c r="F953" s="1" t="n"/>
    </row>
    <row r="954" ht="15.75" customHeight="1" s="93">
      <c r="A954" s="1" t="n"/>
      <c r="B954" s="1" t="n"/>
      <c r="C954" s="1" t="n"/>
      <c r="D954" s="1" t="n"/>
      <c r="E954" s="1" t="n"/>
      <c r="F954" s="1" t="n"/>
    </row>
    <row r="955" ht="15.75" customHeight="1" s="93">
      <c r="A955" s="1" t="n"/>
      <c r="B955" s="1" t="n"/>
      <c r="C955" s="1" t="n"/>
      <c r="D955" s="1" t="n"/>
      <c r="E955" s="1" t="n"/>
      <c r="F955" s="1" t="n"/>
    </row>
    <row r="956" ht="15.75" customHeight="1" s="93">
      <c r="A956" s="1" t="n"/>
      <c r="B956" s="1" t="n"/>
      <c r="C956" s="1" t="n"/>
      <c r="D956" s="1" t="n"/>
      <c r="E956" s="1" t="n"/>
      <c r="F956" s="1" t="n"/>
    </row>
    <row r="957" ht="15.75" customHeight="1" s="93">
      <c r="A957" s="1" t="n"/>
      <c r="B957" s="1" t="n"/>
      <c r="C957" s="1" t="n"/>
      <c r="D957" s="1" t="n"/>
      <c r="E957" s="1" t="n"/>
      <c r="F957" s="1" t="n"/>
    </row>
    <row r="958" ht="15.75" customHeight="1" s="93">
      <c r="A958" s="1" t="n"/>
      <c r="B958" s="1" t="n"/>
      <c r="C958" s="1" t="n"/>
      <c r="D958" s="1" t="n"/>
      <c r="E958" s="1" t="n"/>
      <c r="F958" s="1" t="n"/>
    </row>
    <row r="959" ht="15.75" customHeight="1" s="93">
      <c r="A959" s="1" t="n"/>
      <c r="B959" s="1" t="n"/>
      <c r="C959" s="1" t="n"/>
      <c r="D959" s="1" t="n"/>
      <c r="E959" s="1" t="n"/>
      <c r="F959" s="1" t="n"/>
    </row>
    <row r="960" ht="15.75" customHeight="1" s="93">
      <c r="A960" s="1" t="n"/>
      <c r="B960" s="1" t="n"/>
      <c r="C960" s="1" t="n"/>
      <c r="D960" s="1" t="n"/>
      <c r="E960" s="1" t="n"/>
      <c r="F960" s="1" t="n"/>
    </row>
    <row r="961" ht="15.75" customHeight="1" s="93">
      <c r="A961" s="1" t="n"/>
      <c r="B961" s="1" t="n"/>
      <c r="C961" s="1" t="n"/>
      <c r="D961" s="1" t="n"/>
      <c r="E961" s="1" t="n"/>
      <c r="F961" s="1" t="n"/>
    </row>
    <row r="962" ht="15.75" customHeight="1" s="93">
      <c r="A962" s="1" t="n"/>
      <c r="B962" s="1" t="n"/>
      <c r="C962" s="1" t="n"/>
      <c r="D962" s="1" t="n"/>
      <c r="E962" s="1" t="n"/>
      <c r="F962" s="1" t="n"/>
    </row>
    <row r="963" ht="15.75" customHeight="1" s="93">
      <c r="A963" s="1" t="n"/>
      <c r="B963" s="1" t="n"/>
      <c r="C963" s="1" t="n"/>
      <c r="D963" s="1" t="n"/>
      <c r="E963" s="1" t="n"/>
      <c r="F963" s="1" t="n"/>
    </row>
    <row r="964" ht="15.75" customHeight="1" s="93">
      <c r="A964" s="1" t="n"/>
      <c r="B964" s="1" t="n"/>
      <c r="C964" s="1" t="n"/>
      <c r="D964" s="1" t="n"/>
      <c r="E964" s="1" t="n"/>
      <c r="F964" s="1" t="n"/>
    </row>
    <row r="965" ht="15.75" customHeight="1" s="93">
      <c r="A965" s="1" t="n"/>
      <c r="B965" s="1" t="n"/>
      <c r="C965" s="1" t="n"/>
      <c r="D965" s="1" t="n"/>
      <c r="E965" s="1" t="n"/>
      <c r="F965" s="1" t="n"/>
    </row>
    <row r="966" ht="15.75" customHeight="1" s="93">
      <c r="A966" s="1" t="n"/>
      <c r="B966" s="1" t="n"/>
      <c r="C966" s="1" t="n"/>
      <c r="D966" s="1" t="n"/>
      <c r="E966" s="1" t="n"/>
      <c r="F966" s="1" t="n"/>
    </row>
    <row r="967" ht="15.75" customHeight="1" s="93">
      <c r="A967" s="1" t="n"/>
      <c r="B967" s="1" t="n"/>
      <c r="C967" s="1" t="n"/>
      <c r="D967" s="1" t="n"/>
      <c r="E967" s="1" t="n"/>
      <c r="F967" s="1" t="n"/>
    </row>
    <row r="968" ht="15.75" customHeight="1" s="93">
      <c r="A968" s="1" t="n"/>
      <c r="B968" s="1" t="n"/>
      <c r="C968" s="1" t="n"/>
      <c r="D968" s="1" t="n"/>
      <c r="E968" s="1" t="n"/>
      <c r="F968" s="1" t="n"/>
    </row>
    <row r="969" ht="15.75" customHeight="1" s="93">
      <c r="A969" s="1" t="n"/>
      <c r="B969" s="1" t="n"/>
      <c r="C969" s="1" t="n"/>
      <c r="D969" s="1" t="n"/>
      <c r="E969" s="1" t="n"/>
      <c r="F969" s="1" t="n"/>
    </row>
    <row r="970" ht="15.75" customHeight="1" s="93">
      <c r="A970" s="1" t="n"/>
      <c r="B970" s="1" t="n"/>
      <c r="C970" s="1" t="n"/>
      <c r="D970" s="1" t="n"/>
      <c r="E970" s="1" t="n"/>
      <c r="F970" s="1" t="n"/>
    </row>
    <row r="971" ht="15.75" customHeight="1" s="93">
      <c r="A971" s="1" t="n"/>
      <c r="B971" s="1" t="n"/>
      <c r="C971" s="1" t="n"/>
      <c r="D971" s="1" t="n"/>
      <c r="E971" s="1" t="n"/>
      <c r="F971" s="1" t="n"/>
    </row>
    <row r="972" ht="15.75" customHeight="1" s="93">
      <c r="A972" s="1" t="n"/>
      <c r="B972" s="1" t="n"/>
      <c r="C972" s="1" t="n"/>
      <c r="D972" s="1" t="n"/>
      <c r="E972" s="1" t="n"/>
      <c r="F972" s="1" t="n"/>
    </row>
    <row r="973" ht="15.75" customHeight="1" s="93">
      <c r="A973" s="1" t="n"/>
      <c r="B973" s="1" t="n"/>
      <c r="C973" s="1" t="n"/>
      <c r="D973" s="1" t="n"/>
      <c r="E973" s="1" t="n"/>
      <c r="F973" s="1" t="n"/>
    </row>
    <row r="974" ht="15.75" customHeight="1" s="93">
      <c r="A974" s="1" t="n"/>
      <c r="B974" s="1" t="n"/>
      <c r="C974" s="1" t="n"/>
      <c r="D974" s="1" t="n"/>
      <c r="E974" s="1" t="n"/>
      <c r="F974" s="1" t="n"/>
    </row>
    <row r="975" ht="15.75" customHeight="1" s="93">
      <c r="A975" s="1" t="n"/>
      <c r="B975" s="1" t="n"/>
      <c r="C975" s="1" t="n"/>
      <c r="D975" s="1" t="n"/>
      <c r="E975" s="1" t="n"/>
      <c r="F975" s="1" t="n"/>
    </row>
    <row r="976" ht="15.75" customHeight="1" s="93">
      <c r="A976" s="1" t="n"/>
      <c r="B976" s="1" t="n"/>
      <c r="C976" s="1" t="n"/>
      <c r="D976" s="1" t="n"/>
      <c r="E976" s="1" t="n"/>
      <c r="F976" s="1" t="n"/>
    </row>
    <row r="977" ht="15.75" customHeight="1" s="93">
      <c r="A977" s="1" t="n"/>
      <c r="B977" s="1" t="n"/>
      <c r="C977" s="1" t="n"/>
      <c r="D977" s="1" t="n"/>
      <c r="E977" s="1" t="n"/>
      <c r="F977" s="1" t="n"/>
    </row>
    <row r="978" ht="15.75" customHeight="1" s="93">
      <c r="A978" s="1" t="n"/>
      <c r="B978" s="1" t="n"/>
      <c r="C978" s="1" t="n"/>
      <c r="D978" s="1" t="n"/>
      <c r="E978" s="1" t="n"/>
      <c r="F978" s="1" t="n"/>
    </row>
    <row r="979" ht="15.75" customHeight="1" s="93">
      <c r="A979" s="1" t="n"/>
      <c r="B979" s="1" t="n"/>
      <c r="C979" s="1" t="n"/>
      <c r="D979" s="1" t="n"/>
      <c r="E979" s="1" t="n"/>
      <c r="F979" s="1" t="n"/>
    </row>
    <row r="980" ht="15.75" customHeight="1" s="93">
      <c r="A980" s="1" t="n"/>
      <c r="B980" s="1" t="n"/>
      <c r="C980" s="1" t="n"/>
      <c r="D980" s="1" t="n"/>
      <c r="E980" s="1" t="n"/>
      <c r="F980" s="1" t="n"/>
    </row>
    <row r="981" ht="15.75" customHeight="1" s="93">
      <c r="A981" s="1" t="n"/>
      <c r="B981" s="1" t="n"/>
      <c r="C981" s="1" t="n"/>
      <c r="D981" s="1" t="n"/>
      <c r="E981" s="1" t="n"/>
      <c r="F981" s="1" t="n"/>
    </row>
    <row r="982" ht="15.75" customHeight="1" s="93">
      <c r="A982" s="1" t="n"/>
      <c r="B982" s="1" t="n"/>
      <c r="C982" s="1" t="n"/>
      <c r="D982" s="1" t="n"/>
      <c r="E982" s="1" t="n"/>
      <c r="F982" s="1" t="n"/>
    </row>
    <row r="983" ht="15.75" customHeight="1" s="93">
      <c r="A983" s="1" t="n"/>
      <c r="B983" s="1" t="n"/>
      <c r="C983" s="1" t="n"/>
      <c r="D983" s="1" t="n"/>
      <c r="E983" s="1" t="n"/>
      <c r="F983" s="1" t="n"/>
    </row>
    <row r="984" ht="15.75" customHeight="1" s="93">
      <c r="A984" s="1" t="n"/>
      <c r="B984" s="1" t="n"/>
      <c r="C984" s="1" t="n"/>
      <c r="D984" s="1" t="n"/>
      <c r="E984" s="1" t="n"/>
      <c r="F984" s="1" t="n"/>
    </row>
    <row r="985" ht="15.75" customHeight="1" s="93">
      <c r="A985" s="1" t="n"/>
      <c r="B985" s="1" t="n"/>
      <c r="C985" s="1" t="n"/>
      <c r="D985" s="1" t="n"/>
      <c r="E985" s="1" t="n"/>
      <c r="F985" s="1" t="n"/>
    </row>
    <row r="986" ht="15.75" customHeight="1" s="93">
      <c r="A986" s="1" t="n"/>
      <c r="B986" s="1" t="n"/>
      <c r="C986" s="1" t="n"/>
      <c r="D986" s="1" t="n"/>
      <c r="E986" s="1" t="n"/>
      <c r="F986" s="1" t="n"/>
    </row>
    <row r="987" ht="15.75" customHeight="1" s="93">
      <c r="A987" s="1" t="n"/>
      <c r="B987" s="1" t="n"/>
      <c r="C987" s="1" t="n"/>
      <c r="D987" s="1" t="n"/>
      <c r="E987" s="1" t="n"/>
      <c r="F987" s="1" t="n"/>
    </row>
    <row r="988" ht="15.75" customHeight="1" s="93">
      <c r="A988" s="1" t="n"/>
      <c r="B988" s="1" t="n"/>
      <c r="C988" s="1" t="n"/>
      <c r="D988" s="1" t="n"/>
      <c r="E988" s="1" t="n"/>
      <c r="F988" s="1" t="n"/>
    </row>
    <row r="989" ht="15.75" customHeight="1" s="93">
      <c r="A989" s="1" t="n"/>
      <c r="B989" s="1" t="n"/>
      <c r="C989" s="1" t="n"/>
      <c r="D989" s="1" t="n"/>
      <c r="E989" s="1" t="n"/>
      <c r="F989" s="1" t="n"/>
    </row>
    <row r="990" ht="15.75" customHeight="1" s="93">
      <c r="A990" s="1" t="n"/>
      <c r="B990" s="1" t="n"/>
      <c r="C990" s="1" t="n"/>
      <c r="D990" s="1" t="n"/>
      <c r="E990" s="1" t="n"/>
      <c r="F990" s="1" t="n"/>
    </row>
    <row r="991" ht="15.75" customHeight="1" s="93">
      <c r="A991" s="1" t="n"/>
      <c r="B991" s="1" t="n"/>
      <c r="C991" s="1" t="n"/>
      <c r="D991" s="1" t="n"/>
      <c r="E991" s="1" t="n"/>
      <c r="F991" s="1" t="n"/>
    </row>
    <row r="992" ht="15.75" customHeight="1" s="93">
      <c r="A992" s="1" t="n"/>
      <c r="B992" s="1" t="n"/>
      <c r="C992" s="1" t="n"/>
      <c r="D992" s="1" t="n"/>
      <c r="E992" s="1" t="n"/>
      <c r="F992" s="1" t="n"/>
    </row>
    <row r="993" ht="15.75" customHeight="1" s="93">
      <c r="A993" s="1" t="n"/>
      <c r="B993" s="1" t="n"/>
      <c r="C993" s="1" t="n"/>
      <c r="D993" s="1" t="n"/>
      <c r="E993" s="1" t="n"/>
      <c r="F993" s="1" t="n"/>
    </row>
    <row r="994" ht="15.75" customHeight="1" s="93">
      <c r="A994" s="1" t="n"/>
      <c r="B994" s="1" t="n"/>
      <c r="C994" s="1" t="n"/>
      <c r="D994" s="1" t="n"/>
      <c r="E994" s="1" t="n"/>
      <c r="F994" s="1" t="n"/>
    </row>
    <row r="995" ht="15.75" customHeight="1" s="93">
      <c r="A995" s="1" t="n"/>
      <c r="B995" s="1" t="n"/>
      <c r="C995" s="1" t="n"/>
      <c r="D995" s="1" t="n"/>
      <c r="E995" s="1" t="n"/>
      <c r="F995" s="1" t="n"/>
    </row>
    <row r="996" ht="15.75" customHeight="1" s="93">
      <c r="A996" s="1" t="n"/>
      <c r="B996" s="1" t="n"/>
      <c r="C996" s="1" t="n"/>
      <c r="D996" s="1" t="n"/>
      <c r="E996" s="1" t="n"/>
      <c r="F996" s="1" t="n"/>
    </row>
    <row r="997" ht="15.75" customHeight="1" s="93">
      <c r="A997" s="1" t="n"/>
      <c r="B997" s="1" t="n"/>
      <c r="C997" s="1" t="n"/>
      <c r="D997" s="1" t="n"/>
      <c r="E997" s="1" t="n"/>
      <c r="F997" s="1" t="n"/>
    </row>
    <row r="998" ht="15.75" customHeight="1" s="93">
      <c r="A998" s="1" t="n"/>
      <c r="B998" s="1" t="n"/>
      <c r="C998" s="1" t="n"/>
      <c r="D998" s="1" t="n"/>
      <c r="E998" s="1" t="n"/>
      <c r="F998" s="1" t="n"/>
    </row>
    <row r="999" ht="15.75" customHeight="1" s="93">
      <c r="A999" s="1" t="n"/>
      <c r="B999" s="1" t="n"/>
      <c r="C999" s="1" t="n"/>
      <c r="D999" s="1" t="n"/>
      <c r="E999" s="1" t="n"/>
      <c r="F999" s="1" t="n"/>
    </row>
    <row r="1000" ht="15.75" customHeight="1" s="93">
      <c r="A1000" s="1" t="n"/>
      <c r="B1000" s="1" t="n"/>
      <c r="C1000" s="1" t="n"/>
      <c r="D1000" s="1" t="n"/>
      <c r="E1000" s="1" t="n"/>
      <c r="F1000" s="1" t="n"/>
    </row>
    <row r="1001" ht="15.75" customHeight="1" s="93">
      <c r="A1001" s="1" t="n"/>
      <c r="B1001" s="1" t="n"/>
      <c r="C1001" s="1" t="n"/>
      <c r="D1001" s="1" t="n"/>
      <c r="E1001" s="1" t="n"/>
      <c r="F1001" s="1" t="n"/>
    </row>
    <row r="1002" ht="15.75" customHeight="1" s="93">
      <c r="A1002" s="1" t="n"/>
      <c r="B1002" s="59" t="inlineStr">
        <is>
          <t>FONTE DA VERDADE — esta planilha é a origem do catálogo que sobe para o ecom.</t>
        </is>
      </c>
      <c r="C1002" s="1" t="n"/>
      <c r="D1002" s="1" t="n"/>
      <c r="E1002" s="1" t="n"/>
      <c r="F1002" s="1" t="n"/>
    </row>
    <row r="1003" ht="15.75" customHeight="1" s="93">
      <c r="A1003" s="1" t="n"/>
      <c r="B1003" s="60" t="inlineStr">
        <is>
          <t>Fluxo: as áreas de negócio cadastram/atualizam aqui (SKU, título, custo, preço) e</t>
        </is>
      </c>
      <c r="C1003" s="1" t="n"/>
      <c r="D1003" s="1" t="n"/>
      <c r="E1003" s="1" t="n"/>
      <c r="F1003" s="1" t="n"/>
    </row>
    <row r="1004" ht="15.75" customHeight="1" s="93">
      <c r="A1004" s="1" t="n"/>
      <c r="B1004" s="60" t="inlineStr">
        <is>
          <t>o robô sincroniza com a loja (Shopify) e o ERP (Olist/Tiny) na madrugada ou sob demanda.</t>
        </is>
      </c>
      <c r="C1004" s="1" t="n"/>
      <c r="D1004" s="1" t="n"/>
      <c r="E1004" s="1" t="n"/>
      <c r="F1004" s="1" t="n"/>
    </row>
    <row r="1005" ht="15.75" customHeight="1" s="93">
      <c r="A1005" s="1" t="n"/>
      <c r="B1005" s="60" t="inlineStr">
        <is>
          <t>Coluna D (Title) reflete o título publicado no site. Vermelho = sem custo. Amarelo = fora do site.</t>
        </is>
      </c>
      <c r="C1005" s="1" t="n"/>
      <c r="D1005" s="1" t="n"/>
      <c r="E1005" s="1" t="n"/>
      <c r="F1005" s="1" t="n"/>
    </row>
    <row r="1006" ht="15.75" customHeight="1" s="93">
      <c r="A1006" s="1" t="n"/>
      <c r="B1006" s="60" t="inlineStr">
        <is>
          <t>Dashboard executivo de integrações: acompanhe fotos, descrições e divergências (link enviado à parte).</t>
        </is>
      </c>
      <c r="C1006" s="1" t="n"/>
      <c r="D1006" s="1" t="n"/>
      <c r="E1006" s="1" t="n"/>
      <c r="F1006" s="1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.86" customWidth="1" style="93" min="1" max="1"/>
    <col width="36" customWidth="1" style="93" min="2" max="2"/>
    <col width="52.29" customWidth="1" style="93" min="3" max="3"/>
    <col width="120.14" customWidth="1" style="93" min="4" max="4"/>
    <col width="8.710000000000001" customWidth="1" style="93" min="5" max="7"/>
  </cols>
  <sheetData>
    <row r="1" ht="27.75" customHeight="1" s="93">
      <c r="A1" s="3" t="n"/>
      <c r="B1" s="5" t="inlineStr">
        <is>
          <t>Parâmetros Globais — APP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9" t="n"/>
      <c r="B2" s="10" t="inlineStr">
        <is>
          <t>Parâmetro</t>
        </is>
      </c>
      <c r="C2" s="10" t="inlineStr">
        <is>
          <t>Valor</t>
        </is>
      </c>
      <c r="D2" s="10" t="inlineStr">
        <is>
          <t>Observação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4" t="n"/>
      <c r="B3" s="14" t="inlineStr">
        <is>
          <t>Margem padrão (referência)</t>
        </is>
      </c>
      <c r="C3" s="15" t="n">
        <v>0.3</v>
      </c>
      <c r="D3" s="16" t="inlineStr">
        <is>
          <t>Usada como sugestão inicial — cada SKU pode ter sua margem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4" t="n"/>
      <c r="B4" s="14" t="inlineStr">
        <is>
          <t>Taxa Mercado Pago (%)</t>
        </is>
      </c>
      <c r="C4" s="15" t="n">
        <v>0.05</v>
      </c>
      <c r="D4" s="16" t="inlineStr">
        <is>
          <t>Cartão à vista padrão (4,99%) — ajustar se mudar de plano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4" t="n"/>
      <c r="B5" s="14" t="inlineStr">
        <is>
          <t>Taxa MP (parcelado 12x s/ juros)</t>
        </is>
      </c>
      <c r="C5" s="15" t="n">
        <v>0.1682</v>
      </c>
      <c r="D5" s="16" t="inlineStr">
        <is>
          <t>Referência para análise — não aplicada automaticamente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4" t="n"/>
      <c r="B6" s="14" t="inlineStr">
        <is>
          <t>Frete inbound padrão ()</t>
        </is>
      </c>
      <c r="C6" s="19" t="n">
        <v>25</v>
      </c>
      <c r="D6" s="16" t="inlineStr">
        <is>
          <t>Estimativa default por volume — substituir por valor real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4" t="n"/>
      <c r="B7" s="14" t="inlineStr">
        <is>
          <t>ICMS-ST aplicável</t>
        </is>
      </c>
      <c r="C7" s="23" t="inlineStr">
        <is>
          <t>verificar</t>
        </is>
      </c>
      <c r="D7" s="16" t="inlineStr">
        <is>
          <t>Conforme NCM/CFOP da peça — consultar contador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4" t="n"/>
      <c r="B8" s="14" t="inlineStr">
        <is>
          <t>IPI aplicável</t>
        </is>
      </c>
      <c r="C8" s="23" t="inlineStr">
        <is>
          <t>verificar</t>
        </is>
      </c>
      <c r="D8" s="16" t="inlineStr">
        <is>
          <t>Conforme classificação fiscal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4" t="n"/>
      <c r="B9" s="14" t="inlineStr">
        <is>
          <t>Markup mínimo aceitável (%)</t>
        </is>
      </c>
      <c r="C9" s="15" t="n">
        <v>0.25</v>
      </c>
      <c r="D9" s="16" t="inlineStr">
        <is>
          <t>Threshold para alerta — abaixo disso, revisar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4" t="n"/>
      <c r="B10" s="14" t="inlineStr">
        <is>
          <t>ROAS mínimo Google Ads</t>
        </is>
      </c>
      <c r="C10" s="23" t="n">
        <v>4</v>
      </c>
      <c r="D10" s="16" t="inlineStr">
        <is>
          <t>Meta para campanhas pagas — abaixo disso, pausar criativo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4" t="n"/>
      <c r="B11" s="14" t="inlineStr">
        <is>
          <t>Frete grátis (acima de )</t>
        </is>
      </c>
      <c r="C11" s="19" t="n">
        <v>800</v>
      </c>
      <c r="D11" s="16" t="inlineStr">
        <is>
          <t>Política comercial — ajustar conforme caixa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4" t="n"/>
      <c r="B12" s="14" t="inlineStr">
        <is>
          <t>CNPJ APP</t>
        </is>
      </c>
      <c r="C12" s="23" t="n"/>
      <c r="D12" s="16" t="inlineStr">
        <is>
          <t>Razão social: Agro Peças Padrão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4" t="n"/>
      <c r="B13" s="14" t="inlineStr">
        <is>
          <t>WhatsApp comercial</t>
        </is>
      </c>
      <c r="C13" s="23" t="inlineStr">
        <is>
          <t>+55 41 98415-1085</t>
        </is>
      </c>
      <c r="D13" s="16" t="inlineStr">
        <is>
          <t>CTA padrão de todos os produtos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4" t="n"/>
      <c r="B14" s="14" t="inlineStr">
        <is>
          <t>Taxa MP efetiva (5% cartão + parcelado 12x 16,82%)</t>
        </is>
      </c>
      <c r="C14" s="15" t="n">
        <v>0.2082</v>
      </c>
      <c r="D14" s="16" t="inlineStr">
        <is>
          <t>FONTE ÚNICA da taxa usada no Preço final de TODAS as abas. Decisão 21/07/2026.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5" t="inlineStr">
        <is>
          <t>Glossario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3" t="n"/>
      <c r="B17" s="33" t="inlineStr">
        <is>
          <t>Campo</t>
        </is>
      </c>
      <c r="C17" s="33" t="inlineStr">
        <is>
          <t>Exemplo</t>
        </is>
      </c>
      <c r="D17" s="33" t="inlineStr">
        <is>
          <t>Descrição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 s="93">
      <c r="A18" s="94" t="inlineStr">
        <is>
          <t>IDENTIFICAÇÃO</t>
        </is>
      </c>
      <c r="B18" s="10" t="inlineStr">
        <is>
          <t>SKU / Código</t>
        </is>
      </c>
      <c r="C18" s="23" t="inlineStr">
        <is>
          <t>5.1302.0565122.0</t>
        </is>
      </c>
      <c r="D18" s="1" t="inlineStr">
        <is>
          <t>Codigo ou SKU da Peça ideal q seja igual de fabrica para ajudar a "Linkar" na nota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.75" customHeight="1" s="93">
      <c r="A19" s="95" t="n"/>
      <c r="B19" s="10" t="inlineStr">
        <is>
          <t>Part Number</t>
        </is>
      </c>
      <c r="C19" s="23" t="inlineStr">
        <is>
          <t>565122</t>
        </is>
      </c>
      <c r="D19" s="1" t="inlineStr">
        <is>
          <t>Part Number ou OEM da Peça isso ajuda na aplicacao da peça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1.75" customHeight="1" s="93">
      <c r="A20" s="95" t="n"/>
      <c r="B20" s="10" t="inlineStr">
        <is>
          <t>Handle (Shopify)</t>
        </is>
      </c>
      <c r="C20" s="29">
        <f>IFERROR(LOWER(SUBSTITUTE(SUBSTITUTE(SUBSTITUTE(SUBSTITUTE(C21," ","-"),"/","-"),".",""),",","")),"")</f>
        <v/>
      </c>
      <c r="D20" s="1" t="inlineStr">
        <is>
          <t>Se não souber preencher o Robozinho preenche para subir para o Ecommerce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1.75" customHeight="1" s="93">
      <c r="A21" s="95" t="n"/>
      <c r="B21" s="10" t="inlineStr">
        <is>
          <t>Title (PT-BR)</t>
        </is>
      </c>
      <c r="C21" s="23" t="inlineStr">
        <is>
          <t>BOMBA HIDRÁULICA - APLICAÇÃO MF A-028 (ACX5148180) GIRO I (PROTOTIPO)</t>
        </is>
      </c>
      <c r="D21" s="1" t="inlineStr">
        <is>
          <t xml:space="preserve">Titulo descritivo ideal para ir ao ecomerce (usar catalo ou pesquisa para ter uma melhor nome ) 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.75" customHeight="1" s="93">
      <c r="A22" s="95" t="n"/>
      <c r="B22" s="10" t="inlineStr">
        <is>
          <t>Product Type</t>
        </is>
      </c>
      <c r="C22" s="23" t="inlineStr">
        <is>
          <t>Bombas Hidráulicas</t>
        </is>
      </c>
      <c r="D22" s="1" t="inlineStr">
        <is>
          <t>Tipo/Categora de produto veriricar os tipos que hoje temos cadastradas no site antes de criar se criar informar para replicar nos sistemas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1.75" customHeight="1" s="93">
      <c r="A23" s="95" t="n"/>
      <c r="B23" s="10" t="inlineStr">
        <is>
          <t>Vendor (Fabricante)</t>
        </is>
      </c>
      <c r="C23" s="23" t="inlineStr">
        <is>
          <t>SOHIPREN</t>
        </is>
      </c>
      <c r="D23" s="1" t="inlineStr">
        <is>
          <t xml:space="preserve">Fabricante 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.75" customHeight="1" s="93">
      <c r="A24" s="95" t="n"/>
      <c r="B24" s="10" t="inlineStr">
        <is>
          <t>Tags (vírgula)</t>
        </is>
      </c>
      <c r="C24" s="23" t="n"/>
      <c r="D24" s="1" t="inlineStr">
        <is>
          <t>Indicadores que ajuda na BUSCA ou pesquisa (Ex: "Produto novo 2026", "Promoçao de Natal","Negociacao Fabio")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1.75" customHeight="1" s="93">
      <c r="A25" s="96" t="n"/>
      <c r="B25" s="10" t="inlineStr">
        <is>
          <t>Status</t>
        </is>
      </c>
      <c r="C25" s="23" t="inlineStr">
        <is>
          <t>active</t>
        </is>
      </c>
      <c r="D25" s="1" t="inlineStr">
        <is>
          <t>"activo" para subir ao ecommerce  -"Draft" Somente castro na planilha não sobe - "Archived" Produdo não vendido mais no ecom (histórico)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1.75" customHeight="1" s="93">
      <c r="A26" s="97" t="inlineStr">
        <is>
          <t>APLICAÇÃO TÉCNICA</t>
        </is>
      </c>
      <c r="B26" s="10" t="inlineStr">
        <is>
          <t>Montadora compatível</t>
        </is>
      </c>
      <c r="C26" s="23" t="inlineStr">
        <is>
          <t>AGCO</t>
        </is>
      </c>
      <c r="D26" s="1" t="inlineStr">
        <is>
          <t>Montadora compativo (ex: AGCO, JOHN DEERE, VOLO ) add todoas as marcas separadas por ","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1.75" customHeight="1" s="93">
      <c r="A27" s="95" t="n"/>
      <c r="B27" s="10" t="inlineStr">
        <is>
          <t>Equipamento / Modelo</t>
        </is>
      </c>
      <c r="C27" s="23" t="inlineStr">
        <is>
          <t>TRATOR</t>
        </is>
      </c>
      <c r="D27" s="1" t="inlineStr">
        <is>
          <t>Modelo específico do equipamento onde a peça é aplicada (ex: TRATOR, COLHEITADEIRA, CBT 2500 — quanto mais específico melhor para o cliente encontrar)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1.75" customHeight="1" s="93">
      <c r="A28" s="95" t="n"/>
      <c r="B28" s="10" t="inlineStr">
        <is>
          <t>Função / Aplicação</t>
        </is>
      </c>
      <c r="C28" s="23" t="inlineStr">
        <is>
          <t>PRINCIPAL E DIREÇÃO</t>
        </is>
      </c>
      <c r="D28" s="1" t="inlineStr">
        <is>
          <t>Sistema ou função que a peça exerce no equipamento (ex: DIREÇÃO, LEVANTE, PRINCIPAL — baseado no catálogo do fabricante)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45" customHeight="1" s="93">
      <c r="A29" s="96" t="n"/>
      <c r="B29" s="10" t="inlineStr">
        <is>
          <t>Códigos cruzados</t>
        </is>
      </c>
      <c r="C29" s="23" t="inlineStr">
        <is>
          <t>R979107777/ACW4000800/ACX5148180</t>
        </is>
      </c>
      <c r="D29" s="1" t="inlineStr">
        <is>
          <t>Outros códigos OEM ou referências cruzadas que identificam a mesma peça em outros fabricantes/montadoras — separar por "/" (ex: R979107777/ACW4000800)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.75" customHeight="1" s="93">
      <c r="A30" s="98" t="inlineStr">
        <is>
          <t>LOGÍSTICA E EMBALAGEM</t>
        </is>
      </c>
      <c r="B30" s="10" t="inlineStr">
        <is>
          <t>Peso (kg)</t>
        </is>
      </c>
      <c r="C30" s="31" t="n">
        <v>5.75</v>
      </c>
      <c r="D30" s="1" t="inlineStr">
        <is>
          <t>Peso bruto real da peça em kg — pesar fisicamente ou consultar fornecedor. Essencial para calcular frete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1.75" customHeight="1" s="93">
      <c r="A31" s="95" t="n"/>
      <c r="B31" s="10" t="inlineStr">
        <is>
          <t>Comprimento (cm)</t>
        </is>
      </c>
      <c r="C31" s="31" t="n">
        <v>30</v>
      </c>
      <c r="D31" s="1" t="inlineStr">
        <is>
          <t>Comprimento (cm) → Maior dimensão da embalagem em centímetros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1.75" customHeight="1" s="93">
      <c r="A32" s="95" t="n"/>
      <c r="B32" s="10" t="inlineStr">
        <is>
          <t>Largura (cm)</t>
        </is>
      </c>
      <c r="C32" s="31" t="n">
        <v>12.5</v>
      </c>
      <c r="D32" s="1" t="inlineStr">
        <is>
          <t>Largura (cm) → Segunda dimensão da embalagem em centímetros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1.75" customHeight="1" s="93">
      <c r="A33" s="95" t="n"/>
      <c r="B33" s="10" t="inlineStr">
        <is>
          <t>Altura (cm)</t>
        </is>
      </c>
      <c r="C33" s="31" t="n">
        <v>12.5</v>
      </c>
      <c r="D33" s="1" t="inlineStr">
        <is>
          <t>Altura (cm) → Terceira dimensão (espessura) da embalagem em centímetros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1.75" customHeight="1" s="93">
      <c r="A34" s="95" t="n"/>
      <c r="B34" s="10" t="inlineStr">
        <is>
          <t>Peso cubado (kg)</t>
        </is>
      </c>
      <c r="C34" s="34">
        <f>IFERROR(IF(AND(C31&gt;0,C32&gt;0,C33&gt;0),(C31*C32*C33)/6000,""),"")</f>
        <v/>
      </c>
      <c r="D34" s="1" t="inlineStr">
        <is>
          <t>Calculado automaticamente: (C × L × A em cm) ÷ 6.000 — fórmula padrão das transportadoras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1.75" customHeight="1" s="93">
      <c r="A35" s="95" t="n"/>
      <c r="B35" s="10" t="inlineStr">
        <is>
          <t>Peso considerado (kg)</t>
        </is>
      </c>
      <c r="C35" s="34">
        <f>IFERROR(IF(AND(C30&gt;0,C34&gt;0),MAX(C30,C34),IF(C30&gt;0,C30,IF(C34&gt;0,C34,""))),"")</f>
        <v/>
      </c>
      <c r="D35" s="1" t="inlineStr">
        <is>
          <t>Calculado automaticamente: MAX(peso real, peso cubado) — é o valor que a transportadora efetivamente cobra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21.75" customHeight="1" s="93">
      <c r="A36" s="95" t="n"/>
      <c r="B36" s="10" t="inlineStr">
        <is>
          <t>Frete fábrica → eCom ()</t>
        </is>
      </c>
      <c r="C36" s="36" t="n">
        <v>100</v>
      </c>
      <c r="D36" s="1" t="inlineStr">
        <is>
          <t>Custo de frete do fabricante até o nosso estoque (inbound). Usar  25,00 como estimativa padrão quando não tiver o valor real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1.75" customHeight="1" s="93">
      <c r="A37" s="96" t="n"/>
      <c r="B37" s="10" t="inlineStr">
        <is>
          <t>Origem do dado embalagem</t>
        </is>
      </c>
      <c r="C37" s="23" t="inlineStr">
        <is>
          <t>fornecedor</t>
        </is>
      </c>
      <c r="D37" s="1" t="inlineStr">
        <is>
          <t xml:space="preserve"> Indica de onde vieram as dimensões/peso: "fornecedor" = dado oficial, "FALTA" = pendente de preenchimento, "estimado" = valor aproximado por família de produto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21.75" customHeight="1" s="93">
      <c r="A38" s="99" t="inlineStr">
        <is>
          <t>CUSTO E PRECIFICAÇÃO</t>
        </is>
      </c>
      <c r="B38" s="10" t="inlineStr">
        <is>
          <t>Custo unitário ()</t>
        </is>
      </c>
      <c r="C38" s="36" t="n">
        <v>1290</v>
      </c>
      <c r="D38" s="1" t="inlineStr">
        <is>
          <t>Preço de compra da peça junto ao fornecedor (sem frete). Base de todo o cálculo de precificação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1.75" customHeight="1" s="93">
      <c r="A39" s="95" t="n"/>
      <c r="B39" s="10" t="inlineStr">
        <is>
          <t>% Margem de lucro</t>
        </is>
      </c>
      <c r="C39" s="39" t="n">
        <v>0.3</v>
      </c>
      <c r="D39" s="1" t="inlineStr">
        <is>
          <t>Percentual de margem desejado para este SKU. Padrão global: 30% — pode ser ajustado por produto conforme concorrência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21.75" customHeight="1" s="93">
      <c r="A40" s="95" t="n"/>
      <c r="B40" s="10" t="inlineStr">
        <is>
          <t>Custo + frete inbound ()</t>
        </is>
      </c>
      <c r="C40" s="41">
        <f>IFERROR(C38+C36,"")</f>
        <v/>
      </c>
      <c r="D40" s="1" t="inlineStr">
        <is>
          <t>Calculado: Custo unitário + Frete fábrica → eCom. Representa o custo total de aquisição da peça no estoque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1.75" customHeight="1" s="93">
      <c r="A41" s="95" t="n"/>
      <c r="B41" s="10" t="inlineStr">
        <is>
          <t>Preço c/ margem ()</t>
        </is>
      </c>
      <c r="C41" s="41">
        <f>IFERROR(IF(C39&lt;1,C40/(1-C39),""),"")</f>
        <v/>
      </c>
      <c r="D41" s="1" t="inlineStr">
        <is>
          <t>Calculado: (Custo + frete) ÷ (1 − % margem). Preço mínimo antes de aplicar taxa do Mercado Pago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1.75" customHeight="1" s="93">
      <c r="A42" s="95" t="n"/>
      <c r="B42" s="10" t="inlineStr">
        <is>
          <t>Taxa Mercado Pago (%)</t>
        </is>
      </c>
      <c r="C42" s="43">
        <f>'01_CONFIG_GLOBAL'!$C$4</f>
        <v/>
      </c>
      <c r="D42" s="1" t="inlineStr">
        <is>
          <t xml:space="preserve">Taxa do Mercado Pago (cartao , debito ) Para pix é de 0,05 para fins de calculo usar sempre o maior Valor </t>
        </is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1.75" customHeight="1" s="93">
      <c r="A43" s="95" t="n"/>
      <c r="B43" s="10" t="inlineStr">
        <is>
          <t>Taxa MP ()</t>
        </is>
      </c>
      <c r="C43" s="41">
        <f>IFERROR(C41*C42,"")</f>
        <v/>
      </c>
      <c r="D43" s="1" t="inlineStr">
        <is>
          <t>Calculado: Preço c/ margem × Taxa MP (%). Valor em reais que o Mercado Pago desconta por transação</t>
        </is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21.75" customHeight="1" s="93">
      <c r="A44" s="96" t="n"/>
      <c r="B44" s="10" t="inlineStr">
        <is>
          <t>Preço final site ()</t>
        </is>
      </c>
      <c r="C44" s="41">
        <f>IFERROR(IF(C42&lt;1,C41/(1-C42),""),"")</f>
        <v/>
      </c>
      <c r="D44" s="1" t="inlineStr">
        <is>
          <t>Calculado: Preço c/ margem ÷ (1 − Taxa MP%). Preço de venda final que o cliente vê no e-commerce, já absorvendo todas as taxas</t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21.75" customHeight="1" s="93">
      <c r="A45" s="100" t="inlineStr">
        <is>
          <t>PESQUISA DE MERCADO</t>
        </is>
      </c>
      <c r="B45" s="10" t="inlineStr">
        <is>
          <t>Concorrente 1 — Nome</t>
        </is>
      </c>
      <c r="C45" s="23" t="n"/>
      <c r="D45" s="1" t="inlineStr">
        <is>
          <t>Concorrente 1 / 2 / 3 — Nome → Nome do concorrente pesquisado (ex: Mercado Livre Vendedor X, Site OEM, Agriparts). Registrar para rastreabilidade da pesquisa</t>
        </is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21.75" customHeight="1" s="93">
      <c r="A46" s="95" t="n"/>
      <c r="B46" s="10" t="inlineStr">
        <is>
          <t>Concorrente 1 — Preço ()</t>
        </is>
      </c>
      <c r="C46" s="36" t="n"/>
      <c r="D46" s="1" t="inlineStr">
        <is>
          <t>Concorrente 1 / 2 / 3 — Preço () → Preço encontrado nesse concorrente. Preencher também na aba 09_PESQUISA_MERCADO com link/print para referência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21.75" customHeight="1" s="93">
      <c r="A47" s="95" t="n"/>
      <c r="B47" s="10" t="inlineStr">
        <is>
          <t>Concorrente 2 — Nome</t>
        </is>
      </c>
      <c r="C47" s="23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1.75" customHeight="1" s="93">
      <c r="A48" s="95" t="n"/>
      <c r="B48" s="10" t="inlineStr">
        <is>
          <t>Concorrente 2 — Preço ()</t>
        </is>
      </c>
      <c r="C48" s="36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.75" customHeight="1" s="93">
      <c r="A49" s="95" t="n"/>
      <c r="B49" s="10" t="inlineStr">
        <is>
          <t>Concorrente 3 — Nome</t>
        </is>
      </c>
      <c r="C49" s="23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21.75" customHeight="1" s="93">
      <c r="A50" s="95" t="n"/>
      <c r="B50" s="10" t="inlineStr">
        <is>
          <t>Concorrente 3 — Preço ()</t>
        </is>
      </c>
      <c r="C50" s="36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21.75" customHeight="1" s="93">
      <c r="A51" s="95" t="n"/>
      <c r="B51" s="10" t="inlineStr">
        <is>
          <t>Preço médio concorrência ()</t>
        </is>
      </c>
      <c r="C51" s="41">
        <f>IFERROR(AVERAGE(C46,C48,C50),"")</f>
        <v/>
      </c>
      <c r="D51" s="1" t="inlineStr">
        <is>
          <t>Preço médio concorrência () → Calculado automaticamente: média dos preços dos concorrentes preenchidos. Referência para posicionamento</t>
        </is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1.75" customHeight="1" s="93">
      <c r="A52" s="96" t="n"/>
      <c r="B52" s="10" t="inlineStr">
        <is>
          <t>Posicionamento</t>
        </is>
      </c>
      <c r="C52" s="29">
        <f>IFERROR(IF(C51="","sem dados",IF(C44&lt;C51*0.95,"abaixo",IF(C44&gt;C51*1.05,"acima","em linha"))),"")</f>
        <v/>
      </c>
      <c r="D52" s="1" t="inlineStr">
        <is>
          <t>Calculado: compara nosso Preço final site vs média da concorrência. Resultado: "abaixo" (oportunidade — fundo verde), "acima" (revisar margem — fundo vermelho) ou "sem dados" (pesquisa pendente)</t>
        </is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.75" customHeight="1" s="93">
      <c r="A53" s="101" t="inlineStr">
        <is>
          <t>WORKFLOW</t>
        </is>
      </c>
      <c r="B53" s="10" t="inlineStr">
        <is>
          <t>Cadastrado Shopify?</t>
        </is>
      </c>
      <c r="C53" s="23" t="inlineStr">
        <is>
          <t>sim</t>
        </is>
      </c>
      <c r="D53" s="1" t="inlineStr">
        <is>
          <t>Preencher "sim", "não" ou "divergente". "Divergente" = SKU existe no Shopify mas com dados diferentes da planilha — priorizar correção</t>
        </is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1.75" customHeight="1" s="93">
      <c r="A54" s="95" t="n"/>
      <c r="B54" s="10" t="inlineStr">
        <is>
          <t>Última atualização</t>
        </is>
      </c>
      <c r="C54" s="23" t="n"/>
      <c r="D54" s="1" t="inlineStr">
        <is>
          <t>Data da última alteração nesta linha (formato DD/MM/AAAA). Atualizar sempre que editar custo, preço ou dados de embalagem</t>
        </is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93">
      <c r="A55" s="95" t="n"/>
      <c r="B55" s="10" t="inlineStr">
        <is>
          <t>Operador responsável</t>
        </is>
      </c>
      <c r="C55" s="23" t="n"/>
      <c r="D55" s="1" t="inlineStr">
        <is>
          <t>Nome ou iniciais de quem preencheu ou atualizou o SKU por último. Facilita rastreabilidade e cobrança de pendências</t>
        </is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21.75" customHeight="1" s="93">
      <c r="A56" s="96" t="n"/>
      <c r="B56" s="10" t="inlineStr">
        <is>
          <t>Observações</t>
        </is>
      </c>
      <c r="C56" s="23" t="n"/>
      <c r="D56" s="1" t="inlineStr">
        <is>
          <t>Campo livre para notas relevantes: caminho de fotos (assets/...), substituições de código, pendências específicas, instruções para o agente Claude Code/MCP</t>
        </is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9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9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9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9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9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9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9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9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9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9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9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9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9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9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9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9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9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9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9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9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9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9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9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9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9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9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9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9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9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9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9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9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9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9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9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93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93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93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93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93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93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93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93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93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93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93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93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93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93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93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93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93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93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93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93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93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93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93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93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93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93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93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93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93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93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93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93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93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93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93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93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93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93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93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93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93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93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93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93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93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93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93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93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93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93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93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93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93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93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93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93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93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93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93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93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93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93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93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93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93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93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93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93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93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93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93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93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93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93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93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93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93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93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93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93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93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93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93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93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93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93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93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93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93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93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93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93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93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93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93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93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93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93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93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93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93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93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93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93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93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93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93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93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93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93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93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93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93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93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93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93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93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93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93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93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93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93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93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93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93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93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93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93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93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93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93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93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93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93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93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93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93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93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93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93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93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93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93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93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93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93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93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93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93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93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93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93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93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93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93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93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93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93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93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93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93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93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93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93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93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93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93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93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93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93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93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93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93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93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93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93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93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93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93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93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93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93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93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93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93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93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93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93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93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93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93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93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93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93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93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93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93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93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93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93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93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93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93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93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93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93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93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93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93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93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93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93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93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93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93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93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93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93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93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93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93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93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93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93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93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93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93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93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93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93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93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93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93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93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93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93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93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93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93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93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93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93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93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93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93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93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93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93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93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93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93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93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93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93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93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93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93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93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93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93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93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93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93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93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93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93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93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93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93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93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93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93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93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93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93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93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93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93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93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93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93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93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93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93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93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93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93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93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93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93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93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93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93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93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93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93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93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93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93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93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93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93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93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93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93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93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93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93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93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93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93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93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93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93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93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93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93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93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93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93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93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93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93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93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93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93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93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93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93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93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93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93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93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93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93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93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93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93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93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93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93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93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93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93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93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93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93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93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93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93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93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93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93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93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93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93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93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93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93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93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93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93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93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93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93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93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93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93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93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93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93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93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93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93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93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93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93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93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93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93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93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93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93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93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93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93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93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93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93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93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93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93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93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93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93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93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93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93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93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93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93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93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93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93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93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93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93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93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93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93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93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93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93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93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93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93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93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93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93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93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93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93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93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93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93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93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93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93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93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93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93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93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93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93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93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93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93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93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93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93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93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93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93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93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93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93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93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93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93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93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93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93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93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93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93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93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93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93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93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93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93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93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93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93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93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93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93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93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93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93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93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93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93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93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93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93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93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93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93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93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93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93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93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93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93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93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93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93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93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93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93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93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93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93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93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93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93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93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93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93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93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93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93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93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93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93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93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93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93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93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93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93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93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93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93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93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93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93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93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93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93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93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93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93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93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93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93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93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93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93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93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93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93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93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93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93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93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93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93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93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93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93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93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93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93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93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93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93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93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93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93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93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93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93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93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93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93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93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93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93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93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93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93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93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93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93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93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93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93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93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93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93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93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93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93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93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93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93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93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93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93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93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93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93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93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93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93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93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93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93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93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93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93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93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93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93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93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93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93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93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93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93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93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93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93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93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93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93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93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93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93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93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93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93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93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93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93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93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93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93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93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93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93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93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93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93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93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93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93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93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93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93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93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93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93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93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93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93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93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93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93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93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93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93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93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93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93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93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93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93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93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93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93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93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93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93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93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93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93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93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93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93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93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93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93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93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93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93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93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93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93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93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93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93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93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93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93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93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93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93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93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93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93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93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93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93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93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93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93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93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93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93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93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93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93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93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93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93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93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93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93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93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93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93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93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93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93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93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93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93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93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93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93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93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93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93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93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93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93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93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93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93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93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93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93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93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93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93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93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93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93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93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93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93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93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93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93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93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93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93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93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93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93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93">
      <c r="A1000" s="1" t="n"/>
      <c r="B1000" s="1" t="n"/>
      <c r="C1000" s="1" t="n"/>
      <c r="D1000" s="1" t="n"/>
      <c r="E1000" s="1" t="n"/>
      <c r="F1000" s="1" t="n"/>
      <c r="G1000" s="1" t="n"/>
    </row>
  </sheetData>
  <mergeCells count="8">
    <mergeCell ref="A30:A37"/>
    <mergeCell ref="A45:A52"/>
    <mergeCell ref="A26:A29"/>
    <mergeCell ref="B1:D1"/>
    <mergeCell ref="A38:A44"/>
    <mergeCell ref="A53:A56"/>
    <mergeCell ref="A18:A25"/>
    <mergeCell ref="B16:D16"/>
  </mergeCells>
  <conditionalFormatting sqref="C37">
    <cfRule type="cellIs" priority="1" operator="equal" dxfId="0">
      <formula>"FALTA"</formula>
    </cfRule>
  </conditionalFormatting>
  <conditionalFormatting sqref="C52">
    <cfRule type="cellIs" priority="2" operator="equal" dxfId="1">
      <formula>"abaixo"</formula>
    </cfRule>
    <cfRule type="cellIs" priority="3" operator="equal" dxfId="2">
      <formula>"acima"</formula>
    </cfRule>
  </conditionalFormatting>
  <conditionalFormatting sqref="C53">
    <cfRule type="cellIs" priority="4" operator="equal" dxfId="2">
      <formula>"divergente"</formula>
    </cfRule>
  </conditionalFormatting>
  <dataValidations count="5">
    <dataValidation sqref="C22" showDropDown="0" showInputMessage="0" showErrorMessage="0" allowBlank="1" type="list">
      <formula1>"Bombas Hidráulicas,Sensores Agrícolas,Peças Plásticas Injetadas,Kits e Acessórios,Componentes Eletrônicos"</formula1>
    </dataValidation>
    <dataValidation sqref="C25" showDropDown="0" showInputMessage="0" showErrorMessage="0" allowBlank="1" type="list">
      <formula1>"active,draft,archived"</formula1>
    </dataValidation>
    <dataValidation sqref="C37" showDropDown="0" showInputMessage="0" showErrorMessage="0" allowBlank="1" type="list">
      <formula1>"fornecedor,medido,pesquisado,FALTA"</formula1>
    </dataValidation>
    <dataValidation sqref="C23" showDropDown="0" showInputMessage="0" showErrorMessage="0" allowBlank="1" type="list">
      <formula1>"SOHIPREN,AGRAL,GRECO,AGCO,ADG,LIVENZA"</formula1>
    </dataValidation>
    <dataValidation sqref="C53" showDropDown="0" showInputMessage="0" showErrorMessage="0" allowBlank="1" type="list">
      <formula1>"sim,não,divergente"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1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20" customWidth="1" style="93" min="1" max="1"/>
    <col width="14" customWidth="1" style="93" min="2" max="2"/>
    <col width="40" customWidth="1" style="93" min="3" max="3"/>
    <col width="86.14" customWidth="1" style="93" min="4" max="4"/>
    <col width="22" customWidth="1" style="93" min="5" max="5"/>
    <col width="17.14" customWidth="1" style="93" min="6" max="8"/>
    <col width="25.57" customWidth="1" style="93" min="9" max="9"/>
    <col width="20.43" customWidth="1" style="93" min="10" max="10"/>
    <col width="17.14" customWidth="1" style="93" min="11" max="11"/>
    <col width="77.86" customWidth="1" style="93" min="12" max="12"/>
    <col width="17.14" customWidth="1" style="93" min="13" max="35"/>
    <col width="19.14" customWidth="1" style="93" min="36" max="36"/>
    <col width="17.14" customWidth="1" style="93" min="37" max="39"/>
    <col width="45.71" customWidth="1" style="93" min="40" max="40"/>
    <col width="77.56999999999999" customWidth="1" style="93" min="42" max="42"/>
  </cols>
  <sheetData>
    <row r="1" ht="30" customHeight="1" s="93">
      <c r="A1" s="5" t="inlineStr">
        <is>
          <t>APP — Agro Peças Padrão | Master 02_SOHIPREN</t>
        </is>
      </c>
      <c r="AP1" s="1" t="n"/>
    </row>
    <row r="2">
      <c r="A2" s="8" t="inlineStr">
        <is>
          <t>Total de SKUs:</t>
        </is>
      </c>
      <c r="B2" s="12">
        <f>COUNTA(A6:A100002)</f>
        <v/>
      </c>
      <c r="C2" s="1" t="n"/>
      <c r="D2" s="8" t="inlineStr">
        <is>
          <t>Faltando embalagem:</t>
        </is>
      </c>
      <c r="E2" s="13">
        <f>COUNTIF(U6:U100002,"FALTA")</f>
        <v/>
      </c>
      <c r="F2" s="1" t="n"/>
      <c r="G2" s="8" t="inlineStr">
        <is>
          <t>Cadastrados Shopify:</t>
        </is>
      </c>
      <c r="H2" s="12">
        <f>COUNTIF(AK6:AK100002,"sim")</f>
        <v/>
      </c>
      <c r="I2" s="1" t="n"/>
      <c r="J2" s="8" t="inlineStr">
        <is>
          <t>Divergentes:</t>
        </is>
      </c>
      <c r="K2" s="17">
        <f>COUNTIF(AK6:AK100002,"divergente")</f>
        <v/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P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P3" s="1" t="n"/>
    </row>
    <row r="4" ht="21.75" customHeight="1" s="93">
      <c r="A4" s="20" t="inlineStr">
        <is>
          <t>IDENTIFICAÇÃO</t>
        </is>
      </c>
      <c r="B4" s="102" t="n"/>
      <c r="C4" s="102" t="n"/>
      <c r="D4" s="102" t="n"/>
      <c r="E4" s="102" t="n"/>
      <c r="F4" s="102" t="n"/>
      <c r="G4" s="102" t="n"/>
      <c r="H4" s="102" t="n"/>
      <c r="I4" s="20" t="inlineStr">
        <is>
          <t>APLICAÇÃO TÉCNICA</t>
        </is>
      </c>
      <c r="J4" s="102" t="n"/>
      <c r="K4" s="102" t="n"/>
      <c r="L4" s="102" t="n"/>
      <c r="M4" s="24" t="n"/>
      <c r="N4" s="20" t="inlineStr">
        <is>
          <t>LOGÍSTICA E EMBALAGEM</t>
        </is>
      </c>
      <c r="O4" s="102" t="n"/>
      <c r="P4" s="102" t="n"/>
      <c r="Q4" s="102" t="n"/>
      <c r="R4" s="102" t="n"/>
      <c r="S4" s="102" t="n"/>
      <c r="T4" s="102" t="n"/>
      <c r="U4" s="102" t="n"/>
      <c r="V4" s="20" t="inlineStr">
        <is>
          <t>CUSTO E PRECIFICAÇÃO</t>
        </is>
      </c>
      <c r="W4" s="102" t="n"/>
      <c r="X4" s="102" t="n"/>
      <c r="Y4" s="102" t="n"/>
      <c r="Z4" s="102" t="n"/>
      <c r="AA4" s="102" t="n"/>
      <c r="AB4" s="102" t="n"/>
      <c r="AC4" s="20" t="inlineStr">
        <is>
          <t>PESQUISA DE MERCADO</t>
        </is>
      </c>
      <c r="AD4" s="102" t="n"/>
      <c r="AE4" s="102" t="n"/>
      <c r="AF4" s="102" t="n"/>
      <c r="AG4" s="102" t="n"/>
      <c r="AH4" s="102" t="n"/>
      <c r="AI4" s="102" t="n"/>
      <c r="AJ4" s="102" t="n"/>
      <c r="AK4" s="20" t="inlineStr">
        <is>
          <t>WORKFLOW</t>
        </is>
      </c>
      <c r="AL4" s="102" t="n"/>
      <c r="AM4" s="102" t="n"/>
      <c r="AN4" s="102" t="n"/>
      <c r="AO4" s="26" t="inlineStr">
        <is>
          <t>Campos Adicionais</t>
        </is>
      </c>
      <c r="AP4" s="102" t="n"/>
    </row>
    <row r="5" ht="33.75" customHeight="1" s="93">
      <c r="A5" s="25" t="inlineStr">
        <is>
          <t>SKU / Código</t>
        </is>
      </c>
      <c r="B5" s="25" t="inlineStr">
        <is>
          <t>Part Number</t>
        </is>
      </c>
      <c r="C5" s="25" t="inlineStr">
        <is>
          <t>Handle (Shopify)</t>
        </is>
      </c>
      <c r="D5" s="25" t="inlineStr">
        <is>
          <t>Title (PT-BR)</t>
        </is>
      </c>
      <c r="E5" s="25" t="inlineStr">
        <is>
          <t>Product Type</t>
        </is>
      </c>
      <c r="F5" s="25" t="inlineStr">
        <is>
          <t>Vendor (Fabricante)</t>
        </is>
      </c>
      <c r="G5" s="25" t="inlineStr">
        <is>
          <t>Tags (vírgula)</t>
        </is>
      </c>
      <c r="H5" s="25" t="inlineStr">
        <is>
          <t>Status</t>
        </is>
      </c>
      <c r="I5" s="25" t="inlineStr">
        <is>
          <t>Montadora compatível</t>
        </is>
      </c>
      <c r="J5" s="25" t="inlineStr">
        <is>
          <t>Equipamento / Modelo</t>
        </is>
      </c>
      <c r="K5" s="25" t="inlineStr">
        <is>
          <t>Função / Aplicação</t>
        </is>
      </c>
      <c r="L5" s="25" t="inlineStr">
        <is>
          <t>Códigos cruzados</t>
        </is>
      </c>
      <c r="M5" s="25" t="inlineStr">
        <is>
          <t>Lead Time</t>
        </is>
      </c>
      <c r="N5" s="25" t="inlineStr">
        <is>
          <t>Peso (kg)</t>
        </is>
      </c>
      <c r="O5" s="25" t="inlineStr">
        <is>
          <t>Comprimento (cm)</t>
        </is>
      </c>
      <c r="P5" s="25" t="inlineStr">
        <is>
          <t>Largura (cm)</t>
        </is>
      </c>
      <c r="Q5" s="25" t="inlineStr">
        <is>
          <t>Altura (cm)</t>
        </is>
      </c>
      <c r="R5" s="25" t="inlineStr">
        <is>
          <t>Peso cubado (kg)</t>
        </is>
      </c>
      <c r="S5" s="25" t="inlineStr">
        <is>
          <t>Peso considerado (kg)</t>
        </is>
      </c>
      <c r="T5" s="25" t="inlineStr">
        <is>
          <t>Frete fábrica → eCom ()</t>
        </is>
      </c>
      <c r="U5" s="25" t="inlineStr">
        <is>
          <t>Origem do dado embalagem</t>
        </is>
      </c>
      <c r="V5" s="25" t="inlineStr">
        <is>
          <t>Custo unitário ()</t>
        </is>
      </c>
      <c r="W5" s="25" t="inlineStr">
        <is>
          <t>% Margem de lucro</t>
        </is>
      </c>
      <c r="X5" s="25" t="inlineStr">
        <is>
          <t>Custo + frete inbound ()</t>
        </is>
      </c>
      <c r="Y5" s="25" t="inlineStr">
        <is>
          <t>Preço c/ margem ()</t>
        </is>
      </c>
      <c r="Z5" s="25" t="inlineStr">
        <is>
          <t>Taxa Mercado Pago (%)</t>
        </is>
      </c>
      <c r="AA5" s="25" t="inlineStr">
        <is>
          <t>Taxa MP ()</t>
        </is>
      </c>
      <c r="AB5" s="25" t="inlineStr">
        <is>
          <t>Preço final site ()</t>
        </is>
      </c>
      <c r="AC5" s="25" t="inlineStr">
        <is>
          <t>Concorrente 1 — Nome</t>
        </is>
      </c>
      <c r="AD5" s="25" t="inlineStr">
        <is>
          <t>Concorrente 1 — Preço ()</t>
        </is>
      </c>
      <c r="AE5" s="25" t="inlineStr">
        <is>
          <t>Concorrente 2 — Nome</t>
        </is>
      </c>
      <c r="AF5" s="25" t="inlineStr">
        <is>
          <t>Concorrente 2 — Preço ()</t>
        </is>
      </c>
      <c r="AG5" s="25" t="inlineStr">
        <is>
          <t>Concorrente 3 — Nome</t>
        </is>
      </c>
      <c r="AH5" s="25" t="inlineStr">
        <is>
          <t>Concorrente 3 — Preço ()</t>
        </is>
      </c>
      <c r="AI5" s="25" t="inlineStr">
        <is>
          <t>Preço médio concorrência ()</t>
        </is>
      </c>
      <c r="AJ5" s="25" t="inlineStr">
        <is>
          <t>Posicionamento</t>
        </is>
      </c>
      <c r="AK5" s="25" t="inlineStr">
        <is>
          <t>Cadastrado Shopify?</t>
        </is>
      </c>
      <c r="AL5" s="25" t="inlineStr">
        <is>
          <t>Última atualização</t>
        </is>
      </c>
      <c r="AM5" s="25" t="inlineStr">
        <is>
          <t>Operador responsável</t>
        </is>
      </c>
      <c r="AN5" s="25" t="inlineStr">
        <is>
          <t>Observações</t>
        </is>
      </c>
      <c r="AO5" s="25" t="inlineStr">
        <is>
          <t>SKU Shopify (derivado)</t>
        </is>
      </c>
      <c r="AP5" s="25" t="inlineStr">
        <is>
          <t>Título Shopify (derivado)</t>
        </is>
      </c>
      <c r="AQ5" s="28" t="inlineStr">
        <is>
          <t>Imagens site (assets)</t>
        </is>
      </c>
    </row>
    <row r="6" hidden="1" s="93">
      <c r="A6" s="23" t="inlineStr">
        <is>
          <t>5.0202.0540008.0</t>
        </is>
      </c>
      <c r="B6" s="23" t="inlineStr">
        <is>
          <t>540008</t>
        </is>
      </c>
      <c r="C6" s="29">
        <f>IFERROR(LOWER(SUBSTITUTE(SUBSTITUTE(SUBSTITUTE(SUBSTITUTE(D6," ","-"),"/","-"),".",""),",","")),"")</f>
        <v/>
      </c>
      <c r="D6" s="23" t="inlineStr">
        <is>
          <t>BOMBA HIDRÁULICA - APLICAÇÃO 4 B1.P1.A.L</t>
        </is>
      </c>
      <c r="E6" s="23" t="inlineStr">
        <is>
          <t>Bombas Hidráulicas</t>
        </is>
      </c>
      <c r="F6" s="23" t="inlineStr">
        <is>
          <t>SOHIPREN</t>
        </is>
      </c>
      <c r="G6" s="23" t="n"/>
      <c r="H6" s="23" t="inlineStr">
        <is>
          <t>draft</t>
        </is>
      </c>
      <c r="I6" s="23" t="inlineStr">
        <is>
          <t>BERTHOUD</t>
        </is>
      </c>
      <c r="J6" s="23" t="inlineStr">
        <is>
          <t>CANHÇAO DE PULVERIZAÇÃO</t>
        </is>
      </c>
      <c r="K6" s="23" t="inlineStr">
        <is>
          <t>PRINCIPAL</t>
        </is>
      </c>
      <c r="L6" s="23" t="n"/>
      <c r="M6" s="31" t="n"/>
      <c r="N6" s="31" t="n"/>
      <c r="O6" s="31" t="n"/>
      <c r="P6" s="31" t="n"/>
      <c r="Q6" s="31" t="n"/>
      <c r="R6" s="34">
        <f>IFERROR(IF(AND(O6&gt;0,P6&gt;0,Q6&gt;0),(O6*P6*Q6)/6000,""),"")</f>
        <v/>
      </c>
      <c r="S6" s="34">
        <f>IFERROR(IF(AND(N6&gt;0,R6&gt;0),MAX(N6,R6),IF(N6&gt;0,N6,IF(R6&gt;0,R6,""))),"")</f>
        <v/>
      </c>
      <c r="T6" s="36" t="n"/>
      <c r="U6" s="38" t="inlineStr">
        <is>
          <t>FALTA</t>
        </is>
      </c>
      <c r="V6" s="36" t="n">
        <v>517</v>
      </c>
      <c r="W6" s="39" t="n">
        <v>0.3</v>
      </c>
      <c r="X6" s="41">
        <f>IFERROR(V6+T6,"")</f>
        <v/>
      </c>
      <c r="Y6" s="41">
        <f>IFERROR(IF(W6&lt;1,X6/(1-W6),""),"")</f>
        <v/>
      </c>
      <c r="Z6" s="43">
        <f>'01_CONFIG_GLOBAL'!$C$14</f>
        <v/>
      </c>
      <c r="AA6" s="41">
        <f>IFERROR(Y6*Z6,"")</f>
        <v/>
      </c>
      <c r="AB6" s="41">
        <f>IFERROR(IF(Z6&lt;1,Y6/(1-Z6),""),"")</f>
        <v/>
      </c>
      <c r="AC6" s="23" t="n"/>
      <c r="AD6" s="36" t="n"/>
      <c r="AE6" s="23" t="n"/>
      <c r="AF6" s="36" t="n"/>
      <c r="AG6" s="23" t="n"/>
      <c r="AH6" s="36" t="n"/>
      <c r="AI6" s="41">
        <f>IFERROR(AVERAGE(AD6,AF6,AH6),"")</f>
        <v/>
      </c>
      <c r="AJ6" s="29">
        <f>IFERROR(IF(AI6="","sem dados",IF(AB6&lt;AI6*0.95,"abaixo",IF(AB6&gt;AI6*1.05,"acima","em linha"))),"")</f>
        <v/>
      </c>
      <c r="AK6" s="23" t="inlineStr">
        <is>
          <t>não</t>
        </is>
      </c>
      <c r="AL6" s="23" t="n"/>
      <c r="AM6" s="23" t="n"/>
      <c r="AN6" s="23" t="n"/>
      <c r="AO6" s="44">
        <f>A6</f>
        <v/>
      </c>
      <c r="AP6" s="44">
        <f>D6</f>
        <v/>
      </c>
    </row>
    <row r="7" hidden="1" s="93">
      <c r="A7" s="23" t="inlineStr">
        <is>
          <t>5.1621.0620002.0</t>
        </is>
      </c>
      <c r="B7" s="23" t="n"/>
      <c r="C7" s="29">
        <f>IFERROR(LOWER(SUBSTITUTE(SUBSTITUTE(SUBSTITUTE(SUBSTITUTE(D7," ","-"),"/","-"),".",""),",","")),"")</f>
        <v/>
      </c>
      <c r="D7" s="23" t="inlineStr">
        <is>
          <t>BPBS2-100-A12-Y4</t>
        </is>
      </c>
      <c r="E7" s="23" t="n"/>
      <c r="F7" s="23" t="inlineStr">
        <is>
          <t>SOHIPREN</t>
        </is>
      </c>
      <c r="G7" s="23" t="n"/>
      <c r="H7" s="23" t="inlineStr">
        <is>
          <t>draft</t>
        </is>
      </c>
      <c r="I7" s="23" t="inlineStr">
        <is>
          <t>CBT - COMPANHIA BRASILEIRA DE TRATORES</t>
        </is>
      </c>
      <c r="J7" s="23" t="inlineStr">
        <is>
          <t>TRATOR</t>
        </is>
      </c>
      <c r="K7" s="23" t="inlineStr">
        <is>
          <t>HIDROSTÁTICO</t>
        </is>
      </c>
      <c r="L7" s="23" t="inlineStr">
        <is>
          <t>2100802053</t>
        </is>
      </c>
      <c r="M7" s="31" t="n"/>
      <c r="N7" s="31" t="n"/>
      <c r="O7" s="31" t="n"/>
      <c r="P7" s="31" t="n"/>
      <c r="Q7" s="31" t="n"/>
      <c r="R7" s="34">
        <f>IFERROR(IF(AND(O7&gt;0,P7&gt;0,Q7&gt;0),(O7*P7*Q7)/6000,""),"")</f>
        <v/>
      </c>
      <c r="S7" s="34">
        <f>IFERROR(IF(AND(N7&gt;0,R7&gt;0),MAX(N7,R7),IF(N7&gt;0,N7,IF(R7&gt;0,R7,""))),"")</f>
        <v/>
      </c>
      <c r="T7" s="36" t="n"/>
      <c r="U7" s="38" t="inlineStr">
        <is>
          <t>FALTA</t>
        </is>
      </c>
      <c r="V7" s="36" t="n">
        <v>826.55</v>
      </c>
      <c r="W7" s="39" t="n">
        <v>0.3</v>
      </c>
      <c r="X7" s="41">
        <f>IFERROR(V7+T7,"")</f>
        <v/>
      </c>
      <c r="Y7" s="41">
        <f>IFERROR(IF(W7&lt;1,X7/(1-W7),""),"")</f>
        <v/>
      </c>
      <c r="Z7" s="43">
        <f>'01_CONFIG_GLOBAL'!$C$14</f>
        <v/>
      </c>
      <c r="AA7" s="41">
        <f>IFERROR(Y7*Z7,"")</f>
        <v/>
      </c>
      <c r="AB7" s="41">
        <f>IFERROR(IF(Z7&lt;1,Y7/(1-Z7),""),"")</f>
        <v/>
      </c>
      <c r="AC7" s="23" t="n"/>
      <c r="AD7" s="36" t="n"/>
      <c r="AE7" s="23" t="n"/>
      <c r="AF7" s="36" t="n"/>
      <c r="AG7" s="23" t="n"/>
      <c r="AH7" s="36" t="n"/>
      <c r="AI7" s="41">
        <f>IFERROR(AVERAGE(AD7,AF7,AH7),"")</f>
        <v/>
      </c>
      <c r="AJ7" s="29">
        <f>IFERROR(IF(AI7="","sem dados",IF(AB7&lt;AI7*0.95,"abaixo",IF(AB7&gt;AI7*1.05,"acima","em linha"))),"")</f>
        <v/>
      </c>
      <c r="AK7" s="23" t="inlineStr">
        <is>
          <t>não</t>
        </is>
      </c>
      <c r="AL7" s="23" t="n"/>
      <c r="AM7" s="23" t="n"/>
      <c r="AN7" s="23" t="n"/>
      <c r="AO7" s="44">
        <f>A7</f>
        <v/>
      </c>
      <c r="AP7" s="44">
        <f>D7</f>
        <v/>
      </c>
    </row>
    <row r="8" hidden="1" s="93">
      <c r="A8" s="23" t="inlineStr">
        <is>
          <t>5.0207.0544003.0</t>
        </is>
      </c>
      <c r="B8" s="23" t="inlineStr">
        <is>
          <t>544003</t>
        </is>
      </c>
      <c r="C8" s="29">
        <f>IFERROR(LOWER(SUBSTITUTE(SUBSTITUTE(SUBSTITUTE(SUBSTITUTE(D8," ","-"),"/","-"),".",""),",","")),"")</f>
        <v/>
      </c>
      <c r="D8" s="23" t="inlineStr">
        <is>
          <t>BOMBA HIDRÁULICA - APLICAÇÃO 14 C5.C4.B1.C5  12-100 BAR</t>
        </is>
      </c>
      <c r="E8" s="23" t="inlineStr">
        <is>
          <t>Bombas Hidráulicas</t>
        </is>
      </c>
      <c r="F8" s="23" t="inlineStr">
        <is>
          <t>SOHIPREN</t>
        </is>
      </c>
      <c r="G8" s="23" t="n"/>
      <c r="H8" s="23" t="inlineStr">
        <is>
          <t>draft</t>
        </is>
      </c>
      <c r="I8" s="23" t="inlineStr">
        <is>
          <t>CBT - COMPANHIA BRASILEIRA DE TRATORES</t>
        </is>
      </c>
      <c r="J8" s="23" t="inlineStr">
        <is>
          <t>CBT 2500 - 8260 PERKINS - ZF</t>
        </is>
      </c>
      <c r="K8" s="23" t="inlineStr">
        <is>
          <t>DIREÇÃO</t>
        </is>
      </c>
      <c r="L8" s="23" t="inlineStr">
        <is>
          <t>7673955928</t>
        </is>
      </c>
      <c r="M8" s="31" t="n"/>
      <c r="N8" s="31" t="n"/>
      <c r="O8" s="31" t="n"/>
      <c r="P8" s="31" t="n"/>
      <c r="Q8" s="31" t="n"/>
      <c r="R8" s="34">
        <f>IFERROR(IF(AND(O8&gt;0,P8&gt;0,Q8&gt;0),(O8*P8*Q8)/6000,""),"")</f>
        <v/>
      </c>
      <c r="S8" s="34">
        <f>IFERROR(IF(AND(N8&gt;0,R8&gt;0),MAX(N8,R8),IF(N8&gt;0,N8,IF(R8&gt;0,R8,""))),"")</f>
        <v/>
      </c>
      <c r="T8" s="36" t="n"/>
      <c r="U8" s="38" t="inlineStr">
        <is>
          <t>FALTA</t>
        </is>
      </c>
      <c r="V8" s="36" t="n">
        <v>427.9</v>
      </c>
      <c r="W8" s="39" t="n">
        <v>0.3</v>
      </c>
      <c r="X8" s="41">
        <f>IFERROR(V8+T8,"")</f>
        <v/>
      </c>
      <c r="Y8" s="41">
        <f>IFERROR(IF(W8&lt;1,X8/(1-W8),""),"")</f>
        <v/>
      </c>
      <c r="Z8" s="43">
        <f>'01_CONFIG_GLOBAL'!$C$14</f>
        <v/>
      </c>
      <c r="AA8" s="41">
        <f>IFERROR(Y8*Z8,"")</f>
        <v/>
      </c>
      <c r="AB8" s="41">
        <f>IFERROR(IF(Z8&lt;1,Y8/(1-Z8),""),"")</f>
        <v/>
      </c>
      <c r="AC8" s="23" t="n"/>
      <c r="AD8" s="36" t="n"/>
      <c r="AE8" s="23" t="n"/>
      <c r="AF8" s="36" t="n"/>
      <c r="AG8" s="23" t="n"/>
      <c r="AH8" s="36" t="n"/>
      <c r="AI8" s="41">
        <f>IFERROR(AVERAGE(AD8,AF8,AH8),"")</f>
        <v/>
      </c>
      <c r="AJ8" s="29">
        <f>IFERROR(IF(AI8="","sem dados",IF(AB8&lt;AI8*0.95,"abaixo",IF(AB8&gt;AI8*1.05,"acima","em linha"))),"")</f>
        <v/>
      </c>
      <c r="AK8" s="23" t="inlineStr">
        <is>
          <t>não</t>
        </is>
      </c>
      <c r="AL8" s="23" t="n"/>
      <c r="AM8" s="23" t="n"/>
      <c r="AN8" s="23" t="n"/>
      <c r="AO8" s="44">
        <f>A8</f>
        <v/>
      </c>
      <c r="AP8" s="44">
        <f>D8</f>
        <v/>
      </c>
    </row>
    <row r="9" hidden="1" s="93">
      <c r="A9" s="23" t="inlineStr">
        <is>
          <t>5.0207.0544001.0</t>
        </is>
      </c>
      <c r="B9" s="23" t="inlineStr">
        <is>
          <t>544001</t>
        </is>
      </c>
      <c r="C9" s="29">
        <f>IFERROR(LOWER(SUBSTITUTE(SUBSTITUTE(SUBSTITUTE(SUBSTITUTE(D9," ","-"),"/","-"),".",""),",","")),"")</f>
        <v/>
      </c>
      <c r="D9" s="23" t="inlineStr">
        <is>
          <t>BOD 14 C5.C4.B1.C5  12-100 BAR</t>
        </is>
      </c>
      <c r="E9" s="23" t="inlineStr">
        <is>
          <t>Bombas Hidráulicas</t>
        </is>
      </c>
      <c r="F9" s="23" t="inlineStr">
        <is>
          <t>SOHIPREN</t>
        </is>
      </c>
      <c r="G9" s="23" t="n"/>
      <c r="H9" s="23" t="inlineStr">
        <is>
          <t>draft</t>
        </is>
      </c>
      <c r="I9" s="23" t="inlineStr">
        <is>
          <t>CBT - COMPANHIA BRASILEIRA DE TRATORES</t>
        </is>
      </c>
      <c r="J9" s="23" t="inlineStr">
        <is>
          <t>CBT 2500 - 8260 MERCEDEZ -ZF</t>
        </is>
      </c>
      <c r="K9" s="23" t="inlineStr">
        <is>
          <t>DIREÇÃO</t>
        </is>
      </c>
      <c r="L9" s="23" t="inlineStr">
        <is>
          <t>7673955928</t>
        </is>
      </c>
      <c r="M9" s="31" t="n"/>
      <c r="N9" s="31" t="n"/>
      <c r="O9" s="31" t="n"/>
      <c r="P9" s="31" t="n"/>
      <c r="Q9" s="31" t="n"/>
      <c r="R9" s="34">
        <f>IFERROR(IF(AND(O9&gt;0,P9&gt;0,Q9&gt;0),(O9*P9*Q9)/6000,""),"")</f>
        <v/>
      </c>
      <c r="S9" s="34">
        <f>IFERROR(IF(AND(N9&gt;0,R9&gt;0),MAX(N9,R9),IF(N9&gt;0,N9,IF(R9&gt;0,R9,""))),"")</f>
        <v/>
      </c>
      <c r="T9" s="36" t="n"/>
      <c r="U9" s="38" t="inlineStr">
        <is>
          <t>FALTA</t>
        </is>
      </c>
      <c r="V9" s="36" t="n">
        <v>665</v>
      </c>
      <c r="W9" s="39" t="n">
        <v>0.3</v>
      </c>
      <c r="X9" s="41">
        <f>IFERROR(V9+T9,"")</f>
        <v/>
      </c>
      <c r="Y9" s="41">
        <f>IFERROR(IF(W9&lt;1,X9/(1-W9),""),"")</f>
        <v/>
      </c>
      <c r="Z9" s="43">
        <f>'01_CONFIG_GLOBAL'!$C$14</f>
        <v/>
      </c>
      <c r="AA9" s="41">
        <f>IFERROR(Y9*Z9,"")</f>
        <v/>
      </c>
      <c r="AB9" s="41">
        <f>IFERROR(IF(Z9&lt;1,Y9/(1-Z9),""),"")</f>
        <v/>
      </c>
      <c r="AC9" s="23" t="n"/>
      <c r="AD9" s="36" t="n"/>
      <c r="AE9" s="23" t="n"/>
      <c r="AF9" s="36" t="n"/>
      <c r="AG9" s="23" t="n"/>
      <c r="AH9" s="36" t="n"/>
      <c r="AI9" s="41">
        <f>IFERROR(AVERAGE(AD9,AF9,AH9),"")</f>
        <v/>
      </c>
      <c r="AJ9" s="29">
        <f>IFERROR(IF(AI9="","sem dados",IF(AB9&lt;AI9*0.95,"abaixo",IF(AB9&gt;AI9*1.05,"acima","em linha"))),"")</f>
        <v/>
      </c>
      <c r="AK9" s="23" t="inlineStr">
        <is>
          <t>não</t>
        </is>
      </c>
      <c r="AL9" s="23" t="n"/>
      <c r="AM9" s="23" t="n"/>
      <c r="AN9" s="23" t="n"/>
      <c r="AO9" s="44">
        <f>A9</f>
        <v/>
      </c>
      <c r="AP9" s="44">
        <f>D9</f>
        <v/>
      </c>
    </row>
    <row r="10" hidden="1" s="93">
      <c r="A10" s="23" t="inlineStr">
        <is>
          <t>5.0208.0544811.0</t>
        </is>
      </c>
      <c r="B10" s="23" t="inlineStr">
        <is>
          <t>544811</t>
        </is>
      </c>
      <c r="C10" s="29">
        <f>IFERROR(LOWER(SUBSTITUTE(SUBSTITUTE(SUBSTITUTE(SUBSTITUTE(D10," ","-"),"/","-"),".",""),",","")),"")</f>
        <v/>
      </c>
      <c r="D10" s="23" t="inlineStr">
        <is>
          <t>BOMBA HIDRÁULICA - APLICAÇÃO 16 F4.A2.A42.L</t>
        </is>
      </c>
      <c r="E10" s="23" t="inlineStr">
        <is>
          <t>Bombas Hidráulicas</t>
        </is>
      </c>
      <c r="F10" s="23" t="inlineStr">
        <is>
          <t>SOHIPREN</t>
        </is>
      </c>
      <c r="G10" s="23" t="n"/>
      <c r="H10" s="23" t="inlineStr">
        <is>
          <t>draft</t>
        </is>
      </c>
      <c r="I10" s="23" t="inlineStr">
        <is>
          <t>CBT - COMPANHIA BRASILEIRA DE TRATORES</t>
        </is>
      </c>
      <c r="J10" s="23" t="inlineStr">
        <is>
          <t>TRATOR DE PNEUS</t>
        </is>
      </c>
      <c r="K10" s="23" t="inlineStr">
        <is>
          <t>LEVANTE 3 PONTO</t>
        </is>
      </c>
      <c r="L10" s="23" t="inlineStr">
        <is>
          <t>103345-90-9510080608-99061002-90611257-11111016014</t>
        </is>
      </c>
      <c r="M10" s="31" t="n"/>
      <c r="N10" s="31" t="n"/>
      <c r="O10" s="31" t="n"/>
      <c r="P10" s="31" t="n"/>
      <c r="Q10" s="31" t="n"/>
      <c r="R10" s="34">
        <f>IFERROR(IF(AND(O10&gt;0,P10&gt;0,Q10&gt;0),(O10*P10*Q10)/6000,""),"")</f>
        <v/>
      </c>
      <c r="S10" s="34">
        <f>IFERROR(IF(AND(N10&gt;0,R10&gt;0),MAX(N10,R10),IF(N10&gt;0,N10,IF(R10&gt;0,R10,""))),"")</f>
        <v/>
      </c>
      <c r="T10" s="36" t="n"/>
      <c r="U10" s="38" t="inlineStr">
        <is>
          <t>FALTA</t>
        </is>
      </c>
      <c r="V10" s="36" t="n">
        <v>786.5</v>
      </c>
      <c r="W10" s="39" t="n">
        <v>0.3</v>
      </c>
      <c r="X10" s="41">
        <f>IFERROR(V10+T10,"")</f>
        <v/>
      </c>
      <c r="Y10" s="41">
        <f>IFERROR(IF(W10&lt;1,X10/(1-W10),""),"")</f>
        <v/>
      </c>
      <c r="Z10" s="43">
        <f>'01_CONFIG_GLOBAL'!$C$14</f>
        <v/>
      </c>
      <c r="AA10" s="41">
        <f>IFERROR(Y10*Z10,"")</f>
        <v/>
      </c>
      <c r="AB10" s="41">
        <f>IFERROR(IF(Z10&lt;1,Y10/(1-Z10),""),"")</f>
        <v/>
      </c>
      <c r="AC10" s="23" t="n"/>
      <c r="AD10" s="36" t="n"/>
      <c r="AE10" s="23" t="n"/>
      <c r="AF10" s="36" t="n"/>
      <c r="AG10" s="23" t="n"/>
      <c r="AH10" s="36" t="n"/>
      <c r="AI10" s="41">
        <f>IFERROR(AVERAGE(AD10,AF10,AH10),"")</f>
        <v/>
      </c>
      <c r="AJ10" s="29">
        <f>IFERROR(IF(AI10="","sem dados",IF(AB10&lt;AI10*0.95,"abaixo",IF(AB10&gt;AI10*1.05,"acima","em linha"))),"")</f>
        <v/>
      </c>
      <c r="AK10" s="23" t="inlineStr">
        <is>
          <t>não</t>
        </is>
      </c>
      <c r="AL10" s="23" t="n"/>
      <c r="AM10" s="23" t="n"/>
      <c r="AN10" s="23" t="n"/>
      <c r="AO10" s="44">
        <f>A10</f>
        <v/>
      </c>
      <c r="AP10" s="44">
        <f>D10</f>
        <v/>
      </c>
    </row>
    <row r="11" hidden="1" s="93">
      <c r="A11" s="23" t="inlineStr">
        <is>
          <t>5.0205.0542421.0</t>
        </is>
      </c>
      <c r="B11" s="23" t="inlineStr">
        <is>
          <t>542421</t>
        </is>
      </c>
      <c r="C11" s="29">
        <f>IFERROR(LOWER(SUBSTITUTE(SUBSTITUTE(SUBSTITUTE(SUBSTITUTE(D11," ","-"),"/","-"),".",""),",","")),"")</f>
        <v/>
      </c>
      <c r="D11" s="23" t="inlineStr">
        <is>
          <t>BOD 8 F4.A2.A.L</t>
        </is>
      </c>
      <c r="E11" s="23" t="inlineStr">
        <is>
          <t>Bombas Hidráulicas</t>
        </is>
      </c>
      <c r="F11" s="23" t="inlineStr">
        <is>
          <t>SOHIPREN</t>
        </is>
      </c>
      <c r="G11" s="23" t="n"/>
      <c r="H11" s="23" t="inlineStr">
        <is>
          <t>draft</t>
        </is>
      </c>
      <c r="I11" s="23" t="inlineStr">
        <is>
          <t>DYNAPAC</t>
        </is>
      </c>
      <c r="J11" s="23" t="inlineStr">
        <is>
          <t>COMPACTADOR</t>
        </is>
      </c>
      <c r="K11" s="23" t="inlineStr">
        <is>
          <t>DIREÇÃO</t>
        </is>
      </c>
      <c r="L11" s="23" t="inlineStr">
        <is>
          <t>300480606-9510080403-11101008011-9906003-41082905</t>
        </is>
      </c>
      <c r="M11" s="31" t="n"/>
      <c r="N11" s="31" t="n"/>
      <c r="O11" s="31" t="n"/>
      <c r="P11" s="31" t="n"/>
      <c r="Q11" s="31" t="n"/>
      <c r="R11" s="34">
        <f>IFERROR(IF(AND(O11&gt;0,P11&gt;0,Q11&gt;0),(O11*P11*Q11)/6000,""),"")</f>
        <v/>
      </c>
      <c r="S11" s="34">
        <f>IFERROR(IF(AND(N11&gt;0,R11&gt;0),MAX(N11,R11),IF(N11&gt;0,N11,IF(R11&gt;0,R11,""))),"")</f>
        <v/>
      </c>
      <c r="T11" s="36" t="n"/>
      <c r="U11" s="38" t="inlineStr">
        <is>
          <t>FALTA</t>
        </is>
      </c>
      <c r="V11" s="36" t="n">
        <v>605</v>
      </c>
      <c r="W11" s="39" t="n">
        <v>0.3</v>
      </c>
      <c r="X11" s="41">
        <f>IFERROR(V11+T11,"")</f>
        <v/>
      </c>
      <c r="Y11" s="41">
        <f>IFERROR(IF(W11&lt;1,X11/(1-W11),""),"")</f>
        <v/>
      </c>
      <c r="Z11" s="43">
        <f>'01_CONFIG_GLOBAL'!$C$14</f>
        <v/>
      </c>
      <c r="AA11" s="41">
        <f>IFERROR(Y11*Z11,"")</f>
        <v/>
      </c>
      <c r="AB11" s="41">
        <f>IFERROR(IF(Z11&lt;1,Y11/(1-Z11),""),"")</f>
        <v/>
      </c>
      <c r="AC11" s="23" t="n"/>
      <c r="AD11" s="36" t="n"/>
      <c r="AE11" s="23" t="n"/>
      <c r="AF11" s="36" t="n"/>
      <c r="AG11" s="23" t="n"/>
      <c r="AH11" s="36" t="n"/>
      <c r="AI11" s="41">
        <f>IFERROR(AVERAGE(AD11,AF11,AH11),"")</f>
        <v/>
      </c>
      <c r="AJ11" s="29">
        <f>IFERROR(IF(AI11="","sem dados",IF(AB11&lt;AI11*0.95,"abaixo",IF(AB11&gt;AI11*1.05,"acima","em linha"))),"")</f>
        <v/>
      </c>
      <c r="AK11" s="23" t="inlineStr">
        <is>
          <t>não</t>
        </is>
      </c>
      <c r="AL11" s="23" t="n"/>
      <c r="AM11" s="23" t="n"/>
      <c r="AN11" s="23" t="n"/>
      <c r="AO11" s="44">
        <f>A11</f>
        <v/>
      </c>
      <c r="AP11" s="44">
        <f>D11</f>
        <v/>
      </c>
    </row>
    <row r="12" hidden="1" s="93">
      <c r="A12" s="23" t="inlineStr">
        <is>
          <t>5.0906.0580532.0</t>
        </is>
      </c>
      <c r="B12" s="23" t="inlineStr">
        <is>
          <t>580532</t>
        </is>
      </c>
      <c r="C12" s="29">
        <f>IFERROR(LOWER(SUBSTITUTE(SUBSTITUTE(SUBSTITUTE(SUBSTITUTE(D12," ","-"),"/","-"),".",""),",","")),"")</f>
        <v/>
      </c>
      <c r="D12" s="23" t="inlineStr">
        <is>
          <t>APR 50 201.1.37.83</t>
        </is>
      </c>
      <c r="E12" s="23" t="n"/>
      <c r="F12" s="23" t="inlineStr">
        <is>
          <t>SOHIPREN</t>
        </is>
      </c>
      <c r="G12" s="23" t="n"/>
      <c r="H12" s="23" t="inlineStr">
        <is>
          <t>draft</t>
        </is>
      </c>
      <c r="I12" s="23" t="inlineStr">
        <is>
          <t>FORD</t>
        </is>
      </c>
      <c r="J12" s="23" t="inlineStr">
        <is>
          <t>PÁ COM RETRO ESCAVADEIRA    |</t>
        </is>
      </c>
      <c r="K12" s="23" t="inlineStr">
        <is>
          <t>PRINCIPAL</t>
        </is>
      </c>
      <c r="L12" s="23" t="inlineStr">
        <is>
          <t>VB-300</t>
        </is>
      </c>
      <c r="M12" s="31" t="n"/>
      <c r="N12" s="31" t="n"/>
      <c r="O12" s="31" t="n"/>
      <c r="P12" s="31" t="n"/>
      <c r="Q12" s="31" t="n"/>
      <c r="R12" s="34">
        <f>IFERROR(IF(AND(O12&gt;0,P12&gt;0,Q12&gt;0),(O12*P12*Q12)/6000,""),"")</f>
        <v/>
      </c>
      <c r="S12" s="34">
        <f>IFERROR(IF(AND(N12&gt;0,R12&gt;0),MAX(N12,R12),IF(N12&gt;0,N12,IF(R12&gt;0,R12,""))),"")</f>
        <v/>
      </c>
      <c r="T12" s="36" t="n"/>
      <c r="U12" s="38" t="inlineStr">
        <is>
          <t>FALTA</t>
        </is>
      </c>
      <c r="V12" s="36" t="n">
        <v>1018.22</v>
      </c>
      <c r="W12" s="39" t="n">
        <v>0.3</v>
      </c>
      <c r="X12" s="41">
        <f>IFERROR(V12+T12,"")</f>
        <v/>
      </c>
      <c r="Y12" s="41">
        <f>IFERROR(IF(W12&lt;1,X12/(1-W12),""),"")</f>
        <v/>
      </c>
      <c r="Z12" s="43">
        <f>'01_CONFIG_GLOBAL'!$C$14</f>
        <v/>
      </c>
      <c r="AA12" s="41">
        <f>IFERROR(Y12*Z12,"")</f>
        <v/>
      </c>
      <c r="AB12" s="41">
        <f>IFERROR(IF(Z12&lt;1,Y12/(1-Z12),""),"")</f>
        <v/>
      </c>
      <c r="AC12" s="23" t="n"/>
      <c r="AD12" s="36" t="n"/>
      <c r="AE12" s="23" t="n"/>
      <c r="AF12" s="36" t="n"/>
      <c r="AG12" s="23" t="n"/>
      <c r="AH12" s="36" t="n"/>
      <c r="AI12" s="41">
        <f>IFERROR(AVERAGE(AD12,AF12,AH12),"")</f>
        <v/>
      </c>
      <c r="AJ12" s="29">
        <f>IFERROR(IF(AI12="","sem dados",IF(AB12&lt;AI12*0.95,"abaixo",IF(AB12&gt;AI12*1.05,"acima","em linha"))),"")</f>
        <v/>
      </c>
      <c r="AK12" s="23" t="inlineStr">
        <is>
          <t>não</t>
        </is>
      </c>
      <c r="AL12" s="23" t="n"/>
      <c r="AM12" s="23" t="n"/>
      <c r="AN12" s="23" t="n"/>
      <c r="AO12" s="44">
        <f>A12</f>
        <v/>
      </c>
      <c r="AP12" s="44">
        <f>D12</f>
        <v/>
      </c>
    </row>
    <row r="13">
      <c r="A13" s="23" t="inlineStr">
        <is>
          <t>5.1621.0680005.0</t>
        </is>
      </c>
      <c r="B13" s="23" t="inlineStr">
        <is>
          <t>680005</t>
        </is>
      </c>
      <c r="C13" s="29">
        <f>IFERROR(LOWER(SUBSTITUTE(SUBSTITUTE(SUBSTITUTE(SUBSTITUTE(D13," ","-"),"/","-"),".",""),",","")),"")</f>
        <v/>
      </c>
      <c r="D13" s="50" t="inlineStr">
        <is>
          <t>Motor Hidráulico MLR 160 - Plantadeira AGCO (C3.C2.P5)</t>
        </is>
      </c>
      <c r="E13" s="50" t="inlineStr">
        <is>
          <t>MOTOR</t>
        </is>
      </c>
      <c r="F13" s="23" t="inlineStr">
        <is>
          <t>SOHIPREN</t>
        </is>
      </c>
      <c r="G13" s="23" t="n"/>
      <c r="H13" s="23" t="inlineStr">
        <is>
          <t>active</t>
        </is>
      </c>
      <c r="I13" s="23" t="inlineStr">
        <is>
          <t>AGCO</t>
        </is>
      </c>
      <c r="J13" s="23" t="inlineStr">
        <is>
          <t>PLANTANDEIRA</t>
        </is>
      </c>
      <c r="K13" s="23" t="n"/>
      <c r="L13" s="23" t="inlineStr">
        <is>
          <t>ACX3995300</t>
        </is>
      </c>
      <c r="M13" s="31" t="n"/>
      <c r="N13" s="31" t="n">
        <v>6.2</v>
      </c>
      <c r="O13" s="31" t="n">
        <v>30</v>
      </c>
      <c r="P13" s="31" t="n">
        <v>12.5</v>
      </c>
      <c r="Q13" s="31" t="n">
        <v>12.5</v>
      </c>
      <c r="R13" s="34">
        <f>IFERROR(IF(AND(O13&gt;0,P13&gt;0,Q13&gt;0),(O13*P13*Q13)/6000,""),"")</f>
        <v/>
      </c>
      <c r="S13" s="34">
        <f>IFERROR(IF(AND(N13&gt;0,R13&gt;0),MAX(N13,R13),IF(N13&gt;0,N13,IF(R13&gt;0,R13,""))),"")</f>
        <v/>
      </c>
      <c r="T13" s="36" t="n">
        <v>100</v>
      </c>
      <c r="U13" s="23" t="inlineStr">
        <is>
          <t>fornecedor</t>
        </is>
      </c>
      <c r="V13" s="36" t="n">
        <v>767.55</v>
      </c>
      <c r="W13" s="39" t="n">
        <v>0.2</v>
      </c>
      <c r="X13" s="41">
        <f>IFERROR(V13+T13,"")</f>
        <v/>
      </c>
      <c r="Y13" s="41">
        <f>IFERROR(IF(W13&lt;1,X13/(1-W13),""),"")</f>
        <v/>
      </c>
      <c r="Z13" s="43">
        <f>'01_CONFIG_GLOBAL'!$C$14</f>
        <v/>
      </c>
      <c r="AA13" s="41">
        <f>IFERROR(Y13*Z13,"")</f>
        <v/>
      </c>
      <c r="AB13" s="41">
        <f>IFERROR(IF(Z13&lt;1,Y13/(1-Z13),""),"")</f>
        <v/>
      </c>
      <c r="AC13" s="23" t="n"/>
      <c r="AD13" s="36" t="n"/>
      <c r="AE13" s="23" t="n"/>
      <c r="AF13" s="36" t="n"/>
      <c r="AG13" s="23" t="n"/>
      <c r="AH13" s="36" t="n"/>
      <c r="AI13" s="41">
        <f>IFERROR(AVERAGE(AD13,AF13,AH13),"")</f>
        <v/>
      </c>
      <c r="AJ13" s="29">
        <f>IFERROR(IF(AI13="","sem dados",IF(AB13&lt;AI13*0.95,"abaixo",IF(AB13&gt;AI13*1.05,"acima","em linha"))),"")</f>
        <v/>
      </c>
      <c r="AK13" s="23" t="inlineStr">
        <is>
          <t>sim</t>
        </is>
      </c>
      <c r="AL13" s="23" t="n"/>
      <c r="AM13" s="23" t="n"/>
      <c r="AN13" s="23" t="n"/>
      <c r="AO13" s="44">
        <f>A13</f>
        <v/>
      </c>
      <c r="AP13" s="44">
        <f>D13</f>
        <v/>
      </c>
      <c r="AQ13" s="28" t="inlineStr">
        <is>
          <t>SEM IMAGEM</t>
        </is>
      </c>
    </row>
    <row r="14">
      <c r="A14" s="23" t="inlineStr">
        <is>
          <t>5.1302.0565122.0</t>
        </is>
      </c>
      <c r="B14" s="23" t="inlineStr">
        <is>
          <t>565122</t>
        </is>
      </c>
      <c r="C14" s="29">
        <f>IFERROR(LOWER(SUBSTITUTE(SUBSTITUTE(SUBSTITUTE(SUBSTITUTE(D14," ","-"),"/","-"),".",""),",","")),"")</f>
        <v/>
      </c>
      <c r="D14" s="50" t="inlineStr">
        <is>
          <t>Bomba de Aplicação Massey Ferguson A-028 (ACX5148180) Giro I - 5.1302.0565122.0</t>
        </is>
      </c>
      <c r="E14" s="50" t="inlineStr">
        <is>
          <t>Bombas Hidráulicas</t>
        </is>
      </c>
      <c r="F14" s="23" t="inlineStr">
        <is>
          <t>SOHIPREN</t>
        </is>
      </c>
      <c r="G14" s="23" t="n"/>
      <c r="H14" s="23" t="inlineStr">
        <is>
          <t>active</t>
        </is>
      </c>
      <c r="I14" s="23" t="inlineStr">
        <is>
          <t>AGCO</t>
        </is>
      </c>
      <c r="J14" s="23" t="inlineStr">
        <is>
          <t>TRATOR</t>
        </is>
      </c>
      <c r="K14" s="23" t="inlineStr">
        <is>
          <t>PRINCIPAL E DIREÇÃO</t>
        </is>
      </c>
      <c r="L14" s="23" t="inlineStr">
        <is>
          <t>R979107777/ACW4000800/ACX5148180</t>
        </is>
      </c>
      <c r="M14" s="31" t="n"/>
      <c r="N14" s="31" t="n">
        <v>5.75</v>
      </c>
      <c r="O14" s="31" t="n">
        <v>30</v>
      </c>
      <c r="P14" s="31" t="n">
        <v>12.5</v>
      </c>
      <c r="Q14" s="31" t="n">
        <v>12.5</v>
      </c>
      <c r="R14" s="34">
        <f>IFERROR(IF(AND(O14&gt;0,P14&gt;0,Q14&gt;0),(O14*P14*Q14)/6000,""),"")</f>
        <v/>
      </c>
      <c r="S14" s="34">
        <f>IFERROR(IF(AND(N14&gt;0,R14&gt;0),MAX(N14,R14),IF(N14&gt;0,N14,IF(R14&gt;0,R14,""))),"")</f>
        <v/>
      </c>
      <c r="T14" s="36" t="n">
        <v>100</v>
      </c>
      <c r="U14" s="23" t="inlineStr">
        <is>
          <t>fornecedor</t>
        </is>
      </c>
      <c r="V14" s="36" t="n">
        <v>1096.5</v>
      </c>
      <c r="W14" s="39" t="n">
        <v>0.2</v>
      </c>
      <c r="X14" s="41">
        <f>IFERROR(V14+T14,"")</f>
        <v/>
      </c>
      <c r="Y14" s="41">
        <f>IFERROR(IF(W14&lt;1,X14/(1-W14),""),"")</f>
        <v/>
      </c>
      <c r="Z14" s="43">
        <f>'01_CONFIG_GLOBAL'!$C$14</f>
        <v/>
      </c>
      <c r="AA14" s="41">
        <f>IFERROR(Y14*Z14,"")</f>
        <v/>
      </c>
      <c r="AB14" s="41">
        <f>IFERROR(IF(Z14&lt;1,Y14/(1-Z14),""),"")</f>
        <v/>
      </c>
      <c r="AC14" s="23" t="n"/>
      <c r="AD14" s="36" t="n"/>
      <c r="AE14" s="23" t="n"/>
      <c r="AF14" s="36" t="n"/>
      <c r="AG14" s="23" t="n"/>
      <c r="AH14" s="36" t="n"/>
      <c r="AI14" s="41">
        <f>IFERROR(AVERAGE(AD14,AF14,AH14),"")</f>
        <v/>
      </c>
      <c r="AJ14" s="29">
        <f>IFERROR(IF(AI14="","sem dados",IF(AB14&lt;AI14*0.95,"abaixo",IF(AB14&gt;AI14*1.05,"acima","em linha"))),"")</f>
        <v/>
      </c>
      <c r="AK14" s="23" t="inlineStr">
        <is>
          <t>sim</t>
        </is>
      </c>
      <c r="AL14" s="23" t="n"/>
      <c r="AM14" s="23" t="n"/>
      <c r="AN14" s="23" t="n"/>
      <c r="AO14" s="44">
        <f>A14</f>
        <v/>
      </c>
      <c r="AP14" s="44">
        <f>D14</f>
        <v/>
      </c>
      <c r="AQ14" s="28" t="inlineStr">
        <is>
          <t>bomba_generica.png (genérica)</t>
        </is>
      </c>
    </row>
    <row r="15">
      <c r="A15" s="23" t="inlineStr">
        <is>
          <t>5.1302.0565120.0</t>
        </is>
      </c>
      <c r="B15" s="23" t="inlineStr">
        <is>
          <t>565120</t>
        </is>
      </c>
      <c r="C15" s="29">
        <f>IFERROR(LOWER(SUBSTITUTE(SUBSTITUTE(SUBSTITUTE(SUBSTITUTE(D15," ","-"),"/","-"),".",""),",","")),"")</f>
        <v/>
      </c>
      <c r="D15" s="50" t="inlineStr">
        <is>
          <t>Motor de Aplicação Massey Ferguson A-026 (ACX4630870) Giro D - 5.1302.0565120.0</t>
        </is>
      </c>
      <c r="E15" s="50" t="inlineStr">
        <is>
          <t>MOTOR</t>
        </is>
      </c>
      <c r="F15" s="23" t="inlineStr">
        <is>
          <t>SOHIPREN</t>
        </is>
      </c>
      <c r="G15" s="23" t="n"/>
      <c r="H15" s="23" t="inlineStr">
        <is>
          <t>active</t>
        </is>
      </c>
      <c r="I15" s="23" t="inlineStr">
        <is>
          <t>AGCO</t>
        </is>
      </c>
      <c r="J15" s="23" t="inlineStr">
        <is>
          <t>PLANTADEIRA</t>
        </is>
      </c>
      <c r="K15" s="23" t="inlineStr">
        <is>
          <t>MOTOR DA TURNINA</t>
        </is>
      </c>
      <c r="L15" s="23" t="inlineStr">
        <is>
          <t>ACX4630870 SUBISTITUI ACW9357690</t>
        </is>
      </c>
      <c r="M15" s="31" t="n"/>
      <c r="N15" s="31" t="n">
        <v>5.98</v>
      </c>
      <c r="O15" s="31" t="n">
        <v>30</v>
      </c>
      <c r="P15" s="31" t="n">
        <v>12.5</v>
      </c>
      <c r="Q15" s="31" t="n">
        <v>12.5</v>
      </c>
      <c r="R15" s="34">
        <f>IFERROR(IF(AND(O15&gt;0,P15&gt;0,Q15&gt;0),(O15*P15*Q15)/6000,""),"")</f>
        <v/>
      </c>
      <c r="S15" s="34">
        <f>IFERROR(IF(AND(N15&gt;0,R15&gt;0),MAX(N15,R15),IF(N15&gt;0,N15,IF(R15&gt;0,R15,""))),"")</f>
        <v/>
      </c>
      <c r="T15" s="36" t="n">
        <v>100</v>
      </c>
      <c r="U15" s="23" t="inlineStr">
        <is>
          <t>fornecedor</t>
        </is>
      </c>
      <c r="V15" s="36" t="n">
        <v>1147.5</v>
      </c>
      <c r="W15" s="39" t="n">
        <v>0.2</v>
      </c>
      <c r="X15" s="41">
        <f>IFERROR(V15+T15,"")</f>
        <v/>
      </c>
      <c r="Y15" s="41">
        <f>IFERROR(IF(W15&lt;1,X15/(1-W15),""),"")</f>
        <v/>
      </c>
      <c r="Z15" s="43">
        <f>'01_CONFIG_GLOBAL'!$C$14</f>
        <v/>
      </c>
      <c r="AA15" s="41">
        <f>IFERROR(Y15*Z15,"")</f>
        <v/>
      </c>
      <c r="AB15" s="41">
        <f>IFERROR(IF(Z15&lt;1,Y15/(1-Z15),""),"")</f>
        <v/>
      </c>
      <c r="AC15" s="23" t="n"/>
      <c r="AD15" s="36" t="n"/>
      <c r="AE15" s="23" t="n"/>
      <c r="AF15" s="36" t="n"/>
      <c r="AG15" s="23" t="n"/>
      <c r="AH15" s="36" t="n"/>
      <c r="AI15" s="41">
        <f>IFERROR(AVERAGE(AD15,AF15,AH15),"")</f>
        <v/>
      </c>
      <c r="AJ15" s="29">
        <f>IFERROR(IF(AI15="","sem dados",IF(AB15&lt;AI15*0.95,"abaixo",IF(AB15&gt;AI15*1.05,"acima","em linha"))),"")</f>
        <v/>
      </c>
      <c r="AK15" s="23" t="inlineStr">
        <is>
          <t>sim</t>
        </is>
      </c>
      <c r="AL15" s="23" t="n"/>
      <c r="AM15" s="23" t="n"/>
      <c r="AN15" s="23" t="n"/>
      <c r="AO15" s="44">
        <f>A15</f>
        <v/>
      </c>
      <c r="AP15" s="44">
        <f>D15</f>
        <v/>
      </c>
      <c r="AQ15" s="28" t="inlineStr">
        <is>
          <t>SEM IMAGEM</t>
        </is>
      </c>
    </row>
    <row r="16" hidden="1" s="93">
      <c r="A16" s="23" t="inlineStr">
        <is>
          <t>5.0208.L025883.0</t>
        </is>
      </c>
      <c r="B16" s="23" t="inlineStr">
        <is>
          <t>L025883</t>
        </is>
      </c>
      <c r="C16" s="29">
        <f>IFERROR(LOWER(SUBSTITUTE(SUBSTITUTE(SUBSTITUTE(SUBSTITUTE(D16," ","-"),"/","-"),".",""),",","")),"")</f>
        <v/>
      </c>
      <c r="D16" s="23" t="inlineStr">
        <is>
          <t>BOMBA HIDRÁULICA - APLICAÇÃO 16 E18.C.A.L</t>
        </is>
      </c>
      <c r="E16" s="23" t="inlineStr">
        <is>
          <t>Bombas Hidráulicas</t>
        </is>
      </c>
      <c r="F16" s="23" t="inlineStr">
        <is>
          <t>SOHIPREN</t>
        </is>
      </c>
      <c r="G16" s="23" t="n"/>
      <c r="H16" s="23" t="inlineStr">
        <is>
          <t>draft</t>
        </is>
      </c>
      <c r="I16" s="23" t="inlineStr">
        <is>
          <t>AGCO</t>
        </is>
      </c>
      <c r="J16" s="23" t="inlineStr">
        <is>
          <t>TRATOR</t>
        </is>
      </c>
      <c r="K16" s="23" t="n"/>
      <c r="L16" s="23" t="inlineStr">
        <is>
          <t>86664800/0510625329</t>
        </is>
      </c>
      <c r="M16" s="31" t="n"/>
      <c r="N16" s="31" t="n"/>
      <c r="O16" s="31" t="n"/>
      <c r="P16" s="31" t="n"/>
      <c r="Q16" s="31" t="n"/>
      <c r="R16" s="34">
        <f>IFERROR(IF(AND(O16&gt;0,P16&gt;0,Q16&gt;0),(O16*P16*Q16)/6000,""),"")</f>
        <v/>
      </c>
      <c r="S16" s="34">
        <f>IFERROR(IF(AND(N16&gt;0,R16&gt;0),MAX(N16,R16),IF(N16&gt;0,N16,IF(R16&gt;0,R16,""))),"")</f>
        <v/>
      </c>
      <c r="T16" s="36" t="n"/>
      <c r="U16" s="38" t="inlineStr">
        <is>
          <t>FALTA</t>
        </is>
      </c>
      <c r="V16" s="36" t="n">
        <v>665</v>
      </c>
      <c r="W16" s="39" t="n">
        <v>0.3</v>
      </c>
      <c r="X16" s="41">
        <f>IFERROR(V16+T16,"")</f>
        <v/>
      </c>
      <c r="Y16" s="41">
        <f>IFERROR(IF(W16&lt;1,X16/(1-W16),""),"")</f>
        <v/>
      </c>
      <c r="Z16" s="43">
        <f>'01_CONFIG_GLOBAL'!$C$14</f>
        <v/>
      </c>
      <c r="AA16" s="41">
        <f>IFERROR(Y16*Z16,"")</f>
        <v/>
      </c>
      <c r="AB16" s="41">
        <f>IFERROR(IF(Z16&lt;1,Y16/(1-Z16),""),"")</f>
        <v/>
      </c>
      <c r="AC16" s="23" t="n"/>
      <c r="AD16" s="36" t="n"/>
      <c r="AE16" s="23" t="n"/>
      <c r="AF16" s="36" t="n"/>
      <c r="AG16" s="23" t="n"/>
      <c r="AH16" s="36" t="n"/>
      <c r="AI16" s="41">
        <f>IFERROR(AVERAGE(AD16,AF16,AH16),"")</f>
        <v/>
      </c>
      <c r="AJ16" s="29">
        <f>IFERROR(IF(AI16="","sem dados",IF(AB16&lt;AI16*0.95,"abaixo",IF(AB16&gt;AI16*1.05,"acima","em linha"))),"")</f>
        <v/>
      </c>
      <c r="AK16" s="23" t="inlineStr">
        <is>
          <t>não</t>
        </is>
      </c>
      <c r="AL16" s="23" t="n"/>
      <c r="AM16" s="23" t="n"/>
      <c r="AN16" s="23" t="n"/>
      <c r="AO16" s="44">
        <f>A16</f>
        <v/>
      </c>
      <c r="AP16" s="44">
        <f>D16</f>
        <v/>
      </c>
    </row>
    <row r="17">
      <c r="A17" s="23" t="inlineStr">
        <is>
          <t>5.0220.0548836.0</t>
        </is>
      </c>
      <c r="B17" s="23" t="inlineStr">
        <is>
          <t>548836</t>
        </is>
      </c>
      <c r="C17" s="29">
        <f>IFERROR(LOWER(SUBSTITUTE(SUBSTITUTE(SUBSTITUTE(SUBSTITUTE(D17," ","-"),"/","-"),".",""),",","")),"")</f>
        <v/>
      </c>
      <c r="D17" s="50" t="inlineStr">
        <is>
          <t>Bomba de Direção Massey Ferguson 194-4F/362/365/372/390</t>
        </is>
      </c>
      <c r="E17" s="50" t="inlineStr">
        <is>
          <t>Bombas Hidráulicas</t>
        </is>
      </c>
      <c r="F17" s="23" t="inlineStr">
        <is>
          <t>SOHIPREN</t>
        </is>
      </c>
      <c r="G17" s="23" t="n"/>
      <c r="H17" s="23" t="inlineStr">
        <is>
          <t>active</t>
        </is>
      </c>
      <c r="I17" s="23" t="inlineStr">
        <is>
          <t>AGCO - MASSEY FERGUNSON</t>
        </is>
      </c>
      <c r="J17" s="23" t="inlineStr">
        <is>
          <t>TRATOR</t>
        </is>
      </c>
      <c r="K17" s="23" t="inlineStr">
        <is>
          <t>DIREÇÃO E AUXILIAR</t>
        </is>
      </c>
      <c r="L17" s="23" t="inlineStr">
        <is>
          <t>3774612/3701005/6214827/3597692/3595202/3597706/F800510536 - 42603990020</t>
        </is>
      </c>
      <c r="M17" s="31" t="n"/>
      <c r="N17" s="31" t="n">
        <v>5.33</v>
      </c>
      <c r="O17" s="31" t="n">
        <v>30</v>
      </c>
      <c r="P17" s="31" t="n">
        <v>12.5</v>
      </c>
      <c r="Q17" s="31" t="n">
        <v>12.5</v>
      </c>
      <c r="R17" s="34">
        <f>IFERROR(IF(AND(O17&gt;0,P17&gt;0,Q17&gt;0),(O17*P17*Q17)/6000,""),"")</f>
        <v/>
      </c>
      <c r="S17" s="34">
        <f>IFERROR(IF(AND(N17&gt;0,R17&gt;0),MAX(N17,R17),IF(N17&gt;0,N17,IF(R17&gt;0,R17,""))),"")</f>
        <v/>
      </c>
      <c r="T17" s="36" t="n">
        <v>100</v>
      </c>
      <c r="U17" s="23" t="inlineStr">
        <is>
          <t>fornecedor</t>
        </is>
      </c>
      <c r="V17" s="36" t="n">
        <v>1207</v>
      </c>
      <c r="W17" s="39" t="n">
        <v>0.2</v>
      </c>
      <c r="X17" s="41">
        <f>IFERROR(V17+T17,"")</f>
        <v/>
      </c>
      <c r="Y17" s="41">
        <f>IFERROR(IF(W17&lt;1,X17/(1-W17),""),"")</f>
        <v/>
      </c>
      <c r="Z17" s="43">
        <f>'01_CONFIG_GLOBAL'!$C$14</f>
        <v/>
      </c>
      <c r="AA17" s="41">
        <f>IFERROR(Y17*Z17,"")</f>
        <v/>
      </c>
      <c r="AB17" s="41">
        <f>IFERROR(IF(Z17&lt;1,Y17/(1-Z17),""),"")</f>
        <v/>
      </c>
      <c r="AC17" s="23" t="n"/>
      <c r="AD17" s="36" t="n"/>
      <c r="AE17" s="23" t="n"/>
      <c r="AF17" s="36" t="n"/>
      <c r="AG17" s="23" t="n"/>
      <c r="AH17" s="36" t="n"/>
      <c r="AI17" s="41">
        <f>IFERROR(AVERAGE(AD17,AF17,AH17),"")</f>
        <v/>
      </c>
      <c r="AJ17" s="29">
        <f>IFERROR(IF(AI17="","sem dados",IF(AB17&lt;AI17*0.95,"abaixo",IF(AB17&gt;AI17*1.05,"acima","em linha"))),"")</f>
        <v/>
      </c>
      <c r="AK17" s="23" t="inlineStr">
        <is>
          <t>sim</t>
        </is>
      </c>
      <c r="AL17" s="23" t="n"/>
      <c r="AM17" s="23" t="n"/>
      <c r="AN17" s="23" t="inlineStr">
        <is>
          <t>Fotos: assets/livenza_5.0220.0548836-CT_REV._0_p1.png</t>
        </is>
      </c>
      <c r="AO17" s="44">
        <f>A17</f>
        <v/>
      </c>
      <c r="AP17" s="44">
        <f>D17</f>
        <v/>
      </c>
      <c r="AQ17" s="28" t="inlineStr">
        <is>
          <t>0012_548836_Livenza_5_0220_0548836-CT_0_att101_p1_foto_3d_ecommerce.png | 0012_548836_Livenza_5_0220_0548836-CT_0_att101_p1_desenho_tec.png | livenza_5.0220.0548836-CT_REV._0_p1.png</t>
        </is>
      </c>
    </row>
    <row r="18">
      <c r="A18" s="23" t="inlineStr">
        <is>
          <t>5.0220.0548817.0</t>
        </is>
      </c>
      <c r="B18" s="23" t="inlineStr">
        <is>
          <t>548817</t>
        </is>
      </c>
      <c r="C18" s="29">
        <f>IFERROR(LOWER(SUBSTITUTE(SUBSTITUTE(SUBSTITUTE(SUBSTITUTE(D18," ","-"),"/","-"),".",""),",","")),"")</f>
        <v/>
      </c>
      <c r="D18" s="50" t="inlineStr">
        <is>
          <t>Bomba Hidráulica Massey Ferguson 283/290/292/L5000 - Direção e Levante</t>
        </is>
      </c>
      <c r="E18" s="50" t="inlineStr">
        <is>
          <t>Bombas Hidráulicas</t>
        </is>
      </c>
      <c r="F18" s="23" t="inlineStr">
        <is>
          <t>SOHIPREN</t>
        </is>
      </c>
      <c r="G18" s="23" t="n"/>
      <c r="H18" s="23" t="inlineStr">
        <is>
          <t>active</t>
        </is>
      </c>
      <c r="I18" s="23" t="inlineStr">
        <is>
          <t>AGCO - MASSEY FERGUNSON</t>
        </is>
      </c>
      <c r="J18" s="23" t="inlineStr">
        <is>
          <t>TRATOR</t>
        </is>
      </c>
      <c r="K18" s="23" t="inlineStr">
        <is>
          <t>DIREÇÃO E LEVANTE</t>
        </is>
      </c>
      <c r="L18" s="23" t="inlineStr">
        <is>
          <t>052107T1</t>
        </is>
      </c>
      <c r="M18" s="31" t="n"/>
      <c r="N18" s="31" t="n">
        <v>5.69</v>
      </c>
      <c r="O18" s="31" t="n">
        <v>30</v>
      </c>
      <c r="P18" s="31" t="n">
        <v>12.5</v>
      </c>
      <c r="Q18" s="31" t="n">
        <v>12.5</v>
      </c>
      <c r="R18" s="34">
        <f>IFERROR(IF(AND(O18&gt;0,P18&gt;0,Q18&gt;0),(O18*P18*Q18)/6000,""),"")</f>
        <v/>
      </c>
      <c r="S18" s="34">
        <f>IFERROR(IF(AND(N18&gt;0,R18&gt;0),MAX(N18,R18),IF(N18&gt;0,N18,IF(R18&gt;0,R18,""))),"")</f>
        <v/>
      </c>
      <c r="T18" s="36" t="n">
        <v>100</v>
      </c>
      <c r="U18" s="23" t="inlineStr">
        <is>
          <t>fornecedor</t>
        </is>
      </c>
      <c r="V18" s="36" t="n">
        <v>913.75</v>
      </c>
      <c r="W18" s="39" t="n">
        <v>0.2</v>
      </c>
      <c r="X18" s="41">
        <f>IFERROR(V18+T18,"")</f>
        <v/>
      </c>
      <c r="Y18" s="41">
        <f>IFERROR(IF(W18&lt;1,X18/(1-W18),""),"")</f>
        <v/>
      </c>
      <c r="Z18" s="43">
        <f>'01_CONFIG_GLOBAL'!$C$14</f>
        <v/>
      </c>
      <c r="AA18" s="41">
        <f>IFERROR(Y18*Z18,"")</f>
        <v/>
      </c>
      <c r="AB18" s="41">
        <f>IFERROR(IF(Z18&lt;1,Y18/(1-Z18),""),"")</f>
        <v/>
      </c>
      <c r="AC18" s="23" t="n"/>
      <c r="AD18" s="36" t="n"/>
      <c r="AE18" s="23" t="n"/>
      <c r="AF18" s="36" t="n"/>
      <c r="AG18" s="23" t="n"/>
      <c r="AH18" s="36" t="n"/>
      <c r="AI18" s="41">
        <f>IFERROR(AVERAGE(AD18,AF18,AH18),"")</f>
        <v/>
      </c>
      <c r="AJ18" s="29">
        <f>IFERROR(IF(AI18="","sem dados",IF(AB18&lt;AI18*0.95,"abaixo",IF(AB18&gt;AI18*1.05,"acima","em linha"))),"")</f>
        <v/>
      </c>
      <c r="AK18" s="23" t="inlineStr">
        <is>
          <t>sim</t>
        </is>
      </c>
      <c r="AL18" s="23" t="n"/>
      <c r="AM18" s="23" t="n"/>
      <c r="AN18" s="23" t="n"/>
      <c r="AO18" s="44">
        <f>A18</f>
        <v/>
      </c>
      <c r="AP18" s="44">
        <f>D18</f>
        <v/>
      </c>
      <c r="AQ18" s="28" t="inlineStr">
        <is>
          <t>LIVENZA_5.0220.0548817_ecommerce.jpg</t>
        </is>
      </c>
    </row>
    <row r="19">
      <c r="A19" s="23" t="inlineStr">
        <is>
          <t>5.1302.0565053.0</t>
        </is>
      </c>
      <c r="B19" s="23" t="inlineStr">
        <is>
          <t>565053</t>
        </is>
      </c>
      <c r="C19" s="29">
        <f>IFERROR(LOWER(SUBSTITUTE(SUBSTITUTE(SUBSTITUTE(SUBSTITUTE(D19," ","-"),"/","-"),".",""),",","")),"")</f>
        <v/>
      </c>
      <c r="D19" s="50" t="inlineStr">
        <is>
          <t>Bomba Hidráulica Massey Ferguson MF A-016 - Trator 4299</t>
        </is>
      </c>
      <c r="E19" s="50" t="inlineStr">
        <is>
          <t>Bombas Hidráulicas</t>
        </is>
      </c>
      <c r="F19" s="23" t="inlineStr">
        <is>
          <t>SOHIPREN</t>
        </is>
      </c>
      <c r="G19" s="23" t="n"/>
      <c r="H19" s="23" t="inlineStr">
        <is>
          <t>active</t>
        </is>
      </c>
      <c r="I19" s="23" t="inlineStr">
        <is>
          <t>AGCO - MASSEY FERGUNSON</t>
        </is>
      </c>
      <c r="J19" s="23" t="inlineStr">
        <is>
          <t>TRATOR DE PNEUS</t>
        </is>
      </c>
      <c r="K19" s="23" t="inlineStr">
        <is>
          <t>PRINCIPAL - 22,5+11</t>
        </is>
      </c>
      <c r="L19" s="23" t="inlineStr">
        <is>
          <t>6262009 - R979017550 - 11112022040 - 9033102550</t>
        </is>
      </c>
      <c r="M19" s="31" t="n"/>
      <c r="N19" s="31" t="n">
        <v>9.33</v>
      </c>
      <c r="O19" s="31" t="n">
        <v>30</v>
      </c>
      <c r="P19" s="31" t="n">
        <v>12.5</v>
      </c>
      <c r="Q19" s="31" t="n">
        <v>12.5</v>
      </c>
      <c r="R19" s="34">
        <f>IFERROR(IF(AND(O19&gt;0,P19&gt;0,Q19&gt;0),(O19*P19*Q19)/6000,""),"")</f>
        <v/>
      </c>
      <c r="S19" s="34">
        <f>IFERROR(IF(AND(N19&gt;0,R19&gt;0),MAX(N19,R19),IF(N19&gt;0,N19,IF(R19&gt;0,R19,""))),"")</f>
        <v/>
      </c>
      <c r="T19" s="36" t="n">
        <v>100</v>
      </c>
      <c r="U19" s="23" t="inlineStr">
        <is>
          <t>fornecedor</t>
        </is>
      </c>
      <c r="V19" s="36" t="n">
        <v>1632</v>
      </c>
      <c r="W19" s="39" t="n">
        <v>0.2</v>
      </c>
      <c r="X19" s="41">
        <f>IFERROR(V19+T19,"")</f>
        <v/>
      </c>
      <c r="Y19" s="41">
        <f>IFERROR(IF(W19&lt;1,X19/(1-W19),""),"")</f>
        <v/>
      </c>
      <c r="Z19" s="43">
        <f>'01_CONFIG_GLOBAL'!$C$14</f>
        <v/>
      </c>
      <c r="AA19" s="41">
        <f>IFERROR(Y19*Z19,"")</f>
        <v/>
      </c>
      <c r="AB19" s="52">
        <f>IFERROR(IF(Z19&lt;1,Y19/(1-Z19),""),"")</f>
        <v/>
      </c>
      <c r="AC19" s="23" t="n"/>
      <c r="AD19" s="36" t="n"/>
      <c r="AE19" s="23" t="n"/>
      <c r="AF19" s="36" t="n"/>
      <c r="AG19" s="23" t="n"/>
      <c r="AH19" s="36" t="n"/>
      <c r="AI19" s="41">
        <f>IFERROR(AVERAGE(AD19,AF19,AH19),"")</f>
        <v/>
      </c>
      <c r="AJ19" s="29">
        <f>IFERROR(IF(AI19="","sem dados",IF(AB19&lt;AI19*0.95,"abaixo",IF(AB19&gt;AI19*1.05,"acima","em linha"))),"")</f>
        <v/>
      </c>
      <c r="AK19" s="23" t="inlineStr">
        <is>
          <t>sim</t>
        </is>
      </c>
      <c r="AL19" s="23" t="n"/>
      <c r="AM19" s="23" t="n"/>
      <c r="AN19" s="23" t="inlineStr">
        <is>
          <t>Fotos: assets/livenza_5.1302.0565053-1_p1.png</t>
        </is>
      </c>
      <c r="AO19" s="44">
        <f>A19</f>
        <v/>
      </c>
      <c r="AP19" s="44">
        <f>D19</f>
        <v/>
      </c>
      <c r="AQ19" s="28" t="inlineStr">
        <is>
          <t>0014_565053_Livenza_5_1302_0565053_att143_p1_foto_3d_ecommerce.png | 0014_565053_Livenza_5_1302_0565053_att143_p1_desenho_tec.png</t>
        </is>
      </c>
    </row>
    <row r="20" hidden="1" s="93">
      <c r="A20" s="23" t="inlineStr">
        <is>
          <t>5.0239.L012800.0</t>
        </is>
      </c>
      <c r="B20" s="23" t="inlineStr">
        <is>
          <t>L012800</t>
        </is>
      </c>
      <c r="C20" s="29">
        <f>IFERROR(LOWER(SUBSTITUTE(SUBSTITUTE(SUBSTITUTE(SUBSTITUTE(D20," ","-"),"/","-"),".",""),",","")),"")</f>
        <v/>
      </c>
      <c r="D20" s="23" t="inlineStr">
        <is>
          <t>KIT.BO.22,5.E2TD.B20</t>
        </is>
      </c>
      <c r="E20" s="23" t="n"/>
      <c r="F20" s="23" t="inlineStr">
        <is>
          <t>SOHIPREN</t>
        </is>
      </c>
      <c r="G20" s="23" t="n"/>
      <c r="H20" s="23" t="inlineStr">
        <is>
          <t>draft</t>
        </is>
      </c>
      <c r="I20" s="23" t="inlineStr">
        <is>
          <t>AGCO - MASSEY FERGUSON</t>
        </is>
      </c>
      <c r="J20" s="23" t="inlineStr">
        <is>
          <t>TRATOR</t>
        </is>
      </c>
      <c r="K20" s="23" t="inlineStr">
        <is>
          <t>BX200 - 4292 - 4297 - 4299</t>
        </is>
      </c>
      <c r="L20" s="23" t="inlineStr">
        <is>
          <t>R979017553</t>
        </is>
      </c>
      <c r="M20" s="31" t="n"/>
      <c r="N20" s="31" t="n"/>
      <c r="O20" s="31" t="n"/>
      <c r="P20" s="31" t="n"/>
      <c r="Q20" s="31" t="n"/>
      <c r="R20" s="34">
        <f>IFERROR(IF(AND(O20&gt;0,P20&gt;0,Q20&gt;0),(O20*P20*Q20)/6000,""),"")</f>
        <v/>
      </c>
      <c r="S20" s="34">
        <f>IFERROR(IF(AND(N20&gt;0,R20&gt;0),MAX(N20,R20),IF(N20&gt;0,N20,IF(R20&gt;0,R20,""))),"")</f>
        <v/>
      </c>
      <c r="T20" s="36" t="n"/>
      <c r="U20" s="38" t="inlineStr">
        <is>
          <t>FALTA</t>
        </is>
      </c>
      <c r="V20" s="36" t="n">
        <v>396</v>
      </c>
      <c r="W20" s="39" t="n">
        <v>0.3</v>
      </c>
      <c r="X20" s="41">
        <f>IFERROR(V20+T20,"")</f>
        <v/>
      </c>
      <c r="Y20" s="41">
        <f>IFERROR(IF(W20&lt;1,X20/(1-W20),""),"")</f>
        <v/>
      </c>
      <c r="Z20" s="43">
        <f>'01_CONFIG_GLOBAL'!$C$14</f>
        <v/>
      </c>
      <c r="AA20" s="41">
        <f>IFERROR(Y20*Z20,"")</f>
        <v/>
      </c>
      <c r="AB20" s="41">
        <f>IFERROR(IF(Z20&lt;1,Y20/(1-Z20),""),"")</f>
        <v/>
      </c>
      <c r="AC20" s="23" t="n"/>
      <c r="AD20" s="36" t="n"/>
      <c r="AE20" s="23" t="n"/>
      <c r="AF20" s="36" t="n"/>
      <c r="AG20" s="23" t="n"/>
      <c r="AH20" s="36" t="n"/>
      <c r="AI20" s="41">
        <f>IFERROR(AVERAGE(AD20,AF20,AH20),"")</f>
        <v/>
      </c>
      <c r="AJ20" s="29">
        <f>IFERROR(IF(AI20="","sem dados",IF(AB20&lt;AI20*0.95,"abaixo",IF(AB20&gt;AI20*1.05,"acima","em linha"))),"")</f>
        <v/>
      </c>
      <c r="AK20" s="23" t="inlineStr">
        <is>
          <t>não</t>
        </is>
      </c>
      <c r="AL20" s="23" t="n"/>
      <c r="AM20" s="23" t="n"/>
      <c r="AN20" s="23" t="n"/>
      <c r="AO20" s="44">
        <f>A20</f>
        <v/>
      </c>
      <c r="AP20" s="44">
        <f>D20</f>
        <v/>
      </c>
    </row>
    <row r="21" hidden="1" ht="15.75" customHeight="1" s="93">
      <c r="A21" s="23" t="inlineStr">
        <is>
          <t>5.0220.0548851.0</t>
        </is>
      </c>
      <c r="B21" s="23" t="inlineStr">
        <is>
          <t>548851</t>
        </is>
      </c>
      <c r="C21" s="29">
        <f>IFERROR(LOWER(SUBSTITUTE(SUBSTITUTE(SUBSTITUTE(SUBSTITUTE(D21," ","-"),"/","-"),".",""),",","")),"")</f>
        <v/>
      </c>
      <c r="D21" s="23" t="inlineStr">
        <is>
          <t>BOMBA HIDRÁULICA - APLICAÇÃO 16 E5.P.A42/14 A42.L1 (PLACA H15)</t>
        </is>
      </c>
      <c r="E21" s="23" t="inlineStr">
        <is>
          <t>Bombas Hidráulicas</t>
        </is>
      </c>
      <c r="F21" s="23" t="inlineStr">
        <is>
          <t>SOHIPREN</t>
        </is>
      </c>
      <c r="G21" s="23" t="n"/>
      <c r="H21" s="23" t="inlineStr">
        <is>
          <t>draft</t>
        </is>
      </c>
      <c r="I21" s="23" t="inlineStr">
        <is>
          <t>AGCO - VALTRA</t>
        </is>
      </c>
      <c r="J21" s="23" t="inlineStr">
        <is>
          <t>TRATOR</t>
        </is>
      </c>
      <c r="K21" s="23" t="inlineStr">
        <is>
          <t>PRINCIPAL</t>
        </is>
      </c>
      <c r="L21" s="23" t="inlineStr">
        <is>
          <t>83410200-9510080642</t>
        </is>
      </c>
      <c r="M21" s="31" t="n"/>
      <c r="N21" s="31" t="n"/>
      <c r="O21" s="31" t="n"/>
      <c r="P21" s="31" t="n"/>
      <c r="Q21" s="31" t="n"/>
      <c r="R21" s="34">
        <f>IFERROR(IF(AND(O21&gt;0,P21&gt;0,Q21&gt;0),(O21*P21*Q21)/6000,""),"")</f>
        <v/>
      </c>
      <c r="S21" s="34">
        <f>IFERROR(IF(AND(N21&gt;0,R21&gt;0),MAX(N21,R21),IF(N21&gt;0,N21,IF(R21&gt;0,R21,""))),"")</f>
        <v/>
      </c>
      <c r="T21" s="36" t="n"/>
      <c r="U21" s="38" t="inlineStr">
        <is>
          <t>FALTA</t>
        </is>
      </c>
      <c r="V21" s="36" t="n">
        <v>1317</v>
      </c>
      <c r="W21" s="39" t="n">
        <v>0.3</v>
      </c>
      <c r="X21" s="41">
        <f>IFERROR(V21+T21,"")</f>
        <v/>
      </c>
      <c r="Y21" s="41">
        <f>IFERROR(IF(W21&lt;1,X21/(1-W21),""),"")</f>
        <v/>
      </c>
      <c r="Z21" s="43">
        <f>'01_CONFIG_GLOBAL'!$C$14</f>
        <v/>
      </c>
      <c r="AA21" s="41">
        <f>IFERROR(Y21*Z21,"")</f>
        <v/>
      </c>
      <c r="AB21" s="41">
        <f>IFERROR(IF(Z21&lt;1,Y21/(1-Z21),""),"")</f>
        <v/>
      </c>
      <c r="AC21" s="23" t="n"/>
      <c r="AD21" s="36" t="n"/>
      <c r="AE21" s="23" t="n"/>
      <c r="AF21" s="36" t="n"/>
      <c r="AG21" s="23" t="n"/>
      <c r="AH21" s="36" t="n"/>
      <c r="AI21" s="41">
        <f>IFERROR(AVERAGE(AD21,AF21,AH21),"")</f>
        <v/>
      </c>
      <c r="AJ21" s="29">
        <f>IFERROR(IF(AI21="","sem dados",IF(AB21&lt;AI21*0.95,"abaixo",IF(AB21&gt;AI21*1.05,"acima","em linha"))),"")</f>
        <v/>
      </c>
      <c r="AK21" s="23" t="inlineStr">
        <is>
          <t>não</t>
        </is>
      </c>
      <c r="AL21" s="23" t="n"/>
      <c r="AM21" s="23" t="n"/>
      <c r="AN21" s="23" t="n"/>
      <c r="AO21" s="44">
        <f>A21</f>
        <v/>
      </c>
      <c r="AP21" s="44">
        <f>D21</f>
        <v/>
      </c>
    </row>
    <row r="22" ht="15.75" customHeight="1" s="93">
      <c r="A22" s="23" t="inlineStr">
        <is>
          <t>5.0220.0548824-2</t>
        </is>
      </c>
      <c r="B22" s="23" t="inlineStr">
        <is>
          <t>548824</t>
        </is>
      </c>
      <c r="C22" s="29">
        <f>IFERROR(LOWER(SUBSTITUTE(SUBSTITUTE(SUBSTITUTE(SUBSTITUTE(D22," ","-"),"/","-"),".",""),",","")),"")</f>
        <v/>
      </c>
      <c r="D22" s="50" t="inlineStr">
        <is>
          <t>Bomba Hidráulica Dupla Valtra-Valmet BH160</t>
        </is>
      </c>
      <c r="E22" s="50" t="inlineStr">
        <is>
          <t>Bombas Hidráulicas</t>
        </is>
      </c>
      <c r="F22" s="23" t="inlineStr">
        <is>
          <t>SOHIPREN</t>
        </is>
      </c>
      <c r="G22" s="23" t="n"/>
      <c r="H22" s="23" t="inlineStr">
        <is>
          <t>active</t>
        </is>
      </c>
      <c r="I22" s="23" t="inlineStr">
        <is>
          <t>AGCO - VALTRA</t>
        </is>
      </c>
      <c r="J22" s="23" t="inlineStr">
        <is>
          <t>TRATOR</t>
        </is>
      </c>
      <c r="K22" s="23" t="inlineStr">
        <is>
          <t>PRINCIPAL</t>
        </is>
      </c>
      <c r="L22" s="23" t="inlineStr">
        <is>
          <t>836659742-836640234-9510080758-R979106433-81341100</t>
        </is>
      </c>
      <c r="M22" s="31" t="n"/>
      <c r="N22" s="31" t="n">
        <v>7.97</v>
      </c>
      <c r="O22" s="31" t="n">
        <v>30</v>
      </c>
      <c r="P22" s="31" t="n">
        <v>12.5</v>
      </c>
      <c r="Q22" s="31" t="n">
        <v>12.5</v>
      </c>
      <c r="R22" s="34">
        <f>IFERROR(IF(AND(O22&gt;0,P22&gt;0,Q22&gt;0),(O22*P22*Q22)/6000,""),"")</f>
        <v/>
      </c>
      <c r="S22" s="34">
        <f>IFERROR(IF(AND(N22&gt;0,R22&gt;0),MAX(N22,R22),IF(N22&gt;0,N22,IF(R22&gt;0,R22,""))),"")</f>
        <v/>
      </c>
      <c r="T22" s="36" t="n">
        <v>100</v>
      </c>
      <c r="U22" s="23" t="inlineStr">
        <is>
          <t>fornecedor</t>
        </is>
      </c>
      <c r="V22" s="36" t="n">
        <v>1130.5</v>
      </c>
      <c r="W22" s="39" t="n">
        <v>0.2</v>
      </c>
      <c r="X22" s="41">
        <f>IFERROR(V22+T22,"")</f>
        <v/>
      </c>
      <c r="Y22" s="41">
        <f>IFERROR(IF(W22&lt;1,X22/(1-W22),""),"")</f>
        <v/>
      </c>
      <c r="Z22" s="43">
        <f>'01_CONFIG_GLOBAL'!$C$14</f>
        <v/>
      </c>
      <c r="AA22" s="41">
        <f>IFERROR(Y22*Z22,"")</f>
        <v/>
      </c>
      <c r="AB22" s="41">
        <f>IFERROR(IF(Z22&lt;1,Y22/(1-Z22),""),"")</f>
        <v/>
      </c>
      <c r="AC22" s="23" t="n"/>
      <c r="AD22" s="36" t="n"/>
      <c r="AE22" s="23" t="n"/>
      <c r="AF22" s="36" t="n"/>
      <c r="AG22" s="23" t="n"/>
      <c r="AH22" s="36" t="n"/>
      <c r="AI22" s="41">
        <f>IFERROR(AVERAGE(AD22,AF22,AH22),"")</f>
        <v/>
      </c>
      <c r="AJ22" s="29">
        <f>IFERROR(IF(AI22="","sem dados",IF(AB22&lt;AI22*0.95,"abaixo",IF(AB22&gt;AI22*1.05,"acima","em linha"))),"")</f>
        <v/>
      </c>
      <c r="AK22" s="23" t="inlineStr">
        <is>
          <t>sim</t>
        </is>
      </c>
      <c r="AL22" s="23" t="n"/>
      <c r="AM22" s="23" t="n"/>
      <c r="AN22" s="23" t="inlineStr">
        <is>
          <t>Fotos: assets/livenza_5.0220.0548824-2_p1.png</t>
        </is>
      </c>
      <c r="AO22" s="44">
        <f>A22</f>
        <v/>
      </c>
      <c r="AP22" s="44">
        <f>D22</f>
        <v/>
      </c>
      <c r="AQ22" s="28" t="inlineStr">
        <is>
          <t>0017_548824_Livenza_5_0220_0548951-CT_REV__0_att135_p1_foto_3d_ecommerce.png | 0017_548824_Livenza_5_0220_0548951-CT_REV__0_att135_p1_desenho_tec.png | 5.0220.0548824-2_p1.png</t>
        </is>
      </c>
    </row>
    <row r="23" ht="15.75" customHeight="1" s="93">
      <c r="A23" s="23" t="inlineStr">
        <is>
          <t>5.0220.0548917.0</t>
        </is>
      </c>
      <c r="B23" s="23" t="inlineStr">
        <is>
          <t>548917</t>
        </is>
      </c>
      <c r="C23" s="29">
        <f>IFERROR(LOWER(SUBSTITUTE(SUBSTITUTE(SUBSTITUTE(SUBSTITUTE(D23," ","-"),"/","-"),".",""),",","")),"")</f>
        <v/>
      </c>
      <c r="D23" s="50" t="inlineStr">
        <is>
          <t>Bomba Hidráulica 16 Principal e Direção - Trator Valtra (E2.B8.B2/14, Placa H15)</t>
        </is>
      </c>
      <c r="E23" s="50" t="inlineStr">
        <is>
          <t>Bombas Hidráulicas</t>
        </is>
      </c>
      <c r="F23" s="23" t="inlineStr">
        <is>
          <t>SOHIPREN</t>
        </is>
      </c>
      <c r="G23" s="23" t="n"/>
      <c r="H23" s="23" t="inlineStr">
        <is>
          <t>active</t>
        </is>
      </c>
      <c r="I23" s="23" t="inlineStr">
        <is>
          <t>AGCO - VALTRA</t>
        </is>
      </c>
      <c r="J23" s="23" t="inlineStr">
        <is>
          <t>TRATOR</t>
        </is>
      </c>
      <c r="K23" s="23" t="inlineStr">
        <is>
          <t>PRINCIPAL E DIREÇAO</t>
        </is>
      </c>
      <c r="L23" s="23" t="inlineStr">
        <is>
          <t>31851700/9510080542/F000510609</t>
        </is>
      </c>
      <c r="M23" s="31" t="inlineStr">
        <is>
          <t>10  dias úteis</t>
        </is>
      </c>
      <c r="N23" s="31" t="n">
        <v>7.65</v>
      </c>
      <c r="O23" s="31" t="n">
        <v>30</v>
      </c>
      <c r="P23" s="31" t="n">
        <v>12.5</v>
      </c>
      <c r="Q23" s="31" t="n">
        <v>12.5</v>
      </c>
      <c r="R23" s="34">
        <f>IFERROR(IF(AND(O23&gt;0,P23&gt;0,Q23&gt;0),(O23*P23*Q23)/6000,""),"")</f>
        <v/>
      </c>
      <c r="S23" s="34">
        <f>IFERROR(IF(AND(N23&gt;0,R23&gt;0),MAX(N23,R23),IF(N23&gt;0,N23,IF(R23&gt;0,R23,""))),"")</f>
        <v/>
      </c>
      <c r="T23" s="36" t="n">
        <v>100</v>
      </c>
      <c r="U23" s="23" t="inlineStr">
        <is>
          <t>fornecedor</t>
        </is>
      </c>
      <c r="V23" s="36" t="n">
        <v>1130.5</v>
      </c>
      <c r="W23" s="39" t="n">
        <v>0.2</v>
      </c>
      <c r="X23" s="41">
        <f>IFERROR(V23+T23,"")</f>
        <v/>
      </c>
      <c r="Y23" s="41">
        <f>IFERROR(IF(W23&lt;1,X23/(1-W23),""),"")</f>
        <v/>
      </c>
      <c r="Z23" s="43">
        <f>'01_CONFIG_GLOBAL'!$C$14</f>
        <v/>
      </c>
      <c r="AA23" s="41">
        <f>IFERROR(Y23*Z23,"")</f>
        <v/>
      </c>
      <c r="AB23" s="53">
        <f>IFERROR(IF(Z23&lt;1,Y23/(1-Z23),""),"")</f>
        <v/>
      </c>
      <c r="AC23" s="23" t="n"/>
      <c r="AD23" s="36" t="n"/>
      <c r="AE23" s="23" t="n"/>
      <c r="AF23" s="36" t="n"/>
      <c r="AG23" s="23" t="n"/>
      <c r="AH23" s="36" t="n"/>
      <c r="AI23" s="41">
        <f>IFERROR(AVERAGE(AD23,AF23,AH23),"")</f>
        <v/>
      </c>
      <c r="AJ23" s="29">
        <f>IFERROR(IF(AI23="","sem dados",IF(AB23&lt;AI23*0.95,"abaixo",IF(AB23&gt;AI23*1.05,"acima","em linha"))),"")</f>
        <v/>
      </c>
      <c r="AK23" s="23" t="inlineStr">
        <is>
          <t>sim</t>
        </is>
      </c>
      <c r="AL23" s="23" t="n"/>
      <c r="AM23" s="23" t="n"/>
      <c r="AN23" s="23" t="n"/>
      <c r="AO23" s="44">
        <f>A23</f>
        <v/>
      </c>
      <c r="AP23" s="44">
        <f>D23</f>
        <v/>
      </c>
      <c r="AQ23" s="28" t="inlineStr">
        <is>
          <t>bomba_generica.png (genérica)</t>
        </is>
      </c>
    </row>
    <row r="24" ht="15.75" customHeight="1" s="93">
      <c r="A24" s="23" t="inlineStr">
        <is>
          <t>5.0220.L026997.0</t>
        </is>
      </c>
      <c r="B24" s="23" t="inlineStr">
        <is>
          <t>L026997</t>
        </is>
      </c>
      <c r="C24" s="29">
        <f>IFERROR(LOWER(SUBSTITUTE(SUBSTITUTE(SUBSTITUTE(SUBSTITUTE(D24," ","-"),"/","-"),".",""),",","")),"")</f>
        <v/>
      </c>
      <c r="D24" s="50" t="inlineStr">
        <is>
          <t>Bomba Hidráulica 22,5 Principal - Trator Valtra (E2.B8.B112/16.B4/16)</t>
        </is>
      </c>
      <c r="E24" s="50" t="inlineStr">
        <is>
          <t>Bombas Hidráulicas</t>
        </is>
      </c>
      <c r="F24" s="23" t="inlineStr">
        <is>
          <t>SOHIPREN</t>
        </is>
      </c>
      <c r="G24" s="23" t="n"/>
      <c r="H24" s="23" t="inlineStr">
        <is>
          <t>active</t>
        </is>
      </c>
      <c r="I24" s="23" t="inlineStr">
        <is>
          <t>AGCO - VALTRA</t>
        </is>
      </c>
      <c r="J24" s="23" t="inlineStr">
        <is>
          <t>TRATORES</t>
        </is>
      </c>
      <c r="K24" s="23" t="inlineStr">
        <is>
          <t>PRINCIPAL</t>
        </is>
      </c>
      <c r="L24" s="23" t="inlineStr">
        <is>
          <t>R979003762 - 11113022004 - 84068400</t>
        </is>
      </c>
      <c r="M24" s="31" t="n"/>
      <c r="N24" s="31" t="n">
        <v>9.890000000000001</v>
      </c>
      <c r="O24" s="31" t="n">
        <v>35</v>
      </c>
      <c r="P24" s="31" t="n">
        <v>31</v>
      </c>
      <c r="Q24" s="31" t="n">
        <v>20</v>
      </c>
      <c r="R24" s="34">
        <f>IFERROR(IF(AND(O24&gt;0,P24&gt;0,Q24&gt;0),(O24*P24*Q24)/6000,""),"")</f>
        <v/>
      </c>
      <c r="S24" s="34">
        <f>IFERROR(IF(AND(N24&gt;0,R24&gt;0),MAX(N24,R24),IF(N24&gt;0,N24,IF(R24&gt;0,R24,""))),"")</f>
        <v/>
      </c>
      <c r="T24" s="36" t="n">
        <v>100</v>
      </c>
      <c r="U24" s="23" t="inlineStr">
        <is>
          <t>fornecedor</t>
        </is>
      </c>
      <c r="V24" s="36" t="n">
        <v>1759.5</v>
      </c>
      <c r="W24" s="39" t="n">
        <v>0.2</v>
      </c>
      <c r="X24" s="41">
        <f>IFERROR(V24+T24,"")</f>
        <v/>
      </c>
      <c r="Y24" s="41">
        <f>IFERROR(IF(W24&lt;1,X24/(1-W24),""),"")</f>
        <v/>
      </c>
      <c r="Z24" s="43">
        <f>'01_CONFIG_GLOBAL'!$C$14</f>
        <v/>
      </c>
      <c r="AA24" s="41">
        <f>IFERROR(Y24*Z24,"")</f>
        <v/>
      </c>
      <c r="AB24" s="41">
        <f>IFERROR(IF(Z24&lt;1,Y24/(1-Z24),""),"")</f>
        <v/>
      </c>
      <c r="AC24" s="23" t="n"/>
      <c r="AD24" s="36" t="n"/>
      <c r="AE24" s="23" t="n"/>
      <c r="AF24" s="36" t="n"/>
      <c r="AG24" s="23" t="n"/>
      <c r="AH24" s="36" t="n"/>
      <c r="AI24" s="41">
        <f>IFERROR(AVERAGE(AD24,AF24,AH24),"")</f>
        <v/>
      </c>
      <c r="AJ24" s="29">
        <f>IFERROR(IF(AI24="","sem dados",IF(AB24&lt;AI24*0.95,"abaixo",IF(AB24&gt;AI24*1.05,"acima","em linha"))),"")</f>
        <v/>
      </c>
      <c r="AK24" s="23" t="inlineStr">
        <is>
          <t>sim</t>
        </is>
      </c>
      <c r="AL24" s="23" t="n"/>
      <c r="AM24" s="23" t="n"/>
      <c r="AN24" s="23" t="n"/>
      <c r="AO24" s="44">
        <f>A24</f>
        <v/>
      </c>
      <c r="AP24" s="44">
        <f>D24</f>
        <v/>
      </c>
      <c r="AQ24" s="28" t="inlineStr">
        <is>
          <t>bomba_generica.png (genérica)</t>
        </is>
      </c>
    </row>
    <row r="25" ht="15.75" customHeight="1" s="93">
      <c r="A25" s="23" t="inlineStr">
        <is>
          <t>5.0220.0547201.0</t>
        </is>
      </c>
      <c r="B25" s="23" t="inlineStr">
        <is>
          <t>547201</t>
        </is>
      </c>
      <c r="C25" s="29">
        <f>IFERROR(LOWER(SUBSTITUTE(SUBSTITUTE(SUBSTITUTE(SUBSTITUTE(D25," ","-"),"/","-"),".",""),",","")),"")</f>
        <v/>
      </c>
      <c r="D25" s="50" t="inlineStr">
        <is>
          <t>Bomba Hidráulica Principal Valtra-Valmet 885/985/1280</t>
        </is>
      </c>
      <c r="E25" s="50" t="inlineStr">
        <is>
          <t>Bombas Hidráulicas</t>
        </is>
      </c>
      <c r="F25" s="23" t="inlineStr">
        <is>
          <t>SOHIPREN</t>
        </is>
      </c>
      <c r="G25" s="23" t="n"/>
      <c r="H25" s="23" t="inlineStr">
        <is>
          <t>active</t>
        </is>
      </c>
      <c r="I25" s="23" t="inlineStr">
        <is>
          <t>AGCO - VALTRA</t>
        </is>
      </c>
      <c r="J25" s="23" t="inlineStr">
        <is>
          <t>TRATOR</t>
        </is>
      </c>
      <c r="K25" s="23" t="inlineStr">
        <is>
          <t>PRINCIPAL</t>
        </is>
      </c>
      <c r="L25" s="23" t="inlineStr">
        <is>
          <t>81131100/9510080756</t>
        </is>
      </c>
      <c r="M25" s="31" t="n"/>
      <c r="N25" s="31" t="n">
        <v>8.859999999999999</v>
      </c>
      <c r="O25" s="31" t="n">
        <v>30</v>
      </c>
      <c r="P25" s="31" t="n">
        <v>12.5</v>
      </c>
      <c r="Q25" s="31" t="n">
        <v>12.5</v>
      </c>
      <c r="R25" s="34">
        <f>IFERROR(IF(AND(O25&gt;0,P25&gt;0,Q25&gt;0),(O25*P25*Q25)/6000,""),"")</f>
        <v/>
      </c>
      <c r="S25" s="34">
        <f>IFERROR(IF(AND(N25&gt;0,R25&gt;0),MAX(N25,R25),IF(N25&gt;0,N25,IF(R25&gt;0,R25,""))),"")</f>
        <v/>
      </c>
      <c r="T25" s="36" t="n">
        <v>100</v>
      </c>
      <c r="U25" s="23" t="inlineStr">
        <is>
          <t>fornecedor</t>
        </is>
      </c>
      <c r="V25" s="36" t="n">
        <v>1130.5</v>
      </c>
      <c r="W25" s="39" t="n">
        <v>0.2</v>
      </c>
      <c r="X25" s="41">
        <f>IFERROR(V25+T25,"")</f>
        <v/>
      </c>
      <c r="Y25" s="41">
        <f>IFERROR(IF(W25&lt;1,X25/(1-W25),""),"")</f>
        <v/>
      </c>
      <c r="Z25" s="43">
        <f>'01_CONFIG_GLOBAL'!$C$14</f>
        <v/>
      </c>
      <c r="AA25" s="41">
        <f>IFERROR(Y25*Z25,"")</f>
        <v/>
      </c>
      <c r="AB25" s="41">
        <f>IFERROR(IF(Z25&lt;1,Y25/(1-Z25),""),"")</f>
        <v/>
      </c>
      <c r="AC25" s="23" t="n"/>
      <c r="AD25" s="36" t="n"/>
      <c r="AE25" s="23" t="n"/>
      <c r="AF25" s="36" t="n"/>
      <c r="AG25" s="23" t="n"/>
      <c r="AH25" s="36" t="n"/>
      <c r="AI25" s="41">
        <f>IFERROR(AVERAGE(AD25,AF25,AH25),"")</f>
        <v/>
      </c>
      <c r="AJ25" s="29">
        <f>IFERROR(IF(AI25="","sem dados",IF(AB25&lt;AI25*0.95,"abaixo",IF(AB25&gt;AI25*1.05,"acima","em linha"))),"")</f>
        <v/>
      </c>
      <c r="AK25" s="23" t="inlineStr">
        <is>
          <t>sim</t>
        </is>
      </c>
      <c r="AL25" s="23" t="n"/>
      <c r="AM25" s="23" t="n"/>
      <c r="AN25" s="23" t="inlineStr">
        <is>
          <t>Fotos: assets/livenza_5.0220.0547201-CT_REV._0_p1.png</t>
        </is>
      </c>
      <c r="AO25" s="44">
        <f>A25</f>
        <v/>
      </c>
      <c r="AP25" s="44">
        <f>D25</f>
        <v/>
      </c>
      <c r="AQ25" s="28" t="inlineStr">
        <is>
          <t>0020_547201_Livenza_5_0220_0547201-CT_0_att84_p1_foto_3d_ecommerce.png | 0020_547201_Livenza_5_0220_0547201-CT_0_att84_p1_desenho_tec.png | livenza_5.0220.0547201-CT_REV._0_p1.png</t>
        </is>
      </c>
    </row>
    <row r="26" ht="15.75" customHeight="1" s="93">
      <c r="A26" s="23" t="inlineStr">
        <is>
          <t>5.0220.0547202.0</t>
        </is>
      </c>
      <c r="B26" s="23" t="inlineStr">
        <is>
          <t>547202</t>
        </is>
      </c>
      <c r="C26" s="29">
        <f>IFERROR(LOWER(SUBSTITUTE(SUBSTITUTE(SUBSTITUTE(SUBSTITUTE(D26," ","-"),"/","-"),".",""),",","")),"")</f>
        <v/>
      </c>
      <c r="D26" s="50" t="inlineStr">
        <is>
          <t>Bomba Hidráulica Valtra-Valmet 62/65/68/85/86/88/78EL - Principal</t>
        </is>
      </c>
      <c r="E26" s="50" t="inlineStr">
        <is>
          <t>Bombas Hidráulicas</t>
        </is>
      </c>
      <c r="F26" s="23" t="inlineStr">
        <is>
          <t>SOHIPREN</t>
        </is>
      </c>
      <c r="G26" s="23" t="n"/>
      <c r="H26" s="23" t="inlineStr">
        <is>
          <t>active</t>
        </is>
      </c>
      <c r="I26" s="23" t="inlineStr">
        <is>
          <t>AGCO - VALTRA</t>
        </is>
      </c>
      <c r="J26" s="23" t="inlineStr">
        <is>
          <t>TRATOR DE PNEUS</t>
        </is>
      </c>
      <c r="K26" s="23" t="inlineStr">
        <is>
          <t>PRINCIPAL</t>
        </is>
      </c>
      <c r="L26" s="23" t="inlineStr">
        <is>
          <t>159400-1</t>
        </is>
      </c>
      <c r="M26" s="31" t="inlineStr">
        <is>
          <t>10 dias úteis</t>
        </is>
      </c>
      <c r="N26" s="31" t="n">
        <v>7.98</v>
      </c>
      <c r="O26" s="31" t="n">
        <v>30</v>
      </c>
      <c r="P26" s="31" t="n">
        <v>12.5</v>
      </c>
      <c r="Q26" s="31" t="n">
        <v>12.5</v>
      </c>
      <c r="R26" s="34">
        <f>IFERROR(IF(AND(O26&gt;0,P26&gt;0,Q26&gt;0),(O26*P26*Q26)/6000,""),"")</f>
        <v/>
      </c>
      <c r="S26" s="34">
        <f>IFERROR(IF(AND(N26&gt;0,R26&gt;0),MAX(N26,R26),IF(N26&gt;0,N26,IF(R26&gt;0,R26,""))),"")</f>
        <v/>
      </c>
      <c r="T26" s="36" t="n">
        <v>100</v>
      </c>
      <c r="U26" s="23" t="inlineStr">
        <is>
          <t>fornecedor</t>
        </is>
      </c>
      <c r="V26" s="36" t="n">
        <v>1038.7</v>
      </c>
      <c r="W26" s="39" t="n">
        <v>0.2</v>
      </c>
      <c r="X26" s="41">
        <f>IFERROR(V26+T26,"")</f>
        <v/>
      </c>
      <c r="Y26" s="41">
        <f>IFERROR(IF(W26&lt;1,X26/(1-W26),""),"")</f>
        <v/>
      </c>
      <c r="Z26" s="43">
        <f>'01_CONFIG_GLOBAL'!$C$14</f>
        <v/>
      </c>
      <c r="AA26" s="41">
        <f>IFERROR(Y26*Z26,"")</f>
        <v/>
      </c>
      <c r="AB26" s="41">
        <f>IFERROR(IF(Z26&lt;1,Y26/(1-Z26),""),"")</f>
        <v/>
      </c>
      <c r="AC26" s="41" t="n"/>
      <c r="AD26" s="36" t="n"/>
      <c r="AE26" s="23" t="n"/>
      <c r="AF26" s="36" t="n"/>
      <c r="AG26" s="23" t="n"/>
      <c r="AH26" s="36" t="n"/>
      <c r="AI26" s="41">
        <f>IFERROR(AVERAGE(AD26,AF26,AH26),"")</f>
        <v/>
      </c>
      <c r="AJ26" s="29">
        <f>IFERROR(IF(AI26="","sem dados",IF(AB26&lt;AI26*0.95,"abaixo",IF(AB26&gt;AI26*1.05,"acima","em linha"))),"")</f>
        <v/>
      </c>
      <c r="AK26" s="23" t="inlineStr">
        <is>
          <t>sim</t>
        </is>
      </c>
      <c r="AL26" s="23" t="n"/>
      <c r="AM26" s="23" t="n"/>
      <c r="AN26" s="23" t="inlineStr">
        <is>
          <t>Fotos: assets/livenza_5.0220.0547202-CT_REV._0_p1.png</t>
        </is>
      </c>
      <c r="AO26" s="44">
        <f>A26</f>
        <v/>
      </c>
      <c r="AP26" s="44">
        <f>D26</f>
        <v/>
      </c>
      <c r="AQ26" s="28" t="inlineStr">
        <is>
          <t>0021_547202_Livenza_5_0220_0547202-CT_0_att85_p1_foto_3d_ecommerce.png | 0021_547202_Livenza_5_0220_0547202-CT_0_att85_p1_desenho_tec.png</t>
        </is>
      </c>
    </row>
    <row r="27" hidden="1" ht="15.75" customHeight="1" s="93">
      <c r="A27" s="23" t="inlineStr">
        <is>
          <t>5.0220.0547791.0</t>
        </is>
      </c>
      <c r="B27" s="23" t="inlineStr">
        <is>
          <t>547791</t>
        </is>
      </c>
      <c r="C27" s="29">
        <f>IFERROR(LOWER(SUBSTITUTE(SUBSTITUTE(SUBSTITUTE(SUBSTITUTE(D27," ","-"),"/","-"),".",""),",","")),"")</f>
        <v/>
      </c>
      <c r="D27" s="23" t="inlineStr">
        <is>
          <t>BOMBA HIDRÁULICA - APLICAÇÃO 11 E5.P.A42/14 A42.L (CPO DELANTERO - TRASERO INVERTIDO)</t>
        </is>
      </c>
      <c r="E27" s="23" t="inlineStr">
        <is>
          <t>Bombas Hidráulicas</t>
        </is>
      </c>
      <c r="F27" s="23" t="inlineStr">
        <is>
          <t>SOHIPREN</t>
        </is>
      </c>
      <c r="G27" s="23" t="n"/>
      <c r="H27" s="23" t="inlineStr">
        <is>
          <t>draft</t>
        </is>
      </c>
      <c r="I27" s="23" t="inlineStr">
        <is>
          <t>AGCO - VALTRA</t>
        </is>
      </c>
      <c r="J27" s="23" t="inlineStr">
        <is>
          <t>TARTOR</t>
        </is>
      </c>
      <c r="K27" s="23" t="inlineStr">
        <is>
          <t>PRINCIPAL E DIREÇÃO</t>
        </is>
      </c>
      <c r="L27" s="23" t="inlineStr">
        <is>
          <t>83431900-9510080542-2122011002</t>
        </is>
      </c>
      <c r="M27" s="31" t="n"/>
      <c r="N27" s="31" t="n"/>
      <c r="O27" s="31" t="n"/>
      <c r="P27" s="31" t="n"/>
      <c r="Q27" s="31" t="n"/>
      <c r="R27" s="34">
        <f>IFERROR(IF(AND(O27&gt;0,P27&gt;0,Q27&gt;0),(O27*P27*Q27)/6000,""),"")</f>
        <v/>
      </c>
      <c r="S27" s="34">
        <f>IFERROR(IF(AND(N27&gt;0,R27&gt;0),MAX(N27,R27),IF(N27&gt;0,N27,IF(R27&gt;0,R27,""))),"")</f>
        <v/>
      </c>
      <c r="T27" s="36" t="n"/>
      <c r="U27" s="38" t="inlineStr">
        <is>
          <t>FALTA</t>
        </is>
      </c>
      <c r="V27" s="36" t="n">
        <v>1034</v>
      </c>
      <c r="W27" s="39" t="n">
        <v>0.3</v>
      </c>
      <c r="X27" s="41">
        <f>IFERROR(V27+T27,"")</f>
        <v/>
      </c>
      <c r="Y27" s="41">
        <f>IFERROR(IF(W27&lt;1,X27/(1-W27),""),"")</f>
        <v/>
      </c>
      <c r="Z27" s="43">
        <f>'01_CONFIG_GLOBAL'!$C$14</f>
        <v/>
      </c>
      <c r="AA27" s="41">
        <f>IFERROR(Y27*Z27,"")</f>
        <v/>
      </c>
      <c r="AB27" s="41">
        <f>IFERROR(IF(Z27&lt;1,Y27/(1-Z27),""),"")</f>
        <v/>
      </c>
      <c r="AC27" s="23" t="n"/>
      <c r="AD27" s="36" t="n"/>
      <c r="AE27" s="23" t="n"/>
      <c r="AF27" s="36" t="n"/>
      <c r="AG27" s="23" t="n"/>
      <c r="AH27" s="36" t="n"/>
      <c r="AI27" s="41">
        <f>IFERROR(AVERAGE(AD27,AF27,AH27),"")</f>
        <v/>
      </c>
      <c r="AJ27" s="29">
        <f>IFERROR(IF(AI27="","sem dados",IF(AB27&lt;AI27*0.95,"abaixo",IF(AB27&gt;AI27*1.05,"acima","em linha"))),"")</f>
        <v/>
      </c>
      <c r="AK27" s="23" t="inlineStr">
        <is>
          <t>não</t>
        </is>
      </c>
      <c r="AL27" s="23" t="n"/>
      <c r="AM27" s="23" t="n"/>
      <c r="AN27" s="23" t="n"/>
      <c r="AO27" s="44">
        <f>A27</f>
        <v/>
      </c>
      <c r="AP27" s="44">
        <f>D27</f>
        <v/>
      </c>
    </row>
    <row r="28" hidden="1" ht="15.75" customHeight="1" s="93">
      <c r="A28" s="23" t="inlineStr">
        <is>
          <t>5.0401.0575023.0</t>
        </is>
      </c>
      <c r="B28" s="23" t="inlineStr">
        <is>
          <t>575023</t>
        </is>
      </c>
      <c r="C28" s="29">
        <f>IFERROR(LOWER(SUBSTITUTE(SUBSTITUTE(SUBSTITUTE(SUBSTITUTE(D28," ","-"),"/","-"),".",""),",","")),"")</f>
        <v/>
      </c>
      <c r="D28" s="23" t="inlineStr">
        <is>
          <t>BND 22 E4.C3.F2.L</t>
        </is>
      </c>
      <c r="E28" s="23" t="n"/>
      <c r="F28" s="23" t="inlineStr">
        <is>
          <t>SOHIPREN</t>
        </is>
      </c>
      <c r="G28" s="23" t="n"/>
      <c r="H28" s="23" t="inlineStr">
        <is>
          <t>draft</t>
        </is>
      </c>
      <c r="I28" s="23" t="inlineStr">
        <is>
          <t>AGRALE</t>
        </is>
      </c>
      <c r="J28" s="23" t="inlineStr">
        <is>
          <t>TRATOR</t>
        </is>
      </c>
      <c r="K28" s="23" t="inlineStr">
        <is>
          <t>PRINCIPAL</t>
        </is>
      </c>
      <c r="L28" s="23" t="inlineStr">
        <is>
          <t>R979018701/R979018705</t>
        </is>
      </c>
      <c r="M28" s="31" t="n"/>
      <c r="N28" s="31" t="n"/>
      <c r="O28" s="31" t="n"/>
      <c r="P28" s="31" t="n"/>
      <c r="Q28" s="31" t="n"/>
      <c r="R28" s="34">
        <f>IFERROR(IF(AND(O28&gt;0,P28&gt;0,Q28&gt;0),(O28*P28*Q28)/6000,""),"")</f>
        <v/>
      </c>
      <c r="S28" s="34">
        <f>IFERROR(IF(AND(N28&gt;0,R28&gt;0),MAX(N28,R28),IF(N28&gt;0,N28,IF(R28&gt;0,R28,""))),"")</f>
        <v/>
      </c>
      <c r="T28" s="36" t="n"/>
      <c r="U28" s="38" t="inlineStr">
        <is>
          <t>FALTA</t>
        </is>
      </c>
      <c r="V28" s="36" t="n">
        <v>665</v>
      </c>
      <c r="W28" s="39" t="n">
        <v>0.3</v>
      </c>
      <c r="X28" s="41">
        <f>IFERROR(V28+T28,"")</f>
        <v/>
      </c>
      <c r="Y28" s="41">
        <f>IFERROR(IF(W28&lt;1,X28/(1-W28),""),"")</f>
        <v/>
      </c>
      <c r="Z28" s="43">
        <f>'01_CONFIG_GLOBAL'!$C$14</f>
        <v/>
      </c>
      <c r="AA28" s="41">
        <f>IFERROR(Y28*Z28,"")</f>
        <v/>
      </c>
      <c r="AB28" s="41">
        <f>IFERROR(IF(Z28&lt;1,Y28/(1-Z28),""),"")</f>
        <v/>
      </c>
      <c r="AC28" s="23" t="n"/>
      <c r="AD28" s="36" t="n"/>
      <c r="AE28" s="23" t="n"/>
      <c r="AF28" s="36" t="n"/>
      <c r="AG28" s="23" t="n"/>
      <c r="AH28" s="36" t="n"/>
      <c r="AI28" s="41">
        <f>IFERROR(AVERAGE(AD28,AF28,AH28),"")</f>
        <v/>
      </c>
      <c r="AJ28" s="29">
        <f>IFERROR(IF(AI28="","sem dados",IF(AB28&lt;AI28*0.95,"abaixo",IF(AB28&gt;AI28*1.05,"acima","em linha"))),"")</f>
        <v/>
      </c>
      <c r="AK28" s="23" t="inlineStr">
        <is>
          <t>não</t>
        </is>
      </c>
      <c r="AL28" s="23" t="n"/>
      <c r="AM28" s="23" t="n"/>
      <c r="AN28" s="23" t="n"/>
      <c r="AO28" s="44">
        <f>A28</f>
        <v/>
      </c>
      <c r="AP28" s="44">
        <f>D28</f>
        <v/>
      </c>
    </row>
    <row r="29" hidden="1" ht="15.75" customHeight="1" s="93">
      <c r="A29" s="23" t="inlineStr">
        <is>
          <t>5.0208.L025260.0</t>
        </is>
      </c>
      <c r="B29" s="23" t="inlineStr">
        <is>
          <t>L02526</t>
        </is>
      </c>
      <c r="C29" s="29">
        <f>IFERROR(LOWER(SUBSTITUTE(SUBSTITUTE(SUBSTITUTE(SUBSTITUTE(D29," ","-"),"/","-"),".",""),",","")),"")</f>
        <v/>
      </c>
      <c r="D29" s="23" t="inlineStr">
        <is>
          <t>BOD 19 E.C.C3.L</t>
        </is>
      </c>
      <c r="E29" s="23" t="inlineStr">
        <is>
          <t>Bombas Hidráulicas</t>
        </is>
      </c>
      <c r="F29" s="23" t="inlineStr">
        <is>
          <t>SOHIPREN</t>
        </is>
      </c>
      <c r="G29" s="23" t="n"/>
      <c r="H29" s="23" t="inlineStr">
        <is>
          <t>draft</t>
        </is>
      </c>
      <c r="I29" s="23" t="inlineStr">
        <is>
          <t>AGRALE</t>
        </is>
      </c>
      <c r="J29" s="23" t="inlineStr">
        <is>
          <t>TRATOR</t>
        </is>
      </c>
      <c r="K29" s="23" t="inlineStr">
        <is>
          <t>PRINCIPAL E DIREÇÃO</t>
        </is>
      </c>
      <c r="L29" s="23" t="inlineStr">
        <is>
          <t>8013108327003-8009108575005-F000510708</t>
        </is>
      </c>
      <c r="M29" s="31" t="n"/>
      <c r="N29" s="31" t="n"/>
      <c r="O29" s="31" t="n"/>
      <c r="P29" s="31" t="n"/>
      <c r="Q29" s="31" t="n"/>
      <c r="R29" s="34">
        <f>IFERROR(IF(AND(O29&gt;0,P29&gt;0,Q29&gt;0),(O29*P29*Q29)/6000,""),"")</f>
        <v/>
      </c>
      <c r="S29" s="34">
        <f>IFERROR(IF(AND(N29&gt;0,R29&gt;0),MAX(N29,R29),IF(N29&gt;0,N29,IF(R29&gt;0,R29,""))),"")</f>
        <v/>
      </c>
      <c r="T29" s="36" t="n"/>
      <c r="U29" s="38" t="inlineStr">
        <is>
          <t>FALTA</t>
        </is>
      </c>
      <c r="V29" s="36" t="n">
        <v>626</v>
      </c>
      <c r="W29" s="39" t="n">
        <v>0.3</v>
      </c>
      <c r="X29" s="41">
        <f>IFERROR(V29+T29,"")</f>
        <v/>
      </c>
      <c r="Y29" s="41">
        <f>IFERROR(IF(W29&lt;1,X29/(1-W29),""),"")</f>
        <v/>
      </c>
      <c r="Z29" s="43">
        <f>'01_CONFIG_GLOBAL'!$C$14</f>
        <v/>
      </c>
      <c r="AA29" s="41">
        <f>IFERROR(Y29*Z29,"")</f>
        <v/>
      </c>
      <c r="AB29" s="41">
        <f>IFERROR(IF(Z29&lt;1,Y29/(1-Z29),""),"")</f>
        <v/>
      </c>
      <c r="AC29" s="23" t="n"/>
      <c r="AD29" s="36" t="n"/>
      <c r="AE29" s="23" t="n"/>
      <c r="AF29" s="36" t="n"/>
      <c r="AG29" s="23" t="n"/>
      <c r="AH29" s="36" t="n"/>
      <c r="AI29" s="41">
        <f>IFERROR(AVERAGE(AD29,AF29,AH29),"")</f>
        <v/>
      </c>
      <c r="AJ29" s="29">
        <f>IFERROR(IF(AI29="","sem dados",IF(AB29&lt;AI29*0.95,"abaixo",IF(AB29&gt;AI29*1.05,"acima","em linha"))),"")</f>
        <v/>
      </c>
      <c r="AK29" s="23" t="inlineStr">
        <is>
          <t>não</t>
        </is>
      </c>
      <c r="AL29" s="23" t="n"/>
      <c r="AM29" s="23" t="n"/>
      <c r="AN29" s="23" t="n"/>
      <c r="AO29" s="44">
        <f>A29</f>
        <v/>
      </c>
      <c r="AP29" s="44">
        <f>D29</f>
        <v/>
      </c>
    </row>
    <row r="30" hidden="1" ht="15.75" customHeight="1" s="93">
      <c r="A30" s="23" t="inlineStr">
        <is>
          <t>5.0220.L025261.0</t>
        </is>
      </c>
      <c r="B30" s="23" t="inlineStr">
        <is>
          <t>L025261</t>
        </is>
      </c>
      <c r="C30" s="29">
        <f>IFERROR(LOWER(SUBSTITUTE(SUBSTITUTE(SUBSTITUTE(SUBSTITUTE(D30," ","-"),"/","-"),".",""),",","")),"")</f>
        <v/>
      </c>
      <c r="D30" s="23" t="inlineStr">
        <is>
          <t>BOMBA HIDRÁULICA - APLICAÇÃO 22,5 B1.P6.A/16.A42.L</t>
        </is>
      </c>
      <c r="E30" s="23" t="inlineStr">
        <is>
          <t>Bombas Hidráulicas</t>
        </is>
      </c>
      <c r="F30" s="23" t="inlineStr">
        <is>
          <t>SOHIPREN</t>
        </is>
      </c>
      <c r="G30" s="23" t="n"/>
      <c r="H30" s="23" t="inlineStr">
        <is>
          <t>draft</t>
        </is>
      </c>
      <c r="I30" s="23" t="inlineStr">
        <is>
          <t>AGRALE</t>
        </is>
      </c>
      <c r="J30" s="23" t="inlineStr">
        <is>
          <t>TRATOR</t>
        </is>
      </c>
      <c r="K30" s="23" t="inlineStr">
        <is>
          <t>PRINCIPAL E DIREÇÃO</t>
        </is>
      </c>
      <c r="L30" s="23" t="inlineStr">
        <is>
          <t>F000510708-8013108327003-8009108575005</t>
        </is>
      </c>
      <c r="M30" s="31" t="n"/>
      <c r="N30" s="31" t="n"/>
      <c r="O30" s="31" t="n"/>
      <c r="P30" s="31" t="n"/>
      <c r="Q30" s="31" t="n"/>
      <c r="R30" s="34">
        <f>IFERROR(IF(AND(O30&gt;0,P30&gt;0,Q30&gt;0),(O30*P30*Q30)/6000,""),"")</f>
        <v/>
      </c>
      <c r="S30" s="34">
        <f>IFERROR(IF(AND(N30&gt;0,R30&gt;0),MAX(N30,R30),IF(N30&gt;0,N30,IF(R30&gt;0,R30,""))),"")</f>
        <v/>
      </c>
      <c r="T30" s="36" t="n"/>
      <c r="U30" s="38" t="inlineStr">
        <is>
          <t>FALTA</t>
        </is>
      </c>
      <c r="V30" s="36" t="n">
        <v>1551.28</v>
      </c>
      <c r="W30" s="39" t="n">
        <v>0.3</v>
      </c>
      <c r="X30" s="41">
        <f>IFERROR(V30+T30,"")</f>
        <v/>
      </c>
      <c r="Y30" s="41">
        <f>IFERROR(IF(W30&lt;1,X30/(1-W30),""),"")</f>
        <v/>
      </c>
      <c r="Z30" s="43">
        <f>'01_CONFIG_GLOBAL'!$C$14</f>
        <v/>
      </c>
      <c r="AA30" s="41">
        <f>IFERROR(Y30*Z30,"")</f>
        <v/>
      </c>
      <c r="AB30" s="41">
        <f>IFERROR(IF(Z30&lt;1,Y30/(1-Z30),""),"")</f>
        <v/>
      </c>
      <c r="AC30" s="23" t="n"/>
      <c r="AD30" s="36" t="n"/>
      <c r="AE30" s="23" t="n"/>
      <c r="AF30" s="36" t="n"/>
      <c r="AG30" s="23" t="n"/>
      <c r="AH30" s="36" t="n"/>
      <c r="AI30" s="41">
        <f>IFERROR(AVERAGE(AD30,AF30,AH30),"")</f>
        <v/>
      </c>
      <c r="AJ30" s="29">
        <f>IFERROR(IF(AI30="","sem dados",IF(AB30&lt;AI30*0.95,"abaixo",IF(AB30&gt;AI30*1.05,"acima","em linha"))),"")</f>
        <v/>
      </c>
      <c r="AK30" s="23" t="inlineStr">
        <is>
          <t>não</t>
        </is>
      </c>
      <c r="AL30" s="23" t="n"/>
      <c r="AM30" s="23" t="n"/>
      <c r="AN30" s="23" t="n"/>
      <c r="AO30" s="44">
        <f>A30</f>
        <v/>
      </c>
      <c r="AP30" s="44">
        <f>D30</f>
        <v/>
      </c>
    </row>
    <row r="31" hidden="1" ht="15.75" customHeight="1" s="93">
      <c r="A31" s="23" t="inlineStr">
        <is>
          <t>5.1621.0620001.0</t>
        </is>
      </c>
      <c r="B31" s="23" t="n"/>
      <c r="C31" s="29">
        <f>IFERROR(LOWER(SUBSTITUTE(SUBSTITUTE(SUBSTITUTE(SUBSTITUTE(D31," ","-"),"/","-"),".",""),",","")),"")</f>
        <v/>
      </c>
      <c r="D31" s="23" t="inlineStr">
        <is>
          <t>BPB2-100-Y4</t>
        </is>
      </c>
      <c r="E31" s="23" t="n"/>
      <c r="F31" s="23" t="inlineStr">
        <is>
          <t>SOHIPREN</t>
        </is>
      </c>
      <c r="G31" s="23" t="n"/>
      <c r="H31" s="23" t="inlineStr">
        <is>
          <t>draft</t>
        </is>
      </c>
      <c r="I31" s="23" t="inlineStr">
        <is>
          <t>AGRALE TRATORES</t>
        </is>
      </c>
      <c r="J31" s="23" t="inlineStr">
        <is>
          <t>TRATOR</t>
        </is>
      </c>
      <c r="K31" s="23" t="inlineStr">
        <is>
          <t>HIDROSTÁTICA</t>
        </is>
      </c>
      <c r="L31" s="23" t="inlineStr">
        <is>
          <t>8009.1030.2000.7</t>
        </is>
      </c>
      <c r="M31" s="31" t="n"/>
      <c r="N31" s="31" t="n"/>
      <c r="O31" s="31" t="n"/>
      <c r="P31" s="31" t="n"/>
      <c r="Q31" s="31" t="n"/>
      <c r="R31" s="34">
        <f>IFERROR(IF(AND(O31&gt;0,P31&gt;0,Q31&gt;0),(O31*P31*Q31)/6000,""),"")</f>
        <v/>
      </c>
      <c r="S31" s="34">
        <f>IFERROR(IF(AND(N31&gt;0,R31&gt;0),MAX(N31,R31),IF(N31&gt;0,N31,IF(R31&gt;0,R31,""))),"")</f>
        <v/>
      </c>
      <c r="T31" s="36" t="n"/>
      <c r="U31" s="38" t="inlineStr">
        <is>
          <t>FALTA</t>
        </is>
      </c>
      <c r="V31" s="36" t="n">
        <v>826.55</v>
      </c>
      <c r="W31" s="39" t="n">
        <v>0.3</v>
      </c>
      <c r="X31" s="41">
        <f>IFERROR(V31+T31,"")</f>
        <v/>
      </c>
      <c r="Y31" s="41">
        <f>IFERROR(IF(W31&lt;1,X31/(1-W31),""),"")</f>
        <v/>
      </c>
      <c r="Z31" s="43">
        <f>'01_CONFIG_GLOBAL'!$C$14</f>
        <v/>
      </c>
      <c r="AA31" s="41">
        <f>IFERROR(Y31*Z31,"")</f>
        <v/>
      </c>
      <c r="AB31" s="41">
        <f>IFERROR(IF(Z31&lt;1,Y31/(1-Z31),""),"")</f>
        <v/>
      </c>
      <c r="AC31" s="23" t="n"/>
      <c r="AD31" s="36" t="n"/>
      <c r="AE31" s="23" t="n"/>
      <c r="AF31" s="36" t="n"/>
      <c r="AG31" s="23" t="n"/>
      <c r="AH31" s="36" t="n"/>
      <c r="AI31" s="41">
        <f>IFERROR(AVERAGE(AD31,AF31,AH31),"")</f>
        <v/>
      </c>
      <c r="AJ31" s="29">
        <f>IFERROR(IF(AI31="","sem dados",IF(AB31&lt;AI31*0.95,"abaixo",IF(AB31&gt;AI31*1.05,"acima","em linha"))),"")</f>
        <v/>
      </c>
      <c r="AK31" s="23" t="inlineStr">
        <is>
          <t>não</t>
        </is>
      </c>
      <c r="AL31" s="23" t="n"/>
      <c r="AM31" s="23" t="n"/>
      <c r="AN31" s="23" t="n"/>
      <c r="AO31" s="44">
        <f>A31</f>
        <v/>
      </c>
      <c r="AP31" s="44">
        <f>D31</f>
        <v/>
      </c>
    </row>
    <row r="32" hidden="1" ht="15.75" customHeight="1" s="93">
      <c r="A32" s="23" t="inlineStr">
        <is>
          <t>5.0220.0547229.0</t>
        </is>
      </c>
      <c r="B32" s="23" t="inlineStr">
        <is>
          <t>547229</t>
        </is>
      </c>
      <c r="C32" s="29">
        <f>IFERROR(LOWER(SUBSTITUTE(SUBSTITUTE(SUBSTITUTE(SUBSTITUTE(D32," ","-"),"/","-"),".",""),",","")),"")</f>
        <v/>
      </c>
      <c r="D32" s="23" t="inlineStr">
        <is>
          <t>BOMBA HIDRÁULICA - APLICAÇÃO 19 B9.B4.A11/16 A7.D7  18-90 BAR</t>
        </is>
      </c>
      <c r="E32" s="23" t="inlineStr">
        <is>
          <t>Bombas Hidráulicas</t>
        </is>
      </c>
      <c r="F32" s="23" t="inlineStr">
        <is>
          <t>SOHIPREN</t>
        </is>
      </c>
      <c r="G32" s="23" t="n"/>
      <c r="H32" s="23" t="inlineStr">
        <is>
          <t>draft</t>
        </is>
      </c>
      <c r="I32" s="23" t="inlineStr">
        <is>
          <t>AGRALE TRATORES</t>
        </is>
      </c>
      <c r="J32" s="23" t="inlineStr">
        <is>
          <t>TRATOR</t>
        </is>
      </c>
      <c r="K32" s="23" t="inlineStr">
        <is>
          <t>PRINCIPAL E DIREÇÃO</t>
        </is>
      </c>
      <c r="L32" s="23" t="n"/>
      <c r="M32" s="31" t="n"/>
      <c r="N32" s="31" t="n"/>
      <c r="O32" s="31" t="n"/>
      <c r="P32" s="31" t="n"/>
      <c r="Q32" s="31" t="n"/>
      <c r="R32" s="34">
        <f>IFERROR(IF(AND(O32&gt;0,P32&gt;0,Q32&gt;0),(O32*P32*Q32)/6000,""),"")</f>
        <v/>
      </c>
      <c r="S32" s="34">
        <f>IFERROR(IF(AND(N32&gt;0,R32&gt;0),MAX(N32,R32),IF(N32&gt;0,N32,IF(R32&gt;0,R32,""))),"")</f>
        <v/>
      </c>
      <c r="T32" s="36" t="n"/>
      <c r="U32" s="38" t="inlineStr">
        <is>
          <t>FALTA</t>
        </is>
      </c>
      <c r="V32" s="36" t="n">
        <v>1615</v>
      </c>
      <c r="W32" s="39" t="n">
        <v>0.3</v>
      </c>
      <c r="X32" s="41">
        <f>IFERROR(V32+T32,"")</f>
        <v/>
      </c>
      <c r="Y32" s="41">
        <f>IFERROR(IF(W32&lt;1,X32/(1-W32),""),"")</f>
        <v/>
      </c>
      <c r="Z32" s="43">
        <f>'01_CONFIG_GLOBAL'!$C$14</f>
        <v/>
      </c>
      <c r="AA32" s="41">
        <f>IFERROR(Y32*Z32,"")</f>
        <v/>
      </c>
      <c r="AB32" s="41">
        <f>IFERROR(IF(Z32&lt;1,Y32/(1-Z32),""),"")</f>
        <v/>
      </c>
      <c r="AC32" s="23" t="n"/>
      <c r="AD32" s="36" t="n"/>
      <c r="AE32" s="23" t="n"/>
      <c r="AF32" s="36" t="n"/>
      <c r="AG32" s="23" t="n"/>
      <c r="AH32" s="36" t="n"/>
      <c r="AI32" s="41">
        <f>IFERROR(AVERAGE(AD32,AF32,AH32),"")</f>
        <v/>
      </c>
      <c r="AJ32" s="29">
        <f>IFERROR(IF(AI32="","sem dados",IF(AB32&lt;AI32*0.95,"abaixo",IF(AB32&gt;AI32*1.05,"acima","em linha"))),"")</f>
        <v/>
      </c>
      <c r="AK32" s="23" t="inlineStr">
        <is>
          <t>não</t>
        </is>
      </c>
      <c r="AL32" s="23" t="n"/>
      <c r="AM32" s="23" t="n"/>
      <c r="AN32" s="23" t="n"/>
      <c r="AO32" s="44">
        <f>A32</f>
        <v/>
      </c>
      <c r="AP32" s="44">
        <f>D32</f>
        <v/>
      </c>
    </row>
    <row r="33" hidden="1" ht="15.75" customHeight="1" s="93">
      <c r="A33" s="23" t="inlineStr">
        <is>
          <t>5.0205.0542404.0</t>
        </is>
      </c>
      <c r="B33" s="23" t="inlineStr">
        <is>
          <t>542404</t>
        </is>
      </c>
      <c r="C33" s="29">
        <f>IFERROR(LOWER(SUBSTITUTE(SUBSTITUTE(SUBSTITUTE(SUBSTITUTE(D33," ","-"),"/","-"),".",""),",","")),"")</f>
        <v/>
      </c>
      <c r="D33" s="23" t="inlineStr">
        <is>
          <t>BOD 8 B1.B10.A.L</t>
        </is>
      </c>
      <c r="E33" s="23" t="inlineStr">
        <is>
          <t>Bombas Hidráulicas</t>
        </is>
      </c>
      <c r="F33" s="23" t="inlineStr">
        <is>
          <t>SOHIPREN</t>
        </is>
      </c>
      <c r="G33" s="23" t="n"/>
      <c r="H33" s="23" t="inlineStr">
        <is>
          <t>draft</t>
        </is>
      </c>
      <c r="I33" s="23" t="inlineStr">
        <is>
          <t>AGRALE TRATORES</t>
        </is>
      </c>
      <c r="J33" s="23" t="inlineStr">
        <is>
          <t>TRATOR</t>
        </is>
      </c>
      <c r="K33" s="23" t="inlineStr">
        <is>
          <t>PRINCIPAL</t>
        </is>
      </c>
      <c r="L33" s="23" t="inlineStr">
        <is>
          <t>8008108132007-9510080401-11101008012-90605002</t>
        </is>
      </c>
      <c r="M33" s="31" t="n"/>
      <c r="N33" s="31" t="n"/>
      <c r="O33" s="31" t="n"/>
      <c r="P33" s="31" t="n"/>
      <c r="Q33" s="31" t="n"/>
      <c r="R33" s="34">
        <f>IFERROR(IF(AND(O33&gt;0,P33&gt;0,Q33&gt;0),(O33*P33*Q33)/6000,""),"")</f>
        <v/>
      </c>
      <c r="S33" s="34">
        <f>IFERROR(IF(AND(N33&gt;0,R33&gt;0),MAX(N33,R33),IF(N33&gt;0,N33,IF(R33&gt;0,R33,""))),"")</f>
        <v/>
      </c>
      <c r="T33" s="36" t="n"/>
      <c r="U33" s="38" t="inlineStr">
        <is>
          <t>FALTA</t>
        </is>
      </c>
      <c r="V33" s="36" t="n">
        <v>778</v>
      </c>
      <c r="W33" s="39" t="n">
        <v>0.3</v>
      </c>
      <c r="X33" s="41">
        <f>IFERROR(V33+T33,"")</f>
        <v/>
      </c>
      <c r="Y33" s="41">
        <f>IFERROR(IF(W33&lt;1,X33/(1-W33),""),"")</f>
        <v/>
      </c>
      <c r="Z33" s="43">
        <f>'01_CONFIG_GLOBAL'!$C$14</f>
        <v/>
      </c>
      <c r="AA33" s="41">
        <f>IFERROR(Y33*Z33,"")</f>
        <v/>
      </c>
      <c r="AB33" s="41">
        <f>IFERROR(IF(Z33&lt;1,Y33/(1-Z33),""),"")</f>
        <v/>
      </c>
      <c r="AC33" s="23" t="n"/>
      <c r="AD33" s="36" t="n"/>
      <c r="AE33" s="23" t="n"/>
      <c r="AF33" s="36" t="n"/>
      <c r="AG33" s="23" t="n"/>
      <c r="AH33" s="36" t="n"/>
      <c r="AI33" s="41">
        <f>IFERROR(AVERAGE(AD33,AF33,AH33),"")</f>
        <v/>
      </c>
      <c r="AJ33" s="29">
        <f>IFERROR(IF(AI33="","sem dados",IF(AB33&lt;AI33*0.95,"abaixo",IF(AB33&gt;AI33*1.05,"acima","em linha"))),"")</f>
        <v/>
      </c>
      <c r="AK33" s="23" t="inlineStr">
        <is>
          <t>não</t>
        </is>
      </c>
      <c r="AL33" s="23" t="n"/>
      <c r="AM33" s="23" t="n"/>
      <c r="AN33" s="23" t="n"/>
      <c r="AO33" s="44">
        <f>A33</f>
        <v/>
      </c>
      <c r="AP33" s="44">
        <f>D33</f>
        <v/>
      </c>
    </row>
    <row r="34" ht="15.75" customHeight="1" s="93">
      <c r="A34" s="23" t="inlineStr">
        <is>
          <t>5.0220.0547205.0</t>
        </is>
      </c>
      <c r="B34" s="23" t="inlineStr">
        <is>
          <t>547205</t>
        </is>
      </c>
      <c r="C34" s="29">
        <f>IFERROR(LOWER(SUBSTITUTE(SUBSTITUTE(SUBSTITUTE(SUBSTITUTE(D34," ","-"),"/","-"),".",""),",","")),"")</f>
        <v/>
      </c>
      <c r="D34" s="50" t="inlineStr">
        <is>
          <t>Bomba Hidráulica Principal Valtra-Valmet 880/980/1780</t>
        </is>
      </c>
      <c r="E34" s="50" t="inlineStr">
        <is>
          <t>Bombas Hidráulicas</t>
        </is>
      </c>
      <c r="F34" s="23" t="inlineStr">
        <is>
          <t>SOHIPREN</t>
        </is>
      </c>
      <c r="G34" s="23" t="n"/>
      <c r="H34" s="23" t="inlineStr">
        <is>
          <t>active</t>
        </is>
      </c>
      <c r="I34" s="23" t="inlineStr">
        <is>
          <t>AGRALE TRATORES - VALTRA</t>
        </is>
      </c>
      <c r="J34" s="23" t="inlineStr">
        <is>
          <t>TRATOR</t>
        </is>
      </c>
      <c r="K34" s="23" t="inlineStr">
        <is>
          <t>PRINCIPAL</t>
        </is>
      </c>
      <c r="L34" s="23" t="inlineStr">
        <is>
          <t>8.008.1080.100.03/801661-10/9510080741/11112022005</t>
        </is>
      </c>
      <c r="M34" s="31" t="n"/>
      <c r="N34" s="31" t="n">
        <v>7.2</v>
      </c>
      <c r="O34" s="31" t="n">
        <v>30</v>
      </c>
      <c r="P34" s="31" t="n">
        <v>12.5</v>
      </c>
      <c r="Q34" s="31" t="n">
        <v>12.5</v>
      </c>
      <c r="R34" s="34">
        <f>IFERROR(IF(AND(O34&gt;0,P34&gt;0,Q34&gt;0),(O34*P34*Q34)/6000,""),"")</f>
        <v/>
      </c>
      <c r="S34" s="34">
        <f>IFERROR(IF(AND(N34&gt;0,R34&gt;0),MAX(N34,R34),IF(N34&gt;0,N34,IF(R34&gt;0,R34,""))),"")</f>
        <v/>
      </c>
      <c r="T34" s="36" t="n">
        <v>100</v>
      </c>
      <c r="U34" s="23" t="inlineStr">
        <is>
          <t>fornecedor</t>
        </is>
      </c>
      <c r="V34" s="36" t="n">
        <v>1043.8</v>
      </c>
      <c r="W34" s="39" t="n">
        <v>0.2</v>
      </c>
      <c r="X34" s="41">
        <f>IFERROR(V34+T34,"")</f>
        <v/>
      </c>
      <c r="Y34" s="41">
        <f>IFERROR(IF(W34&lt;1,X34/(1-W34),""),"")</f>
        <v/>
      </c>
      <c r="Z34" s="43">
        <f>'01_CONFIG_GLOBAL'!$C$14</f>
        <v/>
      </c>
      <c r="AA34" s="41">
        <f>IFERROR(Y34*Z34,"")</f>
        <v/>
      </c>
      <c r="AB34" s="41">
        <f>IFERROR(IF(Z34&lt;1,Y34/(1-Z34),""),"")</f>
        <v/>
      </c>
      <c r="AC34" s="23" t="n"/>
      <c r="AD34" s="36" t="n"/>
      <c r="AE34" s="23" t="n"/>
      <c r="AF34" s="36" t="n"/>
      <c r="AG34" s="23" t="n"/>
      <c r="AH34" s="36" t="n"/>
      <c r="AI34" s="41">
        <f>IFERROR(AVERAGE(AD34,AF34,AH34),"")</f>
        <v/>
      </c>
      <c r="AJ34" s="29">
        <f>IFERROR(IF(AI34="","sem dados",IF(AB34&lt;AI34*0.95,"abaixo",IF(AB34&gt;AI34*1.05,"acima","em linha"))),"")</f>
        <v/>
      </c>
      <c r="AK34" s="23" t="inlineStr">
        <is>
          <t>sim</t>
        </is>
      </c>
      <c r="AL34" s="23" t="n"/>
      <c r="AM34" s="23" t="n"/>
      <c r="AN34" s="23" t="inlineStr">
        <is>
          <t>Fotos: assets/livenza_5.0220.0547205-CT_REV._0_p1.png</t>
        </is>
      </c>
      <c r="AO34" s="44">
        <f>A34</f>
        <v/>
      </c>
      <c r="AP34" s="44">
        <f>D34</f>
        <v/>
      </c>
      <c r="AQ34" s="28" t="inlineStr">
        <is>
          <t>0029_547205_Livenza_5_0220_0547205-CT_0_att86_p1_foto_3d_ecommerce.png | 0029_547205_Livenza_5_0220_0547205-CT_0_att86_p1_desenho_tec.png | livenza_5.0220.0547205-CT_REV._0_p1.png</t>
        </is>
      </c>
    </row>
    <row r="35" hidden="1" ht="15.75" customHeight="1" s="93">
      <c r="A35" s="23" t="inlineStr">
        <is>
          <t>5.0202.0540014.0</t>
        </is>
      </c>
      <c r="B35" s="23" t="inlineStr">
        <is>
          <t>540014</t>
        </is>
      </c>
      <c r="C35" s="29">
        <f>IFERROR(LOWER(SUBSTITUTE(SUBSTITUTE(SUBSTITUTE(SUBSTITUTE(D35," ","-"),"/","-"),".",""),",","")),"")</f>
        <v/>
      </c>
      <c r="D35" s="23" t="inlineStr">
        <is>
          <t>BOMBA HIDRÁULICA - APLICAÇÃO 4 A.B9.A.L (CRUCETA)</t>
        </is>
      </c>
      <c r="E35" s="23" t="inlineStr">
        <is>
          <t>Bombas Hidráulicas</t>
        </is>
      </c>
      <c r="F35" s="23" t="inlineStr">
        <is>
          <t>SOHIPREN</t>
        </is>
      </c>
      <c r="G35" s="23" t="n"/>
      <c r="H35" s="23" t="inlineStr">
        <is>
          <t>draft</t>
        </is>
      </c>
      <c r="I35" s="23" t="inlineStr">
        <is>
          <t>AMEISE</t>
        </is>
      </c>
      <c r="J35" s="23" t="inlineStr">
        <is>
          <t>EMPILHADEIRA ELETRICA</t>
        </is>
      </c>
      <c r="K35" s="23" t="inlineStr">
        <is>
          <t>PRINCIPAL</t>
        </is>
      </c>
      <c r="L35" s="23" t="inlineStr">
        <is>
          <t>750298</t>
        </is>
      </c>
      <c r="M35" s="31" t="n"/>
      <c r="N35" s="31" t="n"/>
      <c r="O35" s="31" t="n"/>
      <c r="P35" s="31" t="n"/>
      <c r="Q35" s="31" t="n"/>
      <c r="R35" s="34">
        <f>IFERROR(IF(AND(O35&gt;0,P35&gt;0,Q35&gt;0),(O35*P35*Q35)/6000,""),"")</f>
        <v/>
      </c>
      <c r="S35" s="34">
        <f>IFERROR(IF(AND(N35&gt;0,R35&gt;0),MAX(N35,R35),IF(N35&gt;0,N35,IF(R35&gt;0,R35,""))),"")</f>
        <v/>
      </c>
      <c r="T35" s="36" t="n"/>
      <c r="U35" s="38" t="inlineStr">
        <is>
          <t>FALTA</t>
        </is>
      </c>
      <c r="V35" s="36" t="n">
        <v>473</v>
      </c>
      <c r="W35" s="39" t="n">
        <v>0.3</v>
      </c>
      <c r="X35" s="41">
        <f>IFERROR(V35+T35,"")</f>
        <v/>
      </c>
      <c r="Y35" s="41">
        <f>IFERROR(IF(W35&lt;1,X35/(1-W35),""),"")</f>
        <v/>
      </c>
      <c r="Z35" s="43">
        <f>'01_CONFIG_GLOBAL'!$C$14</f>
        <v/>
      </c>
      <c r="AA35" s="41">
        <f>IFERROR(Y35*Z35,"")</f>
        <v/>
      </c>
      <c r="AB35" s="41">
        <f>IFERROR(IF(Z35&lt;1,Y35/(1-Z35),""),"")</f>
        <v/>
      </c>
      <c r="AC35" s="23" t="n"/>
      <c r="AD35" s="36" t="n"/>
      <c r="AE35" s="23" t="n"/>
      <c r="AF35" s="36" t="n"/>
      <c r="AG35" s="23" t="n"/>
      <c r="AH35" s="36" t="n"/>
      <c r="AI35" s="41">
        <f>IFERROR(AVERAGE(AD35,AF35,AH35),"")</f>
        <v/>
      </c>
      <c r="AJ35" s="29">
        <f>IFERROR(IF(AI35="","sem dados",IF(AB35&lt;AI35*0.95,"abaixo",IF(AB35&gt;AI35*1.05,"acima","em linha"))),"")</f>
        <v/>
      </c>
      <c r="AK35" s="23" t="inlineStr">
        <is>
          <t>não</t>
        </is>
      </c>
      <c r="AL35" s="23" t="n"/>
      <c r="AM35" s="23" t="n"/>
      <c r="AN35" s="23" t="n"/>
      <c r="AO35" s="44">
        <f>A35</f>
        <v/>
      </c>
      <c r="AP35" s="44">
        <f>D35</f>
        <v/>
      </c>
    </row>
    <row r="36" hidden="1" ht="15.75" customHeight="1" s="93">
      <c r="A36" s="23" t="inlineStr">
        <is>
          <t>5.0206.0543269.0</t>
        </is>
      </c>
      <c r="B36" s="23" t="inlineStr">
        <is>
          <t>543269</t>
        </is>
      </c>
      <c r="C36" s="29">
        <f>IFERROR(LOWER(SUBSTITUTE(SUBSTITUTE(SUBSTITUTE(SUBSTITUTE(D36," ","-"),"/","-"),".",""),",","")),"")</f>
        <v/>
      </c>
      <c r="D36" s="23" t="inlineStr">
        <is>
          <t>BOMBA HIDRÁULICA - APLICAÇÃO 11 A.B9.A4.L  (CRUCETA)</t>
        </is>
      </c>
      <c r="E36" s="23" t="inlineStr">
        <is>
          <t>Bombas Hidráulicas</t>
        </is>
      </c>
      <c r="F36" s="23" t="inlineStr">
        <is>
          <t>SOHIPREN</t>
        </is>
      </c>
      <c r="G36" s="23" t="n"/>
      <c r="H36" s="23" t="inlineStr">
        <is>
          <t>draft</t>
        </is>
      </c>
      <c r="I36" s="23" t="inlineStr">
        <is>
          <t>AMEISE</t>
        </is>
      </c>
      <c r="J36" s="23" t="inlineStr">
        <is>
          <t>EMPILHADEIRA ELETRICA</t>
        </is>
      </c>
      <c r="K36" s="23" t="inlineStr">
        <is>
          <t>PRINCIPAL</t>
        </is>
      </c>
      <c r="L36" s="23" t="inlineStr">
        <is>
          <t>750117</t>
        </is>
      </c>
      <c r="M36" s="31" t="n"/>
      <c r="N36" s="31" t="n"/>
      <c r="O36" s="31" t="n"/>
      <c r="P36" s="31" t="n"/>
      <c r="Q36" s="31" t="n"/>
      <c r="R36" s="34">
        <f>IFERROR(IF(AND(O36&gt;0,P36&gt;0,Q36&gt;0),(O36*P36*Q36)/6000,""),"")</f>
        <v/>
      </c>
      <c r="S36" s="34">
        <f>IFERROR(IF(AND(N36&gt;0,R36&gt;0),MAX(N36,R36),IF(N36&gt;0,N36,IF(R36&gt;0,R36,""))),"")</f>
        <v/>
      </c>
      <c r="T36" s="36" t="n"/>
      <c r="U36" s="38" t="inlineStr">
        <is>
          <t>FALTA</t>
        </is>
      </c>
      <c r="V36" s="36" t="n">
        <v>517</v>
      </c>
      <c r="W36" s="39" t="n">
        <v>0.3</v>
      </c>
      <c r="X36" s="41">
        <f>IFERROR(V36+T36,"")</f>
        <v/>
      </c>
      <c r="Y36" s="41">
        <f>IFERROR(IF(W36&lt;1,X36/(1-W36),""),"")</f>
        <v/>
      </c>
      <c r="Z36" s="43">
        <f>'01_CONFIG_GLOBAL'!$C$14</f>
        <v/>
      </c>
      <c r="AA36" s="41">
        <f>IFERROR(Y36*Z36,"")</f>
        <v/>
      </c>
      <c r="AB36" s="41">
        <f>IFERROR(IF(Z36&lt;1,Y36/(1-Z36),""),"")</f>
        <v/>
      </c>
      <c r="AC36" s="23" t="n"/>
      <c r="AD36" s="36" t="n"/>
      <c r="AE36" s="23" t="n"/>
      <c r="AF36" s="36" t="n"/>
      <c r="AG36" s="23" t="n"/>
      <c r="AH36" s="36" t="n"/>
      <c r="AI36" s="41">
        <f>IFERROR(AVERAGE(AD36,AF36,AH36),"")</f>
        <v/>
      </c>
      <c r="AJ36" s="29">
        <f>IFERROR(IF(AI36="","sem dados",IF(AB36&lt;AI36*0.95,"abaixo",IF(AB36&gt;AI36*1.05,"acima","em linha"))),"")</f>
        <v/>
      </c>
      <c r="AK36" s="23" t="inlineStr">
        <is>
          <t>não</t>
        </is>
      </c>
      <c r="AL36" s="23" t="n"/>
      <c r="AM36" s="23" t="n"/>
      <c r="AN36" s="23" t="n"/>
      <c r="AO36" s="44">
        <f>A36</f>
        <v/>
      </c>
      <c r="AP36" s="44">
        <f>D36</f>
        <v/>
      </c>
    </row>
    <row r="37" hidden="1" ht="15.75" customHeight="1" s="93">
      <c r="A37" s="23" t="inlineStr">
        <is>
          <t>5.0208.0544879.0</t>
        </is>
      </c>
      <c r="B37" s="23" t="inlineStr">
        <is>
          <t>544879</t>
        </is>
      </c>
      <c r="C37" s="29">
        <f>IFERROR(LOWER(SUBSTITUTE(SUBSTITUTE(SUBSTITUTE(SUBSTITUTE(D37," ","-"),"/","-"),".",""),",","")),"")</f>
        <v/>
      </c>
      <c r="D37" s="23" t="inlineStr">
        <is>
          <t>BOMBA HIDRÁULICA - APLICAÇÃO 16 A.B9.A4.L</t>
        </is>
      </c>
      <c r="E37" s="23" t="inlineStr">
        <is>
          <t>Bombas Hidráulicas</t>
        </is>
      </c>
      <c r="F37" s="23" t="inlineStr">
        <is>
          <t>SOHIPREN</t>
        </is>
      </c>
      <c r="G37" s="23" t="n"/>
      <c r="H37" s="23" t="inlineStr">
        <is>
          <t>draft</t>
        </is>
      </c>
      <c r="I37" s="23" t="inlineStr">
        <is>
          <t>AMEISE</t>
        </is>
      </c>
      <c r="J37" s="23" t="inlineStr">
        <is>
          <t>EMPILHADEIRA ELETRICA</t>
        </is>
      </c>
      <c r="K37" s="23" t="inlineStr">
        <is>
          <t>PRINCIPAL</t>
        </is>
      </c>
      <c r="L37" s="23" t="inlineStr">
        <is>
          <t>750083</t>
        </is>
      </c>
      <c r="M37" s="31" t="n"/>
      <c r="N37" s="31" t="n"/>
      <c r="O37" s="31" t="n"/>
      <c r="P37" s="31" t="n"/>
      <c r="Q37" s="31" t="n"/>
      <c r="R37" s="34">
        <f>IFERROR(IF(AND(O37&gt;0,P37&gt;0,Q37&gt;0),(O37*P37*Q37)/6000,""),"")</f>
        <v/>
      </c>
      <c r="S37" s="34">
        <f>IFERROR(IF(AND(N37&gt;0,R37&gt;0),MAX(N37,R37),IF(N37&gt;0,N37,IF(R37&gt;0,R37,""))),"")</f>
        <v/>
      </c>
      <c r="T37" s="36" t="n"/>
      <c r="U37" s="38" t="inlineStr">
        <is>
          <t>FALTA</t>
        </is>
      </c>
      <c r="V37" s="36" t="n">
        <v>605</v>
      </c>
      <c r="W37" s="39" t="n">
        <v>0.3</v>
      </c>
      <c r="X37" s="41">
        <f>IFERROR(V37+T37,"")</f>
        <v/>
      </c>
      <c r="Y37" s="41">
        <f>IFERROR(IF(W37&lt;1,X37/(1-W37),""),"")</f>
        <v/>
      </c>
      <c r="Z37" s="43">
        <f>'01_CONFIG_GLOBAL'!$C$14</f>
        <v/>
      </c>
      <c r="AA37" s="41">
        <f>IFERROR(Y37*Z37,"")</f>
        <v/>
      </c>
      <c r="AB37" s="41">
        <f>IFERROR(IF(Z37&lt;1,Y37/(1-Z37),""),"")</f>
        <v/>
      </c>
      <c r="AC37" s="23" t="n"/>
      <c r="AD37" s="36" t="n"/>
      <c r="AE37" s="23" t="n"/>
      <c r="AF37" s="36" t="n"/>
      <c r="AG37" s="23" t="n"/>
      <c r="AH37" s="36" t="n"/>
      <c r="AI37" s="41">
        <f>IFERROR(AVERAGE(AD37,AF37,AH37),"")</f>
        <v/>
      </c>
      <c r="AJ37" s="29">
        <f>IFERROR(IF(AI37="","sem dados",IF(AB37&lt;AI37*0.95,"abaixo",IF(AB37&gt;AI37*1.05,"acima","em linha"))),"")</f>
        <v/>
      </c>
      <c r="AK37" s="23" t="inlineStr">
        <is>
          <t>não</t>
        </is>
      </c>
      <c r="AL37" s="23" t="n"/>
      <c r="AM37" s="23" t="n"/>
      <c r="AN37" s="23" t="n"/>
      <c r="AO37" s="44">
        <f>A37</f>
        <v/>
      </c>
      <c r="AP37" s="44">
        <f>D37</f>
        <v/>
      </c>
    </row>
    <row r="38" hidden="1" ht="15.75" customHeight="1" s="93">
      <c r="A38" s="23" t="inlineStr">
        <is>
          <t>5.5205.0549529.0</t>
        </is>
      </c>
      <c r="B38" s="23" t="inlineStr">
        <is>
          <t>549529</t>
        </is>
      </c>
      <c r="C38" s="29">
        <f>IFERROR(LOWER(SUBSTITUTE(SUBSTITUTE(SUBSTITUTE(SUBSTITUTE(D38," ","-"),"/","-"),".",""),",","")),"")</f>
        <v/>
      </c>
      <c r="D38" s="23" t="inlineStr">
        <is>
          <t>MRBO 8 C11.C.C3.L</t>
        </is>
      </c>
      <c r="E38" s="23" t="n"/>
      <c r="F38" s="23" t="inlineStr">
        <is>
          <t>SOHIPREN</t>
        </is>
      </c>
      <c r="G38" s="23" t="n"/>
      <c r="H38" s="23" t="inlineStr">
        <is>
          <t>draft</t>
        </is>
      </c>
      <c r="I38" s="23" t="inlineStr">
        <is>
          <t>ANDRADE</t>
        </is>
      </c>
      <c r="J38" s="23" t="inlineStr">
        <is>
          <t>BOMBA D'AGUA</t>
        </is>
      </c>
      <c r="K38" s="23" t="inlineStr">
        <is>
          <t>MOTOR HIDRÁULICO</t>
        </is>
      </c>
      <c r="L38" s="23" t="inlineStr">
        <is>
          <t>28685/0513013715</t>
        </is>
      </c>
      <c r="M38" s="31" t="n"/>
      <c r="N38" s="31" t="n"/>
      <c r="O38" s="31" t="n"/>
      <c r="P38" s="31" t="n"/>
      <c r="Q38" s="31" t="n"/>
      <c r="R38" s="34">
        <f>IFERROR(IF(AND(O38&gt;0,P38&gt;0,Q38&gt;0),(O38*P38*Q38)/6000,""),"")</f>
        <v/>
      </c>
      <c r="S38" s="34">
        <f>IFERROR(IF(AND(N38&gt;0,R38&gt;0),MAX(N38,R38),IF(N38&gt;0,N38,IF(R38&gt;0,R38,""))),"")</f>
        <v/>
      </c>
      <c r="T38" s="36" t="n"/>
      <c r="U38" s="38" t="inlineStr">
        <is>
          <t>FALTA</t>
        </is>
      </c>
      <c r="V38" s="36" t="n">
        <v>767.8</v>
      </c>
      <c r="W38" s="39" t="n">
        <v>0.3</v>
      </c>
      <c r="X38" s="41">
        <f>IFERROR(V38+T38,"")</f>
        <v/>
      </c>
      <c r="Y38" s="41">
        <f>IFERROR(IF(W38&lt;1,X38/(1-W38),""),"")</f>
        <v/>
      </c>
      <c r="Z38" s="43">
        <f>'01_CONFIG_GLOBAL'!$C$14</f>
        <v/>
      </c>
      <c r="AA38" s="41">
        <f>IFERROR(Y38*Z38,"")</f>
        <v/>
      </c>
      <c r="AB38" s="41">
        <f>IFERROR(IF(Z38&lt;1,Y38/(1-Z38),""),"")</f>
        <v/>
      </c>
      <c r="AC38" s="23" t="n"/>
      <c r="AD38" s="36" t="n"/>
      <c r="AE38" s="23" t="n"/>
      <c r="AF38" s="36" t="n"/>
      <c r="AG38" s="23" t="n"/>
      <c r="AH38" s="36" t="n"/>
      <c r="AI38" s="41">
        <f>IFERROR(AVERAGE(AD38,AF38,AH38),"")</f>
        <v/>
      </c>
      <c r="AJ38" s="29">
        <f>IFERROR(IF(AI38="","sem dados",IF(AB38&lt;AI38*0.95,"abaixo",IF(AB38&gt;AI38*1.05,"acima","em linha"))),"")</f>
        <v/>
      </c>
      <c r="AK38" s="23" t="inlineStr">
        <is>
          <t>não</t>
        </is>
      </c>
      <c r="AL38" s="23" t="n"/>
      <c r="AM38" s="23" t="n"/>
      <c r="AN38" s="23" t="n"/>
      <c r="AO38" s="44">
        <f>A38</f>
        <v/>
      </c>
      <c r="AP38" s="44">
        <f>D38</f>
        <v/>
      </c>
    </row>
    <row r="39" hidden="1" ht="15.75" customHeight="1" s="93">
      <c r="A39" s="23" t="inlineStr">
        <is>
          <t>5.5209.L008060.0</t>
        </is>
      </c>
      <c r="B39" s="23" t="inlineStr">
        <is>
          <t>L00806</t>
        </is>
      </c>
      <c r="C39" s="29">
        <f>IFERROR(LOWER(SUBSTITUTE(SUBSTITUTE(SUBSTITUTE(SUBSTITUTE(D39," ","-"),"/","-"),".",""),",","")),"")</f>
        <v/>
      </c>
      <c r="D39" s="23" t="inlineStr">
        <is>
          <t>MUD BO 8 C11.C.G.BL (2734)</t>
        </is>
      </c>
      <c r="E39" s="23" t="n"/>
      <c r="F39" s="23" t="inlineStr">
        <is>
          <t>SOHIPREN</t>
        </is>
      </c>
      <c r="G39" s="23" t="n"/>
      <c r="H39" s="23" t="inlineStr">
        <is>
          <t>draft</t>
        </is>
      </c>
      <c r="I39" s="23" t="inlineStr">
        <is>
          <t>ANDRADE</t>
        </is>
      </c>
      <c r="J39" s="23" t="inlineStr">
        <is>
          <t>BOMLBA TASP</t>
        </is>
      </c>
      <c r="K39" s="23" t="inlineStr">
        <is>
          <t>ACIONAMENTO BOMBA D'AGUA</t>
        </is>
      </c>
      <c r="L39" s="23" t="n"/>
      <c r="M39" s="31" t="n"/>
      <c r="N39" s="31" t="n"/>
      <c r="O39" s="31" t="n"/>
      <c r="P39" s="31" t="n"/>
      <c r="Q39" s="31" t="n"/>
      <c r="R39" s="34">
        <f>IFERROR(IF(AND(O39&gt;0,P39&gt;0,Q39&gt;0),(O39*P39*Q39)/6000,""),"")</f>
        <v/>
      </c>
      <c r="S39" s="34">
        <f>IFERROR(IF(AND(N39&gt;0,R39&gt;0),MAX(N39,R39),IF(N39&gt;0,N39,IF(R39&gt;0,R39,""))),"")</f>
        <v/>
      </c>
      <c r="T39" s="36" t="n"/>
      <c r="U39" s="38" t="inlineStr">
        <is>
          <t>FALTA</t>
        </is>
      </c>
      <c r="V39" s="36" t="n">
        <v>428.93</v>
      </c>
      <c r="W39" s="39" t="n">
        <v>0.3</v>
      </c>
      <c r="X39" s="41">
        <f>IFERROR(V39+T39,"")</f>
        <v/>
      </c>
      <c r="Y39" s="41">
        <f>IFERROR(IF(W39&lt;1,X39/(1-W39),""),"")</f>
        <v/>
      </c>
      <c r="Z39" s="43">
        <f>'01_CONFIG_GLOBAL'!$C$14</f>
        <v/>
      </c>
      <c r="AA39" s="41">
        <f>IFERROR(Y39*Z39,"")</f>
        <v/>
      </c>
      <c r="AB39" s="41">
        <f>IFERROR(IF(Z39&lt;1,Y39/(1-Z39),""),"")</f>
        <v/>
      </c>
      <c r="AC39" s="23" t="n"/>
      <c r="AD39" s="36" t="n"/>
      <c r="AE39" s="23" t="n"/>
      <c r="AF39" s="36" t="n"/>
      <c r="AG39" s="23" t="n"/>
      <c r="AH39" s="36" t="n"/>
      <c r="AI39" s="41">
        <f>IFERROR(AVERAGE(AD39,AF39,AH39),"")</f>
        <v/>
      </c>
      <c r="AJ39" s="29">
        <f>IFERROR(IF(AI39="","sem dados",IF(AB39&lt;AI39*0.95,"abaixo",IF(AB39&gt;AI39*1.05,"acima","em linha"))),"")</f>
        <v/>
      </c>
      <c r="AK39" s="23" t="inlineStr">
        <is>
          <t>não</t>
        </is>
      </c>
      <c r="AL39" s="23" t="n"/>
      <c r="AM39" s="23" t="n"/>
      <c r="AN39" s="23" t="n"/>
      <c r="AO39" s="44">
        <f>A39</f>
        <v/>
      </c>
      <c r="AP39" s="44">
        <f>D39</f>
        <v/>
      </c>
    </row>
    <row r="40" hidden="1" ht="15.75" customHeight="1" s="93">
      <c r="A40" s="23" t="inlineStr">
        <is>
          <t>5.5209.L009930.0</t>
        </is>
      </c>
      <c r="B40" s="23" t="inlineStr">
        <is>
          <t>L00993</t>
        </is>
      </c>
      <c r="C40" s="29">
        <f>IFERROR(LOWER(SUBSTITUTE(SUBSTITUTE(SUBSTITUTE(SUBSTITUTE(D40," ","-"),"/","-"),".",""),",","")),"")</f>
        <v/>
      </c>
      <c r="D40" s="23" t="inlineStr">
        <is>
          <t>MUI BO 8 C11.C.G.BL (2734)</t>
        </is>
      </c>
      <c r="E40" s="23" t="n"/>
      <c r="F40" s="23" t="inlineStr">
        <is>
          <t>SOHIPREN</t>
        </is>
      </c>
      <c r="G40" s="23" t="n"/>
      <c r="H40" s="23" t="inlineStr">
        <is>
          <t>draft</t>
        </is>
      </c>
      <c r="I40" s="23" t="inlineStr">
        <is>
          <t>ANDRADE</t>
        </is>
      </c>
      <c r="J40" s="23" t="inlineStr">
        <is>
          <t>IRRIGADOR</t>
        </is>
      </c>
      <c r="K40" s="23" t="inlineStr">
        <is>
          <t>ACIONAMENTO BOMBA D'AGUA</t>
        </is>
      </c>
      <c r="L40" s="23" t="n"/>
      <c r="M40" s="31" t="n"/>
      <c r="N40" s="31" t="n"/>
      <c r="O40" s="31" t="n"/>
      <c r="P40" s="31" t="n"/>
      <c r="Q40" s="31" t="n"/>
      <c r="R40" s="34">
        <f>IFERROR(IF(AND(O40&gt;0,P40&gt;0,Q40&gt;0),(O40*P40*Q40)/6000,""),"")</f>
        <v/>
      </c>
      <c r="S40" s="34">
        <f>IFERROR(IF(AND(N40&gt;0,R40&gt;0),MAX(N40,R40),IF(N40&gt;0,N40,IF(R40&gt;0,R40,""))),"")</f>
        <v/>
      </c>
      <c r="T40" s="36" t="n"/>
      <c r="U40" s="38" t="inlineStr">
        <is>
          <t>FALTA</t>
        </is>
      </c>
      <c r="V40" s="36" t="n">
        <v>790</v>
      </c>
      <c r="W40" s="39" t="n">
        <v>0.3</v>
      </c>
      <c r="X40" s="41">
        <f>IFERROR(V40+T40,"")</f>
        <v/>
      </c>
      <c r="Y40" s="41">
        <f>IFERROR(IF(W40&lt;1,X40/(1-W40),""),"")</f>
        <v/>
      </c>
      <c r="Z40" s="43">
        <f>'01_CONFIG_GLOBAL'!$C$14</f>
        <v/>
      </c>
      <c r="AA40" s="41">
        <f>IFERROR(Y40*Z40,"")</f>
        <v/>
      </c>
      <c r="AB40" s="41">
        <f>IFERROR(IF(Z40&lt;1,Y40/(1-Z40),""),"")</f>
        <v/>
      </c>
      <c r="AC40" s="23" t="n"/>
      <c r="AD40" s="36" t="n"/>
      <c r="AE40" s="23" t="n"/>
      <c r="AF40" s="36" t="n"/>
      <c r="AG40" s="23" t="n"/>
      <c r="AH40" s="36" t="n"/>
      <c r="AI40" s="41">
        <f>IFERROR(AVERAGE(AD40,AF40,AH40),"")</f>
        <v/>
      </c>
      <c r="AJ40" s="29">
        <f>IFERROR(IF(AI40="","sem dados",IF(AB40&lt;AI40*0.95,"abaixo",IF(AB40&gt;AI40*1.05,"acima","em linha"))),"")</f>
        <v/>
      </c>
      <c r="AK40" s="23" t="inlineStr">
        <is>
          <t>não</t>
        </is>
      </c>
      <c r="AL40" s="23" t="n"/>
      <c r="AM40" s="23" t="n"/>
      <c r="AN40" s="23" t="n"/>
      <c r="AO40" s="44">
        <f>A40</f>
        <v/>
      </c>
      <c r="AP40" s="44">
        <f>D40</f>
        <v/>
      </c>
    </row>
    <row r="41" hidden="1" ht="15.75" customHeight="1" s="93">
      <c r="A41" s="23" t="inlineStr">
        <is>
          <t>5.5206.L010450.0</t>
        </is>
      </c>
      <c r="B41" s="23" t="inlineStr">
        <is>
          <t>L01045</t>
        </is>
      </c>
      <c r="C41" s="29">
        <f>IFERROR(LOWER(SUBSTITUTE(SUBSTITUTE(SUBSTITUTE(SUBSTITUTE(D41," ","-"),"/","-"),".",""),",","")),"")</f>
        <v/>
      </c>
      <c r="D41" s="23" t="inlineStr">
        <is>
          <t>MUD BO 11 E18.C.G.BL (2734)</t>
        </is>
      </c>
      <c r="E41" s="23" t="n"/>
      <c r="F41" s="23" t="inlineStr">
        <is>
          <t>SOHIPREN</t>
        </is>
      </c>
      <c r="G41" s="23" t="n"/>
      <c r="H41" s="23" t="inlineStr">
        <is>
          <t>draft</t>
        </is>
      </c>
      <c r="I41" s="23" t="inlineStr">
        <is>
          <t>ANDRADE</t>
        </is>
      </c>
      <c r="J41" s="23" t="inlineStr">
        <is>
          <t>IRRIGADOR</t>
        </is>
      </c>
      <c r="K41" s="23" t="inlineStr">
        <is>
          <t>ACIONAMENTO BOMBA D'AGUA</t>
        </is>
      </c>
      <c r="L41" s="23" t="n"/>
      <c r="M41" s="31" t="n"/>
      <c r="N41" s="31" t="n"/>
      <c r="O41" s="31" t="n"/>
      <c r="P41" s="31" t="n"/>
      <c r="Q41" s="31" t="n"/>
      <c r="R41" s="34">
        <f>IFERROR(IF(AND(O41&gt;0,P41&gt;0,Q41&gt;0),(O41*P41*Q41)/6000,""),"")</f>
        <v/>
      </c>
      <c r="S41" s="34">
        <f>IFERROR(IF(AND(N41&gt;0,R41&gt;0),MAX(N41,R41),IF(N41&gt;0,N41,IF(R41&gt;0,R41,""))),"")</f>
        <v/>
      </c>
      <c r="T41" s="36" t="n"/>
      <c r="U41" s="38" t="inlineStr">
        <is>
          <t>FALTA</t>
        </is>
      </c>
      <c r="V41" s="36" t="n">
        <v>708</v>
      </c>
      <c r="W41" s="39" t="n">
        <v>0.3</v>
      </c>
      <c r="X41" s="41">
        <f>IFERROR(V41+T41,"")</f>
        <v/>
      </c>
      <c r="Y41" s="41">
        <f>IFERROR(IF(W41&lt;1,X41/(1-W41),""),"")</f>
        <v/>
      </c>
      <c r="Z41" s="43">
        <f>'01_CONFIG_GLOBAL'!$C$14</f>
        <v/>
      </c>
      <c r="AA41" s="41">
        <f>IFERROR(Y41*Z41,"")</f>
        <v/>
      </c>
      <c r="AB41" s="41">
        <f>IFERROR(IF(Z41&lt;1,Y41/(1-Z41),""),"")</f>
        <v/>
      </c>
      <c r="AC41" s="23" t="n"/>
      <c r="AD41" s="36" t="n"/>
      <c r="AE41" s="23" t="n"/>
      <c r="AF41" s="36" t="n"/>
      <c r="AG41" s="23" t="n"/>
      <c r="AH41" s="36" t="n"/>
      <c r="AI41" s="41">
        <f>IFERROR(AVERAGE(AD41,AF41,AH41),"")</f>
        <v/>
      </c>
      <c r="AJ41" s="29">
        <f>IFERROR(IF(AI41="","sem dados",IF(AB41&lt;AI41*0.95,"abaixo",IF(AB41&gt;AI41*1.05,"acima","em linha"))),"")</f>
        <v/>
      </c>
      <c r="AK41" s="23" t="inlineStr">
        <is>
          <t>não</t>
        </is>
      </c>
      <c r="AL41" s="23" t="n"/>
      <c r="AM41" s="23" t="n"/>
      <c r="AN41" s="23" t="n"/>
      <c r="AO41" s="44">
        <f>A41</f>
        <v/>
      </c>
      <c r="AP41" s="44">
        <f>D41</f>
        <v/>
      </c>
    </row>
    <row r="42" hidden="1" ht="15.75" customHeight="1" s="93">
      <c r="A42" s="23" t="inlineStr">
        <is>
          <t>5.5206.L008640.0</t>
        </is>
      </c>
      <c r="B42" s="23" t="inlineStr">
        <is>
          <t>L00864</t>
        </is>
      </c>
      <c r="C42" s="29">
        <f>IFERROR(LOWER(SUBSTITUTE(SUBSTITUTE(SUBSTITUTE(SUBSTITUTE(D42," ","-"),"/","-"),".",""),",","")),"")</f>
        <v/>
      </c>
      <c r="D42" s="23" t="inlineStr">
        <is>
          <t>MUD BO 11 C11.C.G.BL (2734)</t>
        </is>
      </c>
      <c r="E42" s="23" t="n"/>
      <c r="F42" s="23" t="inlineStr">
        <is>
          <t>SOHIPREN</t>
        </is>
      </c>
      <c r="G42" s="23" t="n"/>
      <c r="H42" s="23" t="inlineStr">
        <is>
          <t>draft</t>
        </is>
      </c>
      <c r="I42" s="23" t="inlineStr">
        <is>
          <t>ANDRADE</t>
        </is>
      </c>
      <c r="J42" s="23" t="inlineStr">
        <is>
          <t>IRRIGADOR</t>
        </is>
      </c>
      <c r="K42" s="23" t="inlineStr">
        <is>
          <t>ACIONAMENTO BOMBA D'AGUA</t>
        </is>
      </c>
      <c r="L42" s="23" t="n"/>
      <c r="M42" s="31" t="n"/>
      <c r="N42" s="31" t="n"/>
      <c r="O42" s="31" t="n"/>
      <c r="P42" s="31" t="n"/>
      <c r="Q42" s="31" t="n"/>
      <c r="R42" s="34">
        <f>IFERROR(IF(AND(O42&gt;0,P42&gt;0,Q42&gt;0),(O42*P42*Q42)/6000,""),"")</f>
        <v/>
      </c>
      <c r="S42" s="34">
        <f>IFERROR(IF(AND(N42&gt;0,R42&gt;0),MAX(N42,R42),IF(N42&gt;0,N42,IF(R42&gt;0,R42,""))),"")</f>
        <v/>
      </c>
      <c r="T42" s="36" t="n"/>
      <c r="U42" s="38" t="inlineStr">
        <is>
          <t>FALTA</t>
        </is>
      </c>
      <c r="V42" s="36" t="n">
        <v>497.13</v>
      </c>
      <c r="W42" s="39" t="n">
        <v>0.3</v>
      </c>
      <c r="X42" s="41">
        <f>IFERROR(V42+T42,"")</f>
        <v/>
      </c>
      <c r="Y42" s="41">
        <f>IFERROR(IF(W42&lt;1,X42/(1-W42),""),"")</f>
        <v/>
      </c>
      <c r="Z42" s="43">
        <f>'01_CONFIG_GLOBAL'!$C$14</f>
        <v/>
      </c>
      <c r="AA42" s="41">
        <f>IFERROR(Y42*Z42,"")</f>
        <v/>
      </c>
      <c r="AB42" s="41">
        <f>IFERROR(IF(Z42&lt;1,Y42/(1-Z42),""),"")</f>
        <v/>
      </c>
      <c r="AC42" s="23" t="n"/>
      <c r="AD42" s="36" t="n"/>
      <c r="AE42" s="23" t="n"/>
      <c r="AF42" s="36" t="n"/>
      <c r="AG42" s="23" t="n"/>
      <c r="AH42" s="36" t="n"/>
      <c r="AI42" s="41">
        <f>IFERROR(AVERAGE(AD42,AF42,AH42),"")</f>
        <v/>
      </c>
      <c r="AJ42" s="29">
        <f>IFERROR(IF(AI42="","sem dados",IF(AB42&lt;AI42*0.95,"abaixo",IF(AB42&gt;AI42*1.05,"acima","em linha"))),"")</f>
        <v/>
      </c>
      <c r="AK42" s="23" t="inlineStr">
        <is>
          <t>não</t>
        </is>
      </c>
      <c r="AL42" s="23" t="n"/>
      <c r="AM42" s="23" t="n"/>
      <c r="AN42" s="23" t="n"/>
      <c r="AO42" s="44">
        <f>A42</f>
        <v/>
      </c>
      <c r="AP42" s="44">
        <f>D42</f>
        <v/>
      </c>
    </row>
    <row r="43" hidden="1" ht="15.75" customHeight="1" s="93">
      <c r="A43" s="23" t="inlineStr">
        <is>
          <t>5.5209.L010770.0</t>
        </is>
      </c>
      <c r="B43" s="23" t="inlineStr">
        <is>
          <t>L01077</t>
        </is>
      </c>
      <c r="C43" s="29">
        <f>IFERROR(LOWER(SUBSTITUTE(SUBSTITUTE(SUBSTITUTE(SUBSTITUTE(D43," ","-"),"/","-"),".",""),",","")),"")</f>
        <v/>
      </c>
      <c r="D43" s="23" t="inlineStr">
        <is>
          <t>MUD BO 8 E18.C.G.BL (2734)</t>
        </is>
      </c>
      <c r="E43" s="23" t="n"/>
      <c r="F43" s="23" t="inlineStr">
        <is>
          <t>SOHIPREN</t>
        </is>
      </c>
      <c r="G43" s="23" t="n"/>
      <c r="H43" s="23" t="inlineStr">
        <is>
          <t>draft</t>
        </is>
      </c>
      <c r="I43" s="23" t="inlineStr">
        <is>
          <t>ANDRADE</t>
        </is>
      </c>
      <c r="J43" s="23" t="inlineStr">
        <is>
          <t>IRRIGADOR</t>
        </is>
      </c>
      <c r="K43" s="23" t="inlineStr">
        <is>
          <t>ACIONAMENTO BOMBA D'AGUA</t>
        </is>
      </c>
      <c r="L43" s="23" t="n"/>
      <c r="M43" s="31" t="n"/>
      <c r="N43" s="31" t="n"/>
      <c r="O43" s="31" t="n"/>
      <c r="P43" s="31" t="n"/>
      <c r="Q43" s="31" t="n"/>
      <c r="R43" s="34">
        <f>IFERROR(IF(AND(O43&gt;0,P43&gt;0,Q43&gt;0),(O43*P43*Q43)/6000,""),"")</f>
        <v/>
      </c>
      <c r="S43" s="34">
        <f>IFERROR(IF(AND(N43&gt;0,R43&gt;0),MAX(N43,R43),IF(N43&gt;0,N43,IF(R43&gt;0,R43,""))),"")</f>
        <v/>
      </c>
      <c r="T43" s="36" t="n"/>
      <c r="U43" s="38" t="inlineStr">
        <is>
          <t>FALTA</t>
        </is>
      </c>
      <c r="V43" s="36" t="n">
        <v>708</v>
      </c>
      <c r="W43" s="39" t="n">
        <v>0.3</v>
      </c>
      <c r="X43" s="41">
        <f>IFERROR(V43+T43,"")</f>
        <v/>
      </c>
      <c r="Y43" s="41">
        <f>IFERROR(IF(W43&lt;1,X43/(1-W43),""),"")</f>
        <v/>
      </c>
      <c r="Z43" s="43">
        <f>'01_CONFIG_GLOBAL'!$C$14</f>
        <v/>
      </c>
      <c r="AA43" s="41">
        <f>IFERROR(Y43*Z43,"")</f>
        <v/>
      </c>
      <c r="AB43" s="41">
        <f>IFERROR(IF(Z43&lt;1,Y43/(1-Z43),""),"")</f>
        <v/>
      </c>
      <c r="AC43" s="23" t="n"/>
      <c r="AD43" s="36" t="n"/>
      <c r="AE43" s="23" t="n"/>
      <c r="AF43" s="36" t="n"/>
      <c r="AG43" s="23" t="n"/>
      <c r="AH43" s="36" t="n"/>
      <c r="AI43" s="41">
        <f>IFERROR(AVERAGE(AD43,AF43,AH43),"")</f>
        <v/>
      </c>
      <c r="AJ43" s="29">
        <f>IFERROR(IF(AI43="","sem dados",IF(AB43&lt;AI43*0.95,"abaixo",IF(AB43&gt;AI43*1.05,"acima","em linha"))),"")</f>
        <v/>
      </c>
      <c r="AK43" s="23" t="inlineStr">
        <is>
          <t>não</t>
        </is>
      </c>
      <c r="AL43" s="23" t="n"/>
      <c r="AM43" s="23" t="n"/>
      <c r="AN43" s="23" t="n"/>
      <c r="AO43" s="44">
        <f>A43</f>
        <v/>
      </c>
      <c r="AP43" s="44">
        <f>D43</f>
        <v/>
      </c>
    </row>
    <row r="44" hidden="1" ht="15.75" customHeight="1" s="93">
      <c r="A44" s="23" t="inlineStr">
        <is>
          <t>5.5207.L010790.0</t>
        </is>
      </c>
      <c r="B44" s="23" t="inlineStr">
        <is>
          <t>L01079</t>
        </is>
      </c>
      <c r="C44" s="29">
        <f>IFERROR(LOWER(SUBSTITUTE(SUBSTITUTE(SUBSTITUTE(SUBSTITUTE(D44," ","-"),"/","-"),".",""),",","")),"")</f>
        <v/>
      </c>
      <c r="D44" s="23" t="inlineStr">
        <is>
          <t>MRBO 14 B1.C.G.L</t>
        </is>
      </c>
      <c r="E44" s="23" t="n"/>
      <c r="F44" s="23" t="inlineStr">
        <is>
          <t>SOHIPREN</t>
        </is>
      </c>
      <c r="G44" s="23" t="n"/>
      <c r="H44" s="23" t="inlineStr">
        <is>
          <t>draft</t>
        </is>
      </c>
      <c r="I44" s="23" t="inlineStr">
        <is>
          <t>ANDRADE</t>
        </is>
      </c>
      <c r="J44" s="23" t="inlineStr">
        <is>
          <t>IRRIGADOR</t>
        </is>
      </c>
      <c r="K44" s="23" t="inlineStr">
        <is>
          <t>ACIONAMENTO BOMBA D'AGUA</t>
        </is>
      </c>
      <c r="L44" s="23" t="n"/>
      <c r="M44" s="31" t="n"/>
      <c r="N44" s="31" t="n"/>
      <c r="O44" s="31" t="n"/>
      <c r="P44" s="31" t="n"/>
      <c r="Q44" s="31" t="n"/>
      <c r="R44" s="34">
        <f>IFERROR(IF(AND(O44&gt;0,P44&gt;0,Q44&gt;0),(O44*P44*Q44)/6000,""),"")</f>
        <v/>
      </c>
      <c r="S44" s="34">
        <f>IFERROR(IF(AND(N44&gt;0,R44&gt;0),MAX(N44,R44),IF(N44&gt;0,N44,IF(R44&gt;0,R44,""))),"")</f>
        <v/>
      </c>
      <c r="T44" s="36" t="n"/>
      <c r="U44" s="38" t="inlineStr">
        <is>
          <t>FALTA</t>
        </is>
      </c>
      <c r="V44" s="36" t="n">
        <v>708</v>
      </c>
      <c r="W44" s="39" t="n">
        <v>0.3</v>
      </c>
      <c r="X44" s="41">
        <f>IFERROR(V44+T44,"")</f>
        <v/>
      </c>
      <c r="Y44" s="41">
        <f>IFERROR(IF(W44&lt;1,X44/(1-W44),""),"")</f>
        <v/>
      </c>
      <c r="Z44" s="43">
        <f>'01_CONFIG_GLOBAL'!$C$14</f>
        <v/>
      </c>
      <c r="AA44" s="41">
        <f>IFERROR(Y44*Z44,"")</f>
        <v/>
      </c>
      <c r="AB44" s="41">
        <f>IFERROR(IF(Z44&lt;1,Y44/(1-Z44),""),"")</f>
        <v/>
      </c>
      <c r="AC44" s="23" t="n"/>
      <c r="AD44" s="36" t="n"/>
      <c r="AE44" s="23" t="n"/>
      <c r="AF44" s="36" t="n"/>
      <c r="AG44" s="23" t="n"/>
      <c r="AH44" s="36" t="n"/>
      <c r="AI44" s="41">
        <f>IFERROR(AVERAGE(AD44,AF44,AH44),"")</f>
        <v/>
      </c>
      <c r="AJ44" s="29">
        <f>IFERROR(IF(AI44="","sem dados",IF(AB44&lt;AI44*0.95,"abaixo",IF(AB44&gt;AI44*1.05,"acima","em linha"))),"")</f>
        <v/>
      </c>
      <c r="AK44" s="23" t="inlineStr">
        <is>
          <t>não</t>
        </is>
      </c>
      <c r="AL44" s="23" t="n"/>
      <c r="AM44" s="23" t="n"/>
      <c r="AN44" s="23" t="n"/>
      <c r="AO44" s="44">
        <f>A44</f>
        <v/>
      </c>
      <c r="AP44" s="44">
        <f>D44</f>
        <v/>
      </c>
    </row>
    <row r="45" hidden="1" ht="15.75" customHeight="1" s="93">
      <c r="A45" s="23" t="inlineStr">
        <is>
          <t>5.5205.L010800.0</t>
        </is>
      </c>
      <c r="B45" s="23" t="inlineStr">
        <is>
          <t>L01080</t>
        </is>
      </c>
      <c r="C45" s="29">
        <f>IFERROR(LOWER(SUBSTITUTE(SUBSTITUTE(SUBSTITUTE(SUBSTITUTE(D45," ","-"),"/","-"),".",""),",","")),"")</f>
        <v/>
      </c>
      <c r="D45" s="23" t="inlineStr">
        <is>
          <t>MUD 8 E18.C.C21.L</t>
        </is>
      </c>
      <c r="E45" s="23" t="n"/>
      <c r="F45" s="23" t="inlineStr">
        <is>
          <t>SOHIPREN</t>
        </is>
      </c>
      <c r="G45" s="23" t="n"/>
      <c r="H45" s="23" t="inlineStr">
        <is>
          <t>draft</t>
        </is>
      </c>
      <c r="I45" s="23" t="inlineStr">
        <is>
          <t>ANDRADE</t>
        </is>
      </c>
      <c r="J45" s="23" t="inlineStr">
        <is>
          <t>IRRIGADOR</t>
        </is>
      </c>
      <c r="K45" s="23" t="inlineStr">
        <is>
          <t>ACIONAMENTO BOMBA D'AGUA</t>
        </is>
      </c>
      <c r="L45" s="23" t="n"/>
      <c r="M45" s="31" t="n"/>
      <c r="N45" s="31" t="n"/>
      <c r="O45" s="31" t="n"/>
      <c r="P45" s="31" t="n"/>
      <c r="Q45" s="31" t="n"/>
      <c r="R45" s="34">
        <f>IFERROR(IF(AND(O45&gt;0,P45&gt;0,Q45&gt;0),(O45*P45*Q45)/6000,""),"")</f>
        <v/>
      </c>
      <c r="S45" s="34">
        <f>IFERROR(IF(AND(N45&gt;0,R45&gt;0),MAX(N45,R45),IF(N45&gt;0,N45,IF(R45&gt;0,R45,""))),"")</f>
        <v/>
      </c>
      <c r="T45" s="36" t="n"/>
      <c r="U45" s="38" t="inlineStr">
        <is>
          <t>FALTA</t>
        </is>
      </c>
      <c r="V45" s="36" t="n">
        <v>651.2</v>
      </c>
      <c r="W45" s="39" t="n">
        <v>0.3</v>
      </c>
      <c r="X45" s="41">
        <f>IFERROR(V45+T45,"")</f>
        <v/>
      </c>
      <c r="Y45" s="41">
        <f>IFERROR(IF(W45&lt;1,X45/(1-W45),""),"")</f>
        <v/>
      </c>
      <c r="Z45" s="43">
        <f>'01_CONFIG_GLOBAL'!$C$14</f>
        <v/>
      </c>
      <c r="AA45" s="41">
        <f>IFERROR(Y45*Z45,"")</f>
        <v/>
      </c>
      <c r="AB45" s="41">
        <f>IFERROR(IF(Z45&lt;1,Y45/(1-Z45),""),"")</f>
        <v/>
      </c>
      <c r="AC45" s="23" t="n"/>
      <c r="AD45" s="36" t="n"/>
      <c r="AE45" s="23" t="n"/>
      <c r="AF45" s="36" t="n"/>
      <c r="AG45" s="23" t="n"/>
      <c r="AH45" s="36" t="n"/>
      <c r="AI45" s="41">
        <f>IFERROR(AVERAGE(AD45,AF45,AH45),"")</f>
        <v/>
      </c>
      <c r="AJ45" s="29">
        <f>IFERROR(IF(AI45="","sem dados",IF(AB45&lt;AI45*0.95,"abaixo",IF(AB45&gt;AI45*1.05,"acima","em linha"))),"")</f>
        <v/>
      </c>
      <c r="AK45" s="23" t="inlineStr">
        <is>
          <t>não</t>
        </is>
      </c>
      <c r="AL45" s="23" t="n"/>
      <c r="AM45" s="23" t="n"/>
      <c r="AN45" s="23" t="n"/>
      <c r="AO45" s="44">
        <f>A45</f>
        <v/>
      </c>
      <c r="AP45" s="44">
        <f>D45</f>
        <v/>
      </c>
    </row>
    <row r="46" hidden="1" ht="15.75" customHeight="1" s="93">
      <c r="A46" s="23" t="inlineStr">
        <is>
          <t>5.5205.L012870.0</t>
        </is>
      </c>
      <c r="B46" s="23" t="inlineStr">
        <is>
          <t>L01287</t>
        </is>
      </c>
      <c r="C46" s="29">
        <f>IFERROR(LOWER(SUBSTITUTE(SUBSTITUTE(SUBSTITUTE(SUBSTITUTE(D46," ","-"),"/","-"),".",""),",","")),"")</f>
        <v/>
      </c>
      <c r="D46" s="23" t="inlineStr">
        <is>
          <t>MUD BO 8 C11.C.G - (SIN BLOQUE)</t>
        </is>
      </c>
      <c r="E46" s="23" t="n"/>
      <c r="F46" s="23" t="inlineStr">
        <is>
          <t>SOHIPREN</t>
        </is>
      </c>
      <c r="G46" s="23" t="n"/>
      <c r="H46" s="23" t="inlineStr">
        <is>
          <t>draft</t>
        </is>
      </c>
      <c r="I46" s="23" t="inlineStr">
        <is>
          <t>ANDRADE</t>
        </is>
      </c>
      <c r="J46" s="23" t="inlineStr">
        <is>
          <t>IRRIGADOR</t>
        </is>
      </c>
      <c r="K46" s="23" t="inlineStr">
        <is>
          <t>ACIONAMENTO BOMBA D'AGUA</t>
        </is>
      </c>
      <c r="L46" s="23" t="n"/>
      <c r="M46" s="31" t="n"/>
      <c r="N46" s="31" t="n"/>
      <c r="O46" s="31" t="n"/>
      <c r="P46" s="31" t="n"/>
      <c r="Q46" s="31" t="n"/>
      <c r="R46" s="34">
        <f>IFERROR(IF(AND(O46&gt;0,P46&gt;0,Q46&gt;0),(O46*P46*Q46)/6000,""),"")</f>
        <v/>
      </c>
      <c r="S46" s="34">
        <f>IFERROR(IF(AND(N46&gt;0,R46&gt;0),MAX(N46,R46),IF(N46&gt;0,N46,IF(R46&gt;0,R46,""))),"")</f>
        <v/>
      </c>
      <c r="T46" s="36" t="n"/>
      <c r="U46" s="38" t="inlineStr">
        <is>
          <t>FALTA</t>
        </is>
      </c>
      <c r="V46" s="36" t="n">
        <v>708</v>
      </c>
      <c r="W46" s="39" t="n">
        <v>0.3</v>
      </c>
      <c r="X46" s="41">
        <f>IFERROR(V46+T46,"")</f>
        <v/>
      </c>
      <c r="Y46" s="41">
        <f>IFERROR(IF(W46&lt;1,X46/(1-W46),""),"")</f>
        <v/>
      </c>
      <c r="Z46" s="43">
        <f>'01_CONFIG_GLOBAL'!$C$14</f>
        <v/>
      </c>
      <c r="AA46" s="41">
        <f>IFERROR(Y46*Z46,"")</f>
        <v/>
      </c>
      <c r="AB46" s="41">
        <f>IFERROR(IF(Z46&lt;1,Y46/(1-Z46),""),"")</f>
        <v/>
      </c>
      <c r="AC46" s="23" t="n"/>
      <c r="AD46" s="36" t="n"/>
      <c r="AE46" s="23" t="n"/>
      <c r="AF46" s="36" t="n"/>
      <c r="AG46" s="23" t="n"/>
      <c r="AH46" s="36" t="n"/>
      <c r="AI46" s="41">
        <f>IFERROR(AVERAGE(AD46,AF46,AH46),"")</f>
        <v/>
      </c>
      <c r="AJ46" s="29">
        <f>IFERROR(IF(AI46="","sem dados",IF(AB46&lt;AI46*0.95,"abaixo",IF(AB46&gt;AI46*1.05,"acima","em linha"))),"")</f>
        <v/>
      </c>
      <c r="AK46" s="23" t="inlineStr">
        <is>
          <t>não</t>
        </is>
      </c>
      <c r="AL46" s="23" t="n"/>
      <c r="AM46" s="23" t="n"/>
      <c r="AN46" s="23" t="n"/>
      <c r="AO46" s="44">
        <f>A46</f>
        <v/>
      </c>
      <c r="AP46" s="44">
        <f>D46</f>
        <v/>
      </c>
    </row>
    <row r="47" hidden="1" ht="15.75" customHeight="1" s="93">
      <c r="A47" s="23" t="inlineStr">
        <is>
          <t>0.2201.F001184.0</t>
        </is>
      </c>
      <c r="B47" s="23" t="inlineStr">
        <is>
          <t>F001184</t>
        </is>
      </c>
      <c r="C47" s="29">
        <f>IFERROR(LOWER(SUBSTITUTE(SUBSTITUTE(SUBSTITUTE(SUBSTITUTE(D47," ","-"),"/","-"),".",""),",","")),"")</f>
        <v/>
      </c>
      <c r="D47" s="23" t="inlineStr">
        <is>
          <t>PARAFUSO P/ INSERTO M3,5</t>
        </is>
      </c>
      <c r="E47" s="23" t="n"/>
      <c r="F47" s="23" t="inlineStr">
        <is>
          <t>SOHIPREN</t>
        </is>
      </c>
      <c r="G47" s="23" t="n"/>
      <c r="H47" s="23" t="inlineStr">
        <is>
          <t>draft</t>
        </is>
      </c>
      <c r="I47" s="23" t="inlineStr">
        <is>
          <t>ANTARES</t>
        </is>
      </c>
      <c r="J47" s="23" t="n"/>
      <c r="K47" s="23" t="n"/>
      <c r="L47" s="23" t="inlineStr">
        <is>
          <t>416.1-833</t>
        </is>
      </c>
      <c r="M47" s="31" t="n"/>
      <c r="N47" s="31" t="n"/>
      <c r="O47" s="31" t="n"/>
      <c r="P47" s="31" t="n"/>
      <c r="Q47" s="31" t="n"/>
      <c r="R47" s="34">
        <f>IFERROR(IF(AND(O47&gt;0,P47&gt;0,Q47&gt;0),(O47*P47*Q47)/6000,""),"")</f>
        <v/>
      </c>
      <c r="S47" s="34">
        <f>IFERROR(IF(AND(N47&gt;0,R47&gt;0),MAX(N47,R47),IF(N47&gt;0,N47,IF(R47&gt;0,R47,""))),"")</f>
        <v/>
      </c>
      <c r="T47" s="36" t="n"/>
      <c r="U47" s="38" t="inlineStr">
        <is>
          <t>FALTA</t>
        </is>
      </c>
      <c r="V47" s="36" t="n">
        <v>9817.5</v>
      </c>
      <c r="W47" s="39" t="n">
        <v>0.3</v>
      </c>
      <c r="X47" s="41">
        <f>IFERROR(V47+T47,"")</f>
        <v/>
      </c>
      <c r="Y47" s="41">
        <f>IFERROR(IF(W47&lt;1,X47/(1-W47),""),"")</f>
        <v/>
      </c>
      <c r="Z47" s="43">
        <f>'01_CONFIG_GLOBAL'!$C$14</f>
        <v/>
      </c>
      <c r="AA47" s="41">
        <f>IFERROR(Y47*Z47,"")</f>
        <v/>
      </c>
      <c r="AB47" s="41">
        <f>IFERROR(IF(Z47&lt;1,Y47/(1-Z47),""),"")</f>
        <v/>
      </c>
      <c r="AC47" s="23" t="n"/>
      <c r="AD47" s="36" t="n"/>
      <c r="AE47" s="23" t="n"/>
      <c r="AF47" s="36" t="n"/>
      <c r="AG47" s="23" t="n"/>
      <c r="AH47" s="36" t="n"/>
      <c r="AI47" s="41">
        <f>IFERROR(AVERAGE(AD47,AF47,AH47),"")</f>
        <v/>
      </c>
      <c r="AJ47" s="29">
        <f>IFERROR(IF(AI47="","sem dados",IF(AB47&lt;AI47*0.95,"abaixo",IF(AB47&gt;AI47*1.05,"acima","em linha"))),"")</f>
        <v/>
      </c>
      <c r="AK47" s="23" t="inlineStr">
        <is>
          <t>não</t>
        </is>
      </c>
      <c r="AL47" s="23" t="n"/>
      <c r="AM47" s="23" t="n"/>
      <c r="AN47" s="23" t="n"/>
      <c r="AO47" s="44">
        <f>A47</f>
        <v/>
      </c>
      <c r="AP47" s="44">
        <f>D47</f>
        <v/>
      </c>
    </row>
    <row r="48" hidden="1" ht="15.75" customHeight="1" s="93">
      <c r="A48" s="23" t="inlineStr">
        <is>
          <t>2.0410.L080977.1</t>
        </is>
      </c>
      <c r="B48" s="23" t="inlineStr">
        <is>
          <t>L080977</t>
        </is>
      </c>
      <c r="C48" s="29">
        <f>IFERROR(LOWER(SUBSTITUTE(SUBSTITUTE(SUBSTITUTE(SUBSTITUTE(D48," ","-"),"/","-"),".",""),",","")),"")</f>
        <v/>
      </c>
      <c r="D48" s="23" t="inlineStr">
        <is>
          <t>BOBINA 24V CMD 80 LTRS</t>
        </is>
      </c>
      <c r="E48" s="23" t="n"/>
      <c r="F48" s="23" t="inlineStr">
        <is>
          <t>SOHIPREN</t>
        </is>
      </c>
      <c r="G48" s="23" t="n"/>
      <c r="H48" s="23" t="inlineStr">
        <is>
          <t>draft</t>
        </is>
      </c>
      <c r="I48" s="23" t="inlineStr">
        <is>
          <t>ARGO-HYTOS</t>
        </is>
      </c>
      <c r="J48" s="23" t="inlineStr">
        <is>
          <t>MOTOR BO</t>
        </is>
      </c>
      <c r="K48" s="23" t="inlineStr">
        <is>
          <t>FUN DRIVE</t>
        </is>
      </c>
      <c r="L48" s="23" t="inlineStr">
        <is>
          <t>31805300</t>
        </is>
      </c>
      <c r="M48" s="31" t="n"/>
      <c r="N48" s="31" t="n"/>
      <c r="O48" s="31" t="n"/>
      <c r="P48" s="31" t="n"/>
      <c r="Q48" s="31" t="n"/>
      <c r="R48" s="34">
        <f>IFERROR(IF(AND(O48&gt;0,P48&gt;0,Q48&gt;0),(O48*P48*Q48)/6000,""),"")</f>
        <v/>
      </c>
      <c r="S48" s="34">
        <f>IFERROR(IF(AND(N48&gt;0,R48&gt;0),MAX(N48,R48),IF(N48&gt;0,N48,IF(R48&gt;0,R48,""))),"")</f>
        <v/>
      </c>
      <c r="T48" s="36" t="n"/>
      <c r="U48" s="38" t="inlineStr">
        <is>
          <t>FALTA</t>
        </is>
      </c>
      <c r="V48" s="36" t="n">
        <v>308</v>
      </c>
      <c r="W48" s="39" t="n">
        <v>0.3</v>
      </c>
      <c r="X48" s="41">
        <f>IFERROR(V48+T48,"")</f>
        <v/>
      </c>
      <c r="Y48" s="41">
        <f>IFERROR(IF(W48&lt;1,X48/(1-W48),""),"")</f>
        <v/>
      </c>
      <c r="Z48" s="43">
        <f>'01_CONFIG_GLOBAL'!$C$14</f>
        <v/>
      </c>
      <c r="AA48" s="41">
        <f>IFERROR(Y48*Z48,"")</f>
        <v/>
      </c>
      <c r="AB48" s="41">
        <f>IFERROR(IF(Z48&lt;1,Y48/(1-Z48),""),"")</f>
        <v/>
      </c>
      <c r="AC48" s="23" t="n"/>
      <c r="AD48" s="36" t="n"/>
      <c r="AE48" s="23" t="n"/>
      <c r="AF48" s="36" t="n"/>
      <c r="AG48" s="23" t="n"/>
      <c r="AH48" s="36" t="n"/>
      <c r="AI48" s="41">
        <f>IFERROR(AVERAGE(AD48,AF48,AH48),"")</f>
        <v/>
      </c>
      <c r="AJ48" s="29">
        <f>IFERROR(IF(AI48="","sem dados",IF(AB48&lt;AI48*0.95,"abaixo",IF(AB48&gt;AI48*1.05,"acima","em linha"))),"")</f>
        <v/>
      </c>
      <c r="AK48" s="23" t="inlineStr">
        <is>
          <t>não</t>
        </is>
      </c>
      <c r="AL48" s="23" t="n"/>
      <c r="AM48" s="23" t="n"/>
      <c r="AN48" s="23" t="n"/>
      <c r="AO48" s="44">
        <f>A48</f>
        <v/>
      </c>
      <c r="AP48" s="44">
        <f>D48</f>
        <v/>
      </c>
    </row>
    <row r="49" hidden="1" ht="15.75" customHeight="1" s="93">
      <c r="A49" s="23" t="inlineStr">
        <is>
          <t>0.0162.L082392.0</t>
        </is>
      </c>
      <c r="B49" s="23" t="inlineStr">
        <is>
          <t>L082392</t>
        </is>
      </c>
      <c r="C49" s="29">
        <f>IFERROR(LOWER(SUBSTITUTE(SUBSTITUTE(SUBSTITUTE(SUBSTITUTE(D49," ","-"),"/","-"),".",""),",","")),"")</f>
        <v/>
      </c>
      <c r="D49" s="23" t="inlineStr">
        <is>
          <t>ADAPT MACHO 9/16'' ORING X 5/8'' JIC</t>
        </is>
      </c>
      <c r="E49" s="23" t="n"/>
      <c r="F49" s="23" t="inlineStr">
        <is>
          <t>SOHIPREN</t>
        </is>
      </c>
      <c r="G49" s="23" t="n"/>
      <c r="H49" s="23" t="inlineStr">
        <is>
          <t>draft</t>
        </is>
      </c>
      <c r="I49" s="23" t="inlineStr">
        <is>
          <t>ARGON</t>
        </is>
      </c>
      <c r="J49" s="23" t="n"/>
      <c r="K49" s="23" t="n"/>
      <c r="L49" s="23" t="inlineStr">
        <is>
          <t>M02702-06-07</t>
        </is>
      </c>
      <c r="M49" s="31" t="n"/>
      <c r="N49" s="31" t="n"/>
      <c r="O49" s="31" t="n"/>
      <c r="P49" s="31" t="n"/>
      <c r="Q49" s="31" t="n"/>
      <c r="R49" s="34">
        <f>IFERROR(IF(AND(O49&gt;0,P49&gt;0,Q49&gt;0),(O49*P49*Q49)/6000,""),"")</f>
        <v/>
      </c>
      <c r="S49" s="34">
        <f>IFERROR(IF(AND(N49&gt;0,R49&gt;0),MAX(N49,R49),IF(N49&gt;0,N49,IF(R49&gt;0,R49,""))),"")</f>
        <v/>
      </c>
      <c r="T49" s="36" t="n"/>
      <c r="U49" s="38" t="inlineStr">
        <is>
          <t>FALTA</t>
        </is>
      </c>
      <c r="V49" s="36" t="n">
        <v>59</v>
      </c>
      <c r="W49" s="39" t="n">
        <v>0.3</v>
      </c>
      <c r="X49" s="41">
        <f>IFERROR(V49+T49,"")</f>
        <v/>
      </c>
      <c r="Y49" s="41">
        <f>IFERROR(IF(W49&lt;1,X49/(1-W49),""),"")</f>
        <v/>
      </c>
      <c r="Z49" s="43">
        <f>'01_CONFIG_GLOBAL'!$C$14</f>
        <v/>
      </c>
      <c r="AA49" s="41">
        <f>IFERROR(Y49*Z49,"")</f>
        <v/>
      </c>
      <c r="AB49" s="41">
        <f>IFERROR(IF(Z49&lt;1,Y49/(1-Z49),""),"")</f>
        <v/>
      </c>
      <c r="AC49" s="23" t="n"/>
      <c r="AD49" s="36" t="n"/>
      <c r="AE49" s="23" t="n"/>
      <c r="AF49" s="36" t="n"/>
      <c r="AG49" s="23" t="n"/>
      <c r="AH49" s="36" t="n"/>
      <c r="AI49" s="41">
        <f>IFERROR(AVERAGE(AD49,AF49,AH49),"")</f>
        <v/>
      </c>
      <c r="AJ49" s="29">
        <f>IFERROR(IF(AI49="","sem dados",IF(AB49&lt;AI49*0.95,"abaixo",IF(AB49&gt;AI49*1.05,"acima","em linha"))),"")</f>
        <v/>
      </c>
      <c r="AK49" s="23" t="inlineStr">
        <is>
          <t>não</t>
        </is>
      </c>
      <c r="AL49" s="23" t="n"/>
      <c r="AM49" s="23" t="n"/>
      <c r="AN49" s="23" t="n"/>
      <c r="AO49" s="44">
        <f>A49</f>
        <v/>
      </c>
      <c r="AP49" s="44">
        <f>D49</f>
        <v/>
      </c>
    </row>
    <row r="50" hidden="1" ht="15.75" customHeight="1" s="93">
      <c r="A50" s="23" t="inlineStr">
        <is>
          <t>0.2206.F001181.0</t>
        </is>
      </c>
      <c r="B50" s="23" t="inlineStr">
        <is>
          <t>F001181</t>
        </is>
      </c>
      <c r="C50" s="29">
        <f>IFERROR(LOWER(SUBSTITUTE(SUBSTITUTE(SUBSTITUTE(SUBSTITUTE(D50," ","-"),"/","-"),".",""),",","")),"")</f>
        <v/>
      </c>
      <c r="D50" s="23" t="inlineStr">
        <is>
          <t>BUCHA DE REDUCAO 3/4 NPT X 1/2 NPT</t>
        </is>
      </c>
      <c r="E50" s="23" t="n"/>
      <c r="F50" s="23" t="inlineStr">
        <is>
          <t>SOHIPREN</t>
        </is>
      </c>
      <c r="G50" s="23" t="n"/>
      <c r="H50" s="23" t="inlineStr">
        <is>
          <t>draft</t>
        </is>
      </c>
      <c r="I50" s="23" t="inlineStr">
        <is>
          <t>ARGON</t>
        </is>
      </c>
      <c r="J50" s="23" t="n"/>
      <c r="K50" s="23" t="n"/>
      <c r="L50" s="23" t="inlineStr">
        <is>
          <t>M081-12-08E</t>
        </is>
      </c>
      <c r="M50" s="31" t="n"/>
      <c r="N50" s="31" t="n"/>
      <c r="O50" s="31" t="n"/>
      <c r="P50" s="31" t="n"/>
      <c r="Q50" s="31" t="n"/>
      <c r="R50" s="34">
        <f>IFERROR(IF(AND(O50&gt;0,P50&gt;0,Q50&gt;0),(O50*P50*Q50)/6000,""),"")</f>
        <v/>
      </c>
      <c r="S50" s="34">
        <f>IFERROR(IF(AND(N50&gt;0,R50&gt;0),MAX(N50,R50),IF(N50&gt;0,N50,IF(R50&gt;0,R50,""))),"")</f>
        <v/>
      </c>
      <c r="T50" s="36" t="n"/>
      <c r="U50" s="38" t="inlineStr">
        <is>
          <t>FALTA</t>
        </is>
      </c>
      <c r="V50" s="36" t="n">
        <v>335.5</v>
      </c>
      <c r="W50" s="39" t="n">
        <v>0.3</v>
      </c>
      <c r="X50" s="41">
        <f>IFERROR(V50+T50,"")</f>
        <v/>
      </c>
      <c r="Y50" s="41">
        <f>IFERROR(IF(W50&lt;1,X50/(1-W50),""),"")</f>
        <v/>
      </c>
      <c r="Z50" s="43">
        <f>'01_CONFIG_GLOBAL'!$C$14</f>
        <v/>
      </c>
      <c r="AA50" s="41">
        <f>IFERROR(Y50*Z50,"")</f>
        <v/>
      </c>
      <c r="AB50" s="41">
        <f>IFERROR(IF(Z50&lt;1,Y50/(1-Z50),""),"")</f>
        <v/>
      </c>
      <c r="AC50" s="23" t="n"/>
      <c r="AD50" s="36" t="n"/>
      <c r="AE50" s="23" t="n"/>
      <c r="AF50" s="36" t="n"/>
      <c r="AG50" s="23" t="n"/>
      <c r="AH50" s="36" t="n"/>
      <c r="AI50" s="41">
        <f>IFERROR(AVERAGE(AD50,AF50,AH50),"")</f>
        <v/>
      </c>
      <c r="AJ50" s="29">
        <f>IFERROR(IF(AI50="","sem dados",IF(AB50&lt;AI50*0.95,"abaixo",IF(AB50&gt;AI50*1.05,"acima","em linha"))),"")</f>
        <v/>
      </c>
      <c r="AK50" s="23" t="inlineStr">
        <is>
          <t>não</t>
        </is>
      </c>
      <c r="AL50" s="23" t="n"/>
      <c r="AM50" s="23" t="n"/>
      <c r="AN50" s="23" t="n"/>
      <c r="AO50" s="44">
        <f>A50</f>
        <v/>
      </c>
      <c r="AP50" s="44">
        <f>D50</f>
        <v/>
      </c>
    </row>
    <row r="51" hidden="1" ht="15.75" customHeight="1" s="93">
      <c r="A51" s="23" t="inlineStr">
        <is>
          <t>0.2206.F001194.0</t>
        </is>
      </c>
      <c r="B51" s="23" t="inlineStr">
        <is>
          <t>F001194</t>
        </is>
      </c>
      <c r="C51" s="29">
        <f>IFERROR(LOWER(SUBSTITUTE(SUBSTITUTE(SUBSTITUTE(SUBSTITUTE(D51," ","-"),"/","-"),".",""),",","")),"")</f>
        <v/>
      </c>
      <c r="D51" s="23" t="inlineStr">
        <is>
          <t>VALVULA ESFERA PP 300 LBS 1.1/2 VEA-24</t>
        </is>
      </c>
      <c r="E51" s="23" t="n"/>
      <c r="F51" s="23" t="inlineStr">
        <is>
          <t>SOHIPREN</t>
        </is>
      </c>
      <c r="G51" s="23" t="n"/>
      <c r="H51" s="23" t="inlineStr">
        <is>
          <t>draft</t>
        </is>
      </c>
      <c r="I51" s="23" t="inlineStr">
        <is>
          <t>ARGON</t>
        </is>
      </c>
      <c r="J51" s="23" t="n"/>
      <c r="K51" s="23" t="n"/>
      <c r="L51" s="23" t="inlineStr">
        <is>
          <t>30200056</t>
        </is>
      </c>
      <c r="M51" s="31" t="n"/>
      <c r="N51" s="31" t="n"/>
      <c r="O51" s="31" t="n"/>
      <c r="P51" s="31" t="n"/>
      <c r="Q51" s="31" t="n"/>
      <c r="R51" s="34">
        <f>IFERROR(IF(AND(O51&gt;0,P51&gt;0,Q51&gt;0),(O51*P51*Q51)/6000,""),"")</f>
        <v/>
      </c>
      <c r="S51" s="34">
        <f>IFERROR(IF(AND(N51&gt;0,R51&gt;0),MAX(N51,R51),IF(N51&gt;0,N51,IF(R51&gt;0,R51,""))),"")</f>
        <v/>
      </c>
      <c r="T51" s="36" t="n"/>
      <c r="U51" s="38" t="inlineStr">
        <is>
          <t>FALTA</t>
        </is>
      </c>
      <c r="V51" s="36" t="n">
        <v>335.5</v>
      </c>
      <c r="W51" s="39" t="n">
        <v>0.3</v>
      </c>
      <c r="X51" s="41">
        <f>IFERROR(V51+T51,"")</f>
        <v/>
      </c>
      <c r="Y51" s="41">
        <f>IFERROR(IF(W51&lt;1,X51/(1-W51),""),"")</f>
        <v/>
      </c>
      <c r="Z51" s="43">
        <f>'01_CONFIG_GLOBAL'!$C$14</f>
        <v/>
      </c>
      <c r="AA51" s="41">
        <f>IFERROR(Y51*Z51,"")</f>
        <v/>
      </c>
      <c r="AB51" s="41">
        <f>IFERROR(IF(Z51&lt;1,Y51/(1-Z51),""),"")</f>
        <v/>
      </c>
      <c r="AC51" s="23" t="n"/>
      <c r="AD51" s="36" t="n"/>
      <c r="AE51" s="23" t="n"/>
      <c r="AF51" s="36" t="n"/>
      <c r="AG51" s="23" t="n"/>
      <c r="AH51" s="36" t="n"/>
      <c r="AI51" s="41">
        <f>IFERROR(AVERAGE(AD51,AF51,AH51),"")</f>
        <v/>
      </c>
      <c r="AJ51" s="29">
        <f>IFERROR(IF(AI51="","sem dados",IF(AB51&lt;AI51*0.95,"abaixo",IF(AB51&gt;AI51*1.05,"acima","em linha"))),"")</f>
        <v/>
      </c>
      <c r="AK51" s="23" t="inlineStr">
        <is>
          <t>não</t>
        </is>
      </c>
      <c r="AL51" s="23" t="n"/>
      <c r="AM51" s="23" t="n"/>
      <c r="AN51" s="23" t="n"/>
      <c r="AO51" s="44">
        <f>A51</f>
        <v/>
      </c>
      <c r="AP51" s="44">
        <f>D51</f>
        <v/>
      </c>
    </row>
    <row r="52" hidden="1" ht="15.75" customHeight="1" s="93">
      <c r="A52" s="23" t="inlineStr">
        <is>
          <t>0.0162.F001192.0</t>
        </is>
      </c>
      <c r="B52" s="23" t="inlineStr">
        <is>
          <t>F001192</t>
        </is>
      </c>
      <c r="C52" s="29">
        <f>IFERROR(LOWER(SUBSTITUTE(SUBSTITUTE(SUBSTITUTE(SUBSTITUTE(D52," ","-"),"/","-"),".",""),",","")),"")</f>
        <v/>
      </c>
      <c r="D52" s="23" t="inlineStr">
        <is>
          <t>MANG SUCCAO E DESCARGA AZUL 1.1/4 - PVC</t>
        </is>
      </c>
      <c r="E52" s="23" t="n"/>
      <c r="F52" s="23" t="inlineStr">
        <is>
          <t>SOHIPREN</t>
        </is>
      </c>
      <c r="G52" s="23" t="n"/>
      <c r="H52" s="23" t="inlineStr">
        <is>
          <t>draft</t>
        </is>
      </c>
      <c r="I52" s="23" t="inlineStr">
        <is>
          <t>ARGON</t>
        </is>
      </c>
      <c r="J52" s="23" t="n"/>
      <c r="K52" s="23" t="n"/>
      <c r="L52" s="23" t="inlineStr">
        <is>
          <t>MKM-20</t>
        </is>
      </c>
      <c r="M52" s="31" t="n"/>
      <c r="N52" s="31" t="n"/>
      <c r="O52" s="31" t="n"/>
      <c r="P52" s="31" t="n"/>
      <c r="Q52" s="31" t="n"/>
      <c r="R52" s="34">
        <f>IFERROR(IF(AND(O52&gt;0,P52&gt;0,Q52&gt;0),(O52*P52*Q52)/6000,""),"")</f>
        <v/>
      </c>
      <c r="S52" s="34">
        <f>IFERROR(IF(AND(N52&gt;0,R52&gt;0),MAX(N52,R52),IF(N52&gt;0,N52,IF(R52&gt;0,R52,""))),"")</f>
        <v/>
      </c>
      <c r="T52" s="36" t="n"/>
      <c r="U52" s="38" t="inlineStr">
        <is>
          <t>FALTA</t>
        </is>
      </c>
      <c r="V52" s="36" t="n">
        <v>59</v>
      </c>
      <c r="W52" s="39" t="n">
        <v>0.3</v>
      </c>
      <c r="X52" s="41">
        <f>IFERROR(V52+T52,"")</f>
        <v/>
      </c>
      <c r="Y52" s="41">
        <f>IFERROR(IF(W52&lt;1,X52/(1-W52),""),"")</f>
        <v/>
      </c>
      <c r="Z52" s="43">
        <f>'01_CONFIG_GLOBAL'!$C$14</f>
        <v/>
      </c>
      <c r="AA52" s="41">
        <f>IFERROR(Y52*Z52,"")</f>
        <v/>
      </c>
      <c r="AB52" s="41">
        <f>IFERROR(IF(Z52&lt;1,Y52/(1-Z52),""),"")</f>
        <v/>
      </c>
      <c r="AC52" s="23" t="n"/>
      <c r="AD52" s="36" t="n"/>
      <c r="AE52" s="23" t="n"/>
      <c r="AF52" s="36" t="n"/>
      <c r="AG52" s="23" t="n"/>
      <c r="AH52" s="36" t="n"/>
      <c r="AI52" s="41">
        <f>IFERROR(AVERAGE(AD52,AF52,AH52),"")</f>
        <v/>
      </c>
      <c r="AJ52" s="29">
        <f>IFERROR(IF(AI52="","sem dados",IF(AB52&lt;AI52*0.95,"abaixo",IF(AB52&gt;AI52*1.05,"acima","em linha"))),"")</f>
        <v/>
      </c>
      <c r="AK52" s="23" t="inlineStr">
        <is>
          <t>não</t>
        </is>
      </c>
      <c r="AL52" s="23" t="n"/>
      <c r="AM52" s="23" t="n"/>
      <c r="AN52" s="23" t="n"/>
      <c r="AO52" s="44">
        <f>A52</f>
        <v/>
      </c>
      <c r="AP52" s="44">
        <f>D52</f>
        <v/>
      </c>
    </row>
    <row r="53" hidden="1" ht="15.75" customHeight="1" s="93">
      <c r="A53" s="23" t="inlineStr">
        <is>
          <t>0.0166.F001193.0</t>
        </is>
      </c>
      <c r="B53" s="23" t="inlineStr">
        <is>
          <t>F001193</t>
        </is>
      </c>
      <c r="C53" s="29">
        <f>IFERROR(LOWER(SUBSTITUTE(SUBSTITUTE(SUBSTITUTE(SUBSTITUTE(D53," ","-"),"/","-"),".",""),",","")),"")</f>
        <v/>
      </c>
      <c r="D53" s="23" t="inlineStr">
        <is>
          <t>ABRACADEIRA DE FITA 14MM 25-38</t>
        </is>
      </c>
      <c r="E53" s="23" t="n"/>
      <c r="F53" s="23" t="inlineStr">
        <is>
          <t>SOHIPREN</t>
        </is>
      </c>
      <c r="G53" s="23" t="n"/>
      <c r="H53" s="23" t="inlineStr">
        <is>
          <t>draft</t>
        </is>
      </c>
      <c r="I53" s="23" t="inlineStr">
        <is>
          <t>ARGON</t>
        </is>
      </c>
      <c r="J53" s="23" t="n"/>
      <c r="K53" s="23" t="n"/>
      <c r="L53" s="23" t="inlineStr">
        <is>
          <t>ABRAC14-25-38</t>
        </is>
      </c>
      <c r="M53" s="31" t="n"/>
      <c r="N53" s="31" t="n"/>
      <c r="O53" s="31" t="n"/>
      <c r="P53" s="31" t="n"/>
      <c r="Q53" s="31" t="n"/>
      <c r="R53" s="34">
        <f>IFERROR(IF(AND(O53&gt;0,P53&gt;0,Q53&gt;0),(O53*P53*Q53)/6000,""),"")</f>
        <v/>
      </c>
      <c r="S53" s="34">
        <f>IFERROR(IF(AND(N53&gt;0,R53&gt;0),MAX(N53,R53),IF(N53&gt;0,N53,IF(R53&gt;0,R53,""))),"")</f>
        <v/>
      </c>
      <c r="T53" s="36" t="n"/>
      <c r="U53" s="38" t="inlineStr">
        <is>
          <t>FALTA</t>
        </is>
      </c>
      <c r="V53" s="36" t="n">
        <v>59</v>
      </c>
      <c r="W53" s="39" t="n">
        <v>0.3</v>
      </c>
      <c r="X53" s="41">
        <f>IFERROR(V53+T53,"")</f>
        <v/>
      </c>
      <c r="Y53" s="41">
        <f>IFERROR(IF(W53&lt;1,X53/(1-W53),""),"")</f>
        <v/>
      </c>
      <c r="Z53" s="43">
        <f>'01_CONFIG_GLOBAL'!$C$14</f>
        <v/>
      </c>
      <c r="AA53" s="41">
        <f>IFERROR(Y53*Z53,"")</f>
        <v/>
      </c>
      <c r="AB53" s="41">
        <f>IFERROR(IF(Z53&lt;1,Y53/(1-Z53),""),"")</f>
        <v/>
      </c>
      <c r="AC53" s="23" t="n"/>
      <c r="AD53" s="36" t="n"/>
      <c r="AE53" s="23" t="n"/>
      <c r="AF53" s="36" t="n"/>
      <c r="AG53" s="23" t="n"/>
      <c r="AH53" s="36" t="n"/>
      <c r="AI53" s="41">
        <f>IFERROR(AVERAGE(AD53,AF53,AH53),"")</f>
        <v/>
      </c>
      <c r="AJ53" s="29">
        <f>IFERROR(IF(AI53="","sem dados",IF(AB53&lt;AI53*0.95,"abaixo",IF(AB53&gt;AI53*1.05,"acima","em linha"))),"")</f>
        <v/>
      </c>
      <c r="AK53" s="23" t="inlineStr">
        <is>
          <t>não</t>
        </is>
      </c>
      <c r="AL53" s="23" t="n"/>
      <c r="AM53" s="23" t="n"/>
      <c r="AN53" s="23" t="n"/>
      <c r="AO53" s="44">
        <f>A53</f>
        <v/>
      </c>
      <c r="AP53" s="44">
        <f>D53</f>
        <v/>
      </c>
    </row>
    <row r="54" hidden="1" ht="15.75" customHeight="1" s="93">
      <c r="A54" s="23" t="inlineStr">
        <is>
          <t>0.0162.F001195.0</t>
        </is>
      </c>
      <c r="B54" s="23" t="inlineStr">
        <is>
          <t>F001195</t>
        </is>
      </c>
      <c r="C54" s="29">
        <f>IFERROR(LOWER(SUBSTITUTE(SUBSTITUTE(SUBSTITUTE(SUBSTITUTE(D54," ","-"),"/","-"),".",""),",","")),"")</f>
        <v/>
      </c>
      <c r="D54" s="23" t="inlineStr">
        <is>
          <t>NIPLE DUPLO GALV. 10 1.1/2</t>
        </is>
      </c>
      <c r="E54" s="23" t="n"/>
      <c r="F54" s="23" t="inlineStr">
        <is>
          <t>SOHIPREN</t>
        </is>
      </c>
      <c r="G54" s="23" t="n"/>
      <c r="H54" s="23" t="inlineStr">
        <is>
          <t>draft</t>
        </is>
      </c>
      <c r="I54" s="23" t="inlineStr">
        <is>
          <t>ARGON</t>
        </is>
      </c>
      <c r="J54" s="23" t="n"/>
      <c r="K54" s="23" t="n"/>
      <c r="L54" s="23" t="inlineStr">
        <is>
          <t>TUPY-280-24</t>
        </is>
      </c>
      <c r="M54" s="31" t="n"/>
      <c r="N54" s="31" t="n"/>
      <c r="O54" s="31" t="n"/>
      <c r="P54" s="31" t="n"/>
      <c r="Q54" s="31" t="n"/>
      <c r="R54" s="34">
        <f>IFERROR(IF(AND(O54&gt;0,P54&gt;0,Q54&gt;0),(O54*P54*Q54)/6000,""),"")</f>
        <v/>
      </c>
      <c r="S54" s="34">
        <f>IFERROR(IF(AND(N54&gt;0,R54&gt;0),MAX(N54,R54),IF(N54&gt;0,N54,IF(R54&gt;0,R54,""))),"")</f>
        <v/>
      </c>
      <c r="T54" s="36" t="n"/>
      <c r="U54" s="38" t="inlineStr">
        <is>
          <t>FALTA</t>
        </is>
      </c>
      <c r="V54" s="36" t="n">
        <v>59</v>
      </c>
      <c r="W54" s="39" t="n">
        <v>0.3</v>
      </c>
      <c r="X54" s="41">
        <f>IFERROR(V54+T54,"")</f>
        <v/>
      </c>
      <c r="Y54" s="41">
        <f>IFERROR(IF(W54&lt;1,X54/(1-W54),""),"")</f>
        <v/>
      </c>
      <c r="Z54" s="43">
        <f>'01_CONFIG_GLOBAL'!$C$14</f>
        <v/>
      </c>
      <c r="AA54" s="41">
        <f>IFERROR(Y54*Z54,"")</f>
        <v/>
      </c>
      <c r="AB54" s="41">
        <f>IFERROR(IF(Z54&lt;1,Y54/(1-Z54),""),"")</f>
        <v/>
      </c>
      <c r="AC54" s="23" t="n"/>
      <c r="AD54" s="36" t="n"/>
      <c r="AE54" s="23" t="n"/>
      <c r="AF54" s="36" t="n"/>
      <c r="AG54" s="23" t="n"/>
      <c r="AH54" s="36" t="n"/>
      <c r="AI54" s="41">
        <f>IFERROR(AVERAGE(AD54,AF54,AH54),"")</f>
        <v/>
      </c>
      <c r="AJ54" s="29">
        <f>IFERROR(IF(AI54="","sem dados",IF(AB54&lt;AI54*0.95,"abaixo",IF(AB54&gt;AI54*1.05,"acima","em linha"))),"")</f>
        <v/>
      </c>
      <c r="AK54" s="23" t="inlineStr">
        <is>
          <t>não</t>
        </is>
      </c>
      <c r="AL54" s="23" t="n"/>
      <c r="AM54" s="23" t="n"/>
      <c r="AN54" s="23" t="n"/>
      <c r="AO54" s="44">
        <f>A54</f>
        <v/>
      </c>
      <c r="AP54" s="44">
        <f>D54</f>
        <v/>
      </c>
    </row>
    <row r="55" hidden="1" ht="15.75" customHeight="1" s="93">
      <c r="A55" s="23" t="inlineStr">
        <is>
          <t>0.0162.F001196.0</t>
        </is>
      </c>
      <c r="B55" s="23" t="inlineStr">
        <is>
          <t>F001196</t>
        </is>
      </c>
      <c r="C55" s="29">
        <f>IFERROR(LOWER(SUBSTITUTE(SUBSTITUTE(SUBSTITUTE(SUBSTITUTE(D55," ","-"),"/","-"),".",""),",","")),"")</f>
        <v/>
      </c>
      <c r="D55" s="23" t="inlineStr">
        <is>
          <t>NIPLE DUPLO GALV. 10 1/1/4</t>
        </is>
      </c>
      <c r="E55" s="23" t="n"/>
      <c r="F55" s="23" t="inlineStr">
        <is>
          <t>SOHIPREN</t>
        </is>
      </c>
      <c r="G55" s="23" t="n"/>
      <c r="H55" s="23" t="inlineStr">
        <is>
          <t>draft</t>
        </is>
      </c>
      <c r="I55" s="23" t="inlineStr">
        <is>
          <t>ARGON</t>
        </is>
      </c>
      <c r="J55" s="23" t="n"/>
      <c r="K55" s="23" t="n"/>
      <c r="L55" s="23" t="inlineStr">
        <is>
          <t>TUPY-280-20</t>
        </is>
      </c>
      <c r="M55" s="31" t="n"/>
      <c r="N55" s="31" t="n"/>
      <c r="O55" s="31" t="n"/>
      <c r="P55" s="31" t="n"/>
      <c r="Q55" s="31" t="n"/>
      <c r="R55" s="34">
        <f>IFERROR(IF(AND(O55&gt;0,P55&gt;0,Q55&gt;0),(O55*P55*Q55)/6000,""),"")</f>
        <v/>
      </c>
      <c r="S55" s="34">
        <f>IFERROR(IF(AND(N55&gt;0,R55&gt;0),MAX(N55,R55),IF(N55&gt;0,N55,IF(R55&gt;0,R55,""))),"")</f>
        <v/>
      </c>
      <c r="T55" s="36" t="n"/>
      <c r="U55" s="38" t="inlineStr">
        <is>
          <t>FALTA</t>
        </is>
      </c>
      <c r="V55" s="36" t="n">
        <v>59</v>
      </c>
      <c r="W55" s="39" t="n">
        <v>0.3</v>
      </c>
      <c r="X55" s="41">
        <f>IFERROR(V55+T55,"")</f>
        <v/>
      </c>
      <c r="Y55" s="41">
        <f>IFERROR(IF(W55&lt;1,X55/(1-W55),""),"")</f>
        <v/>
      </c>
      <c r="Z55" s="43">
        <f>'01_CONFIG_GLOBAL'!$C$14</f>
        <v/>
      </c>
      <c r="AA55" s="41">
        <f>IFERROR(Y55*Z55,"")</f>
        <v/>
      </c>
      <c r="AB55" s="41">
        <f>IFERROR(IF(Z55&lt;1,Y55/(1-Z55),""),"")</f>
        <v/>
      </c>
      <c r="AC55" s="23" t="n"/>
      <c r="AD55" s="36" t="n"/>
      <c r="AE55" s="23" t="n"/>
      <c r="AF55" s="36" t="n"/>
      <c r="AG55" s="23" t="n"/>
      <c r="AH55" s="36" t="n"/>
      <c r="AI55" s="41">
        <f>IFERROR(AVERAGE(AD55,AF55,AH55),"")</f>
        <v/>
      </c>
      <c r="AJ55" s="29">
        <f>IFERROR(IF(AI55="","sem dados",IF(AB55&lt;AI55*0.95,"abaixo",IF(AB55&gt;AI55*1.05,"acima","em linha"))),"")</f>
        <v/>
      </c>
      <c r="AK55" s="23" t="inlineStr">
        <is>
          <t>não</t>
        </is>
      </c>
      <c r="AL55" s="23" t="n"/>
      <c r="AM55" s="23" t="n"/>
      <c r="AN55" s="23" t="n"/>
      <c r="AO55" s="44">
        <f>A55</f>
        <v/>
      </c>
      <c r="AP55" s="44">
        <f>D55</f>
        <v/>
      </c>
    </row>
    <row r="56" hidden="1" ht="15.75" customHeight="1" s="93">
      <c r="A56" s="23" t="inlineStr">
        <is>
          <t>0.2122.F001197.0</t>
        </is>
      </c>
      <c r="B56" s="23" t="inlineStr">
        <is>
          <t>F001197</t>
        </is>
      </c>
      <c r="C56" s="29">
        <f>IFERROR(LOWER(SUBSTITUTE(SUBSTITUTE(SUBSTITUTE(SUBSTITUTE(D56," ","-"),"/","-"),".",""),",","")),"")</f>
        <v/>
      </c>
      <c r="D56" s="23" t="inlineStr">
        <is>
          <t>COTOVELO 90 GALV. CL10 1.1/2</t>
        </is>
      </c>
      <c r="E56" s="23" t="n"/>
      <c r="F56" s="23" t="inlineStr">
        <is>
          <t>SOHIPREN</t>
        </is>
      </c>
      <c r="G56" s="23" t="n"/>
      <c r="H56" s="23" t="inlineStr">
        <is>
          <t>draft</t>
        </is>
      </c>
      <c r="I56" s="23" t="inlineStr">
        <is>
          <t>ARGON</t>
        </is>
      </c>
      <c r="J56" s="23" t="n"/>
      <c r="K56" s="23" t="n"/>
      <c r="L56" s="23" t="inlineStr">
        <is>
          <t>TUPY-90-24</t>
        </is>
      </c>
      <c r="M56" s="31" t="n"/>
      <c r="N56" s="31" t="n"/>
      <c r="O56" s="31" t="n"/>
      <c r="P56" s="31" t="n"/>
      <c r="Q56" s="31" t="n"/>
      <c r="R56" s="34">
        <f>IFERROR(IF(AND(O56&gt;0,P56&gt;0,Q56&gt;0),(O56*P56*Q56)/6000,""),"")</f>
        <v/>
      </c>
      <c r="S56" s="34">
        <f>IFERROR(IF(AND(N56&gt;0,R56&gt;0),MAX(N56,R56),IF(N56&gt;0,N56,IF(R56&gt;0,R56,""))),"")</f>
        <v/>
      </c>
      <c r="T56" s="36" t="n"/>
      <c r="U56" s="38" t="inlineStr">
        <is>
          <t>FALTA</t>
        </is>
      </c>
      <c r="V56" s="36" t="n">
        <v>9817.5</v>
      </c>
      <c r="W56" s="39" t="n">
        <v>0.3</v>
      </c>
      <c r="X56" s="41">
        <f>IFERROR(V56+T56,"")</f>
        <v/>
      </c>
      <c r="Y56" s="41">
        <f>IFERROR(IF(W56&lt;1,X56/(1-W56),""),"")</f>
        <v/>
      </c>
      <c r="Z56" s="43">
        <f>'01_CONFIG_GLOBAL'!$C$14</f>
        <v/>
      </c>
      <c r="AA56" s="41">
        <f>IFERROR(Y56*Z56,"")</f>
        <v/>
      </c>
      <c r="AB56" s="41">
        <f>IFERROR(IF(Z56&lt;1,Y56/(1-Z56),""),"")</f>
        <v/>
      </c>
      <c r="AC56" s="23" t="n"/>
      <c r="AD56" s="36" t="n"/>
      <c r="AE56" s="23" t="n"/>
      <c r="AF56" s="36" t="n"/>
      <c r="AG56" s="23" t="n"/>
      <c r="AH56" s="36" t="n"/>
      <c r="AI56" s="41">
        <f>IFERROR(AVERAGE(AD56,AF56,AH56),"")</f>
        <v/>
      </c>
      <c r="AJ56" s="29">
        <f>IFERROR(IF(AI56="","sem dados",IF(AB56&lt;AI56*0.95,"abaixo",IF(AB56&gt;AI56*1.05,"acima","em linha"))),"")</f>
        <v/>
      </c>
      <c r="AK56" s="23" t="inlineStr">
        <is>
          <t>não</t>
        </is>
      </c>
      <c r="AL56" s="23" t="n"/>
      <c r="AM56" s="23" t="n"/>
      <c r="AN56" s="23" t="n"/>
      <c r="AO56" s="44">
        <f>A56</f>
        <v/>
      </c>
      <c r="AP56" s="44">
        <f>D56</f>
        <v/>
      </c>
    </row>
    <row r="57" hidden="1" ht="15.75" customHeight="1" s="93">
      <c r="A57" s="23" t="inlineStr">
        <is>
          <t>0.2122.F001198.0</t>
        </is>
      </c>
      <c r="B57" s="23" t="inlineStr">
        <is>
          <t>F001198</t>
        </is>
      </c>
      <c r="C57" s="29">
        <f>IFERROR(LOWER(SUBSTITUTE(SUBSTITUTE(SUBSTITUTE(SUBSTITUTE(D57," ","-"),"/","-"),".",""),",","")),"")</f>
        <v/>
      </c>
      <c r="D57" s="23" t="inlineStr">
        <is>
          <t>COTOVELO 90 GALV. CL10 1.1/4</t>
        </is>
      </c>
      <c r="E57" s="23" t="n"/>
      <c r="F57" s="23" t="inlineStr">
        <is>
          <t>SOHIPREN</t>
        </is>
      </c>
      <c r="G57" s="23" t="n"/>
      <c r="H57" s="23" t="inlineStr">
        <is>
          <t>draft</t>
        </is>
      </c>
      <c r="I57" s="23" t="inlineStr">
        <is>
          <t>ARGON</t>
        </is>
      </c>
      <c r="J57" s="23" t="n"/>
      <c r="K57" s="23" t="n"/>
      <c r="L57" s="23" t="inlineStr">
        <is>
          <t>TUPY-90-20</t>
        </is>
      </c>
      <c r="M57" s="31" t="n"/>
      <c r="N57" s="31" t="n"/>
      <c r="O57" s="31" t="n"/>
      <c r="P57" s="31" t="n"/>
      <c r="Q57" s="31" t="n"/>
      <c r="R57" s="34">
        <f>IFERROR(IF(AND(O57&gt;0,P57&gt;0,Q57&gt;0),(O57*P57*Q57)/6000,""),"")</f>
        <v/>
      </c>
      <c r="S57" s="34">
        <f>IFERROR(IF(AND(N57&gt;0,R57&gt;0),MAX(N57,R57),IF(N57&gt;0,N57,IF(R57&gt;0,R57,""))),"")</f>
        <v/>
      </c>
      <c r="T57" s="36" t="n"/>
      <c r="U57" s="38" t="inlineStr">
        <is>
          <t>FALTA</t>
        </is>
      </c>
      <c r="V57" s="36" t="n">
        <v>9817.5</v>
      </c>
      <c r="W57" s="39" t="n">
        <v>0.3</v>
      </c>
      <c r="X57" s="41">
        <f>IFERROR(V57+T57,"")</f>
        <v/>
      </c>
      <c r="Y57" s="41">
        <f>IFERROR(IF(W57&lt;1,X57/(1-W57),""),"")</f>
        <v/>
      </c>
      <c r="Z57" s="43">
        <f>'01_CONFIG_GLOBAL'!$C$14</f>
        <v/>
      </c>
      <c r="AA57" s="41">
        <f>IFERROR(Y57*Z57,"")</f>
        <v/>
      </c>
      <c r="AB57" s="41">
        <f>IFERROR(IF(Z57&lt;1,Y57/(1-Z57),""),"")</f>
        <v/>
      </c>
      <c r="AC57" s="23" t="n"/>
      <c r="AD57" s="36" t="n"/>
      <c r="AE57" s="23" t="n"/>
      <c r="AF57" s="36" t="n"/>
      <c r="AG57" s="23" t="n"/>
      <c r="AH57" s="36" t="n"/>
      <c r="AI57" s="41">
        <f>IFERROR(AVERAGE(AD57,AF57,AH57),"")</f>
        <v/>
      </c>
      <c r="AJ57" s="29">
        <f>IFERROR(IF(AI57="","sem dados",IF(AB57&lt;AI57*0.95,"abaixo",IF(AB57&gt;AI57*1.05,"acima","em linha"))),"")</f>
        <v/>
      </c>
      <c r="AK57" s="23" t="inlineStr">
        <is>
          <t>não</t>
        </is>
      </c>
      <c r="AL57" s="23" t="n"/>
      <c r="AM57" s="23" t="n"/>
      <c r="AN57" s="23" t="n"/>
      <c r="AO57" s="44">
        <f>A57</f>
        <v/>
      </c>
      <c r="AP57" s="44">
        <f>D57</f>
        <v/>
      </c>
    </row>
    <row r="58" hidden="1" ht="15.75" customHeight="1" s="93">
      <c r="A58" s="23" t="inlineStr">
        <is>
          <t>0.2122.F001199.0</t>
        </is>
      </c>
      <c r="B58" s="23" t="inlineStr">
        <is>
          <t>F001199</t>
        </is>
      </c>
      <c r="C58" s="29">
        <f>IFERROR(LOWER(SUBSTITUTE(SUBSTITUTE(SUBSTITUTE(SUBSTITUTE(D58," ","-"),"/","-"),".",""),",","")),"")</f>
        <v/>
      </c>
      <c r="D58" s="23" t="inlineStr">
        <is>
          <t>ESPIGAO ROSCA 1.1/4 BSP X ESPIGAO 1.1/4 ALUMINIO</t>
        </is>
      </c>
      <c r="E58" s="23" t="n"/>
      <c r="F58" s="23" t="inlineStr">
        <is>
          <t>SOHIPREN</t>
        </is>
      </c>
      <c r="G58" s="23" t="n"/>
      <c r="H58" s="23" t="inlineStr">
        <is>
          <t>draft</t>
        </is>
      </c>
      <c r="I58" s="23" t="inlineStr">
        <is>
          <t>ARGON</t>
        </is>
      </c>
      <c r="J58" s="23" t="n"/>
      <c r="K58" s="23" t="n"/>
      <c r="L58" s="23" t="inlineStr">
        <is>
          <t>ERT-E-BSP-20A</t>
        </is>
      </c>
      <c r="M58" s="31" t="n"/>
      <c r="N58" s="31" t="n"/>
      <c r="O58" s="31" t="n"/>
      <c r="P58" s="31" t="n"/>
      <c r="Q58" s="31" t="n"/>
      <c r="R58" s="34">
        <f>IFERROR(IF(AND(O58&gt;0,P58&gt;0,Q58&gt;0),(O58*P58*Q58)/6000,""),"")</f>
        <v/>
      </c>
      <c r="S58" s="34">
        <f>IFERROR(IF(AND(N58&gt;0,R58&gt;0),MAX(N58,R58),IF(N58&gt;0,N58,IF(R58&gt;0,R58,""))),"")</f>
        <v/>
      </c>
      <c r="T58" s="36" t="n"/>
      <c r="U58" s="38" t="inlineStr">
        <is>
          <t>FALTA</t>
        </is>
      </c>
      <c r="V58" s="36" t="n">
        <v>9817.5</v>
      </c>
      <c r="W58" s="39" t="n">
        <v>0.3</v>
      </c>
      <c r="X58" s="41">
        <f>IFERROR(V58+T58,"")</f>
        <v/>
      </c>
      <c r="Y58" s="41">
        <f>IFERROR(IF(W58&lt;1,X58/(1-W58),""),"")</f>
        <v/>
      </c>
      <c r="Z58" s="43">
        <f>'01_CONFIG_GLOBAL'!$C$14</f>
        <v/>
      </c>
      <c r="AA58" s="41">
        <f>IFERROR(Y58*Z58,"")</f>
        <v/>
      </c>
      <c r="AB58" s="41">
        <f>IFERROR(IF(Z58&lt;1,Y58/(1-Z58),""),"")</f>
        <v/>
      </c>
      <c r="AC58" s="23" t="n"/>
      <c r="AD58" s="36" t="n"/>
      <c r="AE58" s="23" t="n"/>
      <c r="AF58" s="36" t="n"/>
      <c r="AG58" s="23" t="n"/>
      <c r="AH58" s="36" t="n"/>
      <c r="AI58" s="41">
        <f>IFERROR(AVERAGE(AD58,AF58,AH58),"")</f>
        <v/>
      </c>
      <c r="AJ58" s="29">
        <f>IFERROR(IF(AI58="","sem dados",IF(AB58&lt;AI58*0.95,"abaixo",IF(AB58&gt;AI58*1.05,"acima","em linha"))),"")</f>
        <v/>
      </c>
      <c r="AK58" s="23" t="inlineStr">
        <is>
          <t>não</t>
        </is>
      </c>
      <c r="AL58" s="23" t="n"/>
      <c r="AM58" s="23" t="n"/>
      <c r="AN58" s="23" t="n"/>
      <c r="AO58" s="44">
        <f>A58</f>
        <v/>
      </c>
      <c r="AP58" s="44">
        <f>D58</f>
        <v/>
      </c>
    </row>
    <row r="59" hidden="1" ht="15.75" customHeight="1" s="93">
      <c r="A59" s="23" t="inlineStr">
        <is>
          <t>0.0166.F001541.0</t>
        </is>
      </c>
      <c r="B59" s="23" t="inlineStr">
        <is>
          <t>F001541</t>
        </is>
      </c>
      <c r="C59" s="29">
        <f>IFERROR(LOWER(SUBSTITUTE(SUBSTITUTE(SUBSTITUTE(SUBSTITUTE(D59," ","-"),"/","-"),".",""),",","")),"")</f>
        <v/>
      </c>
      <c r="D59" s="23" t="inlineStr">
        <is>
          <t>ABRACADEIRA DE FITA 9MM 14-22</t>
        </is>
      </c>
      <c r="E59" s="23" t="n"/>
      <c r="F59" s="23" t="inlineStr">
        <is>
          <t>SOHIPREN</t>
        </is>
      </c>
      <c r="G59" s="23" t="n"/>
      <c r="H59" s="23" t="inlineStr">
        <is>
          <t>draft</t>
        </is>
      </c>
      <c r="I59" s="23" t="inlineStr">
        <is>
          <t>ARGON</t>
        </is>
      </c>
      <c r="J59" s="23" t="n"/>
      <c r="K59" s="23" t="n"/>
      <c r="L59" s="23" t="inlineStr">
        <is>
          <t>ABRAC14-25-38</t>
        </is>
      </c>
      <c r="M59" s="31" t="n"/>
      <c r="N59" s="31" t="n"/>
      <c r="O59" s="31" t="n"/>
      <c r="P59" s="31" t="n"/>
      <c r="Q59" s="31" t="n"/>
      <c r="R59" s="34">
        <f>IFERROR(IF(AND(O59&gt;0,P59&gt;0,Q59&gt;0),(O59*P59*Q59)/6000,""),"")</f>
        <v/>
      </c>
      <c r="S59" s="34">
        <f>IFERROR(IF(AND(N59&gt;0,R59&gt;0),MAX(N59,R59),IF(N59&gt;0,N59,IF(R59&gt;0,R59,""))),"")</f>
        <v/>
      </c>
      <c r="T59" s="36" t="n"/>
      <c r="U59" s="38" t="inlineStr">
        <is>
          <t>FALTA</t>
        </is>
      </c>
      <c r="V59" s="36" t="n">
        <v>59</v>
      </c>
      <c r="W59" s="39" t="n">
        <v>0.3</v>
      </c>
      <c r="X59" s="41">
        <f>IFERROR(V59+T59,"")</f>
        <v/>
      </c>
      <c r="Y59" s="41">
        <f>IFERROR(IF(W59&lt;1,X59/(1-W59),""),"")</f>
        <v/>
      </c>
      <c r="Z59" s="43">
        <f>'01_CONFIG_GLOBAL'!$C$14</f>
        <v/>
      </c>
      <c r="AA59" s="41">
        <f>IFERROR(Y59*Z59,"")</f>
        <v/>
      </c>
      <c r="AB59" s="41">
        <f>IFERROR(IF(Z59&lt;1,Y59/(1-Z59),""),"")</f>
        <v/>
      </c>
      <c r="AC59" s="23" t="n"/>
      <c r="AD59" s="36" t="n"/>
      <c r="AE59" s="23" t="n"/>
      <c r="AF59" s="36" t="n"/>
      <c r="AG59" s="23" t="n"/>
      <c r="AH59" s="36" t="n"/>
      <c r="AI59" s="41">
        <f>IFERROR(AVERAGE(AD59,AF59,AH59),"")</f>
        <v/>
      </c>
      <c r="AJ59" s="29">
        <f>IFERROR(IF(AI59="","sem dados",IF(AB59&lt;AI59*0.95,"abaixo",IF(AB59&gt;AI59*1.05,"acima","em linha"))),"")</f>
        <v/>
      </c>
      <c r="AK59" s="23" t="inlineStr">
        <is>
          <t>não</t>
        </is>
      </c>
      <c r="AL59" s="23" t="n"/>
      <c r="AM59" s="23" t="n"/>
      <c r="AN59" s="23" t="n"/>
      <c r="AO59" s="44">
        <f>A59</f>
        <v/>
      </c>
      <c r="AP59" s="44">
        <f>D59</f>
        <v/>
      </c>
    </row>
    <row r="60" hidden="1" ht="15.75" customHeight="1" s="93">
      <c r="A60" s="23" t="inlineStr">
        <is>
          <t>0.0166.F001533.0</t>
        </is>
      </c>
      <c r="B60" s="23" t="inlineStr">
        <is>
          <t>F001533</t>
        </is>
      </c>
      <c r="C60" s="29">
        <f>IFERROR(LOWER(SUBSTITUTE(SUBSTITUTE(SUBSTITUTE(SUBSTITUTE(D60," ","-"),"/","-"),".",""),",","")),"")</f>
        <v/>
      </c>
      <c r="D60" s="23" t="inlineStr">
        <is>
          <t>ABRACADEIRA DE FITA 14MM 13-19</t>
        </is>
      </c>
      <c r="E60" s="23" t="n"/>
      <c r="F60" s="23" t="inlineStr">
        <is>
          <t>SOHIPREN</t>
        </is>
      </c>
      <c r="G60" s="23" t="n"/>
      <c r="H60" s="23" t="inlineStr">
        <is>
          <t>draft</t>
        </is>
      </c>
      <c r="I60" s="23" t="inlineStr">
        <is>
          <t>ARGON</t>
        </is>
      </c>
      <c r="J60" s="23" t="n"/>
      <c r="K60" s="23" t="n"/>
      <c r="L60" s="23" t="inlineStr">
        <is>
          <t>ABRAC14-25-38</t>
        </is>
      </c>
      <c r="M60" s="31" t="n"/>
      <c r="N60" s="31" t="n"/>
      <c r="O60" s="31" t="n"/>
      <c r="P60" s="31" t="n"/>
      <c r="Q60" s="31" t="n"/>
      <c r="R60" s="34">
        <f>IFERROR(IF(AND(O60&gt;0,P60&gt;0,Q60&gt;0),(O60*P60*Q60)/6000,""),"")</f>
        <v/>
      </c>
      <c r="S60" s="34">
        <f>IFERROR(IF(AND(N60&gt;0,R60&gt;0),MAX(N60,R60),IF(N60&gt;0,N60,IF(R60&gt;0,R60,""))),"")</f>
        <v/>
      </c>
      <c r="T60" s="36" t="n"/>
      <c r="U60" s="38" t="inlineStr">
        <is>
          <t>FALTA</t>
        </is>
      </c>
      <c r="V60" s="36" t="n">
        <v>59</v>
      </c>
      <c r="W60" s="39" t="n">
        <v>0.3</v>
      </c>
      <c r="X60" s="41">
        <f>IFERROR(V60+T60,"")</f>
        <v/>
      </c>
      <c r="Y60" s="41">
        <f>IFERROR(IF(W60&lt;1,X60/(1-W60),""),"")</f>
        <v/>
      </c>
      <c r="Z60" s="43">
        <f>'01_CONFIG_GLOBAL'!$C$14</f>
        <v/>
      </c>
      <c r="AA60" s="41">
        <f>IFERROR(Y60*Z60,"")</f>
        <v/>
      </c>
      <c r="AB60" s="41">
        <f>IFERROR(IF(Z60&lt;1,Y60/(1-Z60),""),"")</f>
        <v/>
      </c>
      <c r="AC60" s="23" t="n"/>
      <c r="AD60" s="36" t="n"/>
      <c r="AE60" s="23" t="n"/>
      <c r="AF60" s="36" t="n"/>
      <c r="AG60" s="23" t="n"/>
      <c r="AH60" s="36" t="n"/>
      <c r="AI60" s="41">
        <f>IFERROR(AVERAGE(AD60,AF60,AH60),"")</f>
        <v/>
      </c>
      <c r="AJ60" s="29">
        <f>IFERROR(IF(AI60="","sem dados",IF(AB60&lt;AI60*0.95,"abaixo",IF(AB60&gt;AI60*1.05,"acima","em linha"))),"")</f>
        <v/>
      </c>
      <c r="AK60" s="23" t="inlineStr">
        <is>
          <t>não</t>
        </is>
      </c>
      <c r="AL60" s="23" t="n"/>
      <c r="AM60" s="23" t="n"/>
      <c r="AN60" s="23" t="n"/>
      <c r="AO60" s="44">
        <f>A60</f>
        <v/>
      </c>
      <c r="AP60" s="44">
        <f>D60</f>
        <v/>
      </c>
    </row>
    <row r="61" hidden="1" ht="15.75" customHeight="1" s="93">
      <c r="A61" s="23" t="inlineStr">
        <is>
          <t>0.2206.F001215.0</t>
        </is>
      </c>
      <c r="B61" s="23" t="inlineStr">
        <is>
          <t>F001315</t>
        </is>
      </c>
      <c r="C61" s="29">
        <f>IFERROR(LOWER(SUBSTITUTE(SUBSTITUTE(SUBSTITUTE(SUBSTITUTE(D61," ","-"),"/","-"),".",""),",","")),"")</f>
        <v/>
      </c>
      <c r="D61" s="23" t="inlineStr">
        <is>
          <t>TEE FG 7/8 JIC X MF 7/8 JIC X MF 7/8 JIC</t>
        </is>
      </c>
      <c r="E61" s="23" t="n"/>
      <c r="F61" s="23" t="inlineStr">
        <is>
          <t>SOHIPREN</t>
        </is>
      </c>
      <c r="G61" s="23" t="n"/>
      <c r="H61" s="23" t="inlineStr">
        <is>
          <t>draft</t>
        </is>
      </c>
      <c r="I61" s="23" t="inlineStr">
        <is>
          <t>ARGON</t>
        </is>
      </c>
      <c r="J61" s="23" t="n"/>
      <c r="K61" s="23" t="n"/>
      <c r="L61" s="23" t="inlineStr">
        <is>
          <t>M033FG-10C</t>
        </is>
      </c>
      <c r="M61" s="31" t="n"/>
      <c r="N61" s="31" t="n"/>
      <c r="O61" s="31" t="n"/>
      <c r="P61" s="31" t="n"/>
      <c r="Q61" s="31" t="n"/>
      <c r="R61" s="34">
        <f>IFERROR(IF(AND(O61&gt;0,P61&gt;0,Q61&gt;0),(O61*P61*Q61)/6000,""),"")</f>
        <v/>
      </c>
      <c r="S61" s="34">
        <f>IFERROR(IF(AND(N61&gt;0,R61&gt;0),MAX(N61,R61),IF(N61&gt;0,N61,IF(R61&gt;0,R61,""))),"")</f>
        <v/>
      </c>
      <c r="T61" s="36" t="n"/>
      <c r="U61" s="38" t="inlineStr">
        <is>
          <t>FALTA</t>
        </is>
      </c>
      <c r="V61" s="36" t="n">
        <v>335.5</v>
      </c>
      <c r="W61" s="39" t="n">
        <v>0.3</v>
      </c>
      <c r="X61" s="41">
        <f>IFERROR(V61+T61,"")</f>
        <v/>
      </c>
      <c r="Y61" s="41">
        <f>IFERROR(IF(W61&lt;1,X61/(1-W61),""),"")</f>
        <v/>
      </c>
      <c r="Z61" s="43">
        <f>'01_CONFIG_GLOBAL'!$C$14</f>
        <v/>
      </c>
      <c r="AA61" s="41">
        <f>IFERROR(Y61*Z61,"")</f>
        <v/>
      </c>
      <c r="AB61" s="41">
        <f>IFERROR(IF(Z61&lt;1,Y61/(1-Z61),""),"")</f>
        <v/>
      </c>
      <c r="AC61" s="23" t="n"/>
      <c r="AD61" s="36" t="n"/>
      <c r="AE61" s="23" t="n"/>
      <c r="AF61" s="36" t="n"/>
      <c r="AG61" s="23" t="n"/>
      <c r="AH61" s="36" t="n"/>
      <c r="AI61" s="41">
        <f>IFERROR(AVERAGE(AD61,AF61,AH61),"")</f>
        <v/>
      </c>
      <c r="AJ61" s="29">
        <f>IFERROR(IF(AI61="","sem dados",IF(AB61&lt;AI61*0.95,"abaixo",IF(AB61&gt;AI61*1.05,"acima","em linha"))),"")</f>
        <v/>
      </c>
      <c r="AK61" s="23" t="inlineStr">
        <is>
          <t>não</t>
        </is>
      </c>
      <c r="AL61" s="23" t="n"/>
      <c r="AM61" s="23" t="n"/>
      <c r="AN61" s="23" t="n"/>
      <c r="AO61" s="44">
        <f>A61</f>
        <v/>
      </c>
      <c r="AP61" s="44">
        <f>D61</f>
        <v/>
      </c>
    </row>
    <row r="62" hidden="1" ht="15.75" customHeight="1" s="93">
      <c r="A62" s="23" t="inlineStr">
        <is>
          <t>0.7001.F001453.0</t>
        </is>
      </c>
      <c r="B62" s="23" t="inlineStr">
        <is>
          <t>F001453</t>
        </is>
      </c>
      <c r="C62" s="29">
        <f>IFERROR(LOWER(SUBSTITUTE(SUBSTITUTE(SUBSTITUTE(SUBSTITUTE(D62," ","-"),"/","-"),".",""),",","")),"")</f>
        <v/>
      </c>
      <c r="D62" s="23" t="inlineStr">
        <is>
          <t>CHAVE COMBINADA - 22 MM</t>
        </is>
      </c>
      <c r="E62" s="23" t="n"/>
      <c r="F62" s="23" t="inlineStr">
        <is>
          <t>SOHIPREN</t>
        </is>
      </c>
      <c r="G62" s="23" t="n"/>
      <c r="H62" s="23" t="inlineStr">
        <is>
          <t>draft</t>
        </is>
      </c>
      <c r="I62" s="23" t="inlineStr">
        <is>
          <t>ARGON</t>
        </is>
      </c>
      <c r="J62" s="23" t="n"/>
      <c r="K62" s="23" t="n"/>
      <c r="L62" s="23" t="inlineStr">
        <is>
          <t>CH1060-22</t>
        </is>
      </c>
      <c r="M62" s="31" t="n"/>
      <c r="N62" s="31" t="n"/>
      <c r="O62" s="31" t="n"/>
      <c r="P62" s="31" t="n"/>
      <c r="Q62" s="31" t="n"/>
      <c r="R62" s="34">
        <f>IFERROR(IF(AND(O62&gt;0,P62&gt;0,Q62&gt;0),(O62*P62*Q62)/6000,""),"")</f>
        <v/>
      </c>
      <c r="S62" s="34">
        <f>IFERROR(IF(AND(N62&gt;0,R62&gt;0),MAX(N62,R62),IF(N62&gt;0,N62,IF(R62&gt;0,R62,""))),"")</f>
        <v/>
      </c>
      <c r="T62" s="36" t="n"/>
      <c r="U62" s="38" t="inlineStr">
        <is>
          <t>FALTA</t>
        </is>
      </c>
      <c r="V62" s="36" t="n">
        <v>285</v>
      </c>
      <c r="W62" s="39" t="n">
        <v>0.3</v>
      </c>
      <c r="X62" s="41">
        <f>IFERROR(V62+T62,"")</f>
        <v/>
      </c>
      <c r="Y62" s="41">
        <f>IFERROR(IF(W62&lt;1,X62/(1-W62),""),"")</f>
        <v/>
      </c>
      <c r="Z62" s="43">
        <f>'01_CONFIG_GLOBAL'!$C$14</f>
        <v/>
      </c>
      <c r="AA62" s="41">
        <f>IFERROR(Y62*Z62,"")</f>
        <v/>
      </c>
      <c r="AB62" s="41">
        <f>IFERROR(IF(Z62&lt;1,Y62/(1-Z62),""),"")</f>
        <v/>
      </c>
      <c r="AC62" s="23" t="n"/>
      <c r="AD62" s="36" t="n"/>
      <c r="AE62" s="23" t="n"/>
      <c r="AF62" s="36" t="n"/>
      <c r="AG62" s="23" t="n"/>
      <c r="AH62" s="36" t="n"/>
      <c r="AI62" s="41">
        <f>IFERROR(AVERAGE(AD62,AF62,AH62),"")</f>
        <v/>
      </c>
      <c r="AJ62" s="29">
        <f>IFERROR(IF(AI62="","sem dados",IF(AB62&lt;AI62*0.95,"abaixo",IF(AB62&gt;AI62*1.05,"acima","em linha"))),"")</f>
        <v/>
      </c>
      <c r="AK62" s="23" t="inlineStr">
        <is>
          <t>não</t>
        </is>
      </c>
      <c r="AL62" s="23" t="n"/>
      <c r="AM62" s="23" t="n"/>
      <c r="AN62" s="23" t="n"/>
      <c r="AO62" s="44">
        <f>A62</f>
        <v/>
      </c>
      <c r="AP62" s="44">
        <f>D62</f>
        <v/>
      </c>
    </row>
    <row r="63" hidden="1" ht="15.75" customHeight="1" s="93">
      <c r="A63" s="23" t="inlineStr">
        <is>
          <t>0.7001.F001454.0</t>
        </is>
      </c>
      <c r="B63" s="23" t="inlineStr">
        <is>
          <t>F001454</t>
        </is>
      </c>
      <c r="C63" s="29">
        <f>IFERROR(LOWER(SUBSTITUTE(SUBSTITUTE(SUBSTITUTE(SUBSTITUTE(D63," ","-"),"/","-"),".",""),",","")),"")</f>
        <v/>
      </c>
      <c r="D63" s="23" t="inlineStr">
        <is>
          <t>CHAVE COMBINADA - 29 MM</t>
        </is>
      </c>
      <c r="E63" s="23" t="n"/>
      <c r="F63" s="23" t="inlineStr">
        <is>
          <t>SOHIPREN</t>
        </is>
      </c>
      <c r="G63" s="23" t="n"/>
      <c r="H63" s="23" t="inlineStr">
        <is>
          <t>draft</t>
        </is>
      </c>
      <c r="I63" s="23" t="inlineStr">
        <is>
          <t>ARGON</t>
        </is>
      </c>
      <c r="J63" s="23" t="n"/>
      <c r="K63" s="23" t="n"/>
      <c r="L63" s="23" t="inlineStr">
        <is>
          <t>3365125</t>
        </is>
      </c>
      <c r="M63" s="31" t="n"/>
      <c r="N63" s="31" t="n"/>
      <c r="O63" s="31" t="n"/>
      <c r="P63" s="31" t="n"/>
      <c r="Q63" s="31" t="n"/>
      <c r="R63" s="34">
        <f>IFERROR(IF(AND(O63&gt;0,P63&gt;0,Q63&gt;0),(O63*P63*Q63)/6000,""),"")</f>
        <v/>
      </c>
      <c r="S63" s="34">
        <f>IFERROR(IF(AND(N63&gt;0,R63&gt;0),MAX(N63,R63),IF(N63&gt;0,N63,IF(R63&gt;0,R63,""))),"")</f>
        <v/>
      </c>
      <c r="T63" s="36" t="n"/>
      <c r="U63" s="38" t="inlineStr">
        <is>
          <t>FALTA</t>
        </is>
      </c>
      <c r="V63" s="36" t="n">
        <v>285</v>
      </c>
      <c r="W63" s="39" t="n">
        <v>0.3</v>
      </c>
      <c r="X63" s="41">
        <f>IFERROR(V63+T63,"")</f>
        <v/>
      </c>
      <c r="Y63" s="41">
        <f>IFERROR(IF(W63&lt;1,X63/(1-W63),""),"")</f>
        <v/>
      </c>
      <c r="Z63" s="43">
        <f>'01_CONFIG_GLOBAL'!$C$14</f>
        <v/>
      </c>
      <c r="AA63" s="41">
        <f>IFERROR(Y63*Z63,"")</f>
        <v/>
      </c>
      <c r="AB63" s="41">
        <f>IFERROR(IF(Z63&lt;1,Y63/(1-Z63),""),"")</f>
        <v/>
      </c>
      <c r="AC63" s="23" t="n"/>
      <c r="AD63" s="36" t="n"/>
      <c r="AE63" s="23" t="n"/>
      <c r="AF63" s="36" t="n"/>
      <c r="AG63" s="23" t="n"/>
      <c r="AH63" s="36" t="n"/>
      <c r="AI63" s="41">
        <f>IFERROR(AVERAGE(AD63,AF63,AH63),"")</f>
        <v/>
      </c>
      <c r="AJ63" s="29">
        <f>IFERROR(IF(AI63="","sem dados",IF(AB63&lt;AI63*0.95,"abaixo",IF(AB63&gt;AI63*1.05,"acima","em linha"))),"")</f>
        <v/>
      </c>
      <c r="AK63" s="23" t="inlineStr">
        <is>
          <t>não</t>
        </is>
      </c>
      <c r="AL63" s="23" t="n"/>
      <c r="AM63" s="23" t="n"/>
      <c r="AN63" s="23" t="n"/>
      <c r="AO63" s="44">
        <f>A63</f>
        <v/>
      </c>
      <c r="AP63" s="44">
        <f>D63</f>
        <v/>
      </c>
    </row>
    <row r="64" hidden="1" ht="15.75" customHeight="1" s="93">
      <c r="A64" s="23" t="inlineStr">
        <is>
          <t>0.7001.F001455.0</t>
        </is>
      </c>
      <c r="B64" s="23" t="inlineStr">
        <is>
          <t>F001455</t>
        </is>
      </c>
      <c r="C64" s="29">
        <f>IFERROR(LOWER(SUBSTITUTE(SUBSTITUTE(SUBSTITUTE(SUBSTITUTE(D64," ","-"),"/","-"),".",""),",","")),"")</f>
        <v/>
      </c>
      <c r="D64" s="23" t="inlineStr">
        <is>
          <t>CHAVE COMBINADA - 24 MM</t>
        </is>
      </c>
      <c r="E64" s="23" t="n"/>
      <c r="F64" s="23" t="inlineStr">
        <is>
          <t>SOHIPREN</t>
        </is>
      </c>
      <c r="G64" s="23" t="n"/>
      <c r="H64" s="23" t="inlineStr">
        <is>
          <t>draft</t>
        </is>
      </c>
      <c r="I64" s="23" t="inlineStr">
        <is>
          <t>ARGON</t>
        </is>
      </c>
      <c r="J64" s="23" t="n"/>
      <c r="K64" s="23" t="n"/>
      <c r="L64" s="23" t="inlineStr">
        <is>
          <t>13209053</t>
        </is>
      </c>
      <c r="M64" s="31" t="n"/>
      <c r="N64" s="31" t="n"/>
      <c r="O64" s="31" t="n"/>
      <c r="P64" s="31" t="n"/>
      <c r="Q64" s="31" t="n"/>
      <c r="R64" s="34">
        <f>IFERROR(IF(AND(O64&gt;0,P64&gt;0,Q64&gt;0),(O64*P64*Q64)/6000,""),"")</f>
        <v/>
      </c>
      <c r="S64" s="34">
        <f>IFERROR(IF(AND(N64&gt;0,R64&gt;0),MAX(N64,R64),IF(N64&gt;0,N64,IF(R64&gt;0,R64,""))),"")</f>
        <v/>
      </c>
      <c r="T64" s="36" t="n"/>
      <c r="U64" s="38" t="inlineStr">
        <is>
          <t>FALTA</t>
        </is>
      </c>
      <c r="V64" s="36" t="n">
        <v>285</v>
      </c>
      <c r="W64" s="39" t="n">
        <v>0.3</v>
      </c>
      <c r="X64" s="41">
        <f>IFERROR(V64+T64,"")</f>
        <v/>
      </c>
      <c r="Y64" s="41">
        <f>IFERROR(IF(W64&lt;1,X64/(1-W64),""),"")</f>
        <v/>
      </c>
      <c r="Z64" s="43">
        <f>'01_CONFIG_GLOBAL'!$C$14</f>
        <v/>
      </c>
      <c r="AA64" s="41">
        <f>IFERROR(Y64*Z64,"")</f>
        <v/>
      </c>
      <c r="AB64" s="41">
        <f>IFERROR(IF(Z64&lt;1,Y64/(1-Z64),""),"")</f>
        <v/>
      </c>
      <c r="AC64" s="23" t="n"/>
      <c r="AD64" s="36" t="n"/>
      <c r="AE64" s="23" t="n"/>
      <c r="AF64" s="36" t="n"/>
      <c r="AG64" s="23" t="n"/>
      <c r="AH64" s="36" t="n"/>
      <c r="AI64" s="41">
        <f>IFERROR(AVERAGE(AD64,AF64,AH64),"")</f>
        <v/>
      </c>
      <c r="AJ64" s="29">
        <f>IFERROR(IF(AI64="","sem dados",IF(AB64&lt;AI64*0.95,"abaixo",IF(AB64&gt;AI64*1.05,"acima","em linha"))),"")</f>
        <v/>
      </c>
      <c r="AK64" s="23" t="inlineStr">
        <is>
          <t>não</t>
        </is>
      </c>
      <c r="AL64" s="23" t="n"/>
      <c r="AM64" s="23" t="n"/>
      <c r="AN64" s="23" t="n"/>
      <c r="AO64" s="44">
        <f>A64</f>
        <v/>
      </c>
      <c r="AP64" s="44">
        <f>D64</f>
        <v/>
      </c>
    </row>
    <row r="65" hidden="1" ht="15.75" customHeight="1" s="93">
      <c r="A65" s="23" t="inlineStr">
        <is>
          <t>0.7001.F001452.0</t>
        </is>
      </c>
      <c r="B65" s="23" t="inlineStr">
        <is>
          <t>F001452</t>
        </is>
      </c>
      <c r="C65" s="29">
        <f>IFERROR(LOWER(SUBSTITUTE(SUBSTITUTE(SUBSTITUTE(SUBSTITUTE(D65," ","-"),"/","-"),".",""),",","")),"")</f>
        <v/>
      </c>
      <c r="D65" s="23" t="inlineStr">
        <is>
          <t>CHAVE COMBINADA - 18 MM</t>
        </is>
      </c>
      <c r="E65" s="23" t="n"/>
      <c r="F65" s="23" t="inlineStr">
        <is>
          <t>SOHIPREN</t>
        </is>
      </c>
      <c r="G65" s="23" t="n"/>
      <c r="H65" s="23" t="inlineStr">
        <is>
          <t>draft</t>
        </is>
      </c>
      <c r="I65" s="23" t="inlineStr">
        <is>
          <t>ARGON</t>
        </is>
      </c>
      <c r="J65" s="23" t="n"/>
      <c r="K65" s="23" t="n"/>
      <c r="L65" s="23" t="inlineStr">
        <is>
          <t>13209051</t>
        </is>
      </c>
      <c r="M65" s="31" t="n"/>
      <c r="N65" s="31" t="n"/>
      <c r="O65" s="31" t="n"/>
      <c r="P65" s="31" t="n"/>
      <c r="Q65" s="31" t="n"/>
      <c r="R65" s="34">
        <f>IFERROR(IF(AND(O65&gt;0,P65&gt;0,Q65&gt;0),(O65*P65*Q65)/6000,""),"")</f>
        <v/>
      </c>
      <c r="S65" s="34">
        <f>IFERROR(IF(AND(N65&gt;0,R65&gt;0),MAX(N65,R65),IF(N65&gt;0,N65,IF(R65&gt;0,R65,""))),"")</f>
        <v/>
      </c>
      <c r="T65" s="36" t="n"/>
      <c r="U65" s="38" t="inlineStr">
        <is>
          <t>FALTA</t>
        </is>
      </c>
      <c r="V65" s="36" t="n">
        <v>285</v>
      </c>
      <c r="W65" s="39" t="n">
        <v>0.3</v>
      </c>
      <c r="X65" s="41">
        <f>IFERROR(V65+T65,"")</f>
        <v/>
      </c>
      <c r="Y65" s="41">
        <f>IFERROR(IF(W65&lt;1,X65/(1-W65),""),"")</f>
        <v/>
      </c>
      <c r="Z65" s="43">
        <f>'01_CONFIG_GLOBAL'!$C$14</f>
        <v/>
      </c>
      <c r="AA65" s="41">
        <f>IFERROR(Y65*Z65,"")</f>
        <v/>
      </c>
      <c r="AB65" s="41">
        <f>IFERROR(IF(Z65&lt;1,Y65/(1-Z65),""),"")</f>
        <v/>
      </c>
      <c r="AC65" s="23" t="n"/>
      <c r="AD65" s="36" t="n"/>
      <c r="AE65" s="23" t="n"/>
      <c r="AF65" s="36" t="n"/>
      <c r="AG65" s="23" t="n"/>
      <c r="AH65" s="36" t="n"/>
      <c r="AI65" s="41">
        <f>IFERROR(AVERAGE(AD65,AF65,AH65),"")</f>
        <v/>
      </c>
      <c r="AJ65" s="29">
        <f>IFERROR(IF(AI65="","sem dados",IF(AB65&lt;AI65*0.95,"abaixo",IF(AB65&gt;AI65*1.05,"acima","em linha"))),"")</f>
        <v/>
      </c>
      <c r="AK65" s="23" t="inlineStr">
        <is>
          <t>não</t>
        </is>
      </c>
      <c r="AL65" s="23" t="n"/>
      <c r="AM65" s="23" t="n"/>
      <c r="AN65" s="23" t="n"/>
      <c r="AO65" s="44">
        <f>A65</f>
        <v/>
      </c>
      <c r="AP65" s="44">
        <f>D65</f>
        <v/>
      </c>
    </row>
    <row r="66" hidden="1" ht="15.75" customHeight="1" s="93">
      <c r="A66" s="23" t="inlineStr">
        <is>
          <t>0.7001.F001451.0</t>
        </is>
      </c>
      <c r="B66" s="23" t="inlineStr">
        <is>
          <t>F001451</t>
        </is>
      </c>
      <c r="C66" s="29">
        <f>IFERROR(LOWER(SUBSTITUTE(SUBSTITUTE(SUBSTITUTE(SUBSTITUTE(D66," ","-"),"/","-"),".",""),",","")),"")</f>
        <v/>
      </c>
      <c r="D66" s="23" t="inlineStr">
        <is>
          <t>CHAVE COMBINADA - 16 MM</t>
        </is>
      </c>
      <c r="E66" s="23" t="n"/>
      <c r="F66" s="23" t="inlineStr">
        <is>
          <t>SOHIPREN</t>
        </is>
      </c>
      <c r="G66" s="23" t="n"/>
      <c r="H66" s="23" t="inlineStr">
        <is>
          <t>draft</t>
        </is>
      </c>
      <c r="I66" s="23" t="inlineStr">
        <is>
          <t>ARGON</t>
        </is>
      </c>
      <c r="J66" s="23" t="n"/>
      <c r="K66" s="23" t="n"/>
      <c r="L66" s="23" t="inlineStr">
        <is>
          <t>13209590</t>
        </is>
      </c>
      <c r="M66" s="31" t="n"/>
      <c r="N66" s="31" t="n"/>
      <c r="O66" s="31" t="n"/>
      <c r="P66" s="31" t="n"/>
      <c r="Q66" s="31" t="n"/>
      <c r="R66" s="34">
        <f>IFERROR(IF(AND(O66&gt;0,P66&gt;0,Q66&gt;0),(O66*P66*Q66)/6000,""),"")</f>
        <v/>
      </c>
      <c r="S66" s="34">
        <f>IFERROR(IF(AND(N66&gt;0,R66&gt;0),MAX(N66,R66),IF(N66&gt;0,N66,IF(R66&gt;0,R66,""))),"")</f>
        <v/>
      </c>
      <c r="T66" s="36" t="n"/>
      <c r="U66" s="38" t="inlineStr">
        <is>
          <t>FALTA</t>
        </is>
      </c>
      <c r="V66" s="36" t="n">
        <v>285</v>
      </c>
      <c r="W66" s="39" t="n">
        <v>0.3</v>
      </c>
      <c r="X66" s="41">
        <f>IFERROR(V66+T66,"")</f>
        <v/>
      </c>
      <c r="Y66" s="41">
        <f>IFERROR(IF(W66&lt;1,X66/(1-W66),""),"")</f>
        <v/>
      </c>
      <c r="Z66" s="43">
        <f>'01_CONFIG_GLOBAL'!$C$14</f>
        <v/>
      </c>
      <c r="AA66" s="41">
        <f>IFERROR(Y66*Z66,"")</f>
        <v/>
      </c>
      <c r="AB66" s="41">
        <f>IFERROR(IF(Z66&lt;1,Y66/(1-Z66),""),"")</f>
        <v/>
      </c>
      <c r="AC66" s="23" t="n"/>
      <c r="AD66" s="36" t="n"/>
      <c r="AE66" s="23" t="n"/>
      <c r="AF66" s="36" t="n"/>
      <c r="AG66" s="23" t="n"/>
      <c r="AH66" s="36" t="n"/>
      <c r="AI66" s="41">
        <f>IFERROR(AVERAGE(AD66,AF66,AH66),"")</f>
        <v/>
      </c>
      <c r="AJ66" s="29">
        <f>IFERROR(IF(AI66="","sem dados",IF(AB66&lt;AI66*0.95,"abaixo",IF(AB66&gt;AI66*1.05,"acima","em linha"))),"")</f>
        <v/>
      </c>
      <c r="AK66" s="23" t="inlineStr">
        <is>
          <t>não</t>
        </is>
      </c>
      <c r="AL66" s="23" t="n"/>
      <c r="AM66" s="23" t="n"/>
      <c r="AN66" s="23" t="n"/>
      <c r="AO66" s="44">
        <f>A66</f>
        <v/>
      </c>
      <c r="AP66" s="44">
        <f>D66</f>
        <v/>
      </c>
    </row>
    <row r="67" hidden="1" ht="15.75" customHeight="1" s="93">
      <c r="A67" s="23" t="inlineStr">
        <is>
          <t>0.7001.F001450.0</t>
        </is>
      </c>
      <c r="B67" s="23" t="inlineStr">
        <is>
          <t>F001450</t>
        </is>
      </c>
      <c r="C67" s="29">
        <f>IFERROR(LOWER(SUBSTITUTE(SUBSTITUTE(SUBSTITUTE(SUBSTITUTE(D67," ","-"),"/","-"),".",""),",","")),"")</f>
        <v/>
      </c>
      <c r="D67" s="23" t="inlineStr">
        <is>
          <t>CHAVE COMBINADA - 15 MM</t>
        </is>
      </c>
      <c r="E67" s="23" t="n"/>
      <c r="F67" s="23" t="inlineStr">
        <is>
          <t>SOHIPREN</t>
        </is>
      </c>
      <c r="G67" s="23" t="n"/>
      <c r="H67" s="23" t="inlineStr">
        <is>
          <t>draft</t>
        </is>
      </c>
      <c r="I67" s="23" t="inlineStr">
        <is>
          <t>ARGON</t>
        </is>
      </c>
      <c r="J67" s="23" t="n"/>
      <c r="K67" s="23" t="n"/>
      <c r="L67" s="23" t="inlineStr">
        <is>
          <t>13209049</t>
        </is>
      </c>
      <c r="M67" s="31" t="n"/>
      <c r="N67" s="31" t="n"/>
      <c r="O67" s="31" t="n"/>
      <c r="P67" s="31" t="n"/>
      <c r="Q67" s="31" t="n"/>
      <c r="R67" s="34">
        <f>IFERROR(IF(AND(O67&gt;0,P67&gt;0,Q67&gt;0),(O67*P67*Q67)/6000,""),"")</f>
        <v/>
      </c>
      <c r="S67" s="34">
        <f>IFERROR(IF(AND(N67&gt;0,R67&gt;0),MAX(N67,R67),IF(N67&gt;0,N67,IF(R67&gt;0,R67,""))),"")</f>
        <v/>
      </c>
      <c r="T67" s="36" t="n"/>
      <c r="U67" s="38" t="inlineStr">
        <is>
          <t>FALTA</t>
        </is>
      </c>
      <c r="V67" s="36" t="n">
        <v>285</v>
      </c>
      <c r="W67" s="39" t="n">
        <v>0.3</v>
      </c>
      <c r="X67" s="41">
        <f>IFERROR(V67+T67,"")</f>
        <v/>
      </c>
      <c r="Y67" s="41">
        <f>IFERROR(IF(W67&lt;1,X67/(1-W67),""),"")</f>
        <v/>
      </c>
      <c r="Z67" s="43">
        <f>'01_CONFIG_GLOBAL'!$C$14</f>
        <v/>
      </c>
      <c r="AA67" s="41">
        <f>IFERROR(Y67*Z67,"")</f>
        <v/>
      </c>
      <c r="AB67" s="41">
        <f>IFERROR(IF(Z67&lt;1,Y67/(1-Z67),""),"")</f>
        <v/>
      </c>
      <c r="AC67" s="23" t="n"/>
      <c r="AD67" s="36" t="n"/>
      <c r="AE67" s="23" t="n"/>
      <c r="AF67" s="36" t="n"/>
      <c r="AG67" s="23" t="n"/>
      <c r="AH67" s="36" t="n"/>
      <c r="AI67" s="41">
        <f>IFERROR(AVERAGE(AD67,AF67,AH67),"")</f>
        <v/>
      </c>
      <c r="AJ67" s="29">
        <f>IFERROR(IF(AI67="","sem dados",IF(AB67&lt;AI67*0.95,"abaixo",IF(AB67&gt;AI67*1.05,"acima","em linha"))),"")</f>
        <v/>
      </c>
      <c r="AK67" s="23" t="inlineStr">
        <is>
          <t>não</t>
        </is>
      </c>
      <c r="AL67" s="23" t="n"/>
      <c r="AM67" s="23" t="n"/>
      <c r="AN67" s="23" t="n"/>
      <c r="AO67" s="44">
        <f>A67</f>
        <v/>
      </c>
      <c r="AP67" s="44">
        <f>D67</f>
        <v/>
      </c>
    </row>
    <row r="68" hidden="1" ht="15.75" customHeight="1" s="93">
      <c r="A68" s="23" t="inlineStr">
        <is>
          <t>0.0162.F001483.0</t>
        </is>
      </c>
      <c r="B68" s="23" t="inlineStr">
        <is>
          <t>F001483</t>
        </is>
      </c>
      <c r="C68" s="29">
        <f>IFERROR(LOWER(SUBSTITUTE(SUBSTITUTE(SUBSTITUTE(SUBSTITUTE(D68," ","-"),"/","-"),".",""),",","")),"")</f>
        <v/>
      </c>
      <c r="D68" s="23" t="inlineStr">
        <is>
          <t>ADAPT FG 9/16 JIC X FG 9/16 JIC</t>
        </is>
      </c>
      <c r="E68" s="23" t="n"/>
      <c r="F68" s="23" t="inlineStr">
        <is>
          <t>SOHIPREN</t>
        </is>
      </c>
      <c r="G68" s="23" t="n"/>
      <c r="H68" s="23" t="inlineStr">
        <is>
          <t>draft</t>
        </is>
      </c>
      <c r="I68" s="23" t="inlineStr">
        <is>
          <t>ARGON</t>
        </is>
      </c>
      <c r="J68" s="23" t="n"/>
      <c r="K68" s="23" t="n"/>
      <c r="L68" s="23" t="inlineStr">
        <is>
          <t>M027FG-0606E</t>
        </is>
      </c>
      <c r="M68" s="31" t="n"/>
      <c r="N68" s="31" t="n"/>
      <c r="O68" s="31" t="n"/>
      <c r="P68" s="31" t="n"/>
      <c r="Q68" s="31" t="n"/>
      <c r="R68" s="34">
        <f>IFERROR(IF(AND(O68&gt;0,P68&gt;0,Q68&gt;0),(O68*P68*Q68)/6000,""),"")</f>
        <v/>
      </c>
      <c r="S68" s="34">
        <f>IFERROR(IF(AND(N68&gt;0,R68&gt;0),MAX(N68,R68),IF(N68&gt;0,N68,IF(R68&gt;0,R68,""))),"")</f>
        <v/>
      </c>
      <c r="T68" s="36" t="n"/>
      <c r="U68" s="38" t="inlineStr">
        <is>
          <t>FALTA</t>
        </is>
      </c>
      <c r="V68" s="36" t="n">
        <v>59</v>
      </c>
      <c r="W68" s="39" t="n">
        <v>0.3</v>
      </c>
      <c r="X68" s="41">
        <f>IFERROR(V68+T68,"")</f>
        <v/>
      </c>
      <c r="Y68" s="41">
        <f>IFERROR(IF(W68&lt;1,X68/(1-W68),""),"")</f>
        <v/>
      </c>
      <c r="Z68" s="43">
        <f>'01_CONFIG_GLOBAL'!$C$14</f>
        <v/>
      </c>
      <c r="AA68" s="41">
        <f>IFERROR(Y68*Z68,"")</f>
        <v/>
      </c>
      <c r="AB68" s="41">
        <f>IFERROR(IF(Z68&lt;1,Y68/(1-Z68),""),"")</f>
        <v/>
      </c>
      <c r="AC68" s="23" t="n"/>
      <c r="AD68" s="36" t="n"/>
      <c r="AE68" s="23" t="n"/>
      <c r="AF68" s="36" t="n"/>
      <c r="AG68" s="23" t="n"/>
      <c r="AH68" s="36" t="n"/>
      <c r="AI68" s="41">
        <f>IFERROR(AVERAGE(AD68,AF68,AH68),"")</f>
        <v/>
      </c>
      <c r="AJ68" s="29">
        <f>IFERROR(IF(AI68="","sem dados",IF(AB68&lt;AI68*0.95,"abaixo",IF(AB68&gt;AI68*1.05,"acima","em linha"))),"")</f>
        <v/>
      </c>
      <c r="AK68" s="23" t="inlineStr">
        <is>
          <t>não</t>
        </is>
      </c>
      <c r="AL68" s="23" t="n"/>
      <c r="AM68" s="23" t="n"/>
      <c r="AN68" s="23" t="n"/>
      <c r="AO68" s="44">
        <f>A68</f>
        <v/>
      </c>
      <c r="AP68" s="44">
        <f>D68</f>
        <v/>
      </c>
    </row>
    <row r="69" hidden="1" ht="15.75" customHeight="1" s="93">
      <c r="A69" s="23" t="inlineStr">
        <is>
          <t>0.2122.F001482.0</t>
        </is>
      </c>
      <c r="B69" s="23" t="inlineStr">
        <is>
          <t>F001482</t>
        </is>
      </c>
      <c r="C69" s="29">
        <f>IFERROR(LOWER(SUBSTITUTE(SUBSTITUTE(SUBSTITUTE(SUBSTITUTE(D69," ","-"),"/","-"),".",""),",","")),"")</f>
        <v/>
      </c>
      <c r="D69" s="23" t="inlineStr">
        <is>
          <t>COTOVELO 90 MACHO 9/16 ORING X 9/16 JIC</t>
        </is>
      </c>
      <c r="E69" s="23" t="n"/>
      <c r="F69" s="23" t="inlineStr">
        <is>
          <t>SOHIPREN</t>
        </is>
      </c>
      <c r="G69" s="23" t="n"/>
      <c r="H69" s="23" t="inlineStr">
        <is>
          <t>draft</t>
        </is>
      </c>
      <c r="I69" s="23" t="inlineStr">
        <is>
          <t>ARGON</t>
        </is>
      </c>
      <c r="J69" s="23" t="n"/>
      <c r="K69" s="23" t="n"/>
      <c r="L69" s="23" t="inlineStr">
        <is>
          <t>M062-06-06E</t>
        </is>
      </c>
      <c r="M69" s="31" t="n"/>
      <c r="N69" s="31" t="n"/>
      <c r="O69" s="31" t="n"/>
      <c r="P69" s="31" t="n"/>
      <c r="Q69" s="31" t="n"/>
      <c r="R69" s="34">
        <f>IFERROR(IF(AND(O69&gt;0,P69&gt;0,Q69&gt;0),(O69*P69*Q69)/6000,""),"")</f>
        <v/>
      </c>
      <c r="S69" s="34">
        <f>IFERROR(IF(AND(N69&gt;0,R69&gt;0),MAX(N69,R69),IF(N69&gt;0,N69,IF(R69&gt;0,R69,""))),"")</f>
        <v/>
      </c>
      <c r="T69" s="36" t="n"/>
      <c r="U69" s="38" t="inlineStr">
        <is>
          <t>FALTA</t>
        </is>
      </c>
      <c r="V69" s="36" t="n">
        <v>9817.5</v>
      </c>
      <c r="W69" s="39" t="n">
        <v>0.3</v>
      </c>
      <c r="X69" s="41">
        <f>IFERROR(V69+T69,"")</f>
        <v/>
      </c>
      <c r="Y69" s="41">
        <f>IFERROR(IF(W69&lt;1,X69/(1-W69),""),"")</f>
        <v/>
      </c>
      <c r="Z69" s="43">
        <f>'01_CONFIG_GLOBAL'!$C$14</f>
        <v/>
      </c>
      <c r="AA69" s="41">
        <f>IFERROR(Y69*Z69,"")</f>
        <v/>
      </c>
      <c r="AB69" s="41">
        <f>IFERROR(IF(Z69&lt;1,Y69/(1-Z69),""),"")</f>
        <v/>
      </c>
      <c r="AC69" s="23" t="n"/>
      <c r="AD69" s="36" t="n"/>
      <c r="AE69" s="23" t="n"/>
      <c r="AF69" s="36" t="n"/>
      <c r="AG69" s="23" t="n"/>
      <c r="AH69" s="36" t="n"/>
      <c r="AI69" s="41">
        <f>IFERROR(AVERAGE(AD69,AF69,AH69),"")</f>
        <v/>
      </c>
      <c r="AJ69" s="29">
        <f>IFERROR(IF(AI69="","sem dados",IF(AB69&lt;AI69*0.95,"abaixo",IF(AB69&gt;AI69*1.05,"acima","em linha"))),"")</f>
        <v/>
      </c>
      <c r="AK69" s="23" t="inlineStr">
        <is>
          <t>não</t>
        </is>
      </c>
      <c r="AL69" s="23" t="n"/>
      <c r="AM69" s="23" t="n"/>
      <c r="AN69" s="23" t="n"/>
      <c r="AO69" s="44">
        <f>A69</f>
        <v/>
      </c>
      <c r="AP69" s="44">
        <f>D69</f>
        <v/>
      </c>
    </row>
    <row r="70" hidden="1" ht="15.75" customHeight="1" s="93">
      <c r="A70" s="23" t="inlineStr">
        <is>
          <t>0.2206.F001475.0</t>
        </is>
      </c>
      <c r="B70" s="23" t="inlineStr">
        <is>
          <t>F001475</t>
        </is>
      </c>
      <c r="C70" s="29">
        <f>IFERROR(LOWER(SUBSTITUTE(SUBSTITUTE(SUBSTITUTE(SUBSTITUTE(D70," ","-"),"/","-"),".",""),",","")),"")</f>
        <v/>
      </c>
      <c r="D70" s="23" t="inlineStr">
        <is>
          <t>TEE MF 3/4 JIC X FG 3/4 JIC X MF 3/4 JIC</t>
        </is>
      </c>
      <c r="E70" s="23" t="n"/>
      <c r="F70" s="23" t="inlineStr">
        <is>
          <t>SOHIPREN</t>
        </is>
      </c>
      <c r="G70" s="23" t="n"/>
      <c r="H70" s="23" t="inlineStr">
        <is>
          <t>draft</t>
        </is>
      </c>
      <c r="I70" s="23" t="inlineStr">
        <is>
          <t>ARGON</t>
        </is>
      </c>
      <c r="J70" s="23" t="n"/>
      <c r="K70" s="23" t="n"/>
      <c r="L70" s="23" t="inlineStr">
        <is>
          <t>M033FG-08</t>
        </is>
      </c>
      <c r="M70" s="31" t="n"/>
      <c r="N70" s="31" t="n"/>
      <c r="O70" s="31" t="n"/>
      <c r="P70" s="31" t="n"/>
      <c r="Q70" s="31" t="n"/>
      <c r="R70" s="34">
        <f>IFERROR(IF(AND(O70&gt;0,P70&gt;0,Q70&gt;0),(O70*P70*Q70)/6000,""),"")</f>
        <v/>
      </c>
      <c r="S70" s="34">
        <f>IFERROR(IF(AND(N70&gt;0,R70&gt;0),MAX(N70,R70),IF(N70&gt;0,N70,IF(R70&gt;0,R70,""))),"")</f>
        <v/>
      </c>
      <c r="T70" s="36" t="n"/>
      <c r="U70" s="38" t="inlineStr">
        <is>
          <t>FALTA</t>
        </is>
      </c>
      <c r="V70" s="36" t="n">
        <v>335.5</v>
      </c>
      <c r="W70" s="39" t="n">
        <v>0.3</v>
      </c>
      <c r="X70" s="41">
        <f>IFERROR(V70+T70,"")</f>
        <v/>
      </c>
      <c r="Y70" s="41">
        <f>IFERROR(IF(W70&lt;1,X70/(1-W70),""),"")</f>
        <v/>
      </c>
      <c r="Z70" s="43">
        <f>'01_CONFIG_GLOBAL'!$C$14</f>
        <v/>
      </c>
      <c r="AA70" s="41">
        <f>IFERROR(Y70*Z70,"")</f>
        <v/>
      </c>
      <c r="AB70" s="41">
        <f>IFERROR(IF(Z70&lt;1,Y70/(1-Z70),""),"")</f>
        <v/>
      </c>
      <c r="AC70" s="23" t="n"/>
      <c r="AD70" s="36" t="n"/>
      <c r="AE70" s="23" t="n"/>
      <c r="AF70" s="36" t="n"/>
      <c r="AG70" s="23" t="n"/>
      <c r="AH70" s="36" t="n"/>
      <c r="AI70" s="41">
        <f>IFERROR(AVERAGE(AD70,AF70,AH70),"")</f>
        <v/>
      </c>
      <c r="AJ70" s="29">
        <f>IFERROR(IF(AI70="","sem dados",IF(AB70&lt;AI70*0.95,"abaixo",IF(AB70&gt;AI70*1.05,"acima","em linha"))),"")</f>
        <v/>
      </c>
      <c r="AK70" s="23" t="inlineStr">
        <is>
          <t>não</t>
        </is>
      </c>
      <c r="AL70" s="23" t="n"/>
      <c r="AM70" s="23" t="n"/>
      <c r="AN70" s="23" t="n"/>
      <c r="AO70" s="44">
        <f>A70</f>
        <v/>
      </c>
      <c r="AP70" s="44">
        <f>D70</f>
        <v/>
      </c>
    </row>
    <row r="71" hidden="1" ht="15.75" customHeight="1" s="93">
      <c r="A71" s="23" t="inlineStr">
        <is>
          <t>0.0162.L082507.0</t>
        </is>
      </c>
      <c r="B71" s="23" t="inlineStr">
        <is>
          <t>L082507</t>
        </is>
      </c>
      <c r="C71" s="29">
        <f>IFERROR(LOWER(SUBSTITUTE(SUBSTITUTE(SUBSTITUTE(SUBSTITUTE(D71," ","-"),"/","-"),".",""),",","")),"")</f>
        <v/>
      </c>
      <c r="D71" s="23" t="inlineStr">
        <is>
          <t>MANG. MONT. M4SH-121.5000-M2P100-10-122.0000-M4P-CA-12CR2</t>
        </is>
      </c>
      <c r="E71" s="23" t="n"/>
      <c r="F71" s="23" t="inlineStr">
        <is>
          <t>SOHIPREN</t>
        </is>
      </c>
      <c r="G71" s="23" t="n"/>
      <c r="H71" s="23" t="inlineStr">
        <is>
          <t>draft</t>
        </is>
      </c>
      <c r="I71" s="23" t="inlineStr">
        <is>
          <t>ARGON / MAMUTH</t>
        </is>
      </c>
      <c r="J71" s="23" t="n"/>
      <c r="K71" s="23" t="n"/>
      <c r="L71" s="23" t="inlineStr">
        <is>
          <t>PVOV278533.0001</t>
        </is>
      </c>
      <c r="M71" s="31" t="n"/>
      <c r="N71" s="31" t="n"/>
      <c r="O71" s="31" t="n"/>
      <c r="P71" s="31" t="n"/>
      <c r="Q71" s="31" t="n"/>
      <c r="R71" s="34">
        <f>IFERROR(IF(AND(O71&gt;0,P71&gt;0,Q71&gt;0),(O71*P71*Q71)/6000,""),"")</f>
        <v/>
      </c>
      <c r="S71" s="34">
        <f>IFERROR(IF(AND(N71&gt;0,R71&gt;0),MAX(N71,R71),IF(N71&gt;0,N71,IF(R71&gt;0,R71,""))),"")</f>
        <v/>
      </c>
      <c r="T71" s="36" t="n"/>
      <c r="U71" s="38" t="inlineStr">
        <is>
          <t>FALTA</t>
        </is>
      </c>
      <c r="V71" s="36" t="n">
        <v>59</v>
      </c>
      <c r="W71" s="39" t="n">
        <v>0.3</v>
      </c>
      <c r="X71" s="41">
        <f>IFERROR(V71+T71,"")</f>
        <v/>
      </c>
      <c r="Y71" s="41">
        <f>IFERROR(IF(W71&lt;1,X71/(1-W71),""),"")</f>
        <v/>
      </c>
      <c r="Z71" s="43">
        <f>'01_CONFIG_GLOBAL'!$C$14</f>
        <v/>
      </c>
      <c r="AA71" s="41">
        <f>IFERROR(Y71*Z71,"")</f>
        <v/>
      </c>
      <c r="AB71" s="41">
        <f>IFERROR(IF(Z71&lt;1,Y71/(1-Z71),""),"")</f>
        <v/>
      </c>
      <c r="AC71" s="23" t="n"/>
      <c r="AD71" s="36" t="n"/>
      <c r="AE71" s="23" t="n"/>
      <c r="AF71" s="36" t="n"/>
      <c r="AG71" s="23" t="n"/>
      <c r="AH71" s="36" t="n"/>
      <c r="AI71" s="41">
        <f>IFERROR(AVERAGE(AD71,AF71,AH71),"")</f>
        <v/>
      </c>
      <c r="AJ71" s="29">
        <f>IFERROR(IF(AI71="","sem dados",IF(AB71&lt;AI71*0.95,"abaixo",IF(AB71&gt;AI71*1.05,"acima","em linha"))),"")</f>
        <v/>
      </c>
      <c r="AK71" s="23" t="inlineStr">
        <is>
          <t>não</t>
        </is>
      </c>
      <c r="AL71" s="23" t="n"/>
      <c r="AM71" s="23" t="n"/>
      <c r="AN71" s="23" t="n"/>
      <c r="AO71" s="44">
        <f>A71</f>
        <v/>
      </c>
      <c r="AP71" s="44">
        <f>D71</f>
        <v/>
      </c>
    </row>
    <row r="72" hidden="1" ht="15.75" customHeight="1" s="93">
      <c r="A72" s="23" t="inlineStr">
        <is>
          <t>0.0162.L082505.0</t>
        </is>
      </c>
      <c r="B72" s="23" t="inlineStr">
        <is>
          <t>L082505</t>
        </is>
      </c>
      <c r="C72" s="29">
        <f>IFERROR(LOWER(SUBSTITUTE(SUBSTITUTE(SUBSTITUTE(SUBSTITUTE(D72," ","-"),"/","-"),".",""),",","")),"")</f>
        <v/>
      </c>
      <c r="D72" s="23" t="inlineStr">
        <is>
          <t>MANG  MONT. MR2AT-08 1.000/M2P100-10-08E2.000/M2P-CA</t>
        </is>
      </c>
      <c r="E72" s="23" t="n"/>
      <c r="F72" s="23" t="inlineStr">
        <is>
          <t>SOHIPREN</t>
        </is>
      </c>
      <c r="G72" s="23" t="n"/>
      <c r="H72" s="23" t="inlineStr">
        <is>
          <t>draft</t>
        </is>
      </c>
      <c r="I72" s="23" t="inlineStr">
        <is>
          <t>ARGON / MAMUTH</t>
        </is>
      </c>
      <c r="J72" s="23" t="n"/>
      <c r="K72" s="23" t="n"/>
      <c r="L72" s="23" t="inlineStr">
        <is>
          <t>PVOV249722.0001</t>
        </is>
      </c>
      <c r="M72" s="31" t="n"/>
      <c r="N72" s="31" t="n"/>
      <c r="O72" s="31" t="n"/>
      <c r="P72" s="31" t="n"/>
      <c r="Q72" s="31" t="n"/>
      <c r="R72" s="34">
        <f>IFERROR(IF(AND(O72&gt;0,P72&gt;0,Q72&gt;0),(O72*P72*Q72)/6000,""),"")</f>
        <v/>
      </c>
      <c r="S72" s="34">
        <f>IFERROR(IF(AND(N72&gt;0,R72&gt;0),MAX(N72,R72),IF(N72&gt;0,N72,IF(R72&gt;0,R72,""))),"")</f>
        <v/>
      </c>
      <c r="T72" s="36" t="n"/>
      <c r="U72" s="38" t="inlineStr">
        <is>
          <t>FALTA</t>
        </is>
      </c>
      <c r="V72" s="36" t="n">
        <v>59</v>
      </c>
      <c r="W72" s="39" t="n">
        <v>0.3</v>
      </c>
      <c r="X72" s="41">
        <f>IFERROR(V72+T72,"")</f>
        <v/>
      </c>
      <c r="Y72" s="41">
        <f>IFERROR(IF(W72&lt;1,X72/(1-W72),""),"")</f>
        <v/>
      </c>
      <c r="Z72" s="43">
        <f>'01_CONFIG_GLOBAL'!$C$14</f>
        <v/>
      </c>
      <c r="AA72" s="41">
        <f>IFERROR(Y72*Z72,"")</f>
        <v/>
      </c>
      <c r="AB72" s="41">
        <f>IFERROR(IF(Z72&lt;1,Y72/(1-Z72),""),"")</f>
        <v/>
      </c>
      <c r="AC72" s="23" t="n"/>
      <c r="AD72" s="36" t="n"/>
      <c r="AE72" s="23" t="n"/>
      <c r="AF72" s="36" t="n"/>
      <c r="AG72" s="23" t="n"/>
      <c r="AH72" s="36" t="n"/>
      <c r="AI72" s="41">
        <f>IFERROR(AVERAGE(AD72,AF72,AH72),"")</f>
        <v/>
      </c>
      <c r="AJ72" s="29">
        <f>IFERROR(IF(AI72="","sem dados",IF(AB72&lt;AI72*0.95,"abaixo",IF(AB72&gt;AI72*1.05,"acima","em linha"))),"")</f>
        <v/>
      </c>
      <c r="AK72" s="23" t="inlineStr">
        <is>
          <t>não</t>
        </is>
      </c>
      <c r="AL72" s="23" t="n"/>
      <c r="AM72" s="23" t="n"/>
      <c r="AN72" s="23" t="n"/>
      <c r="AO72" s="44">
        <f>A72</f>
        <v/>
      </c>
      <c r="AP72" s="44">
        <f>D72</f>
        <v/>
      </c>
    </row>
    <row r="73" hidden="1" ht="15.75" customHeight="1" s="93">
      <c r="A73" s="23" t="inlineStr">
        <is>
          <t>0.2206.F001256.0</t>
        </is>
      </c>
      <c r="B73" s="23" t="inlineStr">
        <is>
          <t>F001256</t>
        </is>
      </c>
      <c r="C73" s="29">
        <f>IFERROR(LOWER(SUBSTITUTE(SUBSTITUTE(SUBSTITUTE(SUBSTITUTE(D73," ","-"),"/","-"),".",""),",","")),"")</f>
        <v/>
      </c>
      <c r="D73" s="23" t="inlineStr">
        <is>
          <t>ADAPTADOR MF M18 X 3/4 PAR</t>
        </is>
      </c>
      <c r="E73" s="23" t="n"/>
      <c r="F73" s="23" t="inlineStr">
        <is>
          <t>SOHIPREN</t>
        </is>
      </c>
      <c r="G73" s="23" t="n"/>
      <c r="H73" s="23" t="inlineStr">
        <is>
          <t>draft</t>
        </is>
      </c>
      <c r="I73" s="23" t="inlineStr">
        <is>
          <t>ARGON / MAMUTH</t>
        </is>
      </c>
      <c r="J73" s="23" t="n"/>
      <c r="K73" s="23" t="n"/>
      <c r="L73" s="23" t="inlineStr">
        <is>
          <t>MMTXMP-18-08</t>
        </is>
      </c>
      <c r="M73" s="31" t="n"/>
      <c r="N73" s="31" t="n"/>
      <c r="O73" s="31" t="n"/>
      <c r="P73" s="31" t="n"/>
      <c r="Q73" s="31" t="n"/>
      <c r="R73" s="34">
        <f>IFERROR(IF(AND(O73&gt;0,P73&gt;0,Q73&gt;0),(O73*P73*Q73)/6000,""),"")</f>
        <v/>
      </c>
      <c r="S73" s="34">
        <f>IFERROR(IF(AND(N73&gt;0,R73&gt;0),MAX(N73,R73),IF(N73&gt;0,N73,IF(R73&gt;0,R73,""))),"")</f>
        <v/>
      </c>
      <c r="T73" s="36" t="n"/>
      <c r="U73" s="38" t="inlineStr">
        <is>
          <t>FALTA</t>
        </is>
      </c>
      <c r="V73" s="36" t="n">
        <v>335.5</v>
      </c>
      <c r="W73" s="39" t="n">
        <v>0.3</v>
      </c>
      <c r="X73" s="41">
        <f>IFERROR(V73+T73,"")</f>
        <v/>
      </c>
      <c r="Y73" s="41">
        <f>IFERROR(IF(W73&lt;1,X73/(1-W73),""),"")</f>
        <v/>
      </c>
      <c r="Z73" s="43">
        <f>'01_CONFIG_GLOBAL'!$C$14</f>
        <v/>
      </c>
      <c r="AA73" s="41">
        <f>IFERROR(Y73*Z73,"")</f>
        <v/>
      </c>
      <c r="AB73" s="41">
        <f>IFERROR(IF(Z73&lt;1,Y73/(1-Z73),""),"")</f>
        <v/>
      </c>
      <c r="AC73" s="23" t="n"/>
      <c r="AD73" s="36" t="n"/>
      <c r="AE73" s="23" t="n"/>
      <c r="AF73" s="36" t="n"/>
      <c r="AG73" s="23" t="n"/>
      <c r="AH73" s="36" t="n"/>
      <c r="AI73" s="41">
        <f>IFERROR(AVERAGE(AD73,AF73,AH73),"")</f>
        <v/>
      </c>
      <c r="AJ73" s="29">
        <f>IFERROR(IF(AI73="","sem dados",IF(AB73&lt;AI73*0.95,"abaixo",IF(AB73&gt;AI73*1.05,"acima","em linha"))),"")</f>
        <v/>
      </c>
      <c r="AK73" s="23" t="inlineStr">
        <is>
          <t>não</t>
        </is>
      </c>
      <c r="AL73" s="23" t="n"/>
      <c r="AM73" s="23" t="n"/>
      <c r="AN73" s="23" t="n"/>
      <c r="AO73" s="44">
        <f>A73</f>
        <v/>
      </c>
      <c r="AP73" s="44">
        <f>D73</f>
        <v/>
      </c>
    </row>
    <row r="74" hidden="1" ht="15.75" customHeight="1" s="93">
      <c r="A74" s="23" t="inlineStr">
        <is>
          <t>0.0162.F001253.0</t>
        </is>
      </c>
      <c r="B74" s="23" t="inlineStr">
        <is>
          <t>F001253</t>
        </is>
      </c>
      <c r="C74" s="29">
        <f>IFERROR(LOWER(SUBSTITUTE(SUBSTITUTE(SUBSTITUTE(SUBSTITUTE(D74," ","-"),"/","-"),".",""),",","")),"")</f>
        <v/>
      </c>
      <c r="D74" s="23" t="inlineStr">
        <is>
          <t>MANG  MONT. MR2ATS-063.0000-M2P-BI-18-06-T12E1.0000-M2P-BI9</t>
        </is>
      </c>
      <c r="E74" s="23" t="n"/>
      <c r="F74" s="23" t="inlineStr">
        <is>
          <t>SOHIPREN</t>
        </is>
      </c>
      <c r="G74" s="23" t="n"/>
      <c r="H74" s="23" t="inlineStr">
        <is>
          <t>draft</t>
        </is>
      </c>
      <c r="I74" s="23" t="inlineStr">
        <is>
          <t>ARGON / MAMUTH</t>
        </is>
      </c>
      <c r="J74" s="23" t="n"/>
      <c r="K74" s="23" t="n"/>
      <c r="L74" s="23" t="inlineStr">
        <is>
          <t>PVOV249722.0001</t>
        </is>
      </c>
      <c r="M74" s="31" t="n"/>
      <c r="N74" s="31" t="n"/>
      <c r="O74" s="31" t="n"/>
      <c r="P74" s="31" t="n"/>
      <c r="Q74" s="31" t="n"/>
      <c r="R74" s="34">
        <f>IFERROR(IF(AND(O74&gt;0,P74&gt;0,Q74&gt;0),(O74*P74*Q74)/6000,""),"")</f>
        <v/>
      </c>
      <c r="S74" s="34">
        <f>IFERROR(IF(AND(N74&gt;0,R74&gt;0),MAX(N74,R74),IF(N74&gt;0,N74,IF(R74&gt;0,R74,""))),"")</f>
        <v/>
      </c>
      <c r="T74" s="36" t="n"/>
      <c r="U74" s="38" t="inlineStr">
        <is>
          <t>FALTA</t>
        </is>
      </c>
      <c r="V74" s="36" t="n">
        <v>59</v>
      </c>
      <c r="W74" s="39" t="n">
        <v>0.3</v>
      </c>
      <c r="X74" s="41">
        <f>IFERROR(V74+T74,"")</f>
        <v/>
      </c>
      <c r="Y74" s="41">
        <f>IFERROR(IF(W74&lt;1,X74/(1-W74),""),"")</f>
        <v/>
      </c>
      <c r="Z74" s="43">
        <f>'01_CONFIG_GLOBAL'!$C$14</f>
        <v/>
      </c>
      <c r="AA74" s="41">
        <f>IFERROR(Y74*Z74,"")</f>
        <v/>
      </c>
      <c r="AB74" s="41">
        <f>IFERROR(IF(Z74&lt;1,Y74/(1-Z74),""),"")</f>
        <v/>
      </c>
      <c r="AC74" s="23" t="n"/>
      <c r="AD74" s="36" t="n"/>
      <c r="AE74" s="23" t="n"/>
      <c r="AF74" s="36" t="n"/>
      <c r="AG74" s="23" t="n"/>
      <c r="AH74" s="36" t="n"/>
      <c r="AI74" s="41">
        <f>IFERROR(AVERAGE(AD74,AF74,AH74),"")</f>
        <v/>
      </c>
      <c r="AJ74" s="29">
        <f>IFERROR(IF(AI74="","sem dados",IF(AB74&lt;AI74*0.95,"abaixo",IF(AB74&gt;AI74*1.05,"acima","em linha"))),"")</f>
        <v/>
      </c>
      <c r="AK74" s="23" t="inlineStr">
        <is>
          <t>não</t>
        </is>
      </c>
      <c r="AL74" s="23" t="n"/>
      <c r="AM74" s="23" t="n"/>
      <c r="AN74" s="23" t="n"/>
      <c r="AO74" s="44">
        <f>A74</f>
        <v/>
      </c>
      <c r="AP74" s="44">
        <f>D74</f>
        <v/>
      </c>
    </row>
    <row r="75" hidden="1" ht="15.75" customHeight="1" s="93">
      <c r="A75" s="23" t="inlineStr">
        <is>
          <t>0.2206.F001254.0</t>
        </is>
      </c>
      <c r="B75" s="23" t="inlineStr">
        <is>
          <t>F001254</t>
        </is>
      </c>
      <c r="C75" s="29">
        <f>IFERROR(LOWER(SUBSTITUTE(SUBSTITUTE(SUBSTITUTE(SUBSTITUTE(D75," ","-"),"/","-"),".",""),",","")),"")</f>
        <v/>
      </c>
      <c r="D75" s="23" t="inlineStr">
        <is>
          <t>UNIAO MACHO 1/2 NPT X TUBO 12 MM</t>
        </is>
      </c>
      <c r="E75" s="23" t="n"/>
      <c r="F75" s="23" t="inlineStr">
        <is>
          <t>SOHIPREN</t>
        </is>
      </c>
      <c r="G75" s="23" t="n"/>
      <c r="H75" s="23" t="inlineStr">
        <is>
          <t>draft</t>
        </is>
      </c>
      <c r="I75" s="23" t="inlineStr">
        <is>
          <t>ARGON / MAMUTH</t>
        </is>
      </c>
      <c r="J75" s="23" t="n"/>
      <c r="K75" s="23" t="n"/>
      <c r="L75" s="23" t="inlineStr">
        <is>
          <t>UMA-12-08NE</t>
        </is>
      </c>
      <c r="M75" s="31" t="n"/>
      <c r="N75" s="31" t="n"/>
      <c r="O75" s="31" t="n"/>
      <c r="P75" s="31" t="n"/>
      <c r="Q75" s="31" t="n"/>
      <c r="R75" s="34">
        <f>IFERROR(IF(AND(O75&gt;0,P75&gt;0,Q75&gt;0),(O75*P75*Q75)/6000,""),"")</f>
        <v/>
      </c>
      <c r="S75" s="34">
        <f>IFERROR(IF(AND(N75&gt;0,R75&gt;0),MAX(N75,R75),IF(N75&gt;0,N75,IF(R75&gt;0,R75,""))),"")</f>
        <v/>
      </c>
      <c r="T75" s="36" t="n"/>
      <c r="U75" s="38" t="inlineStr">
        <is>
          <t>FALTA</t>
        </is>
      </c>
      <c r="V75" s="36" t="n">
        <v>335.5</v>
      </c>
      <c r="W75" s="39" t="n">
        <v>0.3</v>
      </c>
      <c r="X75" s="41">
        <f>IFERROR(V75+T75,"")</f>
        <v/>
      </c>
      <c r="Y75" s="41">
        <f>IFERROR(IF(W75&lt;1,X75/(1-W75),""),"")</f>
        <v/>
      </c>
      <c r="Z75" s="43">
        <f>'01_CONFIG_GLOBAL'!$C$14</f>
        <v/>
      </c>
      <c r="AA75" s="41">
        <f>IFERROR(Y75*Z75,"")</f>
        <v/>
      </c>
      <c r="AB75" s="41">
        <f>IFERROR(IF(Z75&lt;1,Y75/(1-Z75),""),"")</f>
        <v/>
      </c>
      <c r="AC75" s="23" t="n"/>
      <c r="AD75" s="36" t="n"/>
      <c r="AE75" s="23" t="n"/>
      <c r="AF75" s="36" t="n"/>
      <c r="AG75" s="23" t="n"/>
      <c r="AH75" s="36" t="n"/>
      <c r="AI75" s="41">
        <f>IFERROR(AVERAGE(AD75,AF75,AH75),"")</f>
        <v/>
      </c>
      <c r="AJ75" s="29">
        <f>IFERROR(IF(AI75="","sem dados",IF(AB75&lt;AI75*0.95,"abaixo",IF(AB75&gt;AI75*1.05,"acima","em linha"))),"")</f>
        <v/>
      </c>
      <c r="AK75" s="23" t="inlineStr">
        <is>
          <t>não</t>
        </is>
      </c>
      <c r="AL75" s="23" t="n"/>
      <c r="AM75" s="23" t="n"/>
      <c r="AN75" s="23" t="n"/>
      <c r="AO75" s="44">
        <f>A75</f>
        <v/>
      </c>
      <c r="AP75" s="44">
        <f>D75</f>
        <v/>
      </c>
    </row>
    <row r="76" hidden="1" ht="15.75" customHeight="1" s="93">
      <c r="A76" s="23" t="inlineStr">
        <is>
          <t>0.2206.F001255.0</t>
        </is>
      </c>
      <c r="B76" s="23" t="inlineStr">
        <is>
          <t>F001255</t>
        </is>
      </c>
      <c r="C76" s="29">
        <f>IFERROR(LOWER(SUBSTITUTE(SUBSTITUTE(SUBSTITUTE(SUBSTITUTE(D76," ","-"),"/","-"),".",""),",","")),"")</f>
        <v/>
      </c>
      <c r="D76" s="23" t="inlineStr">
        <is>
          <t>COTOVELO MACHO 3/8 NPT X 8 MM</t>
        </is>
      </c>
      <c r="E76" s="23" t="n"/>
      <c r="F76" s="23" t="inlineStr">
        <is>
          <t>SOHIPREN</t>
        </is>
      </c>
      <c r="G76" s="23" t="n"/>
      <c r="H76" s="23" t="inlineStr">
        <is>
          <t>draft</t>
        </is>
      </c>
      <c r="I76" s="23" t="inlineStr">
        <is>
          <t>ARGON / MAMUTH</t>
        </is>
      </c>
      <c r="J76" s="23" t="n"/>
      <c r="K76" s="23" t="n"/>
      <c r="L76" s="23" t="inlineStr">
        <is>
          <t>0006-OD-06-08M</t>
        </is>
      </c>
      <c r="M76" s="31" t="n"/>
      <c r="N76" s="31" t="n"/>
      <c r="O76" s="31" t="n"/>
      <c r="P76" s="31" t="n"/>
      <c r="Q76" s="31" t="n"/>
      <c r="R76" s="34">
        <f>IFERROR(IF(AND(O76&gt;0,P76&gt;0,Q76&gt;0),(O76*P76*Q76)/6000,""),"")</f>
        <v/>
      </c>
      <c r="S76" s="34">
        <f>IFERROR(IF(AND(N76&gt;0,R76&gt;0),MAX(N76,R76),IF(N76&gt;0,N76,IF(R76&gt;0,R76,""))),"")</f>
        <v/>
      </c>
      <c r="T76" s="36" t="n"/>
      <c r="U76" s="38" t="inlineStr">
        <is>
          <t>FALTA</t>
        </is>
      </c>
      <c r="V76" s="36" t="n">
        <v>335.5</v>
      </c>
      <c r="W76" s="39" t="n">
        <v>0.3</v>
      </c>
      <c r="X76" s="41">
        <f>IFERROR(V76+T76,"")</f>
        <v/>
      </c>
      <c r="Y76" s="41">
        <f>IFERROR(IF(W76&lt;1,X76/(1-W76),""),"")</f>
        <v/>
      </c>
      <c r="Z76" s="43">
        <f>'01_CONFIG_GLOBAL'!$C$14</f>
        <v/>
      </c>
      <c r="AA76" s="41">
        <f>IFERROR(Y76*Z76,"")</f>
        <v/>
      </c>
      <c r="AB76" s="41">
        <f>IFERROR(IF(Z76&lt;1,Y76/(1-Z76),""),"")</f>
        <v/>
      </c>
      <c r="AC76" s="23" t="n"/>
      <c r="AD76" s="36" t="n"/>
      <c r="AE76" s="23" t="n"/>
      <c r="AF76" s="36" t="n"/>
      <c r="AG76" s="23" t="n"/>
      <c r="AH76" s="36" t="n"/>
      <c r="AI76" s="41">
        <f>IFERROR(AVERAGE(AD76,AF76,AH76),"")</f>
        <v/>
      </c>
      <c r="AJ76" s="29">
        <f>IFERROR(IF(AI76="","sem dados",IF(AB76&lt;AI76*0.95,"abaixo",IF(AB76&gt;AI76*1.05,"acima","em linha"))),"")</f>
        <v/>
      </c>
      <c r="AK76" s="23" t="inlineStr">
        <is>
          <t>não</t>
        </is>
      </c>
      <c r="AL76" s="23" t="n"/>
      <c r="AM76" s="23" t="n"/>
      <c r="AN76" s="23" t="n"/>
      <c r="AO76" s="44">
        <f>A76</f>
        <v/>
      </c>
      <c r="AP76" s="44">
        <f>D76</f>
        <v/>
      </c>
    </row>
    <row r="77" hidden="1" ht="15.75" customHeight="1" s="93">
      <c r="A77" s="23" t="inlineStr">
        <is>
          <t>0.2206.F001258.0</t>
        </is>
      </c>
      <c r="B77" s="23" t="inlineStr">
        <is>
          <t>F001258</t>
        </is>
      </c>
      <c r="C77" s="29">
        <f>IFERROR(LOWER(SUBSTITUTE(SUBSTITUTE(SUBSTITUTE(SUBSTITUTE(D77," ","-"),"/","-"),".",""),",","")),"")</f>
        <v/>
      </c>
      <c r="D77" s="23" t="inlineStr">
        <is>
          <t>CONEXAO RETA 1/4 X 8</t>
        </is>
      </c>
      <c r="E77" s="23" t="n"/>
      <c r="F77" s="23" t="inlineStr">
        <is>
          <t>SOHIPREN</t>
        </is>
      </c>
      <c r="G77" s="23" t="n"/>
      <c r="H77" s="23" t="inlineStr">
        <is>
          <t>draft</t>
        </is>
      </c>
      <c r="I77" s="23" t="inlineStr">
        <is>
          <t>ARGON / MAMUTH</t>
        </is>
      </c>
      <c r="J77" s="23" t="n"/>
      <c r="K77" s="23" t="n"/>
      <c r="L77" s="23" t="inlineStr">
        <is>
          <t>PC08-G02</t>
        </is>
      </c>
      <c r="M77" s="31" t="n"/>
      <c r="N77" s="31" t="n"/>
      <c r="O77" s="31" t="n"/>
      <c r="P77" s="31" t="n"/>
      <c r="Q77" s="31" t="n"/>
      <c r="R77" s="34">
        <f>IFERROR(IF(AND(O77&gt;0,P77&gt;0,Q77&gt;0),(O77*P77*Q77)/6000,""),"")</f>
        <v/>
      </c>
      <c r="S77" s="34">
        <f>IFERROR(IF(AND(N77&gt;0,R77&gt;0),MAX(N77,R77),IF(N77&gt;0,N77,IF(R77&gt;0,R77,""))),"")</f>
        <v/>
      </c>
      <c r="T77" s="36" t="n"/>
      <c r="U77" s="38" t="inlineStr">
        <is>
          <t>FALTA</t>
        </is>
      </c>
      <c r="V77" s="36" t="n">
        <v>335.5</v>
      </c>
      <c r="W77" s="39" t="n">
        <v>0.3</v>
      </c>
      <c r="X77" s="41">
        <f>IFERROR(V77+T77,"")</f>
        <v/>
      </c>
      <c r="Y77" s="41">
        <f>IFERROR(IF(W77&lt;1,X77/(1-W77),""),"")</f>
        <v/>
      </c>
      <c r="Z77" s="43">
        <f>'01_CONFIG_GLOBAL'!$C$14</f>
        <v/>
      </c>
      <c r="AA77" s="41">
        <f>IFERROR(Y77*Z77,"")</f>
        <v/>
      </c>
      <c r="AB77" s="41">
        <f>IFERROR(IF(Z77&lt;1,Y77/(1-Z77),""),"")</f>
        <v/>
      </c>
      <c r="AC77" s="23" t="n"/>
      <c r="AD77" s="36" t="n"/>
      <c r="AE77" s="23" t="n"/>
      <c r="AF77" s="36" t="n"/>
      <c r="AG77" s="23" t="n"/>
      <c r="AH77" s="36" t="n"/>
      <c r="AI77" s="41">
        <f>IFERROR(AVERAGE(AD77,AF77,AH77),"")</f>
        <v/>
      </c>
      <c r="AJ77" s="29">
        <f>IFERROR(IF(AI77="","sem dados",IF(AB77&lt;AI77*0.95,"abaixo",IF(AB77&gt;AI77*1.05,"acima","em linha"))),"")</f>
        <v/>
      </c>
      <c r="AK77" s="23" t="inlineStr">
        <is>
          <t>não</t>
        </is>
      </c>
      <c r="AL77" s="23" t="n"/>
      <c r="AM77" s="23" t="n"/>
      <c r="AN77" s="23" t="n"/>
      <c r="AO77" s="44">
        <f>A77</f>
        <v/>
      </c>
      <c r="AP77" s="44">
        <f>D77</f>
        <v/>
      </c>
    </row>
    <row r="78" hidden="1" ht="15.75" customHeight="1" s="93">
      <c r="A78" s="23" t="inlineStr">
        <is>
          <t>0.0162.F001527.0</t>
        </is>
      </c>
      <c r="B78" s="23" t="inlineStr">
        <is>
          <t>F001527</t>
        </is>
      </c>
      <c r="C78" s="29">
        <f>IFERROR(LOWER(SUBSTITUTE(SUBSTITUTE(SUBSTITUTE(SUBSTITUTE(D78," ","-"),"/","-"),".",""),",","")),"")</f>
        <v/>
      </c>
      <c r="D78" s="23" t="inlineStr">
        <is>
          <t>MANG  MONT. MR2AT-06*0.5000-M2P-BI90-18-06</t>
        </is>
      </c>
      <c r="E78" s="23" t="n"/>
      <c r="F78" s="23" t="inlineStr">
        <is>
          <t>SOHIPREN</t>
        </is>
      </c>
      <c r="G78" s="23" t="n"/>
      <c r="H78" s="23" t="inlineStr">
        <is>
          <t>draft</t>
        </is>
      </c>
      <c r="I78" s="23" t="inlineStr">
        <is>
          <t>ARGON / MAMUTH</t>
        </is>
      </c>
      <c r="J78" s="23" t="n"/>
      <c r="K78" s="23" t="n"/>
      <c r="L78" s="23" t="inlineStr">
        <is>
          <t>PVOV249722.0001</t>
        </is>
      </c>
      <c r="M78" s="31" t="n"/>
      <c r="N78" s="31" t="n"/>
      <c r="O78" s="31" t="n"/>
      <c r="P78" s="31" t="n"/>
      <c r="Q78" s="31" t="n"/>
      <c r="R78" s="34">
        <f>IFERROR(IF(AND(O78&gt;0,P78&gt;0,Q78&gt;0),(O78*P78*Q78)/6000,""),"")</f>
        <v/>
      </c>
      <c r="S78" s="34">
        <f>IFERROR(IF(AND(N78&gt;0,R78&gt;0),MAX(N78,R78),IF(N78&gt;0,N78,IF(R78&gt;0,R78,""))),"")</f>
        <v/>
      </c>
      <c r="T78" s="36" t="n"/>
      <c r="U78" s="38" t="inlineStr">
        <is>
          <t>FALTA</t>
        </is>
      </c>
      <c r="V78" s="36" t="n">
        <v>59</v>
      </c>
      <c r="W78" s="39" t="n">
        <v>0.3</v>
      </c>
      <c r="X78" s="41">
        <f>IFERROR(V78+T78,"")</f>
        <v/>
      </c>
      <c r="Y78" s="41">
        <f>IFERROR(IF(W78&lt;1,X78/(1-W78),""),"")</f>
        <v/>
      </c>
      <c r="Z78" s="43">
        <f>'01_CONFIG_GLOBAL'!$C$14</f>
        <v/>
      </c>
      <c r="AA78" s="41">
        <f>IFERROR(Y78*Z78,"")</f>
        <v/>
      </c>
      <c r="AB78" s="41">
        <f>IFERROR(IF(Z78&lt;1,Y78/(1-Z78),""),"")</f>
        <v/>
      </c>
      <c r="AC78" s="23" t="n"/>
      <c r="AD78" s="36" t="n"/>
      <c r="AE78" s="23" t="n"/>
      <c r="AF78" s="36" t="n"/>
      <c r="AG78" s="23" t="n"/>
      <c r="AH78" s="36" t="n"/>
      <c r="AI78" s="41">
        <f>IFERROR(AVERAGE(AD78,AF78,AH78),"")</f>
        <v/>
      </c>
      <c r="AJ78" s="29">
        <f>IFERROR(IF(AI78="","sem dados",IF(AB78&lt;AI78*0.95,"abaixo",IF(AB78&gt;AI78*1.05,"acima","em linha"))),"")</f>
        <v/>
      </c>
      <c r="AK78" s="23" t="inlineStr">
        <is>
          <t>não</t>
        </is>
      </c>
      <c r="AL78" s="23" t="n"/>
      <c r="AM78" s="23" t="n"/>
      <c r="AN78" s="23" t="n"/>
      <c r="AO78" s="44">
        <f>A78</f>
        <v/>
      </c>
      <c r="AP78" s="44">
        <f>D78</f>
        <v/>
      </c>
    </row>
    <row r="79" hidden="1" ht="15.75" customHeight="1" s="93">
      <c r="A79" s="23" t="inlineStr">
        <is>
          <t>0.0162.F001525.0</t>
        </is>
      </c>
      <c r="B79" s="23" t="inlineStr">
        <is>
          <t>F001525</t>
        </is>
      </c>
      <c r="C79" s="29">
        <f>IFERROR(LOWER(SUBSTITUTE(SUBSTITUTE(SUBSTITUTE(SUBSTITUTE(D79," ","-"),"/","-"),".",""),",","")),"")</f>
        <v/>
      </c>
      <c r="D79" s="23" t="inlineStr">
        <is>
          <t>MANG  MONT. MR2AT-06*0.9000-M2P112-06-06E*1.0000-M2P100-06</t>
        </is>
      </c>
      <c r="E79" s="23" t="n"/>
      <c r="F79" s="23" t="inlineStr">
        <is>
          <t>SOHIPREN</t>
        </is>
      </c>
      <c r="G79" s="23" t="n"/>
      <c r="H79" s="23" t="inlineStr">
        <is>
          <t>draft</t>
        </is>
      </c>
      <c r="I79" s="23" t="inlineStr">
        <is>
          <t>ARGON / MAMUTH</t>
        </is>
      </c>
      <c r="J79" s="23" t="n"/>
      <c r="K79" s="23" t="n"/>
      <c r="L79" s="23" t="inlineStr">
        <is>
          <t>PVOV249722.0001</t>
        </is>
      </c>
      <c r="M79" s="31" t="n"/>
      <c r="N79" s="31" t="n"/>
      <c r="O79" s="31" t="n"/>
      <c r="P79" s="31" t="n"/>
      <c r="Q79" s="31" t="n"/>
      <c r="R79" s="34">
        <f>IFERROR(IF(AND(O79&gt;0,P79&gt;0,Q79&gt;0),(O79*P79*Q79)/6000,""),"")</f>
        <v/>
      </c>
      <c r="S79" s="34">
        <f>IFERROR(IF(AND(N79&gt;0,R79&gt;0),MAX(N79,R79),IF(N79&gt;0,N79,IF(R79&gt;0,R79,""))),"")</f>
        <v/>
      </c>
      <c r="T79" s="36" t="n"/>
      <c r="U79" s="38" t="inlineStr">
        <is>
          <t>FALTA</t>
        </is>
      </c>
      <c r="V79" s="36" t="n">
        <v>59</v>
      </c>
      <c r="W79" s="39" t="n">
        <v>0.3</v>
      </c>
      <c r="X79" s="41">
        <f>IFERROR(V79+T79,"")</f>
        <v/>
      </c>
      <c r="Y79" s="41">
        <f>IFERROR(IF(W79&lt;1,X79/(1-W79),""),"")</f>
        <v/>
      </c>
      <c r="Z79" s="43">
        <f>'01_CONFIG_GLOBAL'!$C$14</f>
        <v/>
      </c>
      <c r="AA79" s="41">
        <f>IFERROR(Y79*Z79,"")</f>
        <v/>
      </c>
      <c r="AB79" s="41">
        <f>IFERROR(IF(Z79&lt;1,Y79/(1-Z79),""),"")</f>
        <v/>
      </c>
      <c r="AC79" s="23" t="n"/>
      <c r="AD79" s="36" t="n"/>
      <c r="AE79" s="23" t="n"/>
      <c r="AF79" s="36" t="n"/>
      <c r="AG79" s="23" t="n"/>
      <c r="AH79" s="36" t="n"/>
      <c r="AI79" s="41">
        <f>IFERROR(AVERAGE(AD79,AF79,AH79),"")</f>
        <v/>
      </c>
      <c r="AJ79" s="29">
        <f>IFERROR(IF(AI79="","sem dados",IF(AB79&lt;AI79*0.95,"abaixo",IF(AB79&gt;AI79*1.05,"acima","em linha"))),"")</f>
        <v/>
      </c>
      <c r="AK79" s="23" t="inlineStr">
        <is>
          <t>não</t>
        </is>
      </c>
      <c r="AL79" s="23" t="n"/>
      <c r="AM79" s="23" t="n"/>
      <c r="AN79" s="23" t="n"/>
      <c r="AO79" s="44">
        <f>A79</f>
        <v/>
      </c>
      <c r="AP79" s="44">
        <f>D79</f>
        <v/>
      </c>
    </row>
    <row r="80" hidden="1" ht="15.75" customHeight="1" s="93">
      <c r="A80" s="23" t="inlineStr">
        <is>
          <t>0.0162.F001526.0</t>
        </is>
      </c>
      <c r="B80" s="23" t="inlineStr">
        <is>
          <t>F001526</t>
        </is>
      </c>
      <c r="C80" s="29">
        <f>IFERROR(LOWER(SUBSTITUTE(SUBSTITUTE(SUBSTITUTE(SUBSTITUTE(D80," ","-"),"/","-"),".",""),",","")),"")</f>
        <v/>
      </c>
      <c r="D80" s="23" t="inlineStr">
        <is>
          <t>MANG  MONT. MR2ATP-06*0.8000-M2P112-06-06E*1.0000-M2P100-06</t>
        </is>
      </c>
      <c r="E80" s="23" t="n"/>
      <c r="F80" s="23" t="inlineStr">
        <is>
          <t>SOHIPREN</t>
        </is>
      </c>
      <c r="G80" s="23" t="n"/>
      <c r="H80" s="23" t="inlineStr">
        <is>
          <t>draft</t>
        </is>
      </c>
      <c r="I80" s="23" t="inlineStr">
        <is>
          <t>ARGON / MAMUTH</t>
        </is>
      </c>
      <c r="J80" s="23" t="n"/>
      <c r="K80" s="23" t="n"/>
      <c r="L80" s="23" t="inlineStr">
        <is>
          <t>PVOV249722.0001</t>
        </is>
      </c>
      <c r="M80" s="31" t="n"/>
      <c r="N80" s="31" t="n"/>
      <c r="O80" s="31" t="n"/>
      <c r="P80" s="31" t="n"/>
      <c r="Q80" s="31" t="n"/>
      <c r="R80" s="34">
        <f>IFERROR(IF(AND(O80&gt;0,P80&gt;0,Q80&gt;0),(O80*P80*Q80)/6000,""),"")</f>
        <v/>
      </c>
      <c r="S80" s="34">
        <f>IFERROR(IF(AND(N80&gt;0,R80&gt;0),MAX(N80,R80),IF(N80&gt;0,N80,IF(R80&gt;0,R80,""))),"")</f>
        <v/>
      </c>
      <c r="T80" s="36" t="n"/>
      <c r="U80" s="38" t="inlineStr">
        <is>
          <t>FALTA</t>
        </is>
      </c>
      <c r="V80" s="36" t="n">
        <v>59</v>
      </c>
      <c r="W80" s="39" t="n">
        <v>0.3</v>
      </c>
      <c r="X80" s="41">
        <f>IFERROR(V80+T80,"")</f>
        <v/>
      </c>
      <c r="Y80" s="41">
        <f>IFERROR(IF(W80&lt;1,X80/(1-W80),""),"")</f>
        <v/>
      </c>
      <c r="Z80" s="43">
        <f>'01_CONFIG_GLOBAL'!$C$14</f>
        <v/>
      </c>
      <c r="AA80" s="41">
        <f>IFERROR(Y80*Z80,"")</f>
        <v/>
      </c>
      <c r="AB80" s="41">
        <f>IFERROR(IF(Z80&lt;1,Y80/(1-Z80),""),"")</f>
        <v/>
      </c>
      <c r="AC80" s="23" t="n"/>
      <c r="AD80" s="36" t="n"/>
      <c r="AE80" s="23" t="n"/>
      <c r="AF80" s="36" t="n"/>
      <c r="AG80" s="23" t="n"/>
      <c r="AH80" s="36" t="n"/>
      <c r="AI80" s="41">
        <f>IFERROR(AVERAGE(AD80,AF80,AH80),"")</f>
        <v/>
      </c>
      <c r="AJ80" s="29">
        <f>IFERROR(IF(AI80="","sem dados",IF(AB80&lt;AI80*0.95,"abaixo",IF(AB80&gt;AI80*1.05,"acima","em linha"))),"")</f>
        <v/>
      </c>
      <c r="AK80" s="23" t="inlineStr">
        <is>
          <t>não</t>
        </is>
      </c>
      <c r="AL80" s="23" t="n"/>
      <c r="AM80" s="23" t="n"/>
      <c r="AN80" s="23" t="n"/>
      <c r="AO80" s="44">
        <f>A80</f>
        <v/>
      </c>
      <c r="AP80" s="44">
        <f>D80</f>
        <v/>
      </c>
    </row>
    <row r="81" hidden="1" ht="15.75" customHeight="1" s="93">
      <c r="A81" s="23" t="inlineStr">
        <is>
          <t>0.0162.L082082.0</t>
        </is>
      </c>
      <c r="B81" s="23" t="inlineStr">
        <is>
          <t>L082082</t>
        </is>
      </c>
      <c r="C81" s="29">
        <f>IFERROR(LOWER(SUBSTITUTE(SUBSTITUTE(SUBSTITUTE(SUBSTITUTE(D81," ","-"),"/","-"),".",""),",","")),"")</f>
        <v/>
      </c>
      <c r="D81" s="23" t="inlineStr">
        <is>
          <t>MR6-123.8000-M2P100-12-12E*2.0000-M2P-CA-12E2.0</t>
        </is>
      </c>
      <c r="E81" s="23" t="n"/>
      <c r="F81" s="23" t="inlineStr">
        <is>
          <t>SOHIPREN</t>
        </is>
      </c>
      <c r="G81" s="23" t="n"/>
      <c r="H81" s="23" t="inlineStr">
        <is>
          <t>draft</t>
        </is>
      </c>
      <c r="I81" s="23" t="inlineStr">
        <is>
          <t>ARGON COMERCIAL</t>
        </is>
      </c>
      <c r="J81" s="23" t="n"/>
      <c r="K81" s="23" t="n"/>
      <c r="L81" s="23" t="inlineStr">
        <is>
          <t>PVOV236798.0001</t>
        </is>
      </c>
      <c r="M81" s="31" t="n"/>
      <c r="N81" s="31" t="n"/>
      <c r="O81" s="31" t="n"/>
      <c r="P81" s="31" t="n"/>
      <c r="Q81" s="31" t="n"/>
      <c r="R81" s="34">
        <f>IFERROR(IF(AND(O81&gt;0,P81&gt;0,Q81&gt;0),(O81*P81*Q81)/6000,""),"")</f>
        <v/>
      </c>
      <c r="S81" s="34">
        <f>IFERROR(IF(AND(N81&gt;0,R81&gt;0),MAX(N81,R81),IF(N81&gt;0,N81,IF(R81&gt;0,R81,""))),"")</f>
        <v/>
      </c>
      <c r="T81" s="36" t="n"/>
      <c r="U81" s="38" t="inlineStr">
        <is>
          <t>FALTA</t>
        </is>
      </c>
      <c r="V81" s="36" t="n">
        <v>59</v>
      </c>
      <c r="W81" s="39" t="n">
        <v>0.3</v>
      </c>
      <c r="X81" s="41">
        <f>IFERROR(V81+T81,"")</f>
        <v/>
      </c>
      <c r="Y81" s="41">
        <f>IFERROR(IF(W81&lt;1,X81/(1-W81),""),"")</f>
        <v/>
      </c>
      <c r="Z81" s="43">
        <f>'01_CONFIG_GLOBAL'!$C$14</f>
        <v/>
      </c>
      <c r="AA81" s="41">
        <f>IFERROR(Y81*Z81,"")</f>
        <v/>
      </c>
      <c r="AB81" s="41">
        <f>IFERROR(IF(Z81&lt;1,Y81/(1-Z81),""),"")</f>
        <v/>
      </c>
      <c r="AC81" s="23" t="n"/>
      <c r="AD81" s="36" t="n"/>
      <c r="AE81" s="23" t="n"/>
      <c r="AF81" s="36" t="n"/>
      <c r="AG81" s="23" t="n"/>
      <c r="AH81" s="36" t="n"/>
      <c r="AI81" s="41">
        <f>IFERROR(AVERAGE(AD81,AF81,AH81),"")</f>
        <v/>
      </c>
      <c r="AJ81" s="29">
        <f>IFERROR(IF(AI81="","sem dados",IF(AB81&lt;AI81*0.95,"abaixo",IF(AB81&gt;AI81*1.05,"acima","em linha"))),"")</f>
        <v/>
      </c>
      <c r="AK81" s="23" t="inlineStr">
        <is>
          <t>não</t>
        </is>
      </c>
      <c r="AL81" s="23" t="n"/>
      <c r="AM81" s="23" t="n"/>
      <c r="AN81" s="23" t="n"/>
      <c r="AO81" s="44">
        <f>A81</f>
        <v/>
      </c>
      <c r="AP81" s="44">
        <f>D81</f>
        <v/>
      </c>
    </row>
    <row r="82" hidden="1" ht="15.75" customHeight="1" s="93">
      <c r="A82" s="23" t="inlineStr">
        <is>
          <t>0.2206.F001227.0</t>
        </is>
      </c>
      <c r="B82" s="23" t="inlineStr">
        <is>
          <t>F001227</t>
        </is>
      </c>
      <c r="C82" s="29">
        <f>IFERROR(LOWER(SUBSTITUTE(SUBSTITUTE(SUBSTITUTE(SUBSTITUTE(D82," ","-"),"/","-"),".",""),",","")),"")</f>
        <v/>
      </c>
      <c r="D82" s="23" t="inlineStr">
        <is>
          <t>ADAPTADOR (NIPPLE) 1" BSP X 1.1/16 JIC</t>
        </is>
      </c>
      <c r="E82" s="23" t="n"/>
      <c r="F82" s="23" t="inlineStr">
        <is>
          <t>SOHIPREN</t>
        </is>
      </c>
      <c r="G82" s="23" t="n"/>
      <c r="H82" s="23" t="inlineStr">
        <is>
          <t>draft</t>
        </is>
      </c>
      <c r="I82" s="23" t="inlineStr">
        <is>
          <t>ARGON COMERCIAL</t>
        </is>
      </c>
      <c r="J82" s="23" t="n"/>
      <c r="K82" s="23" t="n"/>
      <c r="L82" s="23" t="inlineStr">
        <is>
          <t>PVOV246686.0001</t>
        </is>
      </c>
      <c r="M82" s="31" t="n"/>
      <c r="N82" s="31" t="n"/>
      <c r="O82" s="31" t="n"/>
      <c r="P82" s="31" t="n"/>
      <c r="Q82" s="31" t="n"/>
      <c r="R82" s="34">
        <f>IFERROR(IF(AND(O82&gt;0,P82&gt;0,Q82&gt;0),(O82*P82*Q82)/6000,""),"")</f>
        <v/>
      </c>
      <c r="S82" s="34">
        <f>IFERROR(IF(AND(N82&gt;0,R82&gt;0),MAX(N82,R82),IF(N82&gt;0,N82,IF(R82&gt;0,R82,""))),"")</f>
        <v/>
      </c>
      <c r="T82" s="36" t="n"/>
      <c r="U82" s="38" t="inlineStr">
        <is>
          <t>FALTA</t>
        </is>
      </c>
      <c r="V82" s="36" t="n">
        <v>335.5</v>
      </c>
      <c r="W82" s="39" t="n">
        <v>0.3</v>
      </c>
      <c r="X82" s="41">
        <f>IFERROR(V82+T82,"")</f>
        <v/>
      </c>
      <c r="Y82" s="41">
        <f>IFERROR(IF(W82&lt;1,X82/(1-W82),""),"")</f>
        <v/>
      </c>
      <c r="Z82" s="43">
        <f>'01_CONFIG_GLOBAL'!$C$14</f>
        <v/>
      </c>
      <c r="AA82" s="41">
        <f>IFERROR(Y82*Z82,"")</f>
        <v/>
      </c>
      <c r="AB82" s="41">
        <f>IFERROR(IF(Z82&lt;1,Y82/(1-Z82),""),"")</f>
        <v/>
      </c>
      <c r="AC82" s="23" t="n"/>
      <c r="AD82" s="36" t="n"/>
      <c r="AE82" s="23" t="n"/>
      <c r="AF82" s="36" t="n"/>
      <c r="AG82" s="23" t="n"/>
      <c r="AH82" s="36" t="n"/>
      <c r="AI82" s="41">
        <f>IFERROR(AVERAGE(AD82,AF82,AH82),"")</f>
        <v/>
      </c>
      <c r="AJ82" s="29">
        <f>IFERROR(IF(AI82="","sem dados",IF(AB82&lt;AI82*0.95,"abaixo",IF(AB82&gt;AI82*1.05,"acima","em linha"))),"")</f>
        <v/>
      </c>
      <c r="AK82" s="23" t="inlineStr">
        <is>
          <t>não</t>
        </is>
      </c>
      <c r="AL82" s="23" t="n"/>
      <c r="AM82" s="23" t="n"/>
      <c r="AN82" s="23" t="n"/>
      <c r="AO82" s="44">
        <f>A82</f>
        <v/>
      </c>
      <c r="AP82" s="44">
        <f>D82</f>
        <v/>
      </c>
    </row>
    <row r="83" hidden="1" ht="15.75" customHeight="1" s="93">
      <c r="A83" s="23" t="inlineStr">
        <is>
          <t>0.2206.F001228.0</t>
        </is>
      </c>
      <c r="B83" s="23" t="inlineStr">
        <is>
          <t>F001228</t>
        </is>
      </c>
      <c r="C83" s="29">
        <f>IFERROR(LOWER(SUBSTITUTE(SUBSTITUTE(SUBSTITUTE(SUBSTITUTE(D83," ","-"),"/","-"),".",""),",","")),"")</f>
        <v/>
      </c>
      <c r="D83" s="23" t="inlineStr">
        <is>
          <t>COTOVELO FXF 1.1/16 JIC + SOLDA</t>
        </is>
      </c>
      <c r="E83" s="23" t="n"/>
      <c r="F83" s="23" t="inlineStr">
        <is>
          <t>SOHIPREN</t>
        </is>
      </c>
      <c r="G83" s="23" t="n"/>
      <c r="H83" s="23" t="inlineStr">
        <is>
          <t>draft</t>
        </is>
      </c>
      <c r="I83" s="23" t="inlineStr">
        <is>
          <t>ARGON COMERCIAL</t>
        </is>
      </c>
      <c r="J83" s="23" t="n"/>
      <c r="K83" s="23" t="n"/>
      <c r="L83" s="23" t="inlineStr">
        <is>
          <t>PVOV246686.0003</t>
        </is>
      </c>
      <c r="M83" s="31" t="n"/>
      <c r="N83" s="31" t="n"/>
      <c r="O83" s="31" t="n"/>
      <c r="P83" s="31" t="n"/>
      <c r="Q83" s="31" t="n"/>
      <c r="R83" s="34">
        <f>IFERROR(IF(AND(O83&gt;0,P83&gt;0,Q83&gt;0),(O83*P83*Q83)/6000,""),"")</f>
        <v/>
      </c>
      <c r="S83" s="34">
        <f>IFERROR(IF(AND(N83&gt;0,R83&gt;0),MAX(N83,R83),IF(N83&gt;0,N83,IF(R83&gt;0,R83,""))),"")</f>
        <v/>
      </c>
      <c r="T83" s="36" t="n"/>
      <c r="U83" s="38" t="inlineStr">
        <is>
          <t>FALTA</t>
        </is>
      </c>
      <c r="V83" s="36" t="n">
        <v>335.5</v>
      </c>
      <c r="W83" s="39" t="n">
        <v>0.3</v>
      </c>
      <c r="X83" s="41">
        <f>IFERROR(V83+T83,"")</f>
        <v/>
      </c>
      <c r="Y83" s="41">
        <f>IFERROR(IF(W83&lt;1,X83/(1-W83),""),"")</f>
        <v/>
      </c>
      <c r="Z83" s="43">
        <f>'01_CONFIG_GLOBAL'!$C$14</f>
        <v/>
      </c>
      <c r="AA83" s="41">
        <f>IFERROR(Y83*Z83,"")</f>
        <v/>
      </c>
      <c r="AB83" s="41">
        <f>IFERROR(IF(Z83&lt;1,Y83/(1-Z83),""),"")</f>
        <v/>
      </c>
      <c r="AC83" s="23" t="n"/>
      <c r="AD83" s="36" t="n"/>
      <c r="AE83" s="23" t="n"/>
      <c r="AF83" s="36" t="n"/>
      <c r="AG83" s="23" t="n"/>
      <c r="AH83" s="36" t="n"/>
      <c r="AI83" s="41">
        <f>IFERROR(AVERAGE(AD83,AF83,AH83),"")</f>
        <v/>
      </c>
      <c r="AJ83" s="29">
        <f>IFERROR(IF(AI83="","sem dados",IF(AB83&lt;AI83*0.95,"abaixo",IF(AB83&gt;AI83*1.05,"acima","em linha"))),"")</f>
        <v/>
      </c>
      <c r="AK83" s="23" t="inlineStr">
        <is>
          <t>não</t>
        </is>
      </c>
      <c r="AL83" s="23" t="n"/>
      <c r="AM83" s="23" t="n"/>
      <c r="AN83" s="23" t="n"/>
      <c r="AO83" s="44">
        <f>A83</f>
        <v/>
      </c>
      <c r="AP83" s="44">
        <f>D83</f>
        <v/>
      </c>
    </row>
    <row r="84" hidden="1" ht="15.75" customHeight="1" s="93">
      <c r="A84" s="23" t="inlineStr">
        <is>
          <t>0.2207.F001524.0</t>
        </is>
      </c>
      <c r="B84" s="23" t="inlineStr">
        <is>
          <t>F001524</t>
        </is>
      </c>
      <c r="C84" s="29">
        <f>IFERROR(LOWER(SUBSTITUTE(SUBSTITUTE(SUBSTITUTE(SUBSTITUTE(D84," ","-"),"/","-"),".",""),",","")),"")</f>
        <v/>
      </c>
      <c r="D84" s="23" t="inlineStr">
        <is>
          <t>TAMPAO FG M36X2 DKO</t>
        </is>
      </c>
      <c r="E84" s="23" t="n"/>
      <c r="F84" s="23" t="inlineStr">
        <is>
          <t>SOHIPREN</t>
        </is>
      </c>
      <c r="G84" s="23" t="n"/>
      <c r="H84" s="23" t="inlineStr">
        <is>
          <t>draft</t>
        </is>
      </c>
      <c r="I84" s="23" t="inlineStr">
        <is>
          <t>ARGON COMERCIAL</t>
        </is>
      </c>
      <c r="J84" s="23" t="n"/>
      <c r="K84" s="23" t="n"/>
      <c r="L84" s="23" t="inlineStr">
        <is>
          <t>PVOV210436.0002</t>
        </is>
      </c>
      <c r="M84" s="31" t="n"/>
      <c r="N84" s="31" t="n"/>
      <c r="O84" s="31" t="n"/>
      <c r="P84" s="31" t="n"/>
      <c r="Q84" s="31" t="n"/>
      <c r="R84" s="34">
        <f>IFERROR(IF(AND(O84&gt;0,P84&gt;0,Q84&gt;0),(O84*P84*Q84)/6000,""),"")</f>
        <v/>
      </c>
      <c r="S84" s="34">
        <f>IFERROR(IF(AND(N84&gt;0,R84&gt;0),MAX(N84,R84),IF(N84&gt;0,N84,IF(R84&gt;0,R84,""))),"")</f>
        <v/>
      </c>
      <c r="T84" s="36" t="n"/>
      <c r="U84" s="38" t="inlineStr">
        <is>
          <t>FALTA</t>
        </is>
      </c>
      <c r="V84" s="36" t="n">
        <v>266</v>
      </c>
      <c r="W84" s="39" t="n">
        <v>0.3</v>
      </c>
      <c r="X84" s="41">
        <f>IFERROR(V84+T84,"")</f>
        <v/>
      </c>
      <c r="Y84" s="41">
        <f>IFERROR(IF(W84&lt;1,X84/(1-W84),""),"")</f>
        <v/>
      </c>
      <c r="Z84" s="43">
        <f>'01_CONFIG_GLOBAL'!$C$14</f>
        <v/>
      </c>
      <c r="AA84" s="41">
        <f>IFERROR(Y84*Z84,"")</f>
        <v/>
      </c>
      <c r="AB84" s="41">
        <f>IFERROR(IF(Z84&lt;1,Y84/(1-Z84),""),"")</f>
        <v/>
      </c>
      <c r="AC84" s="23" t="n"/>
      <c r="AD84" s="36" t="n"/>
      <c r="AE84" s="23" t="n"/>
      <c r="AF84" s="36" t="n"/>
      <c r="AG84" s="23" t="n"/>
      <c r="AH84" s="36" t="n"/>
      <c r="AI84" s="41">
        <f>IFERROR(AVERAGE(AD84,AF84,AH84),"")</f>
        <v/>
      </c>
      <c r="AJ84" s="29">
        <f>IFERROR(IF(AI84="","sem dados",IF(AB84&lt;AI84*0.95,"abaixo",IF(AB84&gt;AI84*1.05,"acima","em linha"))),"")</f>
        <v/>
      </c>
      <c r="AK84" s="23" t="inlineStr">
        <is>
          <t>não</t>
        </is>
      </c>
      <c r="AL84" s="23" t="n"/>
      <c r="AM84" s="23" t="n"/>
      <c r="AN84" s="23" t="n"/>
      <c r="AO84" s="44">
        <f>A84</f>
        <v/>
      </c>
      <c r="AP84" s="44">
        <f>D84</f>
        <v/>
      </c>
    </row>
    <row r="85" hidden="1" ht="15.75" customHeight="1" s="93">
      <c r="A85" s="23" t="inlineStr">
        <is>
          <t>0.2207.F001491.0</t>
        </is>
      </c>
      <c r="B85" s="23" t="inlineStr">
        <is>
          <t>F001491</t>
        </is>
      </c>
      <c r="C85" s="29">
        <f>IFERROR(LOWER(SUBSTITUTE(SUBSTITUTE(SUBSTITUTE(SUBSTITUTE(D85," ","-"),"/","-"),".",""),",","")),"")</f>
        <v/>
      </c>
      <c r="D85" s="23" t="inlineStr">
        <is>
          <t>TAMPAO MF 1/2 JIC</t>
        </is>
      </c>
      <c r="E85" s="23" t="n"/>
      <c r="F85" s="23" t="inlineStr">
        <is>
          <t>SOHIPREN</t>
        </is>
      </c>
      <c r="G85" s="23" t="n"/>
      <c r="H85" s="23" t="inlineStr">
        <is>
          <t>draft</t>
        </is>
      </c>
      <c r="I85" s="23" t="inlineStr">
        <is>
          <t>ARGON COMERCIAL</t>
        </is>
      </c>
      <c r="J85" s="23" t="n"/>
      <c r="K85" s="23" t="n"/>
      <c r="L85" s="23" t="inlineStr">
        <is>
          <t>PVOV210436.0002</t>
        </is>
      </c>
      <c r="M85" s="31" t="n"/>
      <c r="N85" s="31" t="n"/>
      <c r="O85" s="31" t="n"/>
      <c r="P85" s="31" t="n"/>
      <c r="Q85" s="31" t="n"/>
      <c r="R85" s="34">
        <f>IFERROR(IF(AND(O85&gt;0,P85&gt;0,Q85&gt;0),(O85*P85*Q85)/6000,""),"")</f>
        <v/>
      </c>
      <c r="S85" s="34">
        <f>IFERROR(IF(AND(N85&gt;0,R85&gt;0),MAX(N85,R85),IF(N85&gt;0,N85,IF(R85&gt;0,R85,""))),"")</f>
        <v/>
      </c>
      <c r="T85" s="36" t="n"/>
      <c r="U85" s="38" t="inlineStr">
        <is>
          <t>FALTA</t>
        </is>
      </c>
      <c r="V85" s="36" t="n">
        <v>266</v>
      </c>
      <c r="W85" s="39" t="n">
        <v>0.3</v>
      </c>
      <c r="X85" s="41">
        <f>IFERROR(V85+T85,"")</f>
        <v/>
      </c>
      <c r="Y85" s="41">
        <f>IFERROR(IF(W85&lt;1,X85/(1-W85),""),"")</f>
        <v/>
      </c>
      <c r="Z85" s="43">
        <f>'01_CONFIG_GLOBAL'!$C$14</f>
        <v/>
      </c>
      <c r="AA85" s="41">
        <f>IFERROR(Y85*Z85,"")</f>
        <v/>
      </c>
      <c r="AB85" s="41">
        <f>IFERROR(IF(Z85&lt;1,Y85/(1-Z85),""),"")</f>
        <v/>
      </c>
      <c r="AC85" s="23" t="n"/>
      <c r="AD85" s="36" t="n"/>
      <c r="AE85" s="23" t="n"/>
      <c r="AF85" s="36" t="n"/>
      <c r="AG85" s="23" t="n"/>
      <c r="AH85" s="36" t="n"/>
      <c r="AI85" s="41">
        <f>IFERROR(AVERAGE(AD85,AF85,AH85),"")</f>
        <v/>
      </c>
      <c r="AJ85" s="29">
        <f>IFERROR(IF(AI85="","sem dados",IF(AB85&lt;AI85*0.95,"abaixo",IF(AB85&gt;AI85*1.05,"acima","em linha"))),"")</f>
        <v/>
      </c>
      <c r="AK85" s="23" t="inlineStr">
        <is>
          <t>não</t>
        </is>
      </c>
      <c r="AL85" s="23" t="n"/>
      <c r="AM85" s="23" t="n"/>
      <c r="AN85" s="23" t="n"/>
      <c r="AO85" s="44">
        <f>A85</f>
        <v/>
      </c>
      <c r="AP85" s="44">
        <f>D85</f>
        <v/>
      </c>
    </row>
    <row r="86" hidden="1" ht="15.75" customHeight="1" s="93">
      <c r="A86" s="23" t="inlineStr">
        <is>
          <t>0.0162.F001361.0</t>
        </is>
      </c>
      <c r="B86" s="23" t="inlineStr">
        <is>
          <t>F001361</t>
        </is>
      </c>
      <c r="C86" s="29">
        <f>IFERROR(LOWER(SUBSTITUTE(SUBSTITUTE(SUBSTITUTE(SUBSTITUTE(D86," ","-"),"/","-"),".",""),",","")),"")</f>
        <v/>
      </c>
      <c r="D86" s="23" t="inlineStr">
        <is>
          <t>MANGUEIRA MR2ATS-061.0000-M2P-MT14-06-T8E1.0000-M2P100-12</t>
        </is>
      </c>
      <c r="E86" s="23" t="n"/>
      <c r="F86" s="23" t="inlineStr">
        <is>
          <t>SOHIPREN</t>
        </is>
      </c>
      <c r="G86" s="23" t="n"/>
      <c r="H86" s="23" t="inlineStr">
        <is>
          <t>draft</t>
        </is>
      </c>
      <c r="I86" s="23" t="inlineStr">
        <is>
          <t>ARGON COMERCIAL</t>
        </is>
      </c>
      <c r="J86" s="23" t="n"/>
      <c r="K86" s="23" t="n"/>
      <c r="L86" s="23" t="inlineStr">
        <is>
          <t>PVOV270278.0001</t>
        </is>
      </c>
      <c r="M86" s="31" t="n"/>
      <c r="N86" s="31" t="n"/>
      <c r="O86" s="31" t="n"/>
      <c r="P86" s="31" t="n"/>
      <c r="Q86" s="31" t="n"/>
      <c r="R86" s="34">
        <f>IFERROR(IF(AND(O86&gt;0,P86&gt;0,Q86&gt;0),(O86*P86*Q86)/6000,""),"")</f>
        <v/>
      </c>
      <c r="S86" s="34">
        <f>IFERROR(IF(AND(N86&gt;0,R86&gt;0),MAX(N86,R86),IF(N86&gt;0,N86,IF(R86&gt;0,R86,""))),"")</f>
        <v/>
      </c>
      <c r="T86" s="36" t="n"/>
      <c r="U86" s="38" t="inlineStr">
        <is>
          <t>FALTA</t>
        </is>
      </c>
      <c r="V86" s="36" t="n">
        <v>59</v>
      </c>
      <c r="W86" s="39" t="n">
        <v>0.3</v>
      </c>
      <c r="X86" s="41">
        <f>IFERROR(V86+T86,"")</f>
        <v/>
      </c>
      <c r="Y86" s="41">
        <f>IFERROR(IF(W86&lt;1,X86/(1-W86),""),"")</f>
        <v/>
      </c>
      <c r="Z86" s="43">
        <f>'01_CONFIG_GLOBAL'!$C$14</f>
        <v/>
      </c>
      <c r="AA86" s="41">
        <f>IFERROR(Y86*Z86,"")</f>
        <v/>
      </c>
      <c r="AB86" s="41">
        <f>IFERROR(IF(Z86&lt;1,Y86/(1-Z86),""),"")</f>
        <v/>
      </c>
      <c r="AC86" s="23" t="n"/>
      <c r="AD86" s="36" t="n"/>
      <c r="AE86" s="23" t="n"/>
      <c r="AF86" s="36" t="n"/>
      <c r="AG86" s="23" t="n"/>
      <c r="AH86" s="36" t="n"/>
      <c r="AI86" s="41">
        <f>IFERROR(AVERAGE(AD86,AF86,AH86),"")</f>
        <v/>
      </c>
      <c r="AJ86" s="29">
        <f>IFERROR(IF(AI86="","sem dados",IF(AB86&lt;AI86*0.95,"abaixo",IF(AB86&gt;AI86*1.05,"acima","em linha"))),"")</f>
        <v/>
      </c>
      <c r="AK86" s="23" t="inlineStr">
        <is>
          <t>não</t>
        </is>
      </c>
      <c r="AL86" s="23" t="n"/>
      <c r="AM86" s="23" t="n"/>
      <c r="AN86" s="23" t="n"/>
      <c r="AO86" s="44">
        <f>A86</f>
        <v/>
      </c>
      <c r="AP86" s="44">
        <f>D86</f>
        <v/>
      </c>
    </row>
    <row r="87" hidden="1" ht="15.75" customHeight="1" s="93">
      <c r="A87" s="23" t="inlineStr">
        <is>
          <t>0.0162.F001362.0</t>
        </is>
      </c>
      <c r="B87" s="23" t="inlineStr">
        <is>
          <t>F001362</t>
        </is>
      </c>
      <c r="C87" s="29">
        <f>IFERROR(LOWER(SUBSTITUTE(SUBSTITUTE(SUBSTITUTE(SUBSTITUTE(D87," ","-"),"/","-"),".",""),",","")),"")</f>
        <v/>
      </c>
      <c r="D87" s="23" t="inlineStr">
        <is>
          <t>MANGUEIRA MR2ATS-061.0000-M2P-MT16-06-T1E1.0000-M2P100-10</t>
        </is>
      </c>
      <c r="E87" s="23" t="n"/>
      <c r="F87" s="23" t="inlineStr">
        <is>
          <t>SOHIPREN</t>
        </is>
      </c>
      <c r="G87" s="23" t="n"/>
      <c r="H87" s="23" t="inlineStr">
        <is>
          <t>draft</t>
        </is>
      </c>
      <c r="I87" s="23" t="inlineStr">
        <is>
          <t>ARGON COMERCIAL</t>
        </is>
      </c>
      <c r="J87" s="23" t="n"/>
      <c r="K87" s="23" t="n"/>
      <c r="L87" s="23" t="inlineStr">
        <is>
          <t>PVOV270278.0002</t>
        </is>
      </c>
      <c r="M87" s="31" t="n"/>
      <c r="N87" s="31" t="n"/>
      <c r="O87" s="31" t="n"/>
      <c r="P87" s="31" t="n"/>
      <c r="Q87" s="31" t="n"/>
      <c r="R87" s="34">
        <f>IFERROR(IF(AND(O87&gt;0,P87&gt;0,Q87&gt;0),(O87*P87*Q87)/6000,""),"")</f>
        <v/>
      </c>
      <c r="S87" s="34">
        <f>IFERROR(IF(AND(N87&gt;0,R87&gt;0),MAX(N87,R87),IF(N87&gt;0,N87,IF(R87&gt;0,R87,""))),"")</f>
        <v/>
      </c>
      <c r="T87" s="36" t="n"/>
      <c r="U87" s="38" t="inlineStr">
        <is>
          <t>FALTA</t>
        </is>
      </c>
      <c r="V87" s="36" t="n">
        <v>59</v>
      </c>
      <c r="W87" s="39" t="n">
        <v>0.3</v>
      </c>
      <c r="X87" s="41">
        <f>IFERROR(V87+T87,"")</f>
        <v/>
      </c>
      <c r="Y87" s="41">
        <f>IFERROR(IF(W87&lt;1,X87/(1-W87),""),"")</f>
        <v/>
      </c>
      <c r="Z87" s="43">
        <f>'01_CONFIG_GLOBAL'!$C$14</f>
        <v/>
      </c>
      <c r="AA87" s="41">
        <f>IFERROR(Y87*Z87,"")</f>
        <v/>
      </c>
      <c r="AB87" s="41">
        <f>IFERROR(IF(Z87&lt;1,Y87/(1-Z87),""),"")</f>
        <v/>
      </c>
      <c r="AC87" s="23" t="n"/>
      <c r="AD87" s="36" t="n"/>
      <c r="AE87" s="23" t="n"/>
      <c r="AF87" s="36" t="n"/>
      <c r="AG87" s="23" t="n"/>
      <c r="AH87" s="36" t="n"/>
      <c r="AI87" s="41">
        <f>IFERROR(AVERAGE(AD87,AF87,AH87),"")</f>
        <v/>
      </c>
      <c r="AJ87" s="29">
        <f>IFERROR(IF(AI87="","sem dados",IF(AB87&lt;AI87*0.95,"abaixo",IF(AB87&gt;AI87*1.05,"acima","em linha"))),"")</f>
        <v/>
      </c>
      <c r="AK87" s="23" t="inlineStr">
        <is>
          <t>não</t>
        </is>
      </c>
      <c r="AL87" s="23" t="n"/>
      <c r="AM87" s="23" t="n"/>
      <c r="AN87" s="23" t="n"/>
      <c r="AO87" s="44">
        <f>A87</f>
        <v/>
      </c>
      <c r="AP87" s="44">
        <f>D87</f>
        <v/>
      </c>
    </row>
    <row r="88" hidden="1" ht="15.75" customHeight="1" s="93">
      <c r="A88" s="23" t="inlineStr">
        <is>
          <t>0.0162.F001363.0</t>
        </is>
      </c>
      <c r="B88" s="23" t="inlineStr">
        <is>
          <t>F001363</t>
        </is>
      </c>
      <c r="C88" s="29">
        <f>IFERROR(LOWER(SUBSTITUTE(SUBSTITUTE(SUBSTITUTE(SUBSTITUTE(D88," ","-"),"/","-"),".",""),",","")),"")</f>
        <v/>
      </c>
      <c r="D88" s="23" t="inlineStr">
        <is>
          <t>MANGUEIRA MR2ATS-121.0000-M2P100-12-12E1.0000-M2P-MT30-12</t>
        </is>
      </c>
      <c r="E88" s="23" t="n"/>
      <c r="F88" s="23" t="inlineStr">
        <is>
          <t>SOHIPREN</t>
        </is>
      </c>
      <c r="G88" s="23" t="n"/>
      <c r="H88" s="23" t="inlineStr">
        <is>
          <t>draft</t>
        </is>
      </c>
      <c r="I88" s="23" t="inlineStr">
        <is>
          <t>ARGON COMERCIAL</t>
        </is>
      </c>
      <c r="J88" s="23" t="n"/>
      <c r="K88" s="23" t="n"/>
      <c r="L88" s="23" t="inlineStr">
        <is>
          <t>PVOV270278.0004</t>
        </is>
      </c>
      <c r="M88" s="31" t="n"/>
      <c r="N88" s="31" t="n"/>
      <c r="O88" s="31" t="n"/>
      <c r="P88" s="31" t="n"/>
      <c r="Q88" s="31" t="n"/>
      <c r="R88" s="34">
        <f>IFERROR(IF(AND(O88&gt;0,P88&gt;0,Q88&gt;0),(O88*P88*Q88)/6000,""),"")</f>
        <v/>
      </c>
      <c r="S88" s="34">
        <f>IFERROR(IF(AND(N88&gt;0,R88&gt;0),MAX(N88,R88),IF(N88&gt;0,N88,IF(R88&gt;0,R88,""))),"")</f>
        <v/>
      </c>
      <c r="T88" s="36" t="n"/>
      <c r="U88" s="38" t="inlineStr">
        <is>
          <t>FALTA</t>
        </is>
      </c>
      <c r="V88" s="36" t="n">
        <v>59</v>
      </c>
      <c r="W88" s="39" t="n">
        <v>0.3</v>
      </c>
      <c r="X88" s="41">
        <f>IFERROR(V88+T88,"")</f>
        <v/>
      </c>
      <c r="Y88" s="41">
        <f>IFERROR(IF(W88&lt;1,X88/(1-W88),""),"")</f>
        <v/>
      </c>
      <c r="Z88" s="43">
        <f>'01_CONFIG_GLOBAL'!$C$14</f>
        <v/>
      </c>
      <c r="AA88" s="41">
        <f>IFERROR(Y88*Z88,"")</f>
        <v/>
      </c>
      <c r="AB88" s="41">
        <f>IFERROR(IF(Z88&lt;1,Y88/(1-Z88),""),"")</f>
        <v/>
      </c>
      <c r="AC88" s="23" t="n"/>
      <c r="AD88" s="36" t="n"/>
      <c r="AE88" s="23" t="n"/>
      <c r="AF88" s="36" t="n"/>
      <c r="AG88" s="23" t="n"/>
      <c r="AH88" s="36" t="n"/>
      <c r="AI88" s="41">
        <f>IFERROR(AVERAGE(AD88,AF88,AH88),"")</f>
        <v/>
      </c>
      <c r="AJ88" s="29">
        <f>IFERROR(IF(AI88="","sem dados",IF(AB88&lt;AI88*0.95,"abaixo",IF(AB88&gt;AI88*1.05,"acima","em linha"))),"")</f>
        <v/>
      </c>
      <c r="AK88" s="23" t="inlineStr">
        <is>
          <t>não</t>
        </is>
      </c>
      <c r="AL88" s="23" t="n"/>
      <c r="AM88" s="23" t="n"/>
      <c r="AN88" s="23" t="n"/>
      <c r="AO88" s="44">
        <f>A88</f>
        <v/>
      </c>
      <c r="AP88" s="44">
        <f>D88</f>
        <v/>
      </c>
    </row>
    <row r="89" hidden="1" ht="15.75" customHeight="1" s="93">
      <c r="A89" s="23" t="inlineStr">
        <is>
          <t>0.0162.F001364.0</t>
        </is>
      </c>
      <c r="B89" s="23" t="inlineStr">
        <is>
          <t>F001364</t>
        </is>
      </c>
      <c r="C89" s="29">
        <f>IFERROR(LOWER(SUBSTITUTE(SUBSTITUTE(SUBSTITUTE(SUBSTITUTE(D89," ","-"),"/","-"),".",""),",","")),"")</f>
        <v/>
      </c>
      <c r="D89" s="23" t="inlineStr">
        <is>
          <t>MANGUEIRA MR2ATS-061.0000-M2P-BI-14-06-T8E1.0000-M2P100-1</t>
        </is>
      </c>
      <c r="E89" s="23" t="n"/>
      <c r="F89" s="23" t="inlineStr">
        <is>
          <t>SOHIPREN</t>
        </is>
      </c>
      <c r="G89" s="23" t="n"/>
      <c r="H89" s="23" t="inlineStr">
        <is>
          <t>draft</t>
        </is>
      </c>
      <c r="I89" s="23" t="inlineStr">
        <is>
          <t>ARGON COMERCIAL</t>
        </is>
      </c>
      <c r="J89" s="23" t="n"/>
      <c r="K89" s="23" t="n"/>
      <c r="L89" s="23" t="inlineStr">
        <is>
          <t>PVOV270278.0005</t>
        </is>
      </c>
      <c r="M89" s="31" t="n"/>
      <c r="N89" s="31" t="n"/>
      <c r="O89" s="31" t="n"/>
      <c r="P89" s="31" t="n"/>
      <c r="Q89" s="31" t="n"/>
      <c r="R89" s="34">
        <f>IFERROR(IF(AND(O89&gt;0,P89&gt;0,Q89&gt;0),(O89*P89*Q89)/6000,""),"")</f>
        <v/>
      </c>
      <c r="S89" s="34">
        <f>IFERROR(IF(AND(N89&gt;0,R89&gt;0),MAX(N89,R89),IF(N89&gt;0,N89,IF(R89&gt;0,R89,""))),"")</f>
        <v/>
      </c>
      <c r="T89" s="36" t="n"/>
      <c r="U89" s="38" t="inlineStr">
        <is>
          <t>FALTA</t>
        </is>
      </c>
      <c r="V89" s="36" t="n">
        <v>59</v>
      </c>
      <c r="W89" s="39" t="n">
        <v>0.3</v>
      </c>
      <c r="X89" s="41">
        <f>IFERROR(V89+T89,"")</f>
        <v/>
      </c>
      <c r="Y89" s="41">
        <f>IFERROR(IF(W89&lt;1,X89/(1-W89),""),"")</f>
        <v/>
      </c>
      <c r="Z89" s="43">
        <f>'01_CONFIG_GLOBAL'!$C$14</f>
        <v/>
      </c>
      <c r="AA89" s="41">
        <f>IFERROR(Y89*Z89,"")</f>
        <v/>
      </c>
      <c r="AB89" s="41">
        <f>IFERROR(IF(Z89&lt;1,Y89/(1-Z89),""),"")</f>
        <v/>
      </c>
      <c r="AC89" s="23" t="n"/>
      <c r="AD89" s="36" t="n"/>
      <c r="AE89" s="23" t="n"/>
      <c r="AF89" s="36" t="n"/>
      <c r="AG89" s="23" t="n"/>
      <c r="AH89" s="36" t="n"/>
      <c r="AI89" s="41">
        <f>IFERROR(AVERAGE(AD89,AF89,AH89),"")</f>
        <v/>
      </c>
      <c r="AJ89" s="29">
        <f>IFERROR(IF(AI89="","sem dados",IF(AB89&lt;AI89*0.95,"abaixo",IF(AB89&gt;AI89*1.05,"acima","em linha"))),"")</f>
        <v/>
      </c>
      <c r="AK89" s="23" t="inlineStr">
        <is>
          <t>não</t>
        </is>
      </c>
      <c r="AL89" s="23" t="n"/>
      <c r="AM89" s="23" t="n"/>
      <c r="AN89" s="23" t="n"/>
      <c r="AO89" s="44">
        <f>A89</f>
        <v/>
      </c>
      <c r="AP89" s="44">
        <f>D89</f>
        <v/>
      </c>
    </row>
    <row r="90" hidden="1" ht="15.75" customHeight="1" s="93">
      <c r="A90" s="23" t="inlineStr">
        <is>
          <t>0.0162.F001365.0</t>
        </is>
      </c>
      <c r="B90" s="23" t="inlineStr">
        <is>
          <t>F001365</t>
        </is>
      </c>
      <c r="C90" s="29">
        <f>IFERROR(LOWER(SUBSTITUTE(SUBSTITUTE(SUBSTITUTE(SUBSTITUTE(D90," ","-"),"/","-"),".",""),",","")),"")</f>
        <v/>
      </c>
      <c r="D90" s="23" t="inlineStr">
        <is>
          <t>MANGUEIRA MR2ATS-061.0000-M2P-BI-16-06-T10E1.0000-M2P100</t>
        </is>
      </c>
      <c r="E90" s="23" t="n"/>
      <c r="F90" s="23" t="inlineStr">
        <is>
          <t>SOHIPREN</t>
        </is>
      </c>
      <c r="G90" s="23" t="n"/>
      <c r="H90" s="23" t="inlineStr">
        <is>
          <t>draft</t>
        </is>
      </c>
      <c r="I90" s="23" t="inlineStr">
        <is>
          <t>ARGON COMERCIAL</t>
        </is>
      </c>
      <c r="J90" s="23" t="n"/>
      <c r="K90" s="23" t="n"/>
      <c r="L90" s="23" t="inlineStr">
        <is>
          <t>PVOV270278.0006</t>
        </is>
      </c>
      <c r="M90" s="31" t="n"/>
      <c r="N90" s="31" t="n"/>
      <c r="O90" s="31" t="n"/>
      <c r="P90" s="31" t="n"/>
      <c r="Q90" s="31" t="n"/>
      <c r="R90" s="34">
        <f>IFERROR(IF(AND(O90&gt;0,P90&gt;0,Q90&gt;0),(O90*P90*Q90)/6000,""),"")</f>
        <v/>
      </c>
      <c r="S90" s="34">
        <f>IFERROR(IF(AND(N90&gt;0,R90&gt;0),MAX(N90,R90),IF(N90&gt;0,N90,IF(R90&gt;0,R90,""))),"")</f>
        <v/>
      </c>
      <c r="T90" s="36" t="n"/>
      <c r="U90" s="38" t="inlineStr">
        <is>
          <t>FALTA</t>
        </is>
      </c>
      <c r="V90" s="36" t="n">
        <v>59</v>
      </c>
      <c r="W90" s="39" t="n">
        <v>0.3</v>
      </c>
      <c r="X90" s="41">
        <f>IFERROR(V90+T90,"")</f>
        <v/>
      </c>
      <c r="Y90" s="41">
        <f>IFERROR(IF(W90&lt;1,X90/(1-W90),""),"")</f>
        <v/>
      </c>
      <c r="Z90" s="43">
        <f>'01_CONFIG_GLOBAL'!$C$14</f>
        <v/>
      </c>
      <c r="AA90" s="41">
        <f>IFERROR(Y90*Z90,"")</f>
        <v/>
      </c>
      <c r="AB90" s="41">
        <f>IFERROR(IF(Z90&lt;1,Y90/(1-Z90),""),"")</f>
        <v/>
      </c>
      <c r="AC90" s="23" t="n"/>
      <c r="AD90" s="36" t="n"/>
      <c r="AE90" s="23" t="n"/>
      <c r="AF90" s="36" t="n"/>
      <c r="AG90" s="23" t="n"/>
      <c r="AH90" s="36" t="n"/>
      <c r="AI90" s="41">
        <f>IFERROR(AVERAGE(AD90,AF90,AH90),"")</f>
        <v/>
      </c>
      <c r="AJ90" s="29">
        <f>IFERROR(IF(AI90="","sem dados",IF(AB90&lt;AI90*0.95,"abaixo",IF(AB90&gt;AI90*1.05,"acima","em linha"))),"")</f>
        <v/>
      </c>
      <c r="AK90" s="23" t="inlineStr">
        <is>
          <t>não</t>
        </is>
      </c>
      <c r="AL90" s="23" t="n"/>
      <c r="AM90" s="23" t="n"/>
      <c r="AN90" s="23" t="n"/>
      <c r="AO90" s="44">
        <f>A90</f>
        <v/>
      </c>
      <c r="AP90" s="44">
        <f>D90</f>
        <v/>
      </c>
    </row>
    <row r="91" hidden="1" ht="15.75" customHeight="1" s="93">
      <c r="A91" s="23" t="inlineStr">
        <is>
          <t>0.0162.F001366.0</t>
        </is>
      </c>
      <c r="B91" s="23" t="inlineStr">
        <is>
          <t>F001366</t>
        </is>
      </c>
      <c r="C91" s="29">
        <f>IFERROR(LOWER(SUBSTITUTE(SUBSTITUTE(SUBSTITUTE(SUBSTITUTE(D91," ","-"),"/","-"),".",""),",","")),"")</f>
        <v/>
      </c>
      <c r="D91" s="23" t="inlineStr">
        <is>
          <t>MANGUEIRA MR2ATS-121.0000-M2P-BI-30-12-T22E1.0000-M2P100</t>
        </is>
      </c>
      <c r="E91" s="23" t="n"/>
      <c r="F91" s="23" t="inlineStr">
        <is>
          <t>SOHIPREN</t>
        </is>
      </c>
      <c r="G91" s="23" t="n"/>
      <c r="H91" s="23" t="inlineStr">
        <is>
          <t>draft</t>
        </is>
      </c>
      <c r="I91" s="23" t="inlineStr">
        <is>
          <t>ARGON COMERCIAL</t>
        </is>
      </c>
      <c r="J91" s="23" t="n"/>
      <c r="K91" s="23" t="n"/>
      <c r="L91" s="23" t="inlineStr">
        <is>
          <t>PVOV270278.0008</t>
        </is>
      </c>
      <c r="M91" s="31" t="n"/>
      <c r="N91" s="31" t="n"/>
      <c r="O91" s="31" t="n"/>
      <c r="P91" s="31" t="n"/>
      <c r="Q91" s="31" t="n"/>
      <c r="R91" s="34">
        <f>IFERROR(IF(AND(O91&gt;0,P91&gt;0,Q91&gt;0),(O91*P91*Q91)/6000,""),"")</f>
        <v/>
      </c>
      <c r="S91" s="34">
        <f>IFERROR(IF(AND(N91&gt;0,R91&gt;0),MAX(N91,R91),IF(N91&gt;0,N91,IF(R91&gt;0,R91,""))),"")</f>
        <v/>
      </c>
      <c r="T91" s="36" t="n"/>
      <c r="U91" s="38" t="inlineStr">
        <is>
          <t>FALTA</t>
        </is>
      </c>
      <c r="V91" s="36" t="n">
        <v>59</v>
      </c>
      <c r="W91" s="39" t="n">
        <v>0.3</v>
      </c>
      <c r="X91" s="41">
        <f>IFERROR(V91+T91,"")</f>
        <v/>
      </c>
      <c r="Y91" s="41">
        <f>IFERROR(IF(W91&lt;1,X91/(1-W91),""),"")</f>
        <v/>
      </c>
      <c r="Z91" s="43">
        <f>'01_CONFIG_GLOBAL'!$C$14</f>
        <v/>
      </c>
      <c r="AA91" s="41">
        <f>IFERROR(Y91*Z91,"")</f>
        <v/>
      </c>
      <c r="AB91" s="41">
        <f>IFERROR(IF(Z91&lt;1,Y91/(1-Z91),""),"")</f>
        <v/>
      </c>
      <c r="AC91" s="23" t="n"/>
      <c r="AD91" s="36" t="n"/>
      <c r="AE91" s="23" t="n"/>
      <c r="AF91" s="36" t="n"/>
      <c r="AG91" s="23" t="n"/>
      <c r="AH91" s="36" t="n"/>
      <c r="AI91" s="41">
        <f>IFERROR(AVERAGE(AD91,AF91,AH91),"")</f>
        <v/>
      </c>
      <c r="AJ91" s="29">
        <f>IFERROR(IF(AI91="","sem dados",IF(AB91&lt;AI91*0.95,"abaixo",IF(AB91&gt;AI91*1.05,"acima","em linha"))),"")</f>
        <v/>
      </c>
      <c r="AK91" s="23" t="inlineStr">
        <is>
          <t>não</t>
        </is>
      </c>
      <c r="AL91" s="23" t="n"/>
      <c r="AM91" s="23" t="n"/>
      <c r="AN91" s="23" t="n"/>
      <c r="AO91" s="44">
        <f>A91</f>
        <v/>
      </c>
      <c r="AP91" s="44">
        <f>D91</f>
        <v/>
      </c>
    </row>
    <row r="92" hidden="1" ht="15.75" customHeight="1" s="93">
      <c r="A92" s="23" t="inlineStr">
        <is>
          <t>0.2207.F001490.0</t>
        </is>
      </c>
      <c r="B92" s="23" t="inlineStr">
        <is>
          <t>F001490</t>
        </is>
      </c>
      <c r="C92" s="29">
        <f>IFERROR(LOWER(SUBSTITUTE(SUBSTITUTE(SUBSTITUTE(SUBSTITUTE(D92," ","-"),"/","-"),".",""),",","")),"")</f>
        <v/>
      </c>
      <c r="D92" s="23" t="inlineStr">
        <is>
          <t>TAMPAO MF 3/4 UNF PAR</t>
        </is>
      </c>
      <c r="E92" s="23" t="n"/>
      <c r="F92" s="23" t="inlineStr">
        <is>
          <t>SOHIPREN</t>
        </is>
      </c>
      <c r="G92" s="23" t="n"/>
      <c r="H92" s="23" t="inlineStr">
        <is>
          <t>draft</t>
        </is>
      </c>
      <c r="I92" s="23" t="inlineStr">
        <is>
          <t>ARGON COMERCIAL</t>
        </is>
      </c>
      <c r="J92" s="23" t="n"/>
      <c r="K92" s="23" t="n"/>
      <c r="L92" s="23" t="inlineStr">
        <is>
          <t>PVOV210436.0002</t>
        </is>
      </c>
      <c r="M92" s="31" t="n"/>
      <c r="N92" s="31" t="n"/>
      <c r="O92" s="31" t="n"/>
      <c r="P92" s="31" t="n"/>
      <c r="Q92" s="31" t="n"/>
      <c r="R92" s="34">
        <f>IFERROR(IF(AND(O92&gt;0,P92&gt;0,Q92&gt;0),(O92*P92*Q92)/6000,""),"")</f>
        <v/>
      </c>
      <c r="S92" s="34">
        <f>IFERROR(IF(AND(N92&gt;0,R92&gt;0),MAX(N92,R92),IF(N92&gt;0,N92,IF(R92&gt;0,R92,""))),"")</f>
        <v/>
      </c>
      <c r="T92" s="36" t="n"/>
      <c r="U92" s="38" t="inlineStr">
        <is>
          <t>FALTA</t>
        </is>
      </c>
      <c r="V92" s="36" t="n">
        <v>266</v>
      </c>
      <c r="W92" s="39" t="n">
        <v>0.3</v>
      </c>
      <c r="X92" s="41">
        <f>IFERROR(V92+T92,"")</f>
        <v/>
      </c>
      <c r="Y92" s="41">
        <f>IFERROR(IF(W92&lt;1,X92/(1-W92),""),"")</f>
        <v/>
      </c>
      <c r="Z92" s="43">
        <f>'01_CONFIG_GLOBAL'!$C$14</f>
        <v/>
      </c>
      <c r="AA92" s="41">
        <f>IFERROR(Y92*Z92,"")</f>
        <v/>
      </c>
      <c r="AB92" s="41">
        <f>IFERROR(IF(Z92&lt;1,Y92/(1-Z92),""),"")</f>
        <v/>
      </c>
      <c r="AC92" s="23" t="n"/>
      <c r="AD92" s="36" t="n"/>
      <c r="AE92" s="23" t="n"/>
      <c r="AF92" s="36" t="n"/>
      <c r="AG92" s="23" t="n"/>
      <c r="AH92" s="36" t="n"/>
      <c r="AI92" s="41">
        <f>IFERROR(AVERAGE(AD92,AF92,AH92),"")</f>
        <v/>
      </c>
      <c r="AJ92" s="29">
        <f>IFERROR(IF(AI92="","sem dados",IF(AB92&lt;AI92*0.95,"abaixo",IF(AB92&gt;AI92*1.05,"acima","em linha"))),"")</f>
        <v/>
      </c>
      <c r="AK92" s="23" t="inlineStr">
        <is>
          <t>não</t>
        </is>
      </c>
      <c r="AL92" s="23" t="n"/>
      <c r="AM92" s="23" t="n"/>
      <c r="AN92" s="23" t="n"/>
      <c r="AO92" s="44">
        <f>A92</f>
        <v/>
      </c>
      <c r="AP92" s="44">
        <f>D92</f>
        <v/>
      </c>
    </row>
    <row r="93" hidden="1" ht="15.75" customHeight="1" s="93">
      <c r="A93" s="23" t="inlineStr">
        <is>
          <t>0.2207.F001487.0</t>
        </is>
      </c>
      <c r="B93" s="23" t="inlineStr">
        <is>
          <t>F001487</t>
        </is>
      </c>
      <c r="C93" s="29">
        <f>IFERROR(LOWER(SUBSTITUTE(SUBSTITUTE(SUBSTITUTE(SUBSTITUTE(D93," ","-"),"/","-"),".",""),",","")),"")</f>
        <v/>
      </c>
      <c r="D93" s="23" t="inlineStr">
        <is>
          <t>TAMPAO MF M 22 T-15</t>
        </is>
      </c>
      <c r="E93" s="23" t="n"/>
      <c r="F93" s="23" t="inlineStr">
        <is>
          <t>SOHIPREN</t>
        </is>
      </c>
      <c r="G93" s="23" t="n"/>
      <c r="H93" s="23" t="inlineStr">
        <is>
          <t>draft</t>
        </is>
      </c>
      <c r="I93" s="23" t="inlineStr">
        <is>
          <t>ARGON COMERCIAL</t>
        </is>
      </c>
      <c r="J93" s="23" t="n"/>
      <c r="K93" s="23" t="n"/>
      <c r="L93" s="23" t="inlineStr">
        <is>
          <t>PVOV210436.0002</t>
        </is>
      </c>
      <c r="M93" s="31" t="n"/>
      <c r="N93" s="31" t="n"/>
      <c r="O93" s="31" t="n"/>
      <c r="P93" s="31" t="n"/>
      <c r="Q93" s="31" t="n"/>
      <c r="R93" s="34">
        <f>IFERROR(IF(AND(O93&gt;0,P93&gt;0,Q93&gt;0),(O93*P93*Q93)/6000,""),"")</f>
        <v/>
      </c>
      <c r="S93" s="34">
        <f>IFERROR(IF(AND(N93&gt;0,R93&gt;0),MAX(N93,R93),IF(N93&gt;0,N93,IF(R93&gt;0,R93,""))),"")</f>
        <v/>
      </c>
      <c r="T93" s="36" t="n"/>
      <c r="U93" s="38" t="inlineStr">
        <is>
          <t>FALTA</t>
        </is>
      </c>
      <c r="V93" s="36" t="n">
        <v>266</v>
      </c>
      <c r="W93" s="39" t="n">
        <v>0.3</v>
      </c>
      <c r="X93" s="41">
        <f>IFERROR(V93+T93,"")</f>
        <v/>
      </c>
      <c r="Y93" s="41">
        <f>IFERROR(IF(W93&lt;1,X93/(1-W93),""),"")</f>
        <v/>
      </c>
      <c r="Z93" s="43">
        <f>'01_CONFIG_GLOBAL'!$C$14</f>
        <v/>
      </c>
      <c r="AA93" s="41">
        <f>IFERROR(Y93*Z93,"")</f>
        <v/>
      </c>
      <c r="AB93" s="41">
        <f>IFERROR(IF(Z93&lt;1,Y93/(1-Z93),""),"")</f>
        <v/>
      </c>
      <c r="AC93" s="23" t="n"/>
      <c r="AD93" s="36" t="n"/>
      <c r="AE93" s="23" t="n"/>
      <c r="AF93" s="36" t="n"/>
      <c r="AG93" s="23" t="n"/>
      <c r="AH93" s="36" t="n"/>
      <c r="AI93" s="41">
        <f>IFERROR(AVERAGE(AD93,AF93,AH93),"")</f>
        <v/>
      </c>
      <c r="AJ93" s="29">
        <f>IFERROR(IF(AI93="","sem dados",IF(AB93&lt;AI93*0.95,"abaixo",IF(AB93&gt;AI93*1.05,"acima","em linha"))),"")</f>
        <v/>
      </c>
      <c r="AK93" s="23" t="inlineStr">
        <is>
          <t>não</t>
        </is>
      </c>
      <c r="AL93" s="23" t="n"/>
      <c r="AM93" s="23" t="n"/>
      <c r="AN93" s="23" t="n"/>
      <c r="AO93" s="44">
        <f>A93</f>
        <v/>
      </c>
      <c r="AP93" s="44">
        <f>D93</f>
        <v/>
      </c>
    </row>
    <row r="94" hidden="1" ht="15.75" customHeight="1" s="93">
      <c r="A94" s="23" t="inlineStr">
        <is>
          <t>0.2207.F001488.0</t>
        </is>
      </c>
      <c r="B94" s="23" t="inlineStr">
        <is>
          <t>F001488</t>
        </is>
      </c>
      <c r="C94" s="29">
        <f>IFERROR(LOWER(SUBSTITUTE(SUBSTITUTE(SUBSTITUTE(SUBSTITUTE(D94," ","-"),"/","-"),".",""),",","")),"")</f>
        <v/>
      </c>
      <c r="D94" s="23" t="inlineStr">
        <is>
          <t>TAMPAO MF M 18 T-12</t>
        </is>
      </c>
      <c r="E94" s="23" t="n"/>
      <c r="F94" s="23" t="inlineStr">
        <is>
          <t>SOHIPREN</t>
        </is>
      </c>
      <c r="G94" s="23" t="n"/>
      <c r="H94" s="23" t="inlineStr">
        <is>
          <t>draft</t>
        </is>
      </c>
      <c r="I94" s="23" t="inlineStr">
        <is>
          <t>ARGON COMERCIAL</t>
        </is>
      </c>
      <c r="J94" s="23" t="n"/>
      <c r="K94" s="23" t="n"/>
      <c r="L94" s="23" t="inlineStr">
        <is>
          <t>PVOV210436.0002</t>
        </is>
      </c>
      <c r="M94" s="31" t="n"/>
      <c r="N94" s="31" t="n"/>
      <c r="O94" s="31" t="n"/>
      <c r="P94" s="31" t="n"/>
      <c r="Q94" s="31" t="n"/>
      <c r="R94" s="34">
        <f>IFERROR(IF(AND(O94&gt;0,P94&gt;0,Q94&gt;0),(O94*P94*Q94)/6000,""),"")</f>
        <v/>
      </c>
      <c r="S94" s="34">
        <f>IFERROR(IF(AND(N94&gt;0,R94&gt;0),MAX(N94,R94),IF(N94&gt;0,N94,IF(R94&gt;0,R94,""))),"")</f>
        <v/>
      </c>
      <c r="T94" s="36" t="n"/>
      <c r="U94" s="38" t="inlineStr">
        <is>
          <t>FALTA</t>
        </is>
      </c>
      <c r="V94" s="36" t="n">
        <v>266</v>
      </c>
      <c r="W94" s="39" t="n">
        <v>0.3</v>
      </c>
      <c r="X94" s="41">
        <f>IFERROR(V94+T94,"")</f>
        <v/>
      </c>
      <c r="Y94" s="41">
        <f>IFERROR(IF(W94&lt;1,X94/(1-W94),""),"")</f>
        <v/>
      </c>
      <c r="Z94" s="43">
        <f>'01_CONFIG_GLOBAL'!$C$14</f>
        <v/>
      </c>
      <c r="AA94" s="41">
        <f>IFERROR(Y94*Z94,"")</f>
        <v/>
      </c>
      <c r="AB94" s="41">
        <f>IFERROR(IF(Z94&lt;1,Y94/(1-Z94),""),"")</f>
        <v/>
      </c>
      <c r="AC94" s="23" t="n"/>
      <c r="AD94" s="36" t="n"/>
      <c r="AE94" s="23" t="n"/>
      <c r="AF94" s="36" t="n"/>
      <c r="AG94" s="23" t="n"/>
      <c r="AH94" s="36" t="n"/>
      <c r="AI94" s="41">
        <f>IFERROR(AVERAGE(AD94,AF94,AH94),"")</f>
        <v/>
      </c>
      <c r="AJ94" s="29">
        <f>IFERROR(IF(AI94="","sem dados",IF(AB94&lt;AI94*0.95,"abaixo",IF(AB94&gt;AI94*1.05,"acima","em linha"))),"")</f>
        <v/>
      </c>
      <c r="AK94" s="23" t="inlineStr">
        <is>
          <t>não</t>
        </is>
      </c>
      <c r="AL94" s="23" t="n"/>
      <c r="AM94" s="23" t="n"/>
      <c r="AN94" s="23" t="n"/>
      <c r="AO94" s="44">
        <f>A94</f>
        <v/>
      </c>
      <c r="AP94" s="44">
        <f>D94</f>
        <v/>
      </c>
    </row>
    <row r="95" hidden="1" ht="15.75" customHeight="1" s="93">
      <c r="A95" s="23" t="inlineStr">
        <is>
          <t>0.2207.F001489.0</t>
        </is>
      </c>
      <c r="B95" s="23" t="inlineStr">
        <is>
          <t>F001489</t>
        </is>
      </c>
      <c r="C95" s="29">
        <f>IFERROR(LOWER(SUBSTITUTE(SUBSTITUTE(SUBSTITUTE(SUBSTITUTE(D95," ","-"),"/","-"),".",""),",","")),"")</f>
        <v/>
      </c>
      <c r="D95" s="23" t="inlineStr">
        <is>
          <t>TAMPAO MF M 12 T-6</t>
        </is>
      </c>
      <c r="E95" s="23" t="n"/>
      <c r="F95" s="23" t="inlineStr">
        <is>
          <t>SOHIPREN</t>
        </is>
      </c>
      <c r="G95" s="23" t="n"/>
      <c r="H95" s="23" t="inlineStr">
        <is>
          <t>draft</t>
        </is>
      </c>
      <c r="I95" s="23" t="inlineStr">
        <is>
          <t>ARGON COMERCIAL</t>
        </is>
      </c>
      <c r="J95" s="23" t="n"/>
      <c r="K95" s="23" t="n"/>
      <c r="L95" s="23" t="inlineStr">
        <is>
          <t>PVOV210436.0002</t>
        </is>
      </c>
      <c r="M95" s="31" t="n"/>
      <c r="N95" s="31" t="n"/>
      <c r="O95" s="31" t="n"/>
      <c r="P95" s="31" t="n"/>
      <c r="Q95" s="31" t="n"/>
      <c r="R95" s="34">
        <f>IFERROR(IF(AND(O95&gt;0,P95&gt;0,Q95&gt;0),(O95*P95*Q95)/6000,""),"")</f>
        <v/>
      </c>
      <c r="S95" s="34">
        <f>IFERROR(IF(AND(N95&gt;0,R95&gt;0),MAX(N95,R95),IF(N95&gt;0,N95,IF(R95&gt;0,R95,""))),"")</f>
        <v/>
      </c>
      <c r="T95" s="36" t="n"/>
      <c r="U95" s="38" t="inlineStr">
        <is>
          <t>FALTA</t>
        </is>
      </c>
      <c r="V95" s="36" t="n">
        <v>266</v>
      </c>
      <c r="W95" s="39" t="n">
        <v>0.3</v>
      </c>
      <c r="X95" s="41">
        <f>IFERROR(V95+T95,"")</f>
        <v/>
      </c>
      <c r="Y95" s="41">
        <f>IFERROR(IF(W95&lt;1,X95/(1-W95),""),"")</f>
        <v/>
      </c>
      <c r="Z95" s="43">
        <f>'01_CONFIG_GLOBAL'!$C$14</f>
        <v/>
      </c>
      <c r="AA95" s="41">
        <f>IFERROR(Y95*Z95,"")</f>
        <v/>
      </c>
      <c r="AB95" s="41">
        <f>IFERROR(IF(Z95&lt;1,Y95/(1-Z95),""),"")</f>
        <v/>
      </c>
      <c r="AC95" s="23" t="n"/>
      <c r="AD95" s="36" t="n"/>
      <c r="AE95" s="23" t="n"/>
      <c r="AF95" s="36" t="n"/>
      <c r="AG95" s="23" t="n"/>
      <c r="AH95" s="36" t="n"/>
      <c r="AI95" s="41">
        <f>IFERROR(AVERAGE(AD95,AF95,AH95),"")</f>
        <v/>
      </c>
      <c r="AJ95" s="29">
        <f>IFERROR(IF(AI95="","sem dados",IF(AB95&lt;AI95*0.95,"abaixo",IF(AB95&gt;AI95*1.05,"acima","em linha"))),"")</f>
        <v/>
      </c>
      <c r="AK95" s="23" t="inlineStr">
        <is>
          <t>não</t>
        </is>
      </c>
      <c r="AL95" s="23" t="n"/>
      <c r="AM95" s="23" t="n"/>
      <c r="AN95" s="23" t="n"/>
      <c r="AO95" s="44">
        <f>A95</f>
        <v/>
      </c>
      <c r="AP95" s="44">
        <f>D95</f>
        <v/>
      </c>
    </row>
    <row r="96" hidden="1" ht="15.75" customHeight="1" s="93">
      <c r="A96" s="23" t="inlineStr">
        <is>
          <t>0.0162.F001470.0</t>
        </is>
      </c>
      <c r="B96" s="23" t="inlineStr">
        <is>
          <t>F001470</t>
        </is>
      </c>
      <c r="C96" s="29">
        <f>IFERROR(LOWER(SUBSTITUTE(SUBSTITUTE(SUBSTITUTE(SUBSTITUTE(D96," ","-"),"/","-"),".",""),",","")),"")</f>
        <v/>
      </c>
      <c r="D96" s="23" t="inlineStr">
        <is>
          <t>ADAPTADOR MF 1/2 NPT X MF 1.1/16" PLANO UNF</t>
        </is>
      </c>
      <c r="E96" s="23" t="n"/>
      <c r="F96" s="23" t="inlineStr">
        <is>
          <t>SOHIPREN</t>
        </is>
      </c>
      <c r="G96" s="23" t="n"/>
      <c r="H96" s="23" t="inlineStr">
        <is>
          <t>draft</t>
        </is>
      </c>
      <c r="I96" s="23" t="inlineStr">
        <is>
          <t>ARGON COMERCIAL</t>
        </is>
      </c>
      <c r="J96" s="23" t="n"/>
      <c r="K96" s="23" t="n"/>
      <c r="L96" s="23" t="inlineStr">
        <is>
          <t>PVOV270278.0001</t>
        </is>
      </c>
      <c r="M96" s="31" t="n"/>
      <c r="N96" s="31" t="n"/>
      <c r="O96" s="31" t="n"/>
      <c r="P96" s="31" t="n"/>
      <c r="Q96" s="31" t="n"/>
      <c r="R96" s="34">
        <f>IFERROR(IF(AND(O96&gt;0,P96&gt;0,Q96&gt;0),(O96*P96*Q96)/6000,""),"")</f>
        <v/>
      </c>
      <c r="S96" s="34">
        <f>IFERROR(IF(AND(N96&gt;0,R96&gt;0),MAX(N96,R96),IF(N96&gt;0,N96,IF(R96&gt;0,R96,""))),"")</f>
        <v/>
      </c>
      <c r="T96" s="36" t="n"/>
      <c r="U96" s="38" t="inlineStr">
        <is>
          <t>FALTA</t>
        </is>
      </c>
      <c r="V96" s="36" t="n">
        <v>59</v>
      </c>
      <c r="W96" s="39" t="n">
        <v>0.3</v>
      </c>
      <c r="X96" s="41">
        <f>IFERROR(V96+T96,"")</f>
        <v/>
      </c>
      <c r="Y96" s="41">
        <f>IFERROR(IF(W96&lt;1,X96/(1-W96),""),"")</f>
        <v/>
      </c>
      <c r="Z96" s="43">
        <f>'01_CONFIG_GLOBAL'!$C$14</f>
        <v/>
      </c>
      <c r="AA96" s="41">
        <f>IFERROR(Y96*Z96,"")</f>
        <v/>
      </c>
      <c r="AB96" s="41">
        <f>IFERROR(IF(Z96&lt;1,Y96/(1-Z96),""),"")</f>
        <v/>
      </c>
      <c r="AC96" s="23" t="n"/>
      <c r="AD96" s="36" t="n"/>
      <c r="AE96" s="23" t="n"/>
      <c r="AF96" s="36" t="n"/>
      <c r="AG96" s="23" t="n"/>
      <c r="AH96" s="36" t="n"/>
      <c r="AI96" s="41">
        <f>IFERROR(AVERAGE(AD96,AF96,AH96),"")</f>
        <v/>
      </c>
      <c r="AJ96" s="29">
        <f>IFERROR(IF(AI96="","sem dados",IF(AB96&lt;AI96*0.95,"abaixo",IF(AB96&gt;AI96*1.05,"acima","em linha"))),"")</f>
        <v/>
      </c>
      <c r="AK96" s="23" t="inlineStr">
        <is>
          <t>não</t>
        </is>
      </c>
      <c r="AL96" s="23" t="n"/>
      <c r="AM96" s="23" t="n"/>
      <c r="AN96" s="23" t="n"/>
      <c r="AO96" s="44">
        <f>A96</f>
        <v/>
      </c>
      <c r="AP96" s="44">
        <f>D96</f>
        <v/>
      </c>
    </row>
    <row r="97" hidden="1" ht="15.75" customHeight="1" s="93">
      <c r="A97" s="23" t="inlineStr">
        <is>
          <t>0.0162.F001468.0</t>
        </is>
      </c>
      <c r="B97" s="23" t="inlineStr">
        <is>
          <t>F001468</t>
        </is>
      </c>
      <c r="C97" s="29">
        <f>IFERROR(LOWER(SUBSTITUTE(SUBSTITUTE(SUBSTITUTE(SUBSTITUTE(D97," ","-"),"/","-"),".",""),",","")),"")</f>
        <v/>
      </c>
      <c r="D97" s="23" t="inlineStr">
        <is>
          <t>ADAPTADOR MF 1/2 NPT X MF 3/4 PLANO UNF</t>
        </is>
      </c>
      <c r="E97" s="23" t="n"/>
      <c r="F97" s="23" t="inlineStr">
        <is>
          <t>SOHIPREN</t>
        </is>
      </c>
      <c r="G97" s="23" t="n"/>
      <c r="H97" s="23" t="inlineStr">
        <is>
          <t>draft</t>
        </is>
      </c>
      <c r="I97" s="23" t="inlineStr">
        <is>
          <t>ARGON COMERCIAL</t>
        </is>
      </c>
      <c r="J97" s="23" t="n"/>
      <c r="K97" s="23" t="n"/>
      <c r="L97" s="23" t="inlineStr">
        <is>
          <t>PVOV270278.0001</t>
        </is>
      </c>
      <c r="M97" s="31" t="n"/>
      <c r="N97" s="31" t="n"/>
      <c r="O97" s="31" t="n"/>
      <c r="P97" s="31" t="n"/>
      <c r="Q97" s="31" t="n"/>
      <c r="R97" s="34">
        <f>IFERROR(IF(AND(O97&gt;0,P97&gt;0,Q97&gt;0),(O97*P97*Q97)/6000,""),"")</f>
        <v/>
      </c>
      <c r="S97" s="34">
        <f>IFERROR(IF(AND(N97&gt;0,R97&gt;0),MAX(N97,R97),IF(N97&gt;0,N97,IF(R97&gt;0,R97,""))),"")</f>
        <v/>
      </c>
      <c r="T97" s="36" t="n"/>
      <c r="U97" s="38" t="inlineStr">
        <is>
          <t>FALTA</t>
        </is>
      </c>
      <c r="V97" s="36" t="n">
        <v>59</v>
      </c>
      <c r="W97" s="39" t="n">
        <v>0.3</v>
      </c>
      <c r="X97" s="41">
        <f>IFERROR(V97+T97,"")</f>
        <v/>
      </c>
      <c r="Y97" s="41">
        <f>IFERROR(IF(W97&lt;1,X97/(1-W97),""),"")</f>
        <v/>
      </c>
      <c r="Z97" s="43">
        <f>'01_CONFIG_GLOBAL'!$C$14</f>
        <v/>
      </c>
      <c r="AA97" s="41">
        <f>IFERROR(Y97*Z97,"")</f>
        <v/>
      </c>
      <c r="AB97" s="41">
        <f>IFERROR(IF(Z97&lt;1,Y97/(1-Z97),""),"")</f>
        <v/>
      </c>
      <c r="AC97" s="23" t="n"/>
      <c r="AD97" s="36" t="n"/>
      <c r="AE97" s="23" t="n"/>
      <c r="AF97" s="36" t="n"/>
      <c r="AG97" s="23" t="n"/>
      <c r="AH97" s="36" t="n"/>
      <c r="AI97" s="41">
        <f>IFERROR(AVERAGE(AD97,AF97,AH97),"")</f>
        <v/>
      </c>
      <c r="AJ97" s="29">
        <f>IFERROR(IF(AI97="","sem dados",IF(AB97&lt;AI97*0.95,"abaixo",IF(AB97&gt;AI97*1.05,"acima","em linha"))),"")</f>
        <v/>
      </c>
      <c r="AK97" s="23" t="inlineStr">
        <is>
          <t>não</t>
        </is>
      </c>
      <c r="AL97" s="23" t="n"/>
      <c r="AM97" s="23" t="n"/>
      <c r="AN97" s="23" t="n"/>
      <c r="AO97" s="44">
        <f>A97</f>
        <v/>
      </c>
      <c r="AP97" s="44">
        <f>D97</f>
        <v/>
      </c>
    </row>
    <row r="98" hidden="1" ht="15.75" customHeight="1" s="93">
      <c r="A98" s="23" t="inlineStr">
        <is>
          <t>0.0162.F001469.0</t>
        </is>
      </c>
      <c r="B98" s="23" t="inlineStr">
        <is>
          <t>F001469</t>
        </is>
      </c>
      <c r="C98" s="29">
        <f>IFERROR(LOWER(SUBSTITUTE(SUBSTITUTE(SUBSTITUTE(SUBSTITUTE(D98," ","-"),"/","-"),".",""),",","")),"")</f>
        <v/>
      </c>
      <c r="D98" s="23" t="inlineStr">
        <is>
          <t>ADAPTADOR MF 7/8 UNF PLANO X MF 1/2 NPT</t>
        </is>
      </c>
      <c r="E98" s="23" t="n"/>
      <c r="F98" s="23" t="inlineStr">
        <is>
          <t>SOHIPREN</t>
        </is>
      </c>
      <c r="G98" s="23" t="n"/>
      <c r="H98" s="23" t="inlineStr">
        <is>
          <t>draft</t>
        </is>
      </c>
      <c r="I98" s="23" t="inlineStr">
        <is>
          <t>ARGON COMERCIAL</t>
        </is>
      </c>
      <c r="J98" s="23" t="n"/>
      <c r="K98" s="23" t="n"/>
      <c r="L98" s="23" t="inlineStr">
        <is>
          <t>PVOV270278.0001</t>
        </is>
      </c>
      <c r="M98" s="31" t="n"/>
      <c r="N98" s="31" t="n"/>
      <c r="O98" s="31" t="n"/>
      <c r="P98" s="31" t="n"/>
      <c r="Q98" s="31" t="n"/>
      <c r="R98" s="34">
        <f>IFERROR(IF(AND(O98&gt;0,P98&gt;0,Q98&gt;0),(O98*P98*Q98)/6000,""),"")</f>
        <v/>
      </c>
      <c r="S98" s="34">
        <f>IFERROR(IF(AND(N98&gt;0,R98&gt;0),MAX(N98,R98),IF(N98&gt;0,N98,IF(R98&gt;0,R98,""))),"")</f>
        <v/>
      </c>
      <c r="T98" s="36" t="n"/>
      <c r="U98" s="38" t="inlineStr">
        <is>
          <t>FALTA</t>
        </is>
      </c>
      <c r="V98" s="36" t="n">
        <v>59</v>
      </c>
      <c r="W98" s="39" t="n">
        <v>0.3</v>
      </c>
      <c r="X98" s="41">
        <f>IFERROR(V98+T98,"")</f>
        <v/>
      </c>
      <c r="Y98" s="41">
        <f>IFERROR(IF(W98&lt;1,X98/(1-W98),""),"")</f>
        <v/>
      </c>
      <c r="Z98" s="43">
        <f>'01_CONFIG_GLOBAL'!$C$14</f>
        <v/>
      </c>
      <c r="AA98" s="41">
        <f>IFERROR(Y98*Z98,"")</f>
        <v/>
      </c>
      <c r="AB98" s="41">
        <f>IFERROR(IF(Z98&lt;1,Y98/(1-Z98),""),"")</f>
        <v/>
      </c>
      <c r="AC98" s="23" t="n"/>
      <c r="AD98" s="36" t="n"/>
      <c r="AE98" s="23" t="n"/>
      <c r="AF98" s="36" t="n"/>
      <c r="AG98" s="23" t="n"/>
      <c r="AH98" s="36" t="n"/>
      <c r="AI98" s="41">
        <f>IFERROR(AVERAGE(AD98,AF98,AH98),"")</f>
        <v/>
      </c>
      <c r="AJ98" s="29">
        <f>IFERROR(IF(AI98="","sem dados",IF(AB98&lt;AI98*0.95,"abaixo",IF(AB98&gt;AI98*1.05,"acima","em linha"))),"")</f>
        <v/>
      </c>
      <c r="AK98" s="23" t="inlineStr">
        <is>
          <t>não</t>
        </is>
      </c>
      <c r="AL98" s="23" t="n"/>
      <c r="AM98" s="23" t="n"/>
      <c r="AN98" s="23" t="n"/>
      <c r="AO98" s="44">
        <f>A98</f>
        <v/>
      </c>
      <c r="AP98" s="44">
        <f>D98</f>
        <v/>
      </c>
    </row>
    <row r="99" hidden="1" ht="15.75" customHeight="1" s="93">
      <c r="A99" s="23" t="inlineStr">
        <is>
          <t>0.2206.F001476.0</t>
        </is>
      </c>
      <c r="B99" s="23" t="inlineStr">
        <is>
          <t>F001476</t>
        </is>
      </c>
      <c r="C99" s="29">
        <f>IFERROR(LOWER(SUBSTITUTE(SUBSTITUTE(SUBSTITUTE(SUBSTITUTE(D99," ","-"),"/","-"),".",""),",","")),"")</f>
        <v/>
      </c>
      <c r="D99" s="23" t="inlineStr">
        <is>
          <t>ADAPTADOR RETO MM 3/8 NPT X 7/8 JIC</t>
        </is>
      </c>
      <c r="E99" s="23" t="n"/>
      <c r="F99" s="23" t="inlineStr">
        <is>
          <t>SOHIPREN</t>
        </is>
      </c>
      <c r="G99" s="23" t="n"/>
      <c r="H99" s="23" t="inlineStr">
        <is>
          <t>draft</t>
        </is>
      </c>
      <c r="I99" s="23" t="inlineStr">
        <is>
          <t>ARGON COMERCIAL</t>
        </is>
      </c>
      <c r="J99" s="23" t="n"/>
      <c r="K99" s="23" t="n"/>
      <c r="L99" s="23" t="inlineStr">
        <is>
          <t>M021-06-10</t>
        </is>
      </c>
      <c r="M99" s="31" t="n"/>
      <c r="N99" s="31" t="n"/>
      <c r="O99" s="31" t="n"/>
      <c r="P99" s="31" t="n"/>
      <c r="Q99" s="31" t="n"/>
      <c r="R99" s="34">
        <f>IFERROR(IF(AND(O99&gt;0,P99&gt;0,Q99&gt;0),(O99*P99*Q99)/6000,""),"")</f>
        <v/>
      </c>
      <c r="S99" s="34">
        <f>IFERROR(IF(AND(N99&gt;0,R99&gt;0),MAX(N99,R99),IF(N99&gt;0,N99,IF(R99&gt;0,R99,""))),"")</f>
        <v/>
      </c>
      <c r="T99" s="36" t="n"/>
      <c r="U99" s="38" t="inlineStr">
        <is>
          <t>FALTA</t>
        </is>
      </c>
      <c r="V99" s="36" t="n">
        <v>335.5</v>
      </c>
      <c r="W99" s="39" t="n">
        <v>0.3</v>
      </c>
      <c r="X99" s="41">
        <f>IFERROR(V99+T99,"")</f>
        <v/>
      </c>
      <c r="Y99" s="41">
        <f>IFERROR(IF(W99&lt;1,X99/(1-W99),""),"")</f>
        <v/>
      </c>
      <c r="Z99" s="43">
        <f>'01_CONFIG_GLOBAL'!$C$14</f>
        <v/>
      </c>
      <c r="AA99" s="41">
        <f>IFERROR(Y99*Z99,"")</f>
        <v/>
      </c>
      <c r="AB99" s="41">
        <f>IFERROR(IF(Z99&lt;1,Y99/(1-Z99),""),"")</f>
        <v/>
      </c>
      <c r="AC99" s="23" t="n"/>
      <c r="AD99" s="36" t="n"/>
      <c r="AE99" s="23" t="n"/>
      <c r="AF99" s="36" t="n"/>
      <c r="AG99" s="23" t="n"/>
      <c r="AH99" s="36" t="n"/>
      <c r="AI99" s="41">
        <f>IFERROR(AVERAGE(AD99,AF99,AH99),"")</f>
        <v/>
      </c>
      <c r="AJ99" s="29">
        <f>IFERROR(IF(AI99="","sem dados",IF(AB99&lt;AI99*0.95,"abaixo",IF(AB99&gt;AI99*1.05,"acima","em linha"))),"")</f>
        <v/>
      </c>
      <c r="AK99" s="23" t="inlineStr">
        <is>
          <t>não</t>
        </is>
      </c>
      <c r="AL99" s="23" t="n"/>
      <c r="AM99" s="23" t="n"/>
      <c r="AN99" s="23" t="n"/>
      <c r="AO99" s="44">
        <f>A99</f>
        <v/>
      </c>
      <c r="AP99" s="44">
        <f>D99</f>
        <v/>
      </c>
    </row>
    <row r="100" hidden="1" ht="15.75" customHeight="1" s="93">
      <c r="A100" s="23" t="inlineStr">
        <is>
          <t>0.0162.F001471.0</t>
        </is>
      </c>
      <c r="B100" s="23" t="inlineStr">
        <is>
          <t>F001471</t>
        </is>
      </c>
      <c r="C100" s="29">
        <f>IFERROR(LOWER(SUBSTITUTE(SUBSTITUTE(SUBSTITUTE(SUBSTITUTE(D100," ","-"),"/","-"),".",""),",","")),"")</f>
        <v/>
      </c>
      <c r="D100" s="23" t="inlineStr">
        <is>
          <t>ADAPTADOR MF 1/2 NPT X MF 1.5/16" PLANO UNF</t>
        </is>
      </c>
      <c r="E100" s="23" t="n"/>
      <c r="F100" s="23" t="inlineStr">
        <is>
          <t>SOHIPREN</t>
        </is>
      </c>
      <c r="G100" s="23" t="n"/>
      <c r="H100" s="23" t="inlineStr">
        <is>
          <t>draft</t>
        </is>
      </c>
      <c r="I100" s="23" t="inlineStr">
        <is>
          <t>ARGON COMERCIAL</t>
        </is>
      </c>
      <c r="J100" s="23" t="n"/>
      <c r="K100" s="23" t="n"/>
      <c r="L100" s="23" t="inlineStr">
        <is>
          <t>PVOV270278.0001</t>
        </is>
      </c>
      <c r="M100" s="31" t="n"/>
      <c r="N100" s="31" t="n"/>
      <c r="O100" s="31" t="n"/>
      <c r="P100" s="31" t="n"/>
      <c r="Q100" s="31" t="n"/>
      <c r="R100" s="34">
        <f>IFERROR(IF(AND(O100&gt;0,P100&gt;0,Q100&gt;0),(O100*P100*Q100)/6000,""),"")</f>
        <v/>
      </c>
      <c r="S100" s="34">
        <f>IFERROR(IF(AND(N100&gt;0,R100&gt;0),MAX(N100,R100),IF(N100&gt;0,N100,IF(R100&gt;0,R100,""))),"")</f>
        <v/>
      </c>
      <c r="T100" s="36" t="n"/>
      <c r="U100" s="38" t="inlineStr">
        <is>
          <t>FALTA</t>
        </is>
      </c>
      <c r="V100" s="36" t="n">
        <v>59</v>
      </c>
      <c r="W100" s="39" t="n">
        <v>0.3</v>
      </c>
      <c r="X100" s="41">
        <f>IFERROR(V100+T100,"")</f>
        <v/>
      </c>
      <c r="Y100" s="41">
        <f>IFERROR(IF(W100&lt;1,X100/(1-W100),""),"")</f>
        <v/>
      </c>
      <c r="Z100" s="43">
        <f>'01_CONFIG_GLOBAL'!$C$14</f>
        <v/>
      </c>
      <c r="AA100" s="41">
        <f>IFERROR(Y100*Z100,"")</f>
        <v/>
      </c>
      <c r="AB100" s="41">
        <f>IFERROR(IF(Z100&lt;1,Y100/(1-Z100),""),"")</f>
        <v/>
      </c>
      <c r="AC100" s="23" t="n"/>
      <c r="AD100" s="36" t="n"/>
      <c r="AE100" s="23" t="n"/>
      <c r="AF100" s="36" t="n"/>
      <c r="AG100" s="23" t="n"/>
      <c r="AH100" s="36" t="n"/>
      <c r="AI100" s="41">
        <f>IFERROR(AVERAGE(AD100,AF100,AH100),"")</f>
        <v/>
      </c>
      <c r="AJ100" s="29">
        <f>IFERROR(IF(AI100="","sem dados",IF(AB100&lt;AI100*0.95,"abaixo",IF(AB100&gt;AI100*1.05,"acima","em linha"))),"")</f>
        <v/>
      </c>
      <c r="AK100" s="23" t="inlineStr">
        <is>
          <t>não</t>
        </is>
      </c>
      <c r="AL100" s="23" t="n"/>
      <c r="AM100" s="23" t="n"/>
      <c r="AN100" s="23" t="n"/>
      <c r="AO100" s="44">
        <f>A100</f>
        <v/>
      </c>
      <c r="AP100" s="44">
        <f>D100</f>
        <v/>
      </c>
    </row>
    <row r="101" hidden="1" ht="15.75" customHeight="1" s="93">
      <c r="A101" s="23" t="inlineStr">
        <is>
          <t>0.0162.F001472.0</t>
        </is>
      </c>
      <c r="B101" s="23" t="inlineStr">
        <is>
          <t>F001472</t>
        </is>
      </c>
      <c r="C101" s="29">
        <f>IFERROR(LOWER(SUBSTITUTE(SUBSTITUTE(SUBSTITUTE(SUBSTITUTE(D101," ","-"),"/","-"),".",""),",","")),"")</f>
        <v/>
      </c>
      <c r="D101" s="23" t="inlineStr">
        <is>
          <t>ADAPTADOR MF 1/2 NPT X MF 3/4 BSP PLANO</t>
        </is>
      </c>
      <c r="E101" s="23" t="n"/>
      <c r="F101" s="23" t="inlineStr">
        <is>
          <t>SOHIPREN</t>
        </is>
      </c>
      <c r="G101" s="23" t="n"/>
      <c r="H101" s="23" t="inlineStr">
        <is>
          <t>draft</t>
        </is>
      </c>
      <c r="I101" s="23" t="inlineStr">
        <is>
          <t>ARGON COMERCIAL</t>
        </is>
      </c>
      <c r="J101" s="23" t="n"/>
      <c r="K101" s="23" t="n"/>
      <c r="L101" s="23" t="inlineStr">
        <is>
          <t>PVOV270278.0001</t>
        </is>
      </c>
      <c r="M101" s="31" t="n"/>
      <c r="N101" s="31" t="n"/>
      <c r="O101" s="31" t="n"/>
      <c r="P101" s="31" t="n"/>
      <c r="Q101" s="31" t="n"/>
      <c r="R101" s="34">
        <f>IFERROR(IF(AND(O101&gt;0,P101&gt;0,Q101&gt;0),(O101*P101*Q101)/6000,""),"")</f>
        <v/>
      </c>
      <c r="S101" s="34">
        <f>IFERROR(IF(AND(N101&gt;0,R101&gt;0),MAX(N101,R101),IF(N101&gt;0,N101,IF(R101&gt;0,R101,""))),"")</f>
        <v/>
      </c>
      <c r="T101" s="36" t="n"/>
      <c r="U101" s="38" t="inlineStr">
        <is>
          <t>FALTA</t>
        </is>
      </c>
      <c r="V101" s="36" t="n">
        <v>59</v>
      </c>
      <c r="W101" s="39" t="n">
        <v>0.3</v>
      </c>
      <c r="X101" s="41">
        <f>IFERROR(V101+T101,"")</f>
        <v/>
      </c>
      <c r="Y101" s="41">
        <f>IFERROR(IF(W101&lt;1,X101/(1-W101),""),"")</f>
        <v/>
      </c>
      <c r="Z101" s="43">
        <f>'01_CONFIG_GLOBAL'!$C$14</f>
        <v/>
      </c>
      <c r="AA101" s="41">
        <f>IFERROR(Y101*Z101,"")</f>
        <v/>
      </c>
      <c r="AB101" s="41">
        <f>IFERROR(IF(Z101&lt;1,Y101/(1-Z101),""),"")</f>
        <v/>
      </c>
      <c r="AC101" s="23" t="n"/>
      <c r="AD101" s="36" t="n"/>
      <c r="AE101" s="23" t="n"/>
      <c r="AF101" s="36" t="n"/>
      <c r="AG101" s="23" t="n"/>
      <c r="AH101" s="36" t="n"/>
      <c r="AI101" s="41">
        <f>IFERROR(AVERAGE(AD101,AF101,AH101),"")</f>
        <v/>
      </c>
      <c r="AJ101" s="29">
        <f>IFERROR(IF(AI101="","sem dados",IF(AB101&lt;AI101*0.95,"abaixo",IF(AB101&gt;AI101*1.05,"acima","em linha"))),"")</f>
        <v/>
      </c>
      <c r="AK101" s="23" t="inlineStr">
        <is>
          <t>não</t>
        </is>
      </c>
      <c r="AL101" s="23" t="n"/>
      <c r="AM101" s="23" t="n"/>
      <c r="AN101" s="23" t="n"/>
      <c r="AO101" s="44">
        <f>A101</f>
        <v/>
      </c>
      <c r="AP101" s="44">
        <f>D101</f>
        <v/>
      </c>
    </row>
    <row r="102" hidden="1" ht="15.75" customHeight="1" s="93">
      <c r="A102" s="23" t="inlineStr">
        <is>
          <t>0.0162.F001473.0</t>
        </is>
      </c>
      <c r="B102" s="23" t="inlineStr">
        <is>
          <t>F001473</t>
        </is>
      </c>
      <c r="C102" s="29">
        <f>IFERROR(LOWER(SUBSTITUTE(SUBSTITUTE(SUBSTITUTE(SUBSTITUTE(D102," ","-"),"/","-"),".",""),",","")),"")</f>
        <v/>
      </c>
      <c r="D102" s="23" t="inlineStr">
        <is>
          <t>ADAPTADOR MF 1/2 NPT X MF 1" BSP PLANO</t>
        </is>
      </c>
      <c r="E102" s="23" t="n"/>
      <c r="F102" s="23" t="inlineStr">
        <is>
          <t>SOHIPREN</t>
        </is>
      </c>
      <c r="G102" s="23" t="n"/>
      <c r="H102" s="23" t="inlineStr">
        <is>
          <t>draft</t>
        </is>
      </c>
      <c r="I102" s="23" t="inlineStr">
        <is>
          <t>ARGON COMERCIAL</t>
        </is>
      </c>
      <c r="J102" s="23" t="n"/>
      <c r="K102" s="23" t="n"/>
      <c r="L102" s="23" t="inlineStr">
        <is>
          <t>PVOV270278.0001</t>
        </is>
      </c>
      <c r="M102" s="31" t="n"/>
      <c r="N102" s="31" t="n"/>
      <c r="O102" s="31" t="n"/>
      <c r="P102" s="31" t="n"/>
      <c r="Q102" s="31" t="n"/>
      <c r="R102" s="34">
        <f>IFERROR(IF(AND(O102&gt;0,P102&gt;0,Q102&gt;0),(O102*P102*Q102)/6000,""),"")</f>
        <v/>
      </c>
      <c r="S102" s="34">
        <f>IFERROR(IF(AND(N102&gt;0,R102&gt;0),MAX(N102,R102),IF(N102&gt;0,N102,IF(R102&gt;0,R102,""))),"")</f>
        <v/>
      </c>
      <c r="T102" s="36" t="n"/>
      <c r="U102" s="38" t="inlineStr">
        <is>
          <t>FALTA</t>
        </is>
      </c>
      <c r="V102" s="36" t="n">
        <v>59</v>
      </c>
      <c r="W102" s="39" t="n">
        <v>0.3</v>
      </c>
      <c r="X102" s="41">
        <f>IFERROR(V102+T102,"")</f>
        <v/>
      </c>
      <c r="Y102" s="41">
        <f>IFERROR(IF(W102&lt;1,X102/(1-W102),""),"")</f>
        <v/>
      </c>
      <c r="Z102" s="43">
        <f>'01_CONFIG_GLOBAL'!$C$14</f>
        <v/>
      </c>
      <c r="AA102" s="41">
        <f>IFERROR(Y102*Z102,"")</f>
        <v/>
      </c>
      <c r="AB102" s="41">
        <f>IFERROR(IF(Z102&lt;1,Y102/(1-Z102),""),"")</f>
        <v/>
      </c>
      <c r="AC102" s="23" t="n"/>
      <c r="AD102" s="36" t="n"/>
      <c r="AE102" s="23" t="n"/>
      <c r="AF102" s="36" t="n"/>
      <c r="AG102" s="23" t="n"/>
      <c r="AH102" s="36" t="n"/>
      <c r="AI102" s="41">
        <f>IFERROR(AVERAGE(AD102,AF102,AH102),"")</f>
        <v/>
      </c>
      <c r="AJ102" s="29">
        <f>IFERROR(IF(AI102="","sem dados",IF(AB102&lt;AI102*0.95,"abaixo",IF(AB102&gt;AI102*1.05,"acima","em linha"))),"")</f>
        <v/>
      </c>
      <c r="AK102" s="23" t="inlineStr">
        <is>
          <t>não</t>
        </is>
      </c>
      <c r="AL102" s="23" t="n"/>
      <c r="AM102" s="23" t="n"/>
      <c r="AN102" s="23" t="n"/>
      <c r="AO102" s="44">
        <f>A102</f>
        <v/>
      </c>
      <c r="AP102" s="44">
        <f>D102</f>
        <v/>
      </c>
    </row>
    <row r="103" hidden="1" ht="15.75" customHeight="1" s="93">
      <c r="A103" s="23" t="inlineStr">
        <is>
          <t>0.0162.F001474.0</t>
        </is>
      </c>
      <c r="B103" s="23" t="inlineStr">
        <is>
          <t>F001474</t>
        </is>
      </c>
      <c r="C103" s="29">
        <f>IFERROR(LOWER(SUBSTITUTE(SUBSTITUTE(SUBSTITUTE(SUBSTITUTE(D103," ","-"),"/","-"),".",""),",","")),"")</f>
        <v/>
      </c>
      <c r="D103" s="23" t="inlineStr">
        <is>
          <t>ADAPTADOR MF 1/2 NPT X MF 1.1/4" BSP PLANO</t>
        </is>
      </c>
      <c r="E103" s="23" t="n"/>
      <c r="F103" s="23" t="inlineStr">
        <is>
          <t>SOHIPREN</t>
        </is>
      </c>
      <c r="G103" s="23" t="n"/>
      <c r="H103" s="23" t="inlineStr">
        <is>
          <t>draft</t>
        </is>
      </c>
      <c r="I103" s="23" t="inlineStr">
        <is>
          <t>ARGON COMERCIAL</t>
        </is>
      </c>
      <c r="J103" s="23" t="n"/>
      <c r="K103" s="23" t="n"/>
      <c r="L103" s="23" t="inlineStr">
        <is>
          <t>PVOV270278.0001</t>
        </is>
      </c>
      <c r="M103" s="31" t="n"/>
      <c r="N103" s="31" t="n"/>
      <c r="O103" s="31" t="n"/>
      <c r="P103" s="31" t="n"/>
      <c r="Q103" s="31" t="n"/>
      <c r="R103" s="34">
        <f>IFERROR(IF(AND(O103&gt;0,P103&gt;0,Q103&gt;0),(O103*P103*Q103)/6000,""),"")</f>
        <v/>
      </c>
      <c r="S103" s="34">
        <f>IFERROR(IF(AND(N103&gt;0,R103&gt;0),MAX(N103,R103),IF(N103&gt;0,N103,IF(R103&gt;0,R103,""))),"")</f>
        <v/>
      </c>
      <c r="T103" s="36" t="n"/>
      <c r="U103" s="38" t="inlineStr">
        <is>
          <t>FALTA</t>
        </is>
      </c>
      <c r="V103" s="36" t="n">
        <v>59</v>
      </c>
      <c r="W103" s="39" t="n">
        <v>0.3</v>
      </c>
      <c r="X103" s="41">
        <f>IFERROR(V103+T103,"")</f>
        <v/>
      </c>
      <c r="Y103" s="41">
        <f>IFERROR(IF(W103&lt;1,X103/(1-W103),""),"")</f>
        <v/>
      </c>
      <c r="Z103" s="43">
        <f>'01_CONFIG_GLOBAL'!$C$14</f>
        <v/>
      </c>
      <c r="AA103" s="41">
        <f>IFERROR(Y103*Z103,"")</f>
        <v/>
      </c>
      <c r="AB103" s="41">
        <f>IFERROR(IF(Z103&lt;1,Y103/(1-Z103),""),"")</f>
        <v/>
      </c>
      <c r="AC103" s="23" t="n"/>
      <c r="AD103" s="36" t="n"/>
      <c r="AE103" s="23" t="n"/>
      <c r="AF103" s="36" t="n"/>
      <c r="AG103" s="23" t="n"/>
      <c r="AH103" s="36" t="n"/>
      <c r="AI103" s="41">
        <f>IFERROR(AVERAGE(AD103,AF103,AH103),"")</f>
        <v/>
      </c>
      <c r="AJ103" s="29">
        <f>IFERROR(IF(AI103="","sem dados",IF(AB103&lt;AI103*0.95,"abaixo",IF(AB103&gt;AI103*1.05,"acima","em linha"))),"")</f>
        <v/>
      </c>
      <c r="AK103" s="23" t="inlineStr">
        <is>
          <t>não</t>
        </is>
      </c>
      <c r="AL103" s="23" t="n"/>
      <c r="AM103" s="23" t="n"/>
      <c r="AN103" s="23" t="n"/>
      <c r="AO103" s="44">
        <f>A103</f>
        <v/>
      </c>
      <c r="AP103" s="44">
        <f>D103</f>
        <v/>
      </c>
    </row>
    <row r="104" hidden="1" ht="15.75" customHeight="1" s="93">
      <c r="A104" s="23" t="inlineStr">
        <is>
          <t>0.2207.F001289.0</t>
        </is>
      </c>
      <c r="B104" s="23" t="inlineStr">
        <is>
          <t>F001389</t>
        </is>
      </c>
      <c r="C104" s="29">
        <f>IFERROR(LOWER(SUBSTITUTE(SUBSTITUTE(SUBSTITUTE(SUBSTITUTE(D104," ","-"),"/","-"),".",""),",","")),"")</f>
        <v/>
      </c>
      <c r="D104" s="23" t="inlineStr">
        <is>
          <t>TAMPAO 1/8 NPT</t>
        </is>
      </c>
      <c r="E104" s="23" t="n"/>
      <c r="F104" s="23" t="inlineStr">
        <is>
          <t>SOHIPREN</t>
        </is>
      </c>
      <c r="G104" s="23" t="n"/>
      <c r="H104" s="23" t="inlineStr">
        <is>
          <t>draft</t>
        </is>
      </c>
      <c r="I104" s="23" t="inlineStr">
        <is>
          <t>ARGON COMERCIAL</t>
        </is>
      </c>
      <c r="J104" s="23" t="n"/>
      <c r="K104" s="23" t="n"/>
      <c r="L104" s="23" t="inlineStr">
        <is>
          <t>PVOV210436.0002</t>
        </is>
      </c>
      <c r="M104" s="31" t="n"/>
      <c r="N104" s="31" t="n"/>
      <c r="O104" s="31" t="n"/>
      <c r="P104" s="31" t="n"/>
      <c r="Q104" s="31" t="n"/>
      <c r="R104" s="34">
        <f>IFERROR(IF(AND(O104&gt;0,P104&gt;0,Q104&gt;0),(O104*P104*Q104)/6000,""),"")</f>
        <v/>
      </c>
      <c r="S104" s="34">
        <f>IFERROR(IF(AND(N104&gt;0,R104&gt;0),MAX(N104,R104),IF(N104&gt;0,N104,IF(R104&gt;0,R104,""))),"")</f>
        <v/>
      </c>
      <c r="T104" s="36" t="n"/>
      <c r="U104" s="38" t="inlineStr">
        <is>
          <t>FALTA</t>
        </is>
      </c>
      <c r="V104" s="36" t="n">
        <v>266</v>
      </c>
      <c r="W104" s="39" t="n">
        <v>0.3</v>
      </c>
      <c r="X104" s="41">
        <f>IFERROR(V104+T104,"")</f>
        <v/>
      </c>
      <c r="Y104" s="41">
        <f>IFERROR(IF(W104&lt;1,X104/(1-W104),""),"")</f>
        <v/>
      </c>
      <c r="Z104" s="43">
        <f>'01_CONFIG_GLOBAL'!$C$14</f>
        <v/>
      </c>
      <c r="AA104" s="41">
        <f>IFERROR(Y104*Z104,"")</f>
        <v/>
      </c>
      <c r="AB104" s="41">
        <f>IFERROR(IF(Z104&lt;1,Y104/(1-Z104),""),"")</f>
        <v/>
      </c>
      <c r="AC104" s="23" t="n"/>
      <c r="AD104" s="36" t="n"/>
      <c r="AE104" s="23" t="n"/>
      <c r="AF104" s="36" t="n"/>
      <c r="AG104" s="23" t="n"/>
      <c r="AH104" s="36" t="n"/>
      <c r="AI104" s="41">
        <f>IFERROR(AVERAGE(AD104,AF104,AH104),"")</f>
        <v/>
      </c>
      <c r="AJ104" s="29">
        <f>IFERROR(IF(AI104="","sem dados",IF(AB104&lt;AI104*0.95,"abaixo",IF(AB104&gt;AI104*1.05,"acima","em linha"))),"")</f>
        <v/>
      </c>
      <c r="AK104" s="23" t="inlineStr">
        <is>
          <t>não</t>
        </is>
      </c>
      <c r="AL104" s="23" t="n"/>
      <c r="AM104" s="23" t="n"/>
      <c r="AN104" s="23" t="n"/>
      <c r="AO104" s="44">
        <f>A104</f>
        <v/>
      </c>
      <c r="AP104" s="44">
        <f>D104</f>
        <v/>
      </c>
    </row>
    <row r="105" hidden="1" ht="15.75" customHeight="1" s="93">
      <c r="A105" s="23" t="inlineStr">
        <is>
          <t>0.0162.F001407.0</t>
        </is>
      </c>
      <c r="B105" s="23" t="inlineStr">
        <is>
          <t>F001407</t>
        </is>
      </c>
      <c r="C105" s="29">
        <f>IFERROR(LOWER(SUBSTITUTE(SUBSTITUTE(SUBSTITUTE(SUBSTITUTE(D105," ","-"),"/","-"),".",""),",","")),"")</f>
        <v/>
      </c>
      <c r="D105" s="23" t="inlineStr">
        <is>
          <t>ADAPTADOR MF 7/8 X MF M18</t>
        </is>
      </c>
      <c r="E105" s="23" t="n"/>
      <c r="F105" s="23" t="inlineStr">
        <is>
          <t>SOHIPREN</t>
        </is>
      </c>
      <c r="G105" s="23" t="n"/>
      <c r="H105" s="23" t="inlineStr">
        <is>
          <t>draft</t>
        </is>
      </c>
      <c r="I105" s="23" t="inlineStr">
        <is>
          <t>ARGON COMERCIAL</t>
        </is>
      </c>
      <c r="J105" s="23" t="n"/>
      <c r="K105" s="23" t="n"/>
      <c r="L105" s="23" t="inlineStr">
        <is>
          <t>PVOV272991.0005</t>
        </is>
      </c>
      <c r="M105" s="31" t="n"/>
      <c r="N105" s="31" t="n"/>
      <c r="O105" s="31" t="n"/>
      <c r="P105" s="31" t="n"/>
      <c r="Q105" s="31" t="n"/>
      <c r="R105" s="34">
        <f>IFERROR(IF(AND(O105&gt;0,P105&gt;0,Q105&gt;0),(O105*P105*Q105)/6000,""),"")</f>
        <v/>
      </c>
      <c r="S105" s="34">
        <f>IFERROR(IF(AND(N105&gt;0,R105&gt;0),MAX(N105,R105),IF(N105&gt;0,N105,IF(R105&gt;0,R105,""))),"")</f>
        <v/>
      </c>
      <c r="T105" s="36" t="n"/>
      <c r="U105" s="38" t="inlineStr">
        <is>
          <t>FALTA</t>
        </is>
      </c>
      <c r="V105" s="36" t="n">
        <v>59</v>
      </c>
      <c r="W105" s="39" t="n">
        <v>0.3</v>
      </c>
      <c r="X105" s="41">
        <f>IFERROR(V105+T105,"")</f>
        <v/>
      </c>
      <c r="Y105" s="41">
        <f>IFERROR(IF(W105&lt;1,X105/(1-W105),""),"")</f>
        <v/>
      </c>
      <c r="Z105" s="43">
        <f>'01_CONFIG_GLOBAL'!$C$14</f>
        <v/>
      </c>
      <c r="AA105" s="41">
        <f>IFERROR(Y105*Z105,"")</f>
        <v/>
      </c>
      <c r="AB105" s="41">
        <f>IFERROR(IF(Z105&lt;1,Y105/(1-Z105),""),"")</f>
        <v/>
      </c>
      <c r="AC105" s="23" t="n"/>
      <c r="AD105" s="36" t="n"/>
      <c r="AE105" s="23" t="n"/>
      <c r="AF105" s="36" t="n"/>
      <c r="AG105" s="23" t="n"/>
      <c r="AH105" s="36" t="n"/>
      <c r="AI105" s="41">
        <f>IFERROR(AVERAGE(AD105,AF105,AH105),"")</f>
        <v/>
      </c>
      <c r="AJ105" s="29">
        <f>IFERROR(IF(AI105="","sem dados",IF(AB105&lt;AI105*0.95,"abaixo",IF(AB105&gt;AI105*1.05,"acima","em linha"))),"")</f>
        <v/>
      </c>
      <c r="AK105" s="23" t="inlineStr">
        <is>
          <t>não</t>
        </is>
      </c>
      <c r="AL105" s="23" t="n"/>
      <c r="AM105" s="23" t="n"/>
      <c r="AN105" s="23" t="n"/>
      <c r="AO105" s="44">
        <f>A105</f>
        <v/>
      </c>
      <c r="AP105" s="44">
        <f>D105</f>
        <v/>
      </c>
    </row>
    <row r="106" hidden="1" ht="15.75" customHeight="1" s="93">
      <c r="A106" s="23" t="inlineStr">
        <is>
          <t>0.0162.F001408.0</t>
        </is>
      </c>
      <c r="B106" s="23" t="inlineStr">
        <is>
          <t>F001408</t>
        </is>
      </c>
      <c r="C106" s="29">
        <f>IFERROR(LOWER(SUBSTITUTE(SUBSTITUTE(SUBSTITUTE(SUBSTITUTE(D106," ","-"),"/","-"),".",""),",","")),"")</f>
        <v/>
      </c>
      <c r="D106" s="23" t="inlineStr">
        <is>
          <t>ESPIGA MF M18 X 1/2 T-12</t>
        </is>
      </c>
      <c r="E106" s="23" t="n"/>
      <c r="F106" s="23" t="inlineStr">
        <is>
          <t>SOHIPREN</t>
        </is>
      </c>
      <c r="G106" s="23" t="n"/>
      <c r="H106" s="23" t="inlineStr">
        <is>
          <t>draft</t>
        </is>
      </c>
      <c r="I106" s="23" t="inlineStr">
        <is>
          <t>ARGON COMERCIAL</t>
        </is>
      </c>
      <c r="J106" s="23" t="n"/>
      <c r="K106" s="23" t="n"/>
      <c r="L106" s="23" t="inlineStr">
        <is>
          <t>M2P-MT18-EP-08-T-12C</t>
        </is>
      </c>
      <c r="M106" s="31" t="n"/>
      <c r="N106" s="31" t="n"/>
      <c r="O106" s="31" t="n"/>
      <c r="P106" s="31" t="n"/>
      <c r="Q106" s="31" t="n"/>
      <c r="R106" s="34">
        <f>IFERROR(IF(AND(O106&gt;0,P106&gt;0,Q106&gt;0),(O106*P106*Q106)/6000,""),"")</f>
        <v/>
      </c>
      <c r="S106" s="34">
        <f>IFERROR(IF(AND(N106&gt;0,R106&gt;0),MAX(N106,R106),IF(N106&gt;0,N106,IF(R106&gt;0,R106,""))),"")</f>
        <v/>
      </c>
      <c r="T106" s="36" t="n"/>
      <c r="U106" s="38" t="inlineStr">
        <is>
          <t>FALTA</t>
        </is>
      </c>
      <c r="V106" s="36" t="n">
        <v>59</v>
      </c>
      <c r="W106" s="39" t="n">
        <v>0.3</v>
      </c>
      <c r="X106" s="41">
        <f>IFERROR(V106+T106,"")</f>
        <v/>
      </c>
      <c r="Y106" s="41">
        <f>IFERROR(IF(W106&lt;1,X106/(1-W106),""),"")</f>
        <v/>
      </c>
      <c r="Z106" s="43">
        <f>'01_CONFIG_GLOBAL'!$C$14</f>
        <v/>
      </c>
      <c r="AA106" s="41">
        <f>IFERROR(Y106*Z106,"")</f>
        <v/>
      </c>
      <c r="AB106" s="41">
        <f>IFERROR(IF(Z106&lt;1,Y106/(1-Z106),""),"")</f>
        <v/>
      </c>
      <c r="AC106" s="23" t="n"/>
      <c r="AD106" s="36" t="n"/>
      <c r="AE106" s="23" t="n"/>
      <c r="AF106" s="36" t="n"/>
      <c r="AG106" s="23" t="n"/>
      <c r="AH106" s="36" t="n"/>
      <c r="AI106" s="41">
        <f>IFERROR(AVERAGE(AD106,AF106,AH106),"")</f>
        <v/>
      </c>
      <c r="AJ106" s="29">
        <f>IFERROR(IF(AI106="","sem dados",IF(AB106&lt;AI106*0.95,"abaixo",IF(AB106&gt;AI106*1.05,"acima","em linha"))),"")</f>
        <v/>
      </c>
      <c r="AK106" s="23" t="inlineStr">
        <is>
          <t>não</t>
        </is>
      </c>
      <c r="AL106" s="23" t="n"/>
      <c r="AM106" s="23" t="n"/>
      <c r="AN106" s="23" t="n"/>
      <c r="AO106" s="44">
        <f>A106</f>
        <v/>
      </c>
      <c r="AP106" s="44">
        <f>D106</f>
        <v/>
      </c>
    </row>
    <row r="107" hidden="1" ht="15.75" customHeight="1" s="93">
      <c r="A107" s="23" t="inlineStr">
        <is>
          <t>0.0162.F001409.0</t>
        </is>
      </c>
      <c r="B107" s="23" t="inlineStr">
        <is>
          <t>F001409</t>
        </is>
      </c>
      <c r="C107" s="29">
        <f>IFERROR(LOWER(SUBSTITUTE(SUBSTITUTE(SUBSTITUTE(SUBSTITUTE(D107," ","-"),"/","-"),".",""),",","")),"")</f>
        <v/>
      </c>
      <c r="D107" s="23" t="inlineStr">
        <is>
          <t>MANGUEIRA MR2AT-08*0.7400-M2P-BI-20-08-T12E*1.0000-M2P</t>
        </is>
      </c>
      <c r="E107" s="23" t="n"/>
      <c r="F107" s="23" t="inlineStr">
        <is>
          <t>SOHIPREN</t>
        </is>
      </c>
      <c r="G107" s="23" t="n"/>
      <c r="H107" s="23" t="inlineStr">
        <is>
          <t>draft</t>
        </is>
      </c>
      <c r="I107" s="23" t="inlineStr">
        <is>
          <t>ARGON COMERCIAL</t>
        </is>
      </c>
      <c r="J107" s="23" t="n"/>
      <c r="K107" s="23" t="n"/>
      <c r="L107" s="23" t="inlineStr">
        <is>
          <t>PVOV272991.0002</t>
        </is>
      </c>
      <c r="M107" s="31" t="n"/>
      <c r="N107" s="31" t="n"/>
      <c r="O107" s="31" t="n"/>
      <c r="P107" s="31" t="n"/>
      <c r="Q107" s="31" t="n"/>
      <c r="R107" s="34">
        <f>IFERROR(IF(AND(O107&gt;0,P107&gt;0,Q107&gt;0),(O107*P107*Q107)/6000,""),"")</f>
        <v/>
      </c>
      <c r="S107" s="34">
        <f>IFERROR(IF(AND(N107&gt;0,R107&gt;0),MAX(N107,R107),IF(N107&gt;0,N107,IF(R107&gt;0,R107,""))),"")</f>
        <v/>
      </c>
      <c r="T107" s="36" t="n"/>
      <c r="U107" s="38" t="inlineStr">
        <is>
          <t>FALTA</t>
        </is>
      </c>
      <c r="V107" s="36" t="n">
        <v>59</v>
      </c>
      <c r="W107" s="39" t="n">
        <v>0.3</v>
      </c>
      <c r="X107" s="41">
        <f>IFERROR(V107+T107,"")</f>
        <v/>
      </c>
      <c r="Y107" s="41">
        <f>IFERROR(IF(W107&lt;1,X107/(1-W107),""),"")</f>
        <v/>
      </c>
      <c r="Z107" s="43">
        <f>'01_CONFIG_GLOBAL'!$C$14</f>
        <v/>
      </c>
      <c r="AA107" s="41">
        <f>IFERROR(Y107*Z107,"")</f>
        <v/>
      </c>
      <c r="AB107" s="41">
        <f>IFERROR(IF(Z107&lt;1,Y107/(1-Z107),""),"")</f>
        <v/>
      </c>
      <c r="AC107" s="23" t="n"/>
      <c r="AD107" s="36" t="n"/>
      <c r="AE107" s="23" t="n"/>
      <c r="AF107" s="36" t="n"/>
      <c r="AG107" s="23" t="n"/>
      <c r="AH107" s="36" t="n"/>
      <c r="AI107" s="41">
        <f>IFERROR(AVERAGE(AD107,AF107,AH107),"")</f>
        <v/>
      </c>
      <c r="AJ107" s="29">
        <f>IFERROR(IF(AI107="","sem dados",IF(AB107&lt;AI107*0.95,"abaixo",IF(AB107&gt;AI107*1.05,"acima","em linha"))),"")</f>
        <v/>
      </c>
      <c r="AK107" s="23" t="inlineStr">
        <is>
          <t>não</t>
        </is>
      </c>
      <c r="AL107" s="23" t="n"/>
      <c r="AM107" s="23" t="n"/>
      <c r="AN107" s="23" t="n"/>
      <c r="AO107" s="44">
        <f>A107</f>
        <v/>
      </c>
      <c r="AP107" s="44">
        <f>D107</f>
        <v/>
      </c>
    </row>
    <row r="108" hidden="1" ht="15.75" customHeight="1" s="93">
      <c r="A108" s="23" t="inlineStr">
        <is>
          <t>0.2206.F001411.0</t>
        </is>
      </c>
      <c r="B108" s="23" t="inlineStr">
        <is>
          <t>F001411</t>
        </is>
      </c>
      <c r="C108" s="29">
        <f>IFERROR(LOWER(SUBSTITUTE(SUBSTITUTE(SUBSTITUTE(SUBSTITUTE(D108," ","-"),"/","-"),".",""),",","")),"")</f>
        <v/>
      </c>
      <c r="D108" s="23" t="inlineStr">
        <is>
          <t>JOELHO IGUAL AC TUBO 12 ( M18 )</t>
        </is>
      </c>
      <c r="E108" s="23" t="n"/>
      <c r="F108" s="23" t="inlineStr">
        <is>
          <t>SOHIPREN</t>
        </is>
      </c>
      <c r="G108" s="23" t="n"/>
      <c r="H108" s="23" t="inlineStr">
        <is>
          <t>draft</t>
        </is>
      </c>
      <c r="I108" s="23" t="inlineStr">
        <is>
          <t>ARGON COMERCIAL</t>
        </is>
      </c>
      <c r="J108" s="23" t="n"/>
      <c r="K108" s="23" t="n"/>
      <c r="L108" s="23" t="inlineStr">
        <is>
          <t>JIA-12L</t>
        </is>
      </c>
      <c r="M108" s="31" t="n"/>
      <c r="N108" s="31" t="n"/>
      <c r="O108" s="31" t="n"/>
      <c r="P108" s="31" t="n"/>
      <c r="Q108" s="31" t="n"/>
      <c r="R108" s="34">
        <f>IFERROR(IF(AND(O108&gt;0,P108&gt;0,Q108&gt;0),(O108*P108*Q108)/6000,""),"")</f>
        <v/>
      </c>
      <c r="S108" s="34">
        <f>IFERROR(IF(AND(N108&gt;0,R108&gt;0),MAX(N108,R108),IF(N108&gt;0,N108,IF(R108&gt;0,R108,""))),"")</f>
        <v/>
      </c>
      <c r="T108" s="36" t="n"/>
      <c r="U108" s="38" t="inlineStr">
        <is>
          <t>FALTA</t>
        </is>
      </c>
      <c r="V108" s="36" t="n">
        <v>335.5</v>
      </c>
      <c r="W108" s="39" t="n">
        <v>0.3</v>
      </c>
      <c r="X108" s="41">
        <f>IFERROR(V108+T108,"")</f>
        <v/>
      </c>
      <c r="Y108" s="41">
        <f>IFERROR(IF(W108&lt;1,X108/(1-W108),""),"")</f>
        <v/>
      </c>
      <c r="Z108" s="43">
        <f>'01_CONFIG_GLOBAL'!$C$14</f>
        <v/>
      </c>
      <c r="AA108" s="41">
        <f>IFERROR(Y108*Z108,"")</f>
        <v/>
      </c>
      <c r="AB108" s="41">
        <f>IFERROR(IF(Z108&lt;1,Y108/(1-Z108),""),"")</f>
        <v/>
      </c>
      <c r="AC108" s="23" t="n"/>
      <c r="AD108" s="36" t="n"/>
      <c r="AE108" s="23" t="n"/>
      <c r="AF108" s="36" t="n"/>
      <c r="AG108" s="23" t="n"/>
      <c r="AH108" s="36" t="n"/>
      <c r="AI108" s="41">
        <f>IFERROR(AVERAGE(AD108,AF108,AH108),"")</f>
        <v/>
      </c>
      <c r="AJ108" s="29">
        <f>IFERROR(IF(AI108="","sem dados",IF(AB108&lt;AI108*0.95,"abaixo",IF(AB108&gt;AI108*1.05,"acima","em linha"))),"")</f>
        <v/>
      </c>
      <c r="AK108" s="23" t="inlineStr">
        <is>
          <t>não</t>
        </is>
      </c>
      <c r="AL108" s="23" t="n"/>
      <c r="AM108" s="23" t="n"/>
      <c r="AN108" s="23" t="n"/>
      <c r="AO108" s="44">
        <f>A108</f>
        <v/>
      </c>
      <c r="AP108" s="44">
        <f>D108</f>
        <v/>
      </c>
    </row>
    <row r="109" hidden="1" ht="15.75" customHeight="1" s="93">
      <c r="A109" s="23" t="inlineStr">
        <is>
          <t>0.2206.L081358.0</t>
        </is>
      </c>
      <c r="B109" s="23" t="inlineStr">
        <is>
          <t>L081358</t>
        </is>
      </c>
      <c r="C109" s="29">
        <f>IFERROR(LOWER(SUBSTITUTE(SUBSTITUTE(SUBSTITUTE(SUBSTITUTE(D109," ","-"),"/","-"),".",""),",","")),"")</f>
        <v/>
      </c>
      <c r="D109" s="23" t="inlineStr">
        <is>
          <t>VÁLVULA DE ESFERA BAIXA PRESSÃO FF 1.1/4" BSP</t>
        </is>
      </c>
      <c r="E109" s="23" t="n"/>
      <c r="F109" s="23" t="inlineStr">
        <is>
          <t>SOHIPREN</t>
        </is>
      </c>
      <c r="G109" s="23" t="n"/>
      <c r="H109" s="23" t="inlineStr">
        <is>
          <t>draft</t>
        </is>
      </c>
      <c r="I109" s="23" t="inlineStr">
        <is>
          <t>ARGON COMERCIAL / MAMUTH</t>
        </is>
      </c>
      <c r="J109" s="23" t="n"/>
      <c r="K109" s="23" t="n"/>
      <c r="L109" s="23" t="inlineStr">
        <is>
          <t>30200055</t>
        </is>
      </c>
      <c r="M109" s="31" t="n"/>
      <c r="N109" s="31" t="n"/>
      <c r="O109" s="31" t="n"/>
      <c r="P109" s="31" t="n"/>
      <c r="Q109" s="31" t="n"/>
      <c r="R109" s="34">
        <f>IFERROR(IF(AND(O109&gt;0,P109&gt;0,Q109&gt;0),(O109*P109*Q109)/6000,""),"")</f>
        <v/>
      </c>
      <c r="S109" s="34">
        <f>IFERROR(IF(AND(N109&gt;0,R109&gt;0),MAX(N109,R109),IF(N109&gt;0,N109,IF(R109&gt;0,R109,""))),"")</f>
        <v/>
      </c>
      <c r="T109" s="36" t="n"/>
      <c r="U109" s="38" t="inlineStr">
        <is>
          <t>FALTA</t>
        </is>
      </c>
      <c r="V109" s="36" t="n">
        <v>335.5</v>
      </c>
      <c r="W109" s="39" t="n">
        <v>0.3</v>
      </c>
      <c r="X109" s="41">
        <f>IFERROR(V109+T109,"")</f>
        <v/>
      </c>
      <c r="Y109" s="41">
        <f>IFERROR(IF(W109&lt;1,X109/(1-W109),""),"")</f>
        <v/>
      </c>
      <c r="Z109" s="43">
        <f>'01_CONFIG_GLOBAL'!$C$14</f>
        <v/>
      </c>
      <c r="AA109" s="41">
        <f>IFERROR(Y109*Z109,"")</f>
        <v/>
      </c>
      <c r="AB109" s="41">
        <f>IFERROR(IF(Z109&lt;1,Y109/(1-Z109),""),"")</f>
        <v/>
      </c>
      <c r="AC109" s="23" t="n"/>
      <c r="AD109" s="36" t="n"/>
      <c r="AE109" s="23" t="n"/>
      <c r="AF109" s="36" t="n"/>
      <c r="AG109" s="23" t="n"/>
      <c r="AH109" s="36" t="n"/>
      <c r="AI109" s="41">
        <f>IFERROR(AVERAGE(AD109,AF109,AH109),"")</f>
        <v/>
      </c>
      <c r="AJ109" s="29">
        <f>IFERROR(IF(AI109="","sem dados",IF(AB109&lt;AI109*0.95,"abaixo",IF(AB109&gt;AI109*1.05,"acima","em linha"))),"")</f>
        <v/>
      </c>
      <c r="AK109" s="23" t="inlineStr">
        <is>
          <t>não</t>
        </is>
      </c>
      <c r="AL109" s="23" t="n"/>
      <c r="AM109" s="23" t="n"/>
      <c r="AN109" s="23" t="n"/>
      <c r="AO109" s="44">
        <f>A109</f>
        <v/>
      </c>
      <c r="AP109" s="44">
        <f>D109</f>
        <v/>
      </c>
    </row>
    <row r="110" hidden="1" ht="15.75" customHeight="1" s="93">
      <c r="A110" s="23" t="inlineStr">
        <is>
          <t>5.0506.0505037.0</t>
        </is>
      </c>
      <c r="B110" s="23" t="inlineStr">
        <is>
          <t>505037</t>
        </is>
      </c>
      <c r="C110" s="29">
        <f>IFERROR(LOWER(SUBSTITUTE(SUBSTITUTE(SUBSTITUTE(SUBSTITUTE(D110," ","-"),"/","-"),".",""),",","")),"")</f>
        <v/>
      </c>
      <c r="D110" s="23" t="inlineStr">
        <is>
          <t>MC1 60 201.1.21.70.61</t>
        </is>
      </c>
      <c r="E110" s="23" t="n"/>
      <c r="F110" s="23" t="inlineStr">
        <is>
          <t>SOHIPREN</t>
        </is>
      </c>
      <c r="G110" s="23" t="n"/>
      <c r="H110" s="23" t="inlineStr">
        <is>
          <t>draft</t>
        </is>
      </c>
      <c r="I110" s="23" t="inlineStr">
        <is>
          <t>ARGOS</t>
        </is>
      </c>
      <c r="J110" s="23" t="inlineStr">
        <is>
          <t>GUINDASTES</t>
        </is>
      </c>
      <c r="K110" s="23" t="inlineStr">
        <is>
          <t>PRINCIPAL</t>
        </is>
      </c>
      <c r="L110" s="23" t="inlineStr">
        <is>
          <t>13 DENTES ( 1.1/4' x 1' SF )</t>
        </is>
      </c>
      <c r="M110" s="31" t="n"/>
      <c r="N110" s="31" t="n"/>
      <c r="O110" s="31" t="n"/>
      <c r="P110" s="31" t="n"/>
      <c r="Q110" s="31" t="n"/>
      <c r="R110" s="34">
        <f>IFERROR(IF(AND(O110&gt;0,P110&gt;0,Q110&gt;0),(O110*P110*Q110)/6000,""),"")</f>
        <v/>
      </c>
      <c r="S110" s="34">
        <f>IFERROR(IF(AND(N110&gt;0,R110&gt;0),MAX(N110,R110),IF(N110&gt;0,N110,IF(R110&gt;0,R110,""))),"")</f>
        <v/>
      </c>
      <c r="T110" s="36" t="n"/>
      <c r="U110" s="38" t="inlineStr">
        <is>
          <t>FALTA</t>
        </is>
      </c>
      <c r="V110" s="36" t="n">
        <v>1150</v>
      </c>
      <c r="W110" s="39" t="n">
        <v>0.3</v>
      </c>
      <c r="X110" s="41">
        <f>IFERROR(V110+T110,"")</f>
        <v/>
      </c>
      <c r="Y110" s="41">
        <f>IFERROR(IF(W110&lt;1,X110/(1-W110),""),"")</f>
        <v/>
      </c>
      <c r="Z110" s="43">
        <f>'01_CONFIG_GLOBAL'!$C$14</f>
        <v/>
      </c>
      <c r="AA110" s="41">
        <f>IFERROR(Y110*Z110,"")</f>
        <v/>
      </c>
      <c r="AB110" s="41">
        <f>IFERROR(IF(Z110&lt;1,Y110/(1-Z110),""),"")</f>
        <v/>
      </c>
      <c r="AC110" s="23" t="n"/>
      <c r="AD110" s="36" t="n"/>
      <c r="AE110" s="23" t="n"/>
      <c r="AF110" s="36" t="n"/>
      <c r="AG110" s="23" t="n"/>
      <c r="AH110" s="36" t="n"/>
      <c r="AI110" s="41">
        <f>IFERROR(AVERAGE(AD110,AF110,AH110),"")</f>
        <v/>
      </c>
      <c r="AJ110" s="29">
        <f>IFERROR(IF(AI110="","sem dados",IF(AB110&lt;AI110*0.95,"abaixo",IF(AB110&gt;AI110*1.05,"acima","em linha"))),"")</f>
        <v/>
      </c>
      <c r="AK110" s="23" t="inlineStr">
        <is>
          <t>não</t>
        </is>
      </c>
      <c r="AL110" s="23" t="n"/>
      <c r="AM110" s="23" t="n"/>
      <c r="AN110" s="23" t="n"/>
      <c r="AO110" s="44">
        <f>A110</f>
        <v/>
      </c>
      <c r="AP110" s="44">
        <f>D110</f>
        <v/>
      </c>
    </row>
    <row r="111" hidden="1" ht="15.75" customHeight="1" s="93">
      <c r="A111" s="23" t="inlineStr">
        <is>
          <t>5.0206.L027058.0</t>
        </is>
      </c>
      <c r="B111" s="23" t="inlineStr">
        <is>
          <t>L027058</t>
        </is>
      </c>
      <c r="C111" s="29">
        <f>IFERROR(LOWER(SUBSTITUTE(SUBSTITUTE(SUBSTITUTE(SUBSTITUTE(D111," ","-"),"/","-"),".",""),",","")),"")</f>
        <v/>
      </c>
      <c r="D111" s="23" t="inlineStr">
        <is>
          <t>BOMBA HIDRÁULICA - APLICAÇÃO 11 E4.C102.G.G2 (C/ ADAPT)</t>
        </is>
      </c>
      <c r="E111" s="23" t="inlineStr">
        <is>
          <t>Bombas Hidráulicas</t>
        </is>
      </c>
      <c r="F111" s="23" t="inlineStr">
        <is>
          <t>SOHIPREN</t>
        </is>
      </c>
      <c r="G111" s="23" t="n"/>
      <c r="H111" s="23" t="inlineStr">
        <is>
          <t>draft</t>
        </is>
      </c>
      <c r="I111" s="23" t="inlineStr">
        <is>
          <t>AXIONN</t>
        </is>
      </c>
      <c r="J111" s="23" t="inlineStr">
        <is>
          <t>CESTO AEREO</t>
        </is>
      </c>
      <c r="K111" s="23" t="inlineStr">
        <is>
          <t>PRINCIPAL</t>
        </is>
      </c>
      <c r="L111" s="23" t="inlineStr">
        <is>
          <t>AX.BR22797</t>
        </is>
      </c>
      <c r="M111" s="31" t="n"/>
      <c r="N111" s="31" t="n"/>
      <c r="O111" s="31" t="n"/>
      <c r="P111" s="31" t="n"/>
      <c r="Q111" s="31" t="n"/>
      <c r="R111" s="34">
        <f>IFERROR(IF(AND(O111&gt;0,P111&gt;0,Q111&gt;0),(O111*P111*Q111)/6000,""),"")</f>
        <v/>
      </c>
      <c r="S111" s="34">
        <f>IFERROR(IF(AND(N111&gt;0,R111&gt;0),MAX(N111,R111),IF(N111&gt;0,N111,IF(R111&gt;0,R111,""))),"")</f>
        <v/>
      </c>
      <c r="T111" s="36" t="n"/>
      <c r="U111" s="38" t="inlineStr">
        <is>
          <t>FALTA</t>
        </is>
      </c>
      <c r="V111" s="36" t="n">
        <v>605</v>
      </c>
      <c r="W111" s="39" t="n">
        <v>0.3</v>
      </c>
      <c r="X111" s="41">
        <f>IFERROR(V111+T111,"")</f>
        <v/>
      </c>
      <c r="Y111" s="41">
        <f>IFERROR(IF(W111&lt;1,X111/(1-W111),""),"")</f>
        <v/>
      </c>
      <c r="Z111" s="43">
        <f>'01_CONFIG_GLOBAL'!$C$14</f>
        <v/>
      </c>
      <c r="AA111" s="41">
        <f>IFERROR(Y111*Z111,"")</f>
        <v/>
      </c>
      <c r="AB111" s="41">
        <f>IFERROR(IF(Z111&lt;1,Y111/(1-Z111),""),"")</f>
        <v/>
      </c>
      <c r="AC111" s="23" t="n"/>
      <c r="AD111" s="36" t="n"/>
      <c r="AE111" s="23" t="n"/>
      <c r="AF111" s="36" t="n"/>
      <c r="AG111" s="23" t="n"/>
      <c r="AH111" s="36" t="n"/>
      <c r="AI111" s="41">
        <f>IFERROR(AVERAGE(AD111,AF111,AH111),"")</f>
        <v/>
      </c>
      <c r="AJ111" s="29">
        <f>IFERROR(IF(AI111="","sem dados",IF(AB111&lt;AI111*0.95,"abaixo",IF(AB111&gt;AI111*1.05,"acima","em linha"))),"")</f>
        <v/>
      </c>
      <c r="AK111" s="23" t="inlineStr">
        <is>
          <t>não</t>
        </is>
      </c>
      <c r="AL111" s="23" t="n"/>
      <c r="AM111" s="23" t="n"/>
      <c r="AN111" s="23" t="n"/>
      <c r="AO111" s="44">
        <f>A111</f>
        <v/>
      </c>
      <c r="AP111" s="44">
        <f>D111</f>
        <v/>
      </c>
    </row>
    <row r="112" hidden="1" ht="15.75" customHeight="1" s="93">
      <c r="A112" s="23" t="inlineStr">
        <is>
          <t>5.0521.L027059.0</t>
        </is>
      </c>
      <c r="B112" s="23" t="inlineStr">
        <is>
          <t>L027059</t>
        </is>
      </c>
      <c r="C112" s="29">
        <f>IFERROR(LOWER(SUBSTITUTE(SUBSTITUTE(SUBSTITUTE(SUBSTITUTE(D112," ","-"),"/","-"),".",""),",","")),"")</f>
        <v/>
      </c>
      <c r="D112" s="23" t="inlineStr">
        <is>
          <t>MC1 32 201.1.21.349/19.B115/4.B12.L</t>
        </is>
      </c>
      <c r="E112" s="23" t="n"/>
      <c r="F112" s="23" t="inlineStr">
        <is>
          <t>SOHIPREN</t>
        </is>
      </c>
      <c r="G112" s="23" t="n"/>
      <c r="H112" s="23" t="inlineStr">
        <is>
          <t>draft</t>
        </is>
      </c>
      <c r="I112" s="23" t="inlineStr">
        <is>
          <t>AXIONN</t>
        </is>
      </c>
      <c r="J112" s="23" t="n"/>
      <c r="K112" s="23" t="n"/>
      <c r="L112" s="23" t="n"/>
      <c r="M112" s="31" t="n"/>
      <c r="N112" s="31" t="n"/>
      <c r="O112" s="31" t="n"/>
      <c r="P112" s="31" t="n"/>
      <c r="Q112" s="31" t="n"/>
      <c r="R112" s="34">
        <f>IFERROR(IF(AND(O112&gt;0,P112&gt;0,Q112&gt;0),(O112*P112*Q112)/6000,""),"")</f>
        <v/>
      </c>
      <c r="S112" s="34">
        <f>IFERROR(IF(AND(N112&gt;0,R112&gt;0),MAX(N112,R112),IF(N112&gt;0,N112,IF(R112&gt;0,R112,""))),"")</f>
        <v/>
      </c>
      <c r="T112" s="36" t="n"/>
      <c r="U112" s="38" t="inlineStr">
        <is>
          <t>FALTA</t>
        </is>
      </c>
      <c r="V112" s="36" t="n">
        <v>1710</v>
      </c>
      <c r="W112" s="39" t="n">
        <v>0.3</v>
      </c>
      <c r="X112" s="41">
        <f>IFERROR(V112+T112,"")</f>
        <v/>
      </c>
      <c r="Y112" s="41">
        <f>IFERROR(IF(W112&lt;1,X112/(1-W112),""),"")</f>
        <v/>
      </c>
      <c r="Z112" s="43">
        <f>'01_CONFIG_GLOBAL'!$C$14</f>
        <v/>
      </c>
      <c r="AA112" s="41">
        <f>IFERROR(Y112*Z112,"")</f>
        <v/>
      </c>
      <c r="AB112" s="41">
        <f>IFERROR(IF(Z112&lt;1,Y112/(1-Z112),""),"")</f>
        <v/>
      </c>
      <c r="AC112" s="23" t="n"/>
      <c r="AD112" s="36" t="n"/>
      <c r="AE112" s="23" t="n"/>
      <c r="AF112" s="36" t="n"/>
      <c r="AG112" s="23" t="n"/>
      <c r="AH112" s="36" t="n"/>
      <c r="AI112" s="41">
        <f>IFERROR(AVERAGE(AD112,AF112,AH112),"")</f>
        <v/>
      </c>
      <c r="AJ112" s="29">
        <f>IFERROR(IF(AI112="","sem dados",IF(AB112&lt;AI112*0.95,"abaixo",IF(AB112&gt;AI112*1.05,"acima","em linha"))),"")</f>
        <v/>
      </c>
      <c r="AK112" s="23" t="inlineStr">
        <is>
          <t>não</t>
        </is>
      </c>
      <c r="AL112" s="23" t="n"/>
      <c r="AM112" s="23" t="n"/>
      <c r="AN112" s="23" t="n"/>
      <c r="AO112" s="44">
        <f>A112</f>
        <v/>
      </c>
      <c r="AP112" s="44">
        <f>D112</f>
        <v/>
      </c>
    </row>
    <row r="113" hidden="1" ht="15.75" customHeight="1" s="93">
      <c r="A113" s="23" t="inlineStr">
        <is>
          <t>5.0220.L027060.0</t>
        </is>
      </c>
      <c r="B113" s="23" t="inlineStr">
        <is>
          <t>L027060</t>
        </is>
      </c>
      <c r="C113" s="29">
        <f>IFERROR(LOWER(SUBSTITUTE(SUBSTITUTE(SUBSTITUTE(SUBSTITUTE(D113," ","-"),"/","-"),".",""),",","")),"")</f>
        <v/>
      </c>
      <c r="D113" s="23" t="inlineStr">
        <is>
          <t>BOD 19 E5.P.B2/2,5.C1.L (H15)</t>
        </is>
      </c>
      <c r="E113" s="23" t="inlineStr">
        <is>
          <t>Bombas Hidráulicas</t>
        </is>
      </c>
      <c r="F113" s="23" t="inlineStr">
        <is>
          <t>SOHIPREN</t>
        </is>
      </c>
      <c r="G113" s="23" t="n"/>
      <c r="H113" s="23" t="inlineStr">
        <is>
          <t>draft</t>
        </is>
      </c>
      <c r="I113" s="23" t="inlineStr">
        <is>
          <t>AXIONN</t>
        </is>
      </c>
      <c r="J113" s="23" t="n"/>
      <c r="K113" s="23" t="n"/>
      <c r="L113" s="23" t="n"/>
      <c r="M113" s="31" t="n"/>
      <c r="N113" s="31" t="n"/>
      <c r="O113" s="31" t="n"/>
      <c r="P113" s="31" t="n"/>
      <c r="Q113" s="31" t="n"/>
      <c r="R113" s="34">
        <f>IFERROR(IF(AND(O113&gt;0,P113&gt;0,Q113&gt;0),(O113*P113*Q113)/6000,""),"")</f>
        <v/>
      </c>
      <c r="S113" s="34">
        <f>IFERROR(IF(AND(N113&gt;0,R113&gt;0),MAX(N113,R113),IF(N113&gt;0,N113,IF(R113&gt;0,R113,""))),"")</f>
        <v/>
      </c>
      <c r="T113" s="36" t="n"/>
      <c r="U113" s="38" t="inlineStr">
        <is>
          <t>FALTA</t>
        </is>
      </c>
      <c r="V113" s="36" t="n">
        <v>1210</v>
      </c>
      <c r="W113" s="39" t="n">
        <v>0.3</v>
      </c>
      <c r="X113" s="41">
        <f>IFERROR(V113+T113,"")</f>
        <v/>
      </c>
      <c r="Y113" s="41">
        <f>IFERROR(IF(W113&lt;1,X113/(1-W113),""),"")</f>
        <v/>
      </c>
      <c r="Z113" s="43">
        <f>'01_CONFIG_GLOBAL'!$C$14</f>
        <v/>
      </c>
      <c r="AA113" s="41">
        <f>IFERROR(Y113*Z113,"")</f>
        <v/>
      </c>
      <c r="AB113" s="41">
        <f>IFERROR(IF(Z113&lt;1,Y113/(1-Z113),""),"")</f>
        <v/>
      </c>
      <c r="AC113" s="23" t="n"/>
      <c r="AD113" s="36" t="n"/>
      <c r="AE113" s="23" t="n"/>
      <c r="AF113" s="36" t="n"/>
      <c r="AG113" s="23" t="n"/>
      <c r="AH113" s="36" t="n"/>
      <c r="AI113" s="41">
        <f>IFERROR(AVERAGE(AD113,AF113,AH113),"")</f>
        <v/>
      </c>
      <c r="AJ113" s="29">
        <f>IFERROR(IF(AI113="","sem dados",IF(AB113&lt;AI113*0.95,"abaixo",IF(AB113&gt;AI113*1.05,"acima","em linha"))),"")</f>
        <v/>
      </c>
      <c r="AK113" s="23" t="inlineStr">
        <is>
          <t>não</t>
        </is>
      </c>
      <c r="AL113" s="23" t="n"/>
      <c r="AM113" s="23" t="n"/>
      <c r="AN113" s="23" t="n"/>
      <c r="AO113" s="44">
        <f>A113</f>
        <v/>
      </c>
      <c r="AP113" s="44">
        <f>D113</f>
        <v/>
      </c>
    </row>
    <row r="114" hidden="1" ht="15.75" customHeight="1" s="93">
      <c r="A114" s="23" t="inlineStr">
        <is>
          <t>5.0202.0540009.0</t>
        </is>
      </c>
      <c r="B114" s="23" t="inlineStr">
        <is>
          <t>540009</t>
        </is>
      </c>
      <c r="C114" s="29">
        <f>IFERROR(LOWER(SUBSTITUTE(SUBSTITUTE(SUBSTITUTE(SUBSTITUTE(D114," ","-"),"/","-"),".",""),",","")),"")</f>
        <v/>
      </c>
      <c r="D114" s="23" t="inlineStr">
        <is>
          <t>BOD 4 B1.P1.A.L</t>
        </is>
      </c>
      <c r="E114" s="23" t="inlineStr">
        <is>
          <t>Bombas Hidráulicas</t>
        </is>
      </c>
      <c r="F114" s="23" t="inlineStr">
        <is>
          <t>SOHIPREN</t>
        </is>
      </c>
      <c r="G114" s="23" t="n"/>
      <c r="H114" s="23" t="inlineStr">
        <is>
          <t>draft</t>
        </is>
      </c>
      <c r="I114" s="23" t="inlineStr">
        <is>
          <t>B Y G TRANSEQUIP EMPILHADEIRAS</t>
        </is>
      </c>
      <c r="J114" s="23" t="inlineStr">
        <is>
          <t>EMPILHADEIRA ELÉTRICA</t>
        </is>
      </c>
      <c r="K114" s="23" t="inlineStr">
        <is>
          <t>LEVANTE</t>
        </is>
      </c>
      <c r="L114" s="23" t="inlineStr">
        <is>
          <t>9510080203</t>
        </is>
      </c>
      <c r="M114" s="31" t="n"/>
      <c r="N114" s="31" t="n"/>
      <c r="O114" s="31" t="n"/>
      <c r="P114" s="31" t="n"/>
      <c r="Q114" s="31" t="n"/>
      <c r="R114" s="34">
        <f>IFERROR(IF(AND(O114&gt;0,P114&gt;0,Q114&gt;0),(O114*P114*Q114)/6000,""),"")</f>
        <v/>
      </c>
      <c r="S114" s="34">
        <f>IFERROR(IF(AND(N114&gt;0,R114&gt;0),MAX(N114,R114),IF(N114&gt;0,N114,IF(R114&gt;0,R114,""))),"")</f>
        <v/>
      </c>
      <c r="T114" s="36" t="n"/>
      <c r="U114" s="38" t="inlineStr">
        <is>
          <t>FALTA</t>
        </is>
      </c>
      <c r="V114" s="36" t="n">
        <v>605</v>
      </c>
      <c r="W114" s="39" t="n">
        <v>0.3</v>
      </c>
      <c r="X114" s="41">
        <f>IFERROR(V114+T114,"")</f>
        <v/>
      </c>
      <c r="Y114" s="41">
        <f>IFERROR(IF(W114&lt;1,X114/(1-W114),""),"")</f>
        <v/>
      </c>
      <c r="Z114" s="43">
        <f>'01_CONFIG_GLOBAL'!$C$14</f>
        <v/>
      </c>
      <c r="AA114" s="41">
        <f>IFERROR(Y114*Z114,"")</f>
        <v/>
      </c>
      <c r="AB114" s="41">
        <f>IFERROR(IF(Z114&lt;1,Y114/(1-Z114),""),"")</f>
        <v/>
      </c>
      <c r="AC114" s="23" t="n"/>
      <c r="AD114" s="36" t="n"/>
      <c r="AE114" s="23" t="n"/>
      <c r="AF114" s="36" t="n"/>
      <c r="AG114" s="23" t="n"/>
      <c r="AH114" s="36" t="n"/>
      <c r="AI114" s="41">
        <f>IFERROR(AVERAGE(AD114,AF114,AH114),"")</f>
        <v/>
      </c>
      <c r="AJ114" s="29">
        <f>IFERROR(IF(AI114="","sem dados",IF(AB114&lt;AI114*0.95,"abaixo",IF(AB114&gt;AI114*1.05,"acima","em linha"))),"")</f>
        <v/>
      </c>
      <c r="AK114" s="23" t="inlineStr">
        <is>
          <t>não</t>
        </is>
      </c>
      <c r="AL114" s="23" t="n"/>
      <c r="AM114" s="23" t="n"/>
      <c r="AN114" s="23" t="n"/>
      <c r="AO114" s="44">
        <f>A114</f>
        <v/>
      </c>
      <c r="AP114" s="44">
        <f>D114</f>
        <v/>
      </c>
    </row>
    <row r="115" hidden="1" ht="15.75" customHeight="1" s="93">
      <c r="A115" s="23" t="inlineStr">
        <is>
          <t>6.5051.0673139.0</t>
        </is>
      </c>
      <c r="B115" s="23" t="inlineStr">
        <is>
          <t>673139</t>
        </is>
      </c>
      <c r="C115" s="29">
        <f>IFERROR(LOWER(SUBSTITUTE(SUBSTITUTE(SUBSTITUTE(SUBSTITUTE(D115," ","-"),"/","-"),".",""),",","")),"")</f>
        <v/>
      </c>
      <c r="D115" s="23" t="inlineStr">
        <is>
          <t>VALVULA RETENCION DOBLE CONTRABALANCE (VBCD12 DE)</t>
        </is>
      </c>
      <c r="E115" s="23" t="n"/>
      <c r="F115" s="23" t="inlineStr">
        <is>
          <t>SOHIPREN</t>
        </is>
      </c>
      <c r="G115" s="23" t="n"/>
      <c r="H115" s="23" t="inlineStr">
        <is>
          <t>draft</t>
        </is>
      </c>
      <c r="I115" s="23" t="inlineStr">
        <is>
          <t>BALDAN</t>
        </is>
      </c>
      <c r="J115" s="23" t="inlineStr">
        <is>
          <t>PLANTADEIRA</t>
        </is>
      </c>
      <c r="K115" s="23" t="inlineStr">
        <is>
          <t>MARCADOR DE LINHA</t>
        </is>
      </c>
      <c r="L115" s="23" t="inlineStr">
        <is>
          <t>VÁLVULA SEQUENCIA</t>
        </is>
      </c>
      <c r="M115" s="31" t="n"/>
      <c r="N115" s="31" t="n"/>
      <c r="O115" s="31" t="n"/>
      <c r="P115" s="31" t="n"/>
      <c r="Q115" s="31" t="n"/>
      <c r="R115" s="34">
        <f>IFERROR(IF(AND(O115&gt;0,P115&gt;0,Q115&gt;0),(O115*P115*Q115)/6000,""),"")</f>
        <v/>
      </c>
      <c r="S115" s="34">
        <f>IFERROR(IF(AND(N115&gt;0,R115&gt;0),MAX(N115,R115),IF(N115&gt;0,N115,IF(R115&gt;0,R115,""))),"")</f>
        <v/>
      </c>
      <c r="T115" s="36" t="n"/>
      <c r="U115" s="38" t="inlineStr">
        <is>
          <t>FALTA</t>
        </is>
      </c>
      <c r="V115" s="36" t="n">
        <v>416.9</v>
      </c>
      <c r="W115" s="39" t="n">
        <v>0.3</v>
      </c>
      <c r="X115" s="41">
        <f>IFERROR(V115+T115,"")</f>
        <v/>
      </c>
      <c r="Y115" s="41">
        <f>IFERROR(IF(W115&lt;1,X115/(1-W115),""),"")</f>
        <v/>
      </c>
      <c r="Z115" s="43">
        <f>'01_CONFIG_GLOBAL'!$C$14</f>
        <v/>
      </c>
      <c r="AA115" s="41">
        <f>IFERROR(Y115*Z115,"")</f>
        <v/>
      </c>
      <c r="AB115" s="41">
        <f>IFERROR(IF(Z115&lt;1,Y115/(1-Z115),""),"")</f>
        <v/>
      </c>
      <c r="AC115" s="23" t="n"/>
      <c r="AD115" s="36" t="n"/>
      <c r="AE115" s="23" t="n"/>
      <c r="AF115" s="36" t="n"/>
      <c r="AG115" s="23" t="n"/>
      <c r="AH115" s="36" t="n"/>
      <c r="AI115" s="41">
        <f>IFERROR(AVERAGE(AD115,AF115,AH115),"")</f>
        <v/>
      </c>
      <c r="AJ115" s="29">
        <f>IFERROR(IF(AI115="","sem dados",IF(AB115&lt;AI115*0.95,"abaixo",IF(AB115&gt;AI115*1.05,"acima","em linha"))),"")</f>
        <v/>
      </c>
      <c r="AK115" s="23" t="inlineStr">
        <is>
          <t>não</t>
        </is>
      </c>
      <c r="AL115" s="23" t="n"/>
      <c r="AM115" s="23" t="n"/>
      <c r="AN115" s="23" t="n"/>
      <c r="AO115" s="44">
        <f>A115</f>
        <v/>
      </c>
      <c r="AP115" s="44">
        <f>D115</f>
        <v/>
      </c>
    </row>
    <row r="116" hidden="1" ht="15.75" customHeight="1" s="93">
      <c r="A116" s="23" t="inlineStr">
        <is>
          <t>6.5051.0673140.0</t>
        </is>
      </c>
      <c r="B116" s="23" t="inlineStr">
        <is>
          <t>673140</t>
        </is>
      </c>
      <c r="C116" s="29">
        <f>IFERROR(LOWER(SUBSTITUTE(SUBSTITUTE(SUBSTITUTE(SUBSTITUTE(D116," ","-"),"/","-"),".",""),",","")),"")</f>
        <v/>
      </c>
      <c r="D116" s="23" t="inlineStr">
        <is>
          <t>VALVULA RETENCION SIMPLE CONTRABALANCE (VBCD 38 SE)</t>
        </is>
      </c>
      <c r="E116" s="23" t="n"/>
      <c r="F116" s="23" t="inlineStr">
        <is>
          <t>SOHIPREN</t>
        </is>
      </c>
      <c r="G116" s="23" t="n"/>
      <c r="H116" s="23" t="inlineStr">
        <is>
          <t>draft</t>
        </is>
      </c>
      <c r="I116" s="23" t="inlineStr">
        <is>
          <t>BALDAN</t>
        </is>
      </c>
      <c r="J116" s="23" t="inlineStr">
        <is>
          <t>PLANTADEIRA</t>
        </is>
      </c>
      <c r="K116" s="23" t="inlineStr">
        <is>
          <t>MARCADOR DE LINHA</t>
        </is>
      </c>
      <c r="L116" s="23" t="inlineStr">
        <is>
          <t>VÁLVULA SEQUENCIA</t>
        </is>
      </c>
      <c r="M116" s="31" t="n"/>
      <c r="N116" s="31" t="n"/>
      <c r="O116" s="31" t="n"/>
      <c r="P116" s="31" t="n"/>
      <c r="Q116" s="31" t="n"/>
      <c r="R116" s="34">
        <f>IFERROR(IF(AND(O116&gt;0,P116&gt;0,Q116&gt;0),(O116*P116*Q116)/6000,""),"")</f>
        <v/>
      </c>
      <c r="S116" s="34">
        <f>IFERROR(IF(AND(N116&gt;0,R116&gt;0),MAX(N116,R116),IF(N116&gt;0,N116,IF(R116&gt;0,R116,""))),"")</f>
        <v/>
      </c>
      <c r="T116" s="36" t="n"/>
      <c r="U116" s="38" t="inlineStr">
        <is>
          <t>FALTA</t>
        </is>
      </c>
      <c r="V116" s="36" t="n">
        <v>416.9</v>
      </c>
      <c r="W116" s="39" t="n">
        <v>0.3</v>
      </c>
      <c r="X116" s="41">
        <f>IFERROR(V116+T116,"")</f>
        <v/>
      </c>
      <c r="Y116" s="41">
        <f>IFERROR(IF(W116&lt;1,X116/(1-W116),""),"")</f>
        <v/>
      </c>
      <c r="Z116" s="43">
        <f>'01_CONFIG_GLOBAL'!$C$14</f>
        <v/>
      </c>
      <c r="AA116" s="41">
        <f>IFERROR(Y116*Z116,"")</f>
        <v/>
      </c>
      <c r="AB116" s="41">
        <f>IFERROR(IF(Z116&lt;1,Y116/(1-Z116),""),"")</f>
        <v/>
      </c>
      <c r="AC116" s="23" t="n"/>
      <c r="AD116" s="36" t="n"/>
      <c r="AE116" s="23" t="n"/>
      <c r="AF116" s="36" t="n"/>
      <c r="AG116" s="23" t="n"/>
      <c r="AH116" s="36" t="n"/>
      <c r="AI116" s="41">
        <f>IFERROR(AVERAGE(AD116,AF116,AH116),"")</f>
        <v/>
      </c>
      <c r="AJ116" s="29">
        <f>IFERROR(IF(AI116="","sem dados",IF(AB116&lt;AI116*0.95,"abaixo",IF(AB116&gt;AI116*1.05,"acima","em linha"))),"")</f>
        <v/>
      </c>
      <c r="AK116" s="23" t="inlineStr">
        <is>
          <t>não</t>
        </is>
      </c>
      <c r="AL116" s="23" t="n"/>
      <c r="AM116" s="23" t="n"/>
      <c r="AN116" s="23" t="n"/>
      <c r="AO116" s="44">
        <f>A116</f>
        <v/>
      </c>
      <c r="AP116" s="44">
        <f>D116</f>
        <v/>
      </c>
    </row>
    <row r="117" hidden="1" ht="15.75" customHeight="1" s="93">
      <c r="A117" s="23" t="inlineStr">
        <is>
          <t>6.5021.0673141.0</t>
        </is>
      </c>
      <c r="B117" s="23" t="inlineStr">
        <is>
          <t>673141</t>
        </is>
      </c>
      <c r="C117" s="29">
        <f>IFERROR(LOWER(SUBSTITUTE(SUBSTITUTE(SUBSTITUTE(SUBSTITUTE(D117," ","-"),"/","-"),".",""),",","")),"")</f>
        <v/>
      </c>
      <c r="D117" s="23" t="inlineStr">
        <is>
          <t>VALVULA ANTICHOQUE DOBLE (VAU 12)</t>
        </is>
      </c>
      <c r="E117" s="23" t="n"/>
      <c r="F117" s="23" t="inlineStr">
        <is>
          <t>SOHIPREN</t>
        </is>
      </c>
      <c r="G117" s="23" t="n"/>
      <c r="H117" s="23" t="inlineStr">
        <is>
          <t>draft</t>
        </is>
      </c>
      <c r="I117" s="23" t="inlineStr">
        <is>
          <t>BALDAN</t>
        </is>
      </c>
      <c r="J117" s="23" t="inlineStr">
        <is>
          <t>PLANTADEIRA</t>
        </is>
      </c>
      <c r="K117" s="23" t="inlineStr">
        <is>
          <t>MARCADOR DE LINHA</t>
        </is>
      </c>
      <c r="L117" s="23" t="inlineStr">
        <is>
          <t>VÁLVULA SEQUENCIA</t>
        </is>
      </c>
      <c r="M117" s="31" t="n"/>
      <c r="N117" s="31" t="n"/>
      <c r="O117" s="31" t="n"/>
      <c r="P117" s="31" t="n"/>
      <c r="Q117" s="31" t="n"/>
      <c r="R117" s="34">
        <f>IFERROR(IF(AND(O117&gt;0,P117&gt;0,Q117&gt;0),(O117*P117*Q117)/6000,""),"")</f>
        <v/>
      </c>
      <c r="S117" s="34">
        <f>IFERROR(IF(AND(N117&gt;0,R117&gt;0),MAX(N117,R117),IF(N117&gt;0,N117,IF(R117&gt;0,R117,""))),"")</f>
        <v/>
      </c>
      <c r="T117" s="36" t="n"/>
      <c r="U117" s="38" t="inlineStr">
        <is>
          <t>FALTA</t>
        </is>
      </c>
      <c r="V117" s="36" t="n">
        <v>170</v>
      </c>
      <c r="W117" s="39" t="n">
        <v>0.3</v>
      </c>
      <c r="X117" s="41">
        <f>IFERROR(V117+T117,"")</f>
        <v/>
      </c>
      <c r="Y117" s="41">
        <f>IFERROR(IF(W117&lt;1,X117/(1-W117),""),"")</f>
        <v/>
      </c>
      <c r="Z117" s="43">
        <f>'01_CONFIG_GLOBAL'!$C$14</f>
        <v/>
      </c>
      <c r="AA117" s="41">
        <f>IFERROR(Y117*Z117,"")</f>
        <v/>
      </c>
      <c r="AB117" s="41">
        <f>IFERROR(IF(Z117&lt;1,Y117/(1-Z117),""),"")</f>
        <v/>
      </c>
      <c r="AC117" s="23" t="n"/>
      <c r="AD117" s="36" t="n"/>
      <c r="AE117" s="23" t="n"/>
      <c r="AF117" s="36" t="n"/>
      <c r="AG117" s="23" t="n"/>
      <c r="AH117" s="36" t="n"/>
      <c r="AI117" s="41">
        <f>IFERROR(AVERAGE(AD117,AF117,AH117),"")</f>
        <v/>
      </c>
      <c r="AJ117" s="29">
        <f>IFERROR(IF(AI117="","sem dados",IF(AB117&lt;AI117*0.95,"abaixo",IF(AB117&gt;AI117*1.05,"acima","em linha"))),"")</f>
        <v/>
      </c>
      <c r="AK117" s="23" t="inlineStr">
        <is>
          <t>não</t>
        </is>
      </c>
      <c r="AL117" s="23" t="n"/>
      <c r="AM117" s="23" t="n"/>
      <c r="AN117" s="23" t="n"/>
      <c r="AO117" s="44">
        <f>A117</f>
        <v/>
      </c>
      <c r="AP117" s="44">
        <f>D117</f>
        <v/>
      </c>
    </row>
    <row r="118" hidden="1" ht="15.75" customHeight="1" s="93">
      <c r="A118" s="23" t="inlineStr">
        <is>
          <t>6.5061.0673142.0</t>
        </is>
      </c>
      <c r="B118" s="23" t="inlineStr">
        <is>
          <t>673142</t>
        </is>
      </c>
      <c r="C118" s="29">
        <f>IFERROR(LOWER(SUBSTITUTE(SUBSTITUTE(SUBSTITUTE(SUBSTITUTE(D118," ","-"),"/","-"),".",""),",","")),"")</f>
        <v/>
      </c>
      <c r="D118" s="23" t="inlineStr">
        <is>
          <t>UTILIZAR O CÓDIGO L082173</t>
        </is>
      </c>
      <c r="E118" s="23" t="n"/>
      <c r="F118" s="23" t="inlineStr">
        <is>
          <t>SOHIPREN</t>
        </is>
      </c>
      <c r="G118" s="23" t="n"/>
      <c r="H118" s="23" t="inlineStr">
        <is>
          <t>draft</t>
        </is>
      </c>
      <c r="I118" s="23" t="inlineStr">
        <is>
          <t>BALDAN</t>
        </is>
      </c>
      <c r="J118" s="23" t="inlineStr">
        <is>
          <t>PLANTADEIRA</t>
        </is>
      </c>
      <c r="K118" s="23" t="inlineStr">
        <is>
          <t>MARCADOR DE LINHA</t>
        </is>
      </c>
      <c r="L118" s="23" t="inlineStr">
        <is>
          <t>VÁLVULA SEQUENCIA</t>
        </is>
      </c>
      <c r="M118" s="31" t="n"/>
      <c r="N118" s="31" t="n"/>
      <c r="O118" s="31" t="n"/>
      <c r="P118" s="31" t="n"/>
      <c r="Q118" s="31" t="n"/>
      <c r="R118" s="34">
        <f>IFERROR(IF(AND(O118&gt;0,P118&gt;0,Q118&gt;0),(O118*P118*Q118)/6000,""),"")</f>
        <v/>
      </c>
      <c r="S118" s="34">
        <f>IFERROR(IF(AND(N118&gt;0,R118&gt;0),MAX(N118,R118),IF(N118&gt;0,N118,IF(R118&gt;0,R118,""))),"")</f>
        <v/>
      </c>
      <c r="T118" s="36" t="n"/>
      <c r="U118" s="38" t="inlineStr">
        <is>
          <t>FALTA</t>
        </is>
      </c>
      <c r="V118" s="36" t="n">
        <v>4923.6</v>
      </c>
      <c r="W118" s="39" t="n">
        <v>0.3</v>
      </c>
      <c r="X118" s="41">
        <f>IFERROR(V118+T118,"")</f>
        <v/>
      </c>
      <c r="Y118" s="41">
        <f>IFERROR(IF(W118&lt;1,X118/(1-W118),""),"")</f>
        <v/>
      </c>
      <c r="Z118" s="43">
        <f>'01_CONFIG_GLOBAL'!$C$14</f>
        <v/>
      </c>
      <c r="AA118" s="41">
        <f>IFERROR(Y118*Z118,"")</f>
        <v/>
      </c>
      <c r="AB118" s="41">
        <f>IFERROR(IF(Z118&lt;1,Y118/(1-Z118),""),"")</f>
        <v/>
      </c>
      <c r="AC118" s="23" t="n"/>
      <c r="AD118" s="36" t="n"/>
      <c r="AE118" s="23" t="n"/>
      <c r="AF118" s="36" t="n"/>
      <c r="AG118" s="23" t="n"/>
      <c r="AH118" s="36" t="n"/>
      <c r="AI118" s="41">
        <f>IFERROR(AVERAGE(AD118,AF118,AH118),"")</f>
        <v/>
      </c>
      <c r="AJ118" s="29">
        <f>IFERROR(IF(AI118="","sem dados",IF(AB118&lt;AI118*0.95,"abaixo",IF(AB118&gt;AI118*1.05,"acima","em linha"))),"")</f>
        <v/>
      </c>
      <c r="AK118" s="23" t="inlineStr">
        <is>
          <t>não</t>
        </is>
      </c>
      <c r="AL118" s="23" t="n"/>
      <c r="AM118" s="23" t="n"/>
      <c r="AN118" s="23" t="n"/>
      <c r="AO118" s="44">
        <f>A118</f>
        <v/>
      </c>
      <c r="AP118" s="44">
        <f>D118</f>
        <v/>
      </c>
    </row>
    <row r="119" hidden="1" ht="15.75" customHeight="1" s="93">
      <c r="A119" s="23" t="inlineStr">
        <is>
          <t>6.5061.0673143.0</t>
        </is>
      </c>
      <c r="B119" s="23" t="inlineStr">
        <is>
          <t>673143</t>
        </is>
      </c>
      <c r="C119" s="29">
        <f>IFERROR(LOWER(SUBSTITUTE(SUBSTITUTE(SUBSTITUTE(SUBSTITUTE(D119," ","-"),"/","-"),".",""),",","")),"")</f>
        <v/>
      </c>
      <c r="D119" s="23" t="inlineStr">
        <is>
          <t>VALVULA ELECTRICA (BLOQUE TN6 TANDEM 12V - VRD)</t>
        </is>
      </c>
      <c r="E119" s="23" t="n"/>
      <c r="F119" s="23" t="inlineStr">
        <is>
          <t>SOHIPREN</t>
        </is>
      </c>
      <c r="G119" s="23" t="n"/>
      <c r="H119" s="23" t="inlineStr">
        <is>
          <t>draft</t>
        </is>
      </c>
      <c r="I119" s="23" t="inlineStr">
        <is>
          <t>BALDAN</t>
        </is>
      </c>
      <c r="J119" s="23" t="inlineStr">
        <is>
          <t>PLANTADEIRA</t>
        </is>
      </c>
      <c r="K119" s="23" t="inlineStr">
        <is>
          <t>MARCADOR DE LINHA</t>
        </is>
      </c>
      <c r="L119" s="23" t="inlineStr">
        <is>
          <t>VÁLVULA SEQUENCIA</t>
        </is>
      </c>
      <c r="M119" s="31" t="n"/>
      <c r="N119" s="31" t="n"/>
      <c r="O119" s="31" t="n"/>
      <c r="P119" s="31" t="n"/>
      <c r="Q119" s="31" t="n"/>
      <c r="R119" s="34">
        <f>IFERROR(IF(AND(O119&gt;0,P119&gt;0,Q119&gt;0),(O119*P119*Q119)/6000,""),"")</f>
        <v/>
      </c>
      <c r="S119" s="34">
        <f>IFERROR(IF(AND(N119&gt;0,R119&gt;0),MAX(N119,R119),IF(N119&gt;0,N119,IF(R119&gt;0,R119,""))),"")</f>
        <v/>
      </c>
      <c r="T119" s="36" t="n"/>
      <c r="U119" s="38" t="inlineStr">
        <is>
          <t>FALTA</t>
        </is>
      </c>
      <c r="V119" s="36" t="n">
        <v>4923.6</v>
      </c>
      <c r="W119" s="39" t="n">
        <v>0.3</v>
      </c>
      <c r="X119" s="41">
        <f>IFERROR(V119+T119,"")</f>
        <v/>
      </c>
      <c r="Y119" s="41">
        <f>IFERROR(IF(W119&lt;1,X119/(1-W119),""),"")</f>
        <v/>
      </c>
      <c r="Z119" s="43">
        <f>'01_CONFIG_GLOBAL'!$C$14</f>
        <v/>
      </c>
      <c r="AA119" s="41">
        <f>IFERROR(Y119*Z119,"")</f>
        <v/>
      </c>
      <c r="AB119" s="41">
        <f>IFERROR(IF(Z119&lt;1,Y119/(1-Z119),""),"")</f>
        <v/>
      </c>
      <c r="AC119" s="23" t="n"/>
      <c r="AD119" s="36" t="n"/>
      <c r="AE119" s="23" t="n"/>
      <c r="AF119" s="36" t="n"/>
      <c r="AG119" s="23" t="n"/>
      <c r="AH119" s="36" t="n"/>
      <c r="AI119" s="41">
        <f>IFERROR(AVERAGE(AD119,AF119,AH119),"")</f>
        <v/>
      </c>
      <c r="AJ119" s="29">
        <f>IFERROR(IF(AI119="","sem dados",IF(AB119&lt;AI119*0.95,"abaixo",IF(AB119&gt;AI119*1.05,"acima","em linha"))),"")</f>
        <v/>
      </c>
      <c r="AK119" s="23" t="inlineStr">
        <is>
          <t>não</t>
        </is>
      </c>
      <c r="AL119" s="23" t="n"/>
      <c r="AM119" s="23" t="n"/>
      <c r="AN119" s="23" t="n"/>
      <c r="AO119" s="44">
        <f>A119</f>
        <v/>
      </c>
      <c r="AP119" s="44">
        <f>D119</f>
        <v/>
      </c>
    </row>
    <row r="120" hidden="1" ht="15.75" customHeight="1" s="93">
      <c r="A120" s="23" t="inlineStr">
        <is>
          <t>6.5051.0673138.0</t>
        </is>
      </c>
      <c r="B120" s="23" t="inlineStr">
        <is>
          <t>673138</t>
        </is>
      </c>
      <c r="C120" s="29">
        <f>IFERROR(LOWER(SUBSTITUTE(SUBSTITUTE(SUBSTITUTE(SUBSTITUTE(D120," ","-"),"/","-"),".",""),",","")),"")</f>
        <v/>
      </c>
      <c r="D120" s="23" t="inlineStr">
        <is>
          <t>VALVULA RETENCION DOBLE CONTRABALANCE TIPO A (VBCD34 DE-A)</t>
        </is>
      </c>
      <c r="E120" s="23" t="n"/>
      <c r="F120" s="23" t="inlineStr">
        <is>
          <t>SOHIPREN</t>
        </is>
      </c>
      <c r="G120" s="23" t="n"/>
      <c r="H120" s="23" t="inlineStr">
        <is>
          <t>draft</t>
        </is>
      </c>
      <c r="I120" s="23" t="inlineStr">
        <is>
          <t>BALDAN</t>
        </is>
      </c>
      <c r="J120" s="23" t="inlineStr">
        <is>
          <t>PLANTADEIRA</t>
        </is>
      </c>
      <c r="K120" s="23" t="inlineStr">
        <is>
          <t>MARCADOR DE LINHA</t>
        </is>
      </c>
      <c r="L120" s="23" t="inlineStr">
        <is>
          <t>VÁLVULA SEQUENCIA</t>
        </is>
      </c>
      <c r="M120" s="31" t="n"/>
      <c r="N120" s="31" t="n"/>
      <c r="O120" s="31" t="n"/>
      <c r="P120" s="31" t="n"/>
      <c r="Q120" s="31" t="n"/>
      <c r="R120" s="34">
        <f>IFERROR(IF(AND(O120&gt;0,P120&gt;0,Q120&gt;0),(O120*P120*Q120)/6000,""),"")</f>
        <v/>
      </c>
      <c r="S120" s="34">
        <f>IFERROR(IF(AND(N120&gt;0,R120&gt;0),MAX(N120,R120),IF(N120&gt;0,N120,IF(R120&gt;0,R120,""))),"")</f>
        <v/>
      </c>
      <c r="T120" s="36" t="n"/>
      <c r="U120" s="38" t="inlineStr">
        <is>
          <t>FALTA</t>
        </is>
      </c>
      <c r="V120" s="36" t="n">
        <v>416.9</v>
      </c>
      <c r="W120" s="39" t="n">
        <v>0.3</v>
      </c>
      <c r="X120" s="41">
        <f>IFERROR(V120+T120,"")</f>
        <v/>
      </c>
      <c r="Y120" s="41">
        <f>IFERROR(IF(W120&lt;1,X120/(1-W120),""),"")</f>
        <v/>
      </c>
      <c r="Z120" s="43">
        <f>'01_CONFIG_GLOBAL'!$C$14</f>
        <v/>
      </c>
      <c r="AA120" s="41">
        <f>IFERROR(Y120*Z120,"")</f>
        <v/>
      </c>
      <c r="AB120" s="41">
        <f>IFERROR(IF(Z120&lt;1,Y120/(1-Z120),""),"")</f>
        <v/>
      </c>
      <c r="AC120" s="23" t="n"/>
      <c r="AD120" s="36" t="n"/>
      <c r="AE120" s="23" t="n"/>
      <c r="AF120" s="36" t="n"/>
      <c r="AG120" s="23" t="n"/>
      <c r="AH120" s="36" t="n"/>
      <c r="AI120" s="41">
        <f>IFERROR(AVERAGE(AD120,AF120,AH120),"")</f>
        <v/>
      </c>
      <c r="AJ120" s="29">
        <f>IFERROR(IF(AI120="","sem dados",IF(AB120&lt;AI120*0.95,"abaixo",IF(AB120&gt;AI120*1.05,"acima","em linha"))),"")</f>
        <v/>
      </c>
      <c r="AK120" s="23" t="inlineStr">
        <is>
          <t>não</t>
        </is>
      </c>
      <c r="AL120" s="23" t="n"/>
      <c r="AM120" s="23" t="n"/>
      <c r="AN120" s="23" t="n"/>
      <c r="AO120" s="44">
        <f>A120</f>
        <v/>
      </c>
      <c r="AP120" s="44">
        <f>D120</f>
        <v/>
      </c>
    </row>
    <row r="121" hidden="1" ht="15.75" customHeight="1" s="93">
      <c r="A121" s="23" t="inlineStr">
        <is>
          <t>6.5061.0673002.0</t>
        </is>
      </c>
      <c r="B121" s="23" t="inlineStr">
        <is>
          <t>673002</t>
        </is>
      </c>
      <c r="C121" s="29">
        <f>IFERROR(LOWER(SUBSTITUTE(SUBSTITUTE(SUBSTITUTE(SUBSTITUTE(D121," ","-"),"/","-"),".",""),",","")),"")</f>
        <v/>
      </c>
      <c r="D121" s="23" t="inlineStr">
        <is>
          <t>VALVULA SECUENCIAL (BRASIL)</t>
        </is>
      </c>
      <c r="E121" s="23" t="n"/>
      <c r="F121" s="23" t="inlineStr">
        <is>
          <t>SOHIPREN</t>
        </is>
      </c>
      <c r="G121" s="23" t="n"/>
      <c r="H121" s="23" t="inlineStr">
        <is>
          <t>draft</t>
        </is>
      </c>
      <c r="I121" s="23" t="inlineStr">
        <is>
          <t>BALDAN</t>
        </is>
      </c>
      <c r="J121" s="23" t="inlineStr">
        <is>
          <t>PLANTADEIRA</t>
        </is>
      </c>
      <c r="K121" s="23" t="inlineStr">
        <is>
          <t>MARCADOR DE LINHA</t>
        </is>
      </c>
      <c r="L121" s="23" t="inlineStr">
        <is>
          <t>VÁLVULA SEQUENCIA</t>
        </is>
      </c>
      <c r="M121" s="31" t="n"/>
      <c r="N121" s="31" t="n"/>
      <c r="O121" s="31" t="n"/>
      <c r="P121" s="31" t="n"/>
      <c r="Q121" s="31" t="n"/>
      <c r="R121" s="34">
        <f>IFERROR(IF(AND(O121&gt;0,P121&gt;0,Q121&gt;0),(O121*P121*Q121)/6000,""),"")</f>
        <v/>
      </c>
      <c r="S121" s="34">
        <f>IFERROR(IF(AND(N121&gt;0,R121&gt;0),MAX(N121,R121),IF(N121&gt;0,N121,IF(R121&gt;0,R121,""))),"")</f>
        <v/>
      </c>
      <c r="T121" s="36" t="n"/>
      <c r="U121" s="38" t="inlineStr">
        <is>
          <t>FALTA</t>
        </is>
      </c>
      <c r="V121" s="36" t="n">
        <v>416.9</v>
      </c>
      <c r="W121" s="39" t="n">
        <v>0.3</v>
      </c>
      <c r="X121" s="41">
        <f>IFERROR(V121+T121,"")</f>
        <v/>
      </c>
      <c r="Y121" s="41">
        <f>IFERROR(IF(W121&lt;1,X121/(1-W121),""),"")</f>
        <v/>
      </c>
      <c r="Z121" s="43">
        <f>'01_CONFIG_GLOBAL'!$C$14</f>
        <v/>
      </c>
      <c r="AA121" s="41">
        <f>IFERROR(Y121*Z121,"")</f>
        <v/>
      </c>
      <c r="AB121" s="41">
        <f>IFERROR(IF(Z121&lt;1,Y121/(1-Z121),""),"")</f>
        <v/>
      </c>
      <c r="AC121" s="23" t="n"/>
      <c r="AD121" s="36" t="n"/>
      <c r="AE121" s="23" t="n"/>
      <c r="AF121" s="36" t="n"/>
      <c r="AG121" s="23" t="n"/>
      <c r="AH121" s="36" t="n"/>
      <c r="AI121" s="41">
        <f>IFERROR(AVERAGE(AD121,AF121,AH121),"")</f>
        <v/>
      </c>
      <c r="AJ121" s="29">
        <f>IFERROR(IF(AI121="","sem dados",IF(AB121&lt;AI121*0.95,"abaixo",IF(AB121&gt;AI121*1.05,"acima","em linha"))),"")</f>
        <v/>
      </c>
      <c r="AK121" s="23" t="inlineStr">
        <is>
          <t>não</t>
        </is>
      </c>
      <c r="AL121" s="23" t="n"/>
      <c r="AM121" s="23" t="n"/>
      <c r="AN121" s="23" t="n"/>
      <c r="AO121" s="44">
        <f>A121</f>
        <v/>
      </c>
      <c r="AP121" s="44">
        <f>D121</f>
        <v/>
      </c>
    </row>
    <row r="122" hidden="1" ht="15.75" customHeight="1" s="93">
      <c r="A122" s="23" t="inlineStr">
        <is>
          <t>6.5051.0673129.0</t>
        </is>
      </c>
      <c r="B122" s="23" t="inlineStr">
        <is>
          <t>673129</t>
        </is>
      </c>
      <c r="C122" s="29">
        <f>IFERROR(LOWER(SUBSTITUTE(SUBSTITUTE(SUBSTITUTE(SUBSTITUTE(D122," ","-"),"/","-"),".",""),",","")),"")</f>
        <v/>
      </c>
      <c r="D122" s="23" t="inlineStr">
        <is>
          <t>VALVULA RETENCION DOBLE PILOTADA AEREA 30LPM (VLVDT015)</t>
        </is>
      </c>
      <c r="E122" s="23" t="n"/>
      <c r="F122" s="23" t="inlineStr">
        <is>
          <t>SOHIPREN</t>
        </is>
      </c>
      <c r="G122" s="23" t="n"/>
      <c r="H122" s="23" t="inlineStr">
        <is>
          <t>draft</t>
        </is>
      </c>
      <c r="I122" s="23" t="inlineStr">
        <is>
          <t>BALDAN</t>
        </is>
      </c>
      <c r="J122" s="23" t="inlineStr">
        <is>
          <t>PLANTADEIRA</t>
        </is>
      </c>
      <c r="K122" s="23" t="inlineStr">
        <is>
          <t>MARCADOR DE LINHA</t>
        </is>
      </c>
      <c r="L122" s="23" t="inlineStr">
        <is>
          <t>VÁLVULA SEQUENCIA</t>
        </is>
      </c>
      <c r="M122" s="31" t="n"/>
      <c r="N122" s="31" t="n"/>
      <c r="O122" s="31" t="n"/>
      <c r="P122" s="31" t="n"/>
      <c r="Q122" s="31" t="n"/>
      <c r="R122" s="34">
        <f>IFERROR(IF(AND(O122&gt;0,P122&gt;0,Q122&gt;0),(O122*P122*Q122)/6000,""),"")</f>
        <v/>
      </c>
      <c r="S122" s="34">
        <f>IFERROR(IF(AND(N122&gt;0,R122&gt;0),MAX(N122,R122),IF(N122&gt;0,N122,IF(R122&gt;0,R122,""))),"")</f>
        <v/>
      </c>
      <c r="T122" s="36" t="n"/>
      <c r="U122" s="38" t="inlineStr">
        <is>
          <t>FALTA</t>
        </is>
      </c>
      <c r="V122" s="36" t="n">
        <v>900</v>
      </c>
      <c r="W122" s="39" t="n">
        <v>0.3</v>
      </c>
      <c r="X122" s="41">
        <f>IFERROR(V122+T122,"")</f>
        <v/>
      </c>
      <c r="Y122" s="41">
        <f>IFERROR(IF(W122&lt;1,X122/(1-W122),""),"")</f>
        <v/>
      </c>
      <c r="Z122" s="43">
        <f>'01_CONFIG_GLOBAL'!$C$14</f>
        <v/>
      </c>
      <c r="AA122" s="41">
        <f>IFERROR(Y122*Z122,"")</f>
        <v/>
      </c>
      <c r="AB122" s="41">
        <f>IFERROR(IF(Z122&lt;1,Y122/(1-Z122),""),"")</f>
        <v/>
      </c>
      <c r="AC122" s="23" t="n"/>
      <c r="AD122" s="36" t="n"/>
      <c r="AE122" s="23" t="n"/>
      <c r="AF122" s="36" t="n"/>
      <c r="AG122" s="23" t="n"/>
      <c r="AH122" s="36" t="n"/>
      <c r="AI122" s="41">
        <f>IFERROR(AVERAGE(AD122,AF122,AH122),"")</f>
        <v/>
      </c>
      <c r="AJ122" s="29">
        <f>IFERROR(IF(AI122="","sem dados",IF(AB122&lt;AI122*0.95,"abaixo",IF(AB122&gt;AI122*1.05,"acima","em linha"))),"")</f>
        <v/>
      </c>
      <c r="AK122" s="23" t="inlineStr">
        <is>
          <t>não</t>
        </is>
      </c>
      <c r="AL122" s="23" t="n"/>
      <c r="AM122" s="23" t="n"/>
      <c r="AN122" s="23" t="n"/>
      <c r="AO122" s="44">
        <f>A122</f>
        <v/>
      </c>
      <c r="AP122" s="44">
        <f>D122</f>
        <v/>
      </c>
    </row>
    <row r="123" hidden="1" ht="15.75" customHeight="1" s="93">
      <c r="A123" s="23" t="inlineStr">
        <is>
          <t>5.0906.0580566.0</t>
        </is>
      </c>
      <c r="B123" s="23" t="inlineStr">
        <is>
          <t>580566</t>
        </is>
      </c>
      <c r="C123" s="29">
        <f>IFERROR(LOWER(SUBSTITUTE(SUBSTITUTE(SUBSTITUTE(SUBSTITUTE(D123," ","-"),"/","-"),".",""),",","")),"")</f>
        <v/>
      </c>
      <c r="D123" s="23" t="inlineStr">
        <is>
          <t>APR 50 201.1.24.83 (ADAPTADOR 24) (PROTOTIPO)</t>
        </is>
      </c>
      <c r="E123" s="23" t="n"/>
      <c r="F123" s="23" t="inlineStr">
        <is>
          <t>SOHIPREN</t>
        </is>
      </c>
      <c r="G123" s="23" t="n"/>
      <c r="H123" s="23" t="inlineStr">
        <is>
          <t>draft</t>
        </is>
      </c>
      <c r="I123" s="23" t="inlineStr">
        <is>
          <t>BALDAN</t>
        </is>
      </c>
      <c r="J123" s="23" t="inlineStr">
        <is>
          <t>TRATOR DE PNEUS</t>
        </is>
      </c>
      <c r="K123" s="23" t="inlineStr">
        <is>
          <t>PRINCIPAL</t>
        </is>
      </c>
      <c r="L123" s="23" t="inlineStr">
        <is>
          <t>EIXO 14 DENTES 1.1/4'</t>
        </is>
      </c>
      <c r="M123" s="31" t="n"/>
      <c r="N123" s="31" t="n"/>
      <c r="O123" s="31" t="n"/>
      <c r="P123" s="31" t="n"/>
      <c r="Q123" s="31" t="n"/>
      <c r="R123" s="34">
        <f>IFERROR(IF(AND(O123&gt;0,P123&gt;0,Q123&gt;0),(O123*P123*Q123)/6000,""),"")</f>
        <v/>
      </c>
      <c r="S123" s="34">
        <f>IFERROR(IF(AND(N123&gt;0,R123&gt;0),MAX(N123,R123),IF(N123&gt;0,N123,IF(R123&gt;0,R123,""))),"")</f>
        <v/>
      </c>
      <c r="T123" s="36" t="n"/>
      <c r="U123" s="38" t="inlineStr">
        <is>
          <t>FALTA</t>
        </is>
      </c>
      <c r="V123" s="36" t="n">
        <v>1018.22</v>
      </c>
      <c r="W123" s="39" t="n">
        <v>0.3</v>
      </c>
      <c r="X123" s="41">
        <f>IFERROR(V123+T123,"")</f>
        <v/>
      </c>
      <c r="Y123" s="41">
        <f>IFERROR(IF(W123&lt;1,X123/(1-W123),""),"")</f>
        <v/>
      </c>
      <c r="Z123" s="43">
        <f>'01_CONFIG_GLOBAL'!$C$14</f>
        <v/>
      </c>
      <c r="AA123" s="41">
        <f>IFERROR(Y123*Z123,"")</f>
        <v/>
      </c>
      <c r="AB123" s="41">
        <f>IFERROR(IF(Z123&lt;1,Y123/(1-Z123),""),"")</f>
        <v/>
      </c>
      <c r="AC123" s="23" t="n"/>
      <c r="AD123" s="36" t="n"/>
      <c r="AE123" s="23" t="n"/>
      <c r="AF123" s="36" t="n"/>
      <c r="AG123" s="23" t="n"/>
      <c r="AH123" s="36" t="n"/>
      <c r="AI123" s="41">
        <f>IFERROR(AVERAGE(AD123,AF123,AH123),"")</f>
        <v/>
      </c>
      <c r="AJ123" s="29">
        <f>IFERROR(IF(AI123="","sem dados",IF(AB123&lt;AI123*0.95,"abaixo",IF(AB123&gt;AI123*1.05,"acima","em linha"))),"")</f>
        <v/>
      </c>
      <c r="AK123" s="23" t="inlineStr">
        <is>
          <t>não</t>
        </is>
      </c>
      <c r="AL123" s="23" t="n"/>
      <c r="AM123" s="23" t="n"/>
      <c r="AN123" s="23" t="n"/>
      <c r="AO123" s="44">
        <f>A123</f>
        <v/>
      </c>
      <c r="AP123" s="44">
        <f>D123</f>
        <v/>
      </c>
    </row>
    <row r="124" hidden="1" ht="15.75" customHeight="1" s="93">
      <c r="A124" s="23" t="inlineStr">
        <is>
          <t>5.0220.L026898.0</t>
        </is>
      </c>
      <c r="B124" s="23" t="inlineStr">
        <is>
          <t>L026898</t>
        </is>
      </c>
      <c r="C124" s="29">
        <f>IFERROR(LOWER(SUBSTITUTE(SUBSTITUTE(SUBSTITUTE(SUBSTITUTE(D124," ","-"),"/","-"),".",""),",","")),"")</f>
        <v/>
      </c>
      <c r="D124" s="23" t="inlineStr">
        <is>
          <t>BOD 22,5 E4.C102.C134/11.C1/8.C1.L (C/ ADAPTADOR)</t>
        </is>
      </c>
      <c r="E124" s="23" t="inlineStr">
        <is>
          <t>Bombas Hidráulicas</t>
        </is>
      </c>
      <c r="F124" s="23" t="inlineStr">
        <is>
          <t>SOHIPREN</t>
        </is>
      </c>
      <c r="G124" s="23" t="n"/>
      <c r="H124" s="23" t="inlineStr">
        <is>
          <t>draft</t>
        </is>
      </c>
      <c r="I124" s="23" t="inlineStr">
        <is>
          <t>BALDAN</t>
        </is>
      </c>
      <c r="J124" s="23" t="inlineStr">
        <is>
          <t>PULVERIZADOR</t>
        </is>
      </c>
      <c r="K124" s="23" t="inlineStr">
        <is>
          <t>BOMBA TRIPLA</t>
        </is>
      </c>
      <c r="L124" s="23" t="n"/>
      <c r="M124" s="31" t="n"/>
      <c r="N124" s="31" t="n"/>
      <c r="O124" s="31" t="n"/>
      <c r="P124" s="31" t="n"/>
      <c r="Q124" s="31" t="n"/>
      <c r="R124" s="34">
        <f>IFERROR(IF(AND(O124&gt;0,P124&gt;0,Q124&gt;0),(O124*P124*Q124)/6000,""),"")</f>
        <v/>
      </c>
      <c r="S124" s="34">
        <f>IFERROR(IF(AND(N124&gt;0,R124&gt;0),MAX(N124,R124),IF(N124&gt;0,N124,IF(R124&gt;0,R124,""))),"")</f>
        <v/>
      </c>
      <c r="T124" s="36" t="n"/>
      <c r="U124" s="38" t="inlineStr">
        <is>
          <t>FALTA</t>
        </is>
      </c>
      <c r="V124" s="36" t="n">
        <v>1034</v>
      </c>
      <c r="W124" s="39" t="n">
        <v>0.3</v>
      </c>
      <c r="X124" s="41">
        <f>IFERROR(V124+T124,"")</f>
        <v/>
      </c>
      <c r="Y124" s="41">
        <f>IFERROR(IF(W124&lt;1,X124/(1-W124),""),"")</f>
        <v/>
      </c>
      <c r="Z124" s="43">
        <f>'01_CONFIG_GLOBAL'!$C$14</f>
        <v/>
      </c>
      <c r="AA124" s="41">
        <f>IFERROR(Y124*Z124,"")</f>
        <v/>
      </c>
      <c r="AB124" s="41">
        <f>IFERROR(IF(Z124&lt;1,Y124/(1-Z124),""),"")</f>
        <v/>
      </c>
      <c r="AC124" s="23" t="n"/>
      <c r="AD124" s="36" t="n"/>
      <c r="AE124" s="23" t="n"/>
      <c r="AF124" s="36" t="n"/>
      <c r="AG124" s="23" t="n"/>
      <c r="AH124" s="36" t="n"/>
      <c r="AI124" s="41">
        <f>IFERROR(AVERAGE(AD124,AF124,AH124),"")</f>
        <v/>
      </c>
      <c r="AJ124" s="29">
        <f>IFERROR(IF(AI124="","sem dados",IF(AB124&lt;AI124*0.95,"abaixo",IF(AB124&gt;AI124*1.05,"acima","em linha"))),"")</f>
        <v/>
      </c>
      <c r="AK124" s="23" t="inlineStr">
        <is>
          <t>não</t>
        </is>
      </c>
      <c r="AL124" s="23" t="n"/>
      <c r="AM124" s="23" t="n"/>
      <c r="AN124" s="23" t="n"/>
      <c r="AO124" s="44">
        <f>A124</f>
        <v/>
      </c>
      <c r="AP124" s="44">
        <f>D124</f>
        <v/>
      </c>
    </row>
    <row r="125" hidden="1" ht="15.75" customHeight="1" s="93">
      <c r="A125" s="23" t="inlineStr">
        <is>
          <t>5.0504.0503013.0</t>
        </is>
      </c>
      <c r="B125" s="23" t="inlineStr">
        <is>
          <t>503013</t>
        </is>
      </c>
      <c r="C125" s="29">
        <f>IFERROR(LOWER(SUBSTITUTE(SUBSTITUTE(SUBSTITUTE(SUBSTITUTE(D125," ","-"),"/","-"),".",""),",","")),"")</f>
        <v/>
      </c>
      <c r="D125" s="23" t="inlineStr">
        <is>
          <t>MC1 40 201.1.12.83-1.61</t>
        </is>
      </c>
      <c r="E125" s="23" t="n"/>
      <c r="F125" s="23" t="inlineStr">
        <is>
          <t>SOHIPREN</t>
        </is>
      </c>
      <c r="G125" s="23" t="n"/>
      <c r="H125" s="23" t="inlineStr">
        <is>
          <t>draft</t>
        </is>
      </c>
      <c r="I125" s="23" t="inlineStr">
        <is>
          <t>BALDAN</t>
        </is>
      </c>
      <c r="J125" s="23" t="inlineStr">
        <is>
          <t>TRATOR DE PNEUS</t>
        </is>
      </c>
      <c r="K125" s="23" t="inlineStr">
        <is>
          <t>PRINCIPAL</t>
        </is>
      </c>
      <c r="L125" s="23" t="inlineStr">
        <is>
          <t>EIXO CONICO</t>
        </is>
      </c>
      <c r="M125" s="31" t="n"/>
      <c r="N125" s="31" t="n"/>
      <c r="O125" s="31" t="n"/>
      <c r="P125" s="31" t="n"/>
      <c r="Q125" s="31" t="n"/>
      <c r="R125" s="34">
        <f>IFERROR(IF(AND(O125&gt;0,P125&gt;0,Q125&gt;0),(O125*P125*Q125)/6000,""),"")</f>
        <v/>
      </c>
      <c r="S125" s="34">
        <f>IFERROR(IF(AND(N125&gt;0,R125&gt;0),MAX(N125,R125),IF(N125&gt;0,N125,IF(R125&gt;0,R125,""))),"")</f>
        <v/>
      </c>
      <c r="T125" s="36" t="n"/>
      <c r="U125" s="38" t="inlineStr">
        <is>
          <t>FALTA</t>
        </is>
      </c>
      <c r="V125" s="36" t="n">
        <v>1045</v>
      </c>
      <c r="W125" s="39" t="n">
        <v>0.3</v>
      </c>
      <c r="X125" s="41">
        <f>IFERROR(V125+T125,"")</f>
        <v/>
      </c>
      <c r="Y125" s="41">
        <f>IFERROR(IF(W125&lt;1,X125/(1-W125),""),"")</f>
        <v/>
      </c>
      <c r="Z125" s="43">
        <f>'01_CONFIG_GLOBAL'!$C$14</f>
        <v/>
      </c>
      <c r="AA125" s="41">
        <f>IFERROR(Y125*Z125,"")</f>
        <v/>
      </c>
      <c r="AB125" s="41">
        <f>IFERROR(IF(Z125&lt;1,Y125/(1-Z125),""),"")</f>
        <v/>
      </c>
      <c r="AC125" s="23" t="n"/>
      <c r="AD125" s="36" t="n"/>
      <c r="AE125" s="23" t="n"/>
      <c r="AF125" s="36" t="n"/>
      <c r="AG125" s="23" t="n"/>
      <c r="AH125" s="36" t="n"/>
      <c r="AI125" s="41">
        <f>IFERROR(AVERAGE(AD125,AF125,AH125),"")</f>
        <v/>
      </c>
      <c r="AJ125" s="29">
        <f>IFERROR(IF(AI125="","sem dados",IF(AB125&lt;AI125*0.95,"abaixo",IF(AB125&gt;AI125*1.05,"acima","em linha"))),"")</f>
        <v/>
      </c>
      <c r="AK125" s="23" t="inlineStr">
        <is>
          <t>não</t>
        </is>
      </c>
      <c r="AL125" s="23" t="n"/>
      <c r="AM125" s="23" t="n"/>
      <c r="AN125" s="23" t="n"/>
      <c r="AO125" s="44">
        <f>A125</f>
        <v/>
      </c>
      <c r="AP125" s="44">
        <f>D125</f>
        <v/>
      </c>
    </row>
    <row r="126" hidden="1" ht="15.75" customHeight="1" s="93">
      <c r="A126" s="23" t="inlineStr">
        <is>
          <t>5.0504.0503014.0</t>
        </is>
      </c>
      <c r="B126" s="23" t="inlineStr">
        <is>
          <t>503014</t>
        </is>
      </c>
      <c r="C126" s="29">
        <f>IFERROR(LOWER(SUBSTITUTE(SUBSTITUTE(SUBSTITUTE(SUBSTITUTE(D126," ","-"),"/","-"),".",""),",","")),"")</f>
        <v/>
      </c>
      <c r="D126" s="23" t="inlineStr">
        <is>
          <t>MC1 40 201.1.21.83-1.61</t>
        </is>
      </c>
      <c r="E126" s="23" t="n"/>
      <c r="F126" s="23" t="inlineStr">
        <is>
          <t>SOHIPREN</t>
        </is>
      </c>
      <c r="G126" s="23" t="n"/>
      <c r="H126" s="23" t="inlineStr">
        <is>
          <t>draft</t>
        </is>
      </c>
      <c r="I126" s="23" t="inlineStr">
        <is>
          <t>BALDAN</t>
        </is>
      </c>
      <c r="J126" s="23" t="inlineStr">
        <is>
          <t>TRATOR DE PNEUS</t>
        </is>
      </c>
      <c r="K126" s="23" t="inlineStr">
        <is>
          <t>PRINCIPAL</t>
        </is>
      </c>
      <c r="L126" s="23" t="inlineStr">
        <is>
          <t>EIXO ESTRIADO</t>
        </is>
      </c>
      <c r="M126" s="31" t="n"/>
      <c r="N126" s="31" t="n"/>
      <c r="O126" s="31" t="n"/>
      <c r="P126" s="31" t="n"/>
      <c r="Q126" s="31" t="n"/>
      <c r="R126" s="34">
        <f>IFERROR(IF(AND(O126&gt;0,P126&gt;0,Q126&gt;0),(O126*P126*Q126)/6000,""),"")</f>
        <v/>
      </c>
      <c r="S126" s="34">
        <f>IFERROR(IF(AND(N126&gt;0,R126&gt;0),MAX(N126,R126),IF(N126&gt;0,N126,IF(R126&gt;0,R126,""))),"")</f>
        <v/>
      </c>
      <c r="T126" s="36" t="n"/>
      <c r="U126" s="38" t="inlineStr">
        <is>
          <t>FALTA</t>
        </is>
      </c>
      <c r="V126" s="36" t="n">
        <v>1045</v>
      </c>
      <c r="W126" s="39" t="n">
        <v>0.3</v>
      </c>
      <c r="X126" s="41">
        <f>IFERROR(V126+T126,"")</f>
        <v/>
      </c>
      <c r="Y126" s="41">
        <f>IFERROR(IF(W126&lt;1,X126/(1-W126),""),"")</f>
        <v/>
      </c>
      <c r="Z126" s="43">
        <f>'01_CONFIG_GLOBAL'!$C$14</f>
        <v/>
      </c>
      <c r="AA126" s="41">
        <f>IFERROR(Y126*Z126,"")</f>
        <v/>
      </c>
      <c r="AB126" s="41">
        <f>IFERROR(IF(Z126&lt;1,Y126/(1-Z126),""),"")</f>
        <v/>
      </c>
      <c r="AC126" s="23" t="n"/>
      <c r="AD126" s="36" t="n"/>
      <c r="AE126" s="23" t="n"/>
      <c r="AF126" s="36" t="n"/>
      <c r="AG126" s="23" t="n"/>
      <c r="AH126" s="36" t="n"/>
      <c r="AI126" s="41">
        <f>IFERROR(AVERAGE(AD126,AF126,AH126),"")</f>
        <v/>
      </c>
      <c r="AJ126" s="29">
        <f>IFERROR(IF(AI126="","sem dados",IF(AB126&lt;AI126*0.95,"abaixo",IF(AB126&gt;AI126*1.05,"acima","em linha"))),"")</f>
        <v/>
      </c>
      <c r="AK126" s="23" t="inlineStr">
        <is>
          <t>não</t>
        </is>
      </c>
      <c r="AL126" s="23" t="n"/>
      <c r="AM126" s="23" t="n"/>
      <c r="AN126" s="23" t="n"/>
      <c r="AO126" s="44">
        <f>A126</f>
        <v/>
      </c>
      <c r="AP126" s="44">
        <f>D126</f>
        <v/>
      </c>
    </row>
    <row r="127" hidden="1" ht="15.75" customHeight="1" s="93">
      <c r="A127" s="23" t="inlineStr">
        <is>
          <t>5.0504.0503017.0</t>
        </is>
      </c>
      <c r="B127" s="23" t="inlineStr">
        <is>
          <t>503017</t>
        </is>
      </c>
      <c r="C127" s="29">
        <f>IFERROR(LOWER(SUBSTITUTE(SUBSTITUTE(SUBSTITUTE(SUBSTITUTE(D127," ","-"),"/","-"),".",""),",","")),"")</f>
        <v/>
      </c>
      <c r="D127" s="23" t="inlineStr">
        <is>
          <t>MC1 40 201.1.37.83.61</t>
        </is>
      </c>
      <c r="E127" s="23" t="n"/>
      <c r="F127" s="23" t="inlineStr">
        <is>
          <t>SOHIPREN</t>
        </is>
      </c>
      <c r="G127" s="23" t="n"/>
      <c r="H127" s="23" t="inlineStr">
        <is>
          <t>draft</t>
        </is>
      </c>
      <c r="I127" s="23" t="inlineStr">
        <is>
          <t>BALDAN</t>
        </is>
      </c>
      <c r="J127" s="23" t="inlineStr">
        <is>
          <t>TRATOR DE PNEUS</t>
        </is>
      </c>
      <c r="K127" s="23" t="inlineStr">
        <is>
          <t>PRINCIPAL</t>
        </is>
      </c>
      <c r="L127" s="23" t="inlineStr">
        <is>
          <t>EIXO CHAV. 1</t>
        </is>
      </c>
      <c r="M127" s="31" t="n"/>
      <c r="N127" s="31" t="n"/>
      <c r="O127" s="31" t="n"/>
      <c r="P127" s="31" t="n"/>
      <c r="Q127" s="31" t="n"/>
      <c r="R127" s="34">
        <f>IFERROR(IF(AND(O127&gt;0,P127&gt;0,Q127&gt;0),(O127*P127*Q127)/6000,""),"")</f>
        <v/>
      </c>
      <c r="S127" s="34">
        <f>IFERROR(IF(AND(N127&gt;0,R127&gt;0),MAX(N127,R127),IF(N127&gt;0,N127,IF(R127&gt;0,R127,""))),"")</f>
        <v/>
      </c>
      <c r="T127" s="36" t="n"/>
      <c r="U127" s="38" t="inlineStr">
        <is>
          <t>FALTA</t>
        </is>
      </c>
      <c r="V127" s="36" t="n">
        <v>1150</v>
      </c>
      <c r="W127" s="39" t="n">
        <v>0.3</v>
      </c>
      <c r="X127" s="41">
        <f>IFERROR(V127+T127,"")</f>
        <v/>
      </c>
      <c r="Y127" s="41">
        <f>IFERROR(IF(W127&lt;1,X127/(1-W127),""),"")</f>
        <v/>
      </c>
      <c r="Z127" s="43">
        <f>'01_CONFIG_GLOBAL'!$C$14</f>
        <v/>
      </c>
      <c r="AA127" s="41">
        <f>IFERROR(Y127*Z127,"")</f>
        <v/>
      </c>
      <c r="AB127" s="41">
        <f>IFERROR(IF(Z127&lt;1,Y127/(1-Z127),""),"")</f>
        <v/>
      </c>
      <c r="AC127" s="23" t="n"/>
      <c r="AD127" s="36" t="n"/>
      <c r="AE127" s="23" t="n"/>
      <c r="AF127" s="36" t="n"/>
      <c r="AG127" s="23" t="n"/>
      <c r="AH127" s="36" t="n"/>
      <c r="AI127" s="41">
        <f>IFERROR(AVERAGE(AD127,AF127,AH127),"")</f>
        <v/>
      </c>
      <c r="AJ127" s="29">
        <f>IFERROR(IF(AI127="","sem dados",IF(AB127&lt;AI127*0.95,"abaixo",IF(AB127&gt;AI127*1.05,"acima","em linha"))),"")</f>
        <v/>
      </c>
      <c r="AK127" s="23" t="inlineStr">
        <is>
          <t>não</t>
        </is>
      </c>
      <c r="AL127" s="23" t="n"/>
      <c r="AM127" s="23" t="n"/>
      <c r="AN127" s="23" t="n"/>
      <c r="AO127" s="44">
        <f>A127</f>
        <v/>
      </c>
      <c r="AP127" s="44">
        <f>D127</f>
        <v/>
      </c>
    </row>
    <row r="128" hidden="1" ht="15.75" customHeight="1" s="93">
      <c r="A128" s="23" t="inlineStr">
        <is>
          <t>5.5209.L012960.0</t>
        </is>
      </c>
      <c r="B128" s="23" t="inlineStr">
        <is>
          <t>L01296</t>
        </is>
      </c>
      <c r="C128" s="29">
        <f>IFERROR(LOWER(SUBSTITUTE(SUBSTITUTE(SUBSTITUTE(SUBSTITUTE(D128," ","-"),"/","-"),".",""),",","")),"")</f>
        <v/>
      </c>
      <c r="D128" s="23" t="inlineStr">
        <is>
          <t>MRBO 19 E4.C1.C3.L (C/ ADAPT)</t>
        </is>
      </c>
      <c r="E128" s="23" t="n"/>
      <c r="F128" s="23" t="inlineStr">
        <is>
          <t>SOHIPREN</t>
        </is>
      </c>
      <c r="G128" s="23" t="n"/>
      <c r="H128" s="23" t="inlineStr">
        <is>
          <t>draft</t>
        </is>
      </c>
      <c r="I128" s="23" t="inlineStr">
        <is>
          <t>BASCOPRENS</t>
        </is>
      </c>
      <c r="J128" s="23" t="n"/>
      <c r="K128" s="23" t="n"/>
      <c r="L128" s="23" t="n"/>
      <c r="M128" s="31" t="n"/>
      <c r="N128" s="31" t="n"/>
      <c r="O128" s="31" t="n"/>
      <c r="P128" s="31" t="n"/>
      <c r="Q128" s="31" t="n"/>
      <c r="R128" s="34">
        <f>IFERROR(IF(AND(O128&gt;0,P128&gt;0,Q128&gt;0),(O128*P128*Q128)/6000,""),"")</f>
        <v/>
      </c>
      <c r="S128" s="34">
        <f>IFERROR(IF(AND(N128&gt;0,R128&gt;0),MAX(N128,R128),IF(N128&gt;0,N128,IF(R128&gt;0,R128,""))),"")</f>
        <v/>
      </c>
      <c r="T128" s="36" t="n"/>
      <c r="U128" s="38" t="inlineStr">
        <is>
          <t>FALTA</t>
        </is>
      </c>
      <c r="V128" s="36" t="n">
        <v>708</v>
      </c>
      <c r="W128" s="39" t="n">
        <v>0.3</v>
      </c>
      <c r="X128" s="41">
        <f>IFERROR(V128+T128,"")</f>
        <v/>
      </c>
      <c r="Y128" s="41">
        <f>IFERROR(IF(W128&lt;1,X128/(1-W128),""),"")</f>
        <v/>
      </c>
      <c r="Z128" s="43">
        <f>'01_CONFIG_GLOBAL'!$C$14</f>
        <v/>
      </c>
      <c r="AA128" s="41">
        <f>IFERROR(Y128*Z128,"")</f>
        <v/>
      </c>
      <c r="AB128" s="41">
        <f>IFERROR(IF(Z128&lt;1,Y128/(1-Z128),""),"")</f>
        <v/>
      </c>
      <c r="AC128" s="23" t="n"/>
      <c r="AD128" s="36" t="n"/>
      <c r="AE128" s="23" t="n"/>
      <c r="AF128" s="36" t="n"/>
      <c r="AG128" s="23" t="n"/>
      <c r="AH128" s="36" t="n"/>
      <c r="AI128" s="41">
        <f>IFERROR(AVERAGE(AD128,AF128,AH128),"")</f>
        <v/>
      </c>
      <c r="AJ128" s="29">
        <f>IFERROR(IF(AI128="","sem dados",IF(AB128&lt;AI128*0.95,"abaixo",IF(AB128&gt;AI128*1.05,"acima","em linha"))),"")</f>
        <v/>
      </c>
      <c r="AK128" s="23" t="inlineStr">
        <is>
          <t>não</t>
        </is>
      </c>
      <c r="AL128" s="23" t="n"/>
      <c r="AM128" s="23" t="n"/>
      <c r="AN128" s="23" t="n"/>
      <c r="AO128" s="44">
        <f>A128</f>
        <v/>
      </c>
      <c r="AP128" s="44">
        <f>D128</f>
        <v/>
      </c>
    </row>
    <row r="129" hidden="1" ht="15.75" customHeight="1" s="93">
      <c r="A129" s="23" t="inlineStr">
        <is>
          <t>5.0701.0503810.0</t>
        </is>
      </c>
      <c r="B129" s="23" t="inlineStr">
        <is>
          <t>503810</t>
        </is>
      </c>
      <c r="C129" s="29">
        <f>IFERROR(LOWER(SUBSTITUTE(SUBSTITUTE(SUBSTITUTE(SUBSTITUTE(D129," ","-"),"/","-"),".",""),",","")),"")</f>
        <v/>
      </c>
      <c r="D129" s="23" t="inlineStr">
        <is>
          <t>MD1 60 201.3.31.93 (ACC NEUMATICO 2 POS.)</t>
        </is>
      </c>
      <c r="E129" s="23" t="n"/>
      <c r="F129" s="23" t="inlineStr">
        <is>
          <t>SOHIPREN</t>
        </is>
      </c>
      <c r="G129" s="23" t="n"/>
      <c r="H129" s="23" t="inlineStr">
        <is>
          <t>draft</t>
        </is>
      </c>
      <c r="I129" s="23" t="inlineStr">
        <is>
          <t>BASCULANTE</t>
        </is>
      </c>
      <c r="J129" s="23" t="inlineStr">
        <is>
          <t>CAMINHAO BASCULANTE</t>
        </is>
      </c>
      <c r="K129" s="23" t="inlineStr">
        <is>
          <t>PRINCIPAL</t>
        </is>
      </c>
      <c r="L129" s="23" t="inlineStr">
        <is>
          <t>BHM 200</t>
        </is>
      </c>
      <c r="M129" s="31" t="n"/>
      <c r="N129" s="31" t="n"/>
      <c r="O129" s="31" t="n"/>
      <c r="P129" s="31" t="n"/>
      <c r="Q129" s="31" t="n"/>
      <c r="R129" s="34">
        <f>IFERROR(IF(AND(O129&gt;0,P129&gt;0,Q129&gt;0),(O129*P129*Q129)/6000,""),"")</f>
        <v/>
      </c>
      <c r="S129" s="34">
        <f>IFERROR(IF(AND(N129&gt;0,R129&gt;0),MAX(N129,R129),IF(N129&gt;0,N129,IF(R129&gt;0,R129,""))),"")</f>
        <v/>
      </c>
      <c r="T129" s="36" t="n"/>
      <c r="U129" s="38" t="inlineStr">
        <is>
          <t>FALTA</t>
        </is>
      </c>
      <c r="V129" s="36" t="n">
        <v>330</v>
      </c>
      <c r="W129" s="39" t="n">
        <v>0.3</v>
      </c>
      <c r="X129" s="41">
        <f>IFERROR(V129+T129,"")</f>
        <v/>
      </c>
      <c r="Y129" s="41">
        <f>IFERROR(IF(W129&lt;1,X129/(1-W129),""),"")</f>
        <v/>
      </c>
      <c r="Z129" s="43">
        <f>'01_CONFIG_GLOBAL'!$C$14</f>
        <v/>
      </c>
      <c r="AA129" s="41">
        <f>IFERROR(Y129*Z129,"")</f>
        <v/>
      </c>
      <c r="AB129" s="41">
        <f>IFERROR(IF(Z129&lt;1,Y129/(1-Z129),""),"")</f>
        <v/>
      </c>
      <c r="AC129" s="23" t="n"/>
      <c r="AD129" s="36" t="n"/>
      <c r="AE129" s="23" t="n"/>
      <c r="AF129" s="36" t="n"/>
      <c r="AG129" s="23" t="n"/>
      <c r="AH129" s="36" t="n"/>
      <c r="AI129" s="41">
        <f>IFERROR(AVERAGE(AD129,AF129,AH129),"")</f>
        <v/>
      </c>
      <c r="AJ129" s="29">
        <f>IFERROR(IF(AI129="","sem dados",IF(AB129&lt;AI129*0.95,"abaixo",IF(AB129&gt;AI129*1.05,"acima","em linha"))),"")</f>
        <v/>
      </c>
      <c r="AK129" s="23" t="inlineStr">
        <is>
          <t>não</t>
        </is>
      </c>
      <c r="AL129" s="23" t="n"/>
      <c r="AM129" s="23" t="n"/>
      <c r="AN129" s="23" t="n"/>
      <c r="AO129" s="44">
        <f>A129</f>
        <v/>
      </c>
      <c r="AP129" s="44">
        <f>D129</f>
        <v/>
      </c>
    </row>
    <row r="130" hidden="1" ht="15.75" customHeight="1" s="93">
      <c r="A130" s="23" t="inlineStr">
        <is>
          <t>5.0702.0503811.0</t>
        </is>
      </c>
      <c r="B130" s="23" t="inlineStr">
        <is>
          <t>503811</t>
        </is>
      </c>
      <c r="C130" s="29">
        <f>IFERROR(LOWER(SUBSTITUTE(SUBSTITUTE(SUBSTITUTE(SUBSTITUTE(D130," ","-"),"/","-"),".",""),",","")),"")</f>
        <v/>
      </c>
      <c r="D130" s="23" t="inlineStr">
        <is>
          <t>MD1 75 205.1.23.92 (SALIDA POSTERIOR)</t>
        </is>
      </c>
      <c r="E130" s="23" t="n"/>
      <c r="F130" s="23" t="inlineStr">
        <is>
          <t>SOHIPREN</t>
        </is>
      </c>
      <c r="G130" s="23" t="n"/>
      <c r="H130" s="23" t="inlineStr">
        <is>
          <t>draft</t>
        </is>
      </c>
      <c r="I130" s="23" t="inlineStr">
        <is>
          <t>BASCULANTE</t>
        </is>
      </c>
      <c r="J130" s="23" t="inlineStr">
        <is>
          <t>CAMINHÃO BASCULANTE</t>
        </is>
      </c>
      <c r="K130" s="23" t="inlineStr">
        <is>
          <t>PRINCIPAL</t>
        </is>
      </c>
      <c r="L130" s="23" t="inlineStr">
        <is>
          <t>BHM 200</t>
        </is>
      </c>
      <c r="M130" s="31" t="n"/>
      <c r="N130" s="31" t="n"/>
      <c r="O130" s="31" t="n"/>
      <c r="P130" s="31" t="n"/>
      <c r="Q130" s="31" t="n"/>
      <c r="R130" s="34">
        <f>IFERROR(IF(AND(O130&gt;0,P130&gt;0,Q130&gt;0),(O130*P130*Q130)/6000,""),"")</f>
        <v/>
      </c>
      <c r="S130" s="34">
        <f>IFERROR(IF(AND(N130&gt;0,R130&gt;0),MAX(N130,R130),IF(N130&gt;0,N130,IF(R130&gt;0,R130,""))),"")</f>
        <v/>
      </c>
      <c r="T130" s="36" t="n"/>
      <c r="U130" s="38" t="inlineStr">
        <is>
          <t>FALTA</t>
        </is>
      </c>
      <c r="V130" s="36" t="n">
        <v>1078</v>
      </c>
      <c r="W130" s="39" t="n">
        <v>0.3</v>
      </c>
      <c r="X130" s="41">
        <f>IFERROR(V130+T130,"")</f>
        <v/>
      </c>
      <c r="Y130" s="41">
        <f>IFERROR(IF(W130&lt;1,X130/(1-W130),""),"")</f>
        <v/>
      </c>
      <c r="Z130" s="43">
        <f>'01_CONFIG_GLOBAL'!$C$14</f>
        <v/>
      </c>
      <c r="AA130" s="41">
        <f>IFERROR(Y130*Z130,"")</f>
        <v/>
      </c>
      <c r="AB130" s="41">
        <f>IFERROR(IF(Z130&lt;1,Y130/(1-Z130),""),"")</f>
        <v/>
      </c>
      <c r="AC130" s="23" t="n"/>
      <c r="AD130" s="36" t="n"/>
      <c r="AE130" s="23" t="n"/>
      <c r="AF130" s="36" t="n"/>
      <c r="AG130" s="23" t="n"/>
      <c r="AH130" s="36" t="n"/>
      <c r="AI130" s="41">
        <f>IFERROR(AVERAGE(AD130,AF130,AH130),"")</f>
        <v/>
      </c>
      <c r="AJ130" s="29">
        <f>IFERROR(IF(AI130="","sem dados",IF(AB130&lt;AI130*0.95,"abaixo",IF(AB130&gt;AI130*1.05,"acima","em linha"))),"")</f>
        <v/>
      </c>
      <c r="AK130" s="23" t="inlineStr">
        <is>
          <t>não</t>
        </is>
      </c>
      <c r="AL130" s="23" t="n"/>
      <c r="AM130" s="23" t="n"/>
      <c r="AN130" s="23" t="n"/>
      <c r="AO130" s="44">
        <f>A130</f>
        <v/>
      </c>
      <c r="AP130" s="44">
        <f>D130</f>
        <v/>
      </c>
    </row>
    <row r="131" hidden="1" ht="15.75" customHeight="1" s="93">
      <c r="A131" s="23" t="inlineStr">
        <is>
          <t>5.0703.0503813.0</t>
        </is>
      </c>
      <c r="B131" s="23" t="inlineStr">
        <is>
          <t>503813</t>
        </is>
      </c>
      <c r="C131" s="29">
        <f>IFERROR(LOWER(SUBSTITUTE(SUBSTITUTE(SUBSTITUTE(SUBSTITUTE(D131," ","-"),"/","-"),".",""),",","")),"")</f>
        <v/>
      </c>
      <c r="D131" s="23" t="inlineStr">
        <is>
          <t>MD1 90 201.3.31.93 (ACC NEUMATICO 2 POS.)</t>
        </is>
      </c>
      <c r="E131" s="23" t="n"/>
      <c r="F131" s="23" t="inlineStr">
        <is>
          <t>SOHIPREN</t>
        </is>
      </c>
      <c r="G131" s="23" t="n"/>
      <c r="H131" s="23" t="inlineStr">
        <is>
          <t>draft</t>
        </is>
      </c>
      <c r="I131" s="23" t="inlineStr">
        <is>
          <t>BASCULANTE</t>
        </is>
      </c>
      <c r="J131" s="23" t="inlineStr">
        <is>
          <t>CAMINHÃO BASCULANTE</t>
        </is>
      </c>
      <c r="K131" s="23" t="inlineStr">
        <is>
          <t>PRINCIPAL</t>
        </is>
      </c>
      <c r="L131" s="23" t="inlineStr">
        <is>
          <t>BHM 200</t>
        </is>
      </c>
      <c r="M131" s="31" t="n"/>
      <c r="N131" s="31" t="n"/>
      <c r="O131" s="31" t="n"/>
      <c r="P131" s="31" t="n"/>
      <c r="Q131" s="31" t="n"/>
      <c r="R131" s="34">
        <f>IFERROR(IF(AND(O131&gt;0,P131&gt;0,Q131&gt;0),(O131*P131*Q131)/6000,""),"")</f>
        <v/>
      </c>
      <c r="S131" s="34">
        <f>IFERROR(IF(AND(N131&gt;0,R131&gt;0),MAX(N131,R131),IF(N131&gt;0,N131,IF(R131&gt;0,R131,""))),"")</f>
        <v/>
      </c>
      <c r="T131" s="36" t="n"/>
      <c r="U131" s="38" t="inlineStr">
        <is>
          <t>FALTA</t>
        </is>
      </c>
      <c r="V131" s="36" t="n">
        <v>1078</v>
      </c>
      <c r="W131" s="39" t="n">
        <v>0.3</v>
      </c>
      <c r="X131" s="41">
        <f>IFERROR(V131+T131,"")</f>
        <v/>
      </c>
      <c r="Y131" s="41">
        <f>IFERROR(IF(W131&lt;1,X131/(1-W131),""),"")</f>
        <v/>
      </c>
      <c r="Z131" s="43">
        <f>'01_CONFIG_GLOBAL'!$C$14</f>
        <v/>
      </c>
      <c r="AA131" s="41">
        <f>IFERROR(Y131*Z131,"")</f>
        <v/>
      </c>
      <c r="AB131" s="41">
        <f>IFERROR(IF(Z131&lt;1,Y131/(1-Z131),""),"")</f>
        <v/>
      </c>
      <c r="AC131" s="23" t="n"/>
      <c r="AD131" s="36" t="n"/>
      <c r="AE131" s="23" t="n"/>
      <c r="AF131" s="36" t="n"/>
      <c r="AG131" s="23" t="n"/>
      <c r="AH131" s="36" t="n"/>
      <c r="AI131" s="41">
        <f>IFERROR(AVERAGE(AD131,AF131,AH131),"")</f>
        <v/>
      </c>
      <c r="AJ131" s="29">
        <f>IFERROR(IF(AI131="","sem dados",IF(AB131&lt;AI131*0.95,"abaixo",IF(AB131&gt;AI131*1.05,"acima","em linha"))),"")</f>
        <v/>
      </c>
      <c r="AK131" s="23" t="inlineStr">
        <is>
          <t>não</t>
        </is>
      </c>
      <c r="AL131" s="23" t="n"/>
      <c r="AM131" s="23" t="n"/>
      <c r="AN131" s="23" t="n"/>
      <c r="AO131" s="44">
        <f>A131</f>
        <v/>
      </c>
      <c r="AP131" s="44">
        <f>D131</f>
        <v/>
      </c>
    </row>
    <row r="132" hidden="1" ht="15.75" customHeight="1" s="93">
      <c r="A132" s="23" t="inlineStr">
        <is>
          <t>5.0701.0503799.0</t>
        </is>
      </c>
      <c r="B132" s="23" t="inlineStr">
        <is>
          <t>503799</t>
        </is>
      </c>
      <c r="C132" s="29">
        <f>IFERROR(LOWER(SUBSTITUTE(SUBSTITUTE(SUBSTITUTE(SUBSTITUTE(D132," ","-"),"/","-"),".",""),",","")),"")</f>
        <v/>
      </c>
      <c r="D132" s="23" t="inlineStr">
        <is>
          <t>MD1 60 205.2.23.92 (MANUAL 2 POS.)</t>
        </is>
      </c>
      <c r="E132" s="23" t="n"/>
      <c r="F132" s="23" t="inlineStr">
        <is>
          <t>SOHIPREN</t>
        </is>
      </c>
      <c r="G132" s="23" t="n"/>
      <c r="H132" s="23" t="inlineStr">
        <is>
          <t>draft</t>
        </is>
      </c>
      <c r="I132" s="23" t="inlineStr">
        <is>
          <t>BASCULANTE</t>
        </is>
      </c>
      <c r="J132" s="23" t="inlineStr">
        <is>
          <t>CAMINHAO BASCULANTE</t>
        </is>
      </c>
      <c r="K132" s="23" t="inlineStr">
        <is>
          <t>PRINCIPAL</t>
        </is>
      </c>
      <c r="L132" s="23" t="inlineStr">
        <is>
          <t>BHM 200</t>
        </is>
      </c>
      <c r="M132" s="31" t="n"/>
      <c r="N132" s="31" t="n"/>
      <c r="O132" s="31" t="n"/>
      <c r="P132" s="31" t="n"/>
      <c r="Q132" s="31" t="n"/>
      <c r="R132" s="34">
        <f>IFERROR(IF(AND(O132&gt;0,P132&gt;0,Q132&gt;0),(O132*P132*Q132)/6000,""),"")</f>
        <v/>
      </c>
      <c r="S132" s="34">
        <f>IFERROR(IF(AND(N132&gt;0,R132&gt;0),MAX(N132,R132),IF(N132&gt;0,N132,IF(R132&gt;0,R132,""))),"")</f>
        <v/>
      </c>
      <c r="T132" s="36" t="n"/>
      <c r="U132" s="38" t="inlineStr">
        <is>
          <t>FALTA</t>
        </is>
      </c>
      <c r="V132" s="36" t="n">
        <v>330</v>
      </c>
      <c r="W132" s="39" t="n">
        <v>0.3</v>
      </c>
      <c r="X132" s="41">
        <f>IFERROR(V132+T132,"")</f>
        <v/>
      </c>
      <c r="Y132" s="41">
        <f>IFERROR(IF(W132&lt;1,X132/(1-W132),""),"")</f>
        <v/>
      </c>
      <c r="Z132" s="43">
        <f>'01_CONFIG_GLOBAL'!$C$14</f>
        <v/>
      </c>
      <c r="AA132" s="41">
        <f>IFERROR(Y132*Z132,"")</f>
        <v/>
      </c>
      <c r="AB132" s="41">
        <f>IFERROR(IF(Z132&lt;1,Y132/(1-Z132),""),"")</f>
        <v/>
      </c>
      <c r="AC132" s="23" t="n"/>
      <c r="AD132" s="36" t="n"/>
      <c r="AE132" s="23" t="n"/>
      <c r="AF132" s="36" t="n"/>
      <c r="AG132" s="23" t="n"/>
      <c r="AH132" s="36" t="n"/>
      <c r="AI132" s="41">
        <f>IFERROR(AVERAGE(AD132,AF132,AH132),"")</f>
        <v/>
      </c>
      <c r="AJ132" s="29">
        <f>IFERROR(IF(AI132="","sem dados",IF(AB132&lt;AI132*0.95,"abaixo",IF(AB132&gt;AI132*1.05,"acima","em linha"))),"")</f>
        <v/>
      </c>
      <c r="AK132" s="23" t="inlineStr">
        <is>
          <t>não</t>
        </is>
      </c>
      <c r="AL132" s="23" t="n"/>
      <c r="AM132" s="23" t="n"/>
      <c r="AN132" s="23" t="n"/>
      <c r="AO132" s="44">
        <f>A132</f>
        <v/>
      </c>
      <c r="AP132" s="44">
        <f>D132</f>
        <v/>
      </c>
    </row>
    <row r="133" hidden="1" ht="15.75" customHeight="1" s="93">
      <c r="A133" s="23" t="inlineStr">
        <is>
          <t>5.0701.0503774.0</t>
        </is>
      </c>
      <c r="B133" s="23" t="inlineStr">
        <is>
          <t>503774</t>
        </is>
      </c>
      <c r="C133" s="29">
        <f>IFERROR(LOWER(SUBSTITUTE(SUBSTITUTE(SUBSTITUTE(SUBSTITUTE(D133," ","-"),"/","-"),".",""),",","")),"")</f>
        <v/>
      </c>
      <c r="D133" s="23" t="inlineStr">
        <is>
          <t>MD1 60 205.1.23.92 (MANUAL 2 POS.)</t>
        </is>
      </c>
      <c r="E133" s="23" t="n"/>
      <c r="F133" s="23" t="inlineStr">
        <is>
          <t>SOHIPREN</t>
        </is>
      </c>
      <c r="G133" s="23" t="n"/>
      <c r="H133" s="23" t="inlineStr">
        <is>
          <t>draft</t>
        </is>
      </c>
      <c r="I133" s="23" t="inlineStr">
        <is>
          <t>BASCULANTE</t>
        </is>
      </c>
      <c r="J133" s="23" t="inlineStr">
        <is>
          <t>CAMINHÃO BASCULANTE</t>
        </is>
      </c>
      <c r="K133" s="23" t="inlineStr">
        <is>
          <t>PRINCIPAL</t>
        </is>
      </c>
      <c r="L133" s="23" t="inlineStr">
        <is>
          <t>BHM 200</t>
        </is>
      </c>
      <c r="M133" s="31" t="n"/>
      <c r="N133" s="31" t="n"/>
      <c r="O133" s="31" t="n"/>
      <c r="P133" s="31" t="n"/>
      <c r="Q133" s="31" t="n"/>
      <c r="R133" s="34">
        <f>IFERROR(IF(AND(O133&gt;0,P133&gt;0,Q133&gt;0),(O133*P133*Q133)/6000,""),"")</f>
        <v/>
      </c>
      <c r="S133" s="34">
        <f>IFERROR(IF(AND(N133&gt;0,R133&gt;0),MAX(N133,R133),IF(N133&gt;0,N133,IF(R133&gt;0,R133,""))),"")</f>
        <v/>
      </c>
      <c r="T133" s="36" t="n"/>
      <c r="U133" s="38" t="inlineStr">
        <is>
          <t>FALTA</t>
        </is>
      </c>
      <c r="V133" s="36" t="n">
        <v>330</v>
      </c>
      <c r="W133" s="39" t="n">
        <v>0.3</v>
      </c>
      <c r="X133" s="41">
        <f>IFERROR(V133+T133,"")</f>
        <v/>
      </c>
      <c r="Y133" s="41">
        <f>IFERROR(IF(W133&lt;1,X133/(1-W133),""),"")</f>
        <v/>
      </c>
      <c r="Z133" s="43">
        <f>'01_CONFIG_GLOBAL'!$C$14</f>
        <v/>
      </c>
      <c r="AA133" s="41">
        <f>IFERROR(Y133*Z133,"")</f>
        <v/>
      </c>
      <c r="AB133" s="41">
        <f>IFERROR(IF(Z133&lt;1,Y133/(1-Z133),""),"")</f>
        <v/>
      </c>
      <c r="AC133" s="23" t="n"/>
      <c r="AD133" s="36" t="n"/>
      <c r="AE133" s="23" t="n"/>
      <c r="AF133" s="36" t="n"/>
      <c r="AG133" s="23" t="n"/>
      <c r="AH133" s="36" t="n"/>
      <c r="AI133" s="41">
        <f>IFERROR(AVERAGE(AD133,AF133,AH133),"")</f>
        <v/>
      </c>
      <c r="AJ133" s="29">
        <f>IFERROR(IF(AI133="","sem dados",IF(AB133&lt;AI133*0.95,"abaixo",IF(AB133&gt;AI133*1.05,"acima","em linha"))),"")</f>
        <v/>
      </c>
      <c r="AK133" s="23" t="inlineStr">
        <is>
          <t>não</t>
        </is>
      </c>
      <c r="AL133" s="23" t="n"/>
      <c r="AM133" s="23" t="n"/>
      <c r="AN133" s="23" t="n"/>
      <c r="AO133" s="44">
        <f>A133</f>
        <v/>
      </c>
      <c r="AP133" s="44">
        <f>D133</f>
        <v/>
      </c>
    </row>
    <row r="134" hidden="1" ht="15.75" customHeight="1" s="93">
      <c r="A134" s="23" t="inlineStr">
        <is>
          <t>5.0702.0503775.0</t>
        </is>
      </c>
      <c r="B134" s="23" t="inlineStr">
        <is>
          <t>503775</t>
        </is>
      </c>
      <c r="C134" s="29">
        <f>IFERROR(LOWER(SUBSTITUTE(SUBSTITUTE(SUBSTITUTE(SUBSTITUTE(D134," ","-"),"/","-"),".",""),",","")),"")</f>
        <v/>
      </c>
      <c r="D134" s="23" t="inlineStr">
        <is>
          <t>MD1 75 205.1.23.92 (MANUAL 2 POS.)</t>
        </is>
      </c>
      <c r="E134" s="23" t="n"/>
      <c r="F134" s="23" t="inlineStr">
        <is>
          <t>SOHIPREN</t>
        </is>
      </c>
      <c r="G134" s="23" t="n"/>
      <c r="H134" s="23" t="inlineStr">
        <is>
          <t>draft</t>
        </is>
      </c>
      <c r="I134" s="23" t="inlineStr">
        <is>
          <t>BASCULANTE</t>
        </is>
      </c>
      <c r="J134" s="23" t="inlineStr">
        <is>
          <t>CAMINHÃO BASCULANTE</t>
        </is>
      </c>
      <c r="K134" s="23" t="inlineStr">
        <is>
          <t>PRINCIPAL</t>
        </is>
      </c>
      <c r="L134" s="23" t="inlineStr">
        <is>
          <t>BHM 200</t>
        </is>
      </c>
      <c r="M134" s="31" t="n"/>
      <c r="N134" s="31" t="n"/>
      <c r="O134" s="31" t="n"/>
      <c r="P134" s="31" t="n"/>
      <c r="Q134" s="31" t="n"/>
      <c r="R134" s="34">
        <f>IFERROR(IF(AND(O134&gt;0,P134&gt;0,Q134&gt;0),(O134*P134*Q134)/6000,""),"")</f>
        <v/>
      </c>
      <c r="S134" s="34">
        <f>IFERROR(IF(AND(N134&gt;0,R134&gt;0),MAX(N134,R134),IF(N134&gt;0,N134,IF(R134&gt;0,R134,""))),"")</f>
        <v/>
      </c>
      <c r="T134" s="36" t="n"/>
      <c r="U134" s="38" t="inlineStr">
        <is>
          <t>FALTA</t>
        </is>
      </c>
      <c r="V134" s="36" t="n">
        <v>1078</v>
      </c>
      <c r="W134" s="39" t="n">
        <v>0.3</v>
      </c>
      <c r="X134" s="41">
        <f>IFERROR(V134+T134,"")</f>
        <v/>
      </c>
      <c r="Y134" s="41">
        <f>IFERROR(IF(W134&lt;1,X134/(1-W134),""),"")</f>
        <v/>
      </c>
      <c r="Z134" s="43">
        <f>'01_CONFIG_GLOBAL'!$C$14</f>
        <v/>
      </c>
      <c r="AA134" s="41">
        <f>IFERROR(Y134*Z134,"")</f>
        <v/>
      </c>
      <c r="AB134" s="41">
        <f>IFERROR(IF(Z134&lt;1,Y134/(1-Z134),""),"")</f>
        <v/>
      </c>
      <c r="AC134" s="23" t="n"/>
      <c r="AD134" s="36" t="n"/>
      <c r="AE134" s="23" t="n"/>
      <c r="AF134" s="36" t="n"/>
      <c r="AG134" s="23" t="n"/>
      <c r="AH134" s="36" t="n"/>
      <c r="AI134" s="41">
        <f>IFERROR(AVERAGE(AD134,AF134,AH134),"")</f>
        <v/>
      </c>
      <c r="AJ134" s="29">
        <f>IFERROR(IF(AI134="","sem dados",IF(AB134&lt;AI134*0.95,"abaixo",IF(AB134&gt;AI134*1.05,"acima","em linha"))),"")</f>
        <v/>
      </c>
      <c r="AK134" s="23" t="inlineStr">
        <is>
          <t>não</t>
        </is>
      </c>
      <c r="AL134" s="23" t="n"/>
      <c r="AM134" s="23" t="n"/>
      <c r="AN134" s="23" t="n"/>
      <c r="AO134" s="44">
        <f>A134</f>
        <v/>
      </c>
      <c r="AP134" s="44">
        <f>D134</f>
        <v/>
      </c>
    </row>
    <row r="135" hidden="1" ht="15.75" customHeight="1" s="93">
      <c r="A135" s="23" t="inlineStr">
        <is>
          <t>5.0703.0503776.0</t>
        </is>
      </c>
      <c r="B135" s="23" t="inlineStr">
        <is>
          <t>503776</t>
        </is>
      </c>
      <c r="C135" s="29">
        <f>IFERROR(LOWER(SUBSTITUTE(SUBSTITUTE(SUBSTITUTE(SUBSTITUTE(D135," ","-"),"/","-"),".",""),",","")),"")</f>
        <v/>
      </c>
      <c r="D135" s="23" t="inlineStr">
        <is>
          <t>MD1 90 205.1.23.92 (MANUAL 2 POS.)</t>
        </is>
      </c>
      <c r="E135" s="23" t="n"/>
      <c r="F135" s="23" t="inlineStr">
        <is>
          <t>SOHIPREN</t>
        </is>
      </c>
      <c r="G135" s="23" t="n"/>
      <c r="H135" s="23" t="inlineStr">
        <is>
          <t>draft</t>
        </is>
      </c>
      <c r="I135" s="23" t="inlineStr">
        <is>
          <t>BASCULANTE</t>
        </is>
      </c>
      <c r="J135" s="23" t="inlineStr">
        <is>
          <t>CAMINHAO BASCULANTE</t>
        </is>
      </c>
      <c r="K135" s="23" t="inlineStr">
        <is>
          <t>PRINCIPAL</t>
        </is>
      </c>
      <c r="L135" s="23" t="inlineStr">
        <is>
          <t>BHM 200</t>
        </is>
      </c>
      <c r="M135" s="31" t="n"/>
      <c r="N135" s="31" t="n"/>
      <c r="O135" s="31" t="n"/>
      <c r="P135" s="31" t="n"/>
      <c r="Q135" s="31" t="n"/>
      <c r="R135" s="34">
        <f>IFERROR(IF(AND(O135&gt;0,P135&gt;0,Q135&gt;0),(O135*P135*Q135)/6000,""),"")</f>
        <v/>
      </c>
      <c r="S135" s="34">
        <f>IFERROR(IF(AND(N135&gt;0,R135&gt;0),MAX(N135,R135),IF(N135&gt;0,N135,IF(R135&gt;0,R135,""))),"")</f>
        <v/>
      </c>
      <c r="T135" s="36" t="n"/>
      <c r="U135" s="38" t="inlineStr">
        <is>
          <t>FALTA</t>
        </is>
      </c>
      <c r="V135" s="36" t="n">
        <v>1078</v>
      </c>
      <c r="W135" s="39" t="n">
        <v>0.3</v>
      </c>
      <c r="X135" s="41">
        <f>IFERROR(V135+T135,"")</f>
        <v/>
      </c>
      <c r="Y135" s="41">
        <f>IFERROR(IF(W135&lt;1,X135/(1-W135),""),"")</f>
        <v/>
      </c>
      <c r="Z135" s="43">
        <f>'01_CONFIG_GLOBAL'!$C$14</f>
        <v/>
      </c>
      <c r="AA135" s="41">
        <f>IFERROR(Y135*Z135,"")</f>
        <v/>
      </c>
      <c r="AB135" s="41">
        <f>IFERROR(IF(Z135&lt;1,Y135/(1-Z135),""),"")</f>
        <v/>
      </c>
      <c r="AC135" s="23" t="n"/>
      <c r="AD135" s="36" t="n"/>
      <c r="AE135" s="23" t="n"/>
      <c r="AF135" s="36" t="n"/>
      <c r="AG135" s="23" t="n"/>
      <c r="AH135" s="36" t="n"/>
      <c r="AI135" s="41">
        <f>IFERROR(AVERAGE(AD135,AF135,AH135),"")</f>
        <v/>
      </c>
      <c r="AJ135" s="29">
        <f>IFERROR(IF(AI135="","sem dados",IF(AB135&lt;AI135*0.95,"abaixo",IF(AB135&gt;AI135*1.05,"acima","em linha"))),"")</f>
        <v/>
      </c>
      <c r="AK135" s="23" t="inlineStr">
        <is>
          <t>não</t>
        </is>
      </c>
      <c r="AL135" s="23" t="n"/>
      <c r="AM135" s="23" t="n"/>
      <c r="AN135" s="23" t="n"/>
      <c r="AO135" s="44">
        <f>A135</f>
        <v/>
      </c>
      <c r="AP135" s="44">
        <f>D135</f>
        <v/>
      </c>
    </row>
    <row r="136" hidden="1" ht="15.75" customHeight="1" s="93">
      <c r="A136" s="23" t="inlineStr">
        <is>
          <t>5.0701.0503778.0</t>
        </is>
      </c>
      <c r="B136" s="23" t="inlineStr">
        <is>
          <t>503778</t>
        </is>
      </c>
      <c r="C136" s="29">
        <f>IFERROR(LOWER(SUBSTITUTE(SUBSTITUTE(SUBSTITUTE(SUBSTITUTE(D136," ","-"),"/","-"),".",""),",","")),"")</f>
        <v/>
      </c>
      <c r="D136" s="23" t="inlineStr">
        <is>
          <t>MD1 60 205.1.23.93 (ACC NEUMATICO 2 POS.)</t>
        </is>
      </c>
      <c r="E136" s="23" t="n"/>
      <c r="F136" s="23" t="inlineStr">
        <is>
          <t>SOHIPREN</t>
        </is>
      </c>
      <c r="G136" s="23" t="n"/>
      <c r="H136" s="23" t="inlineStr">
        <is>
          <t>draft</t>
        </is>
      </c>
      <c r="I136" s="23" t="inlineStr">
        <is>
          <t>BASCULANTE</t>
        </is>
      </c>
      <c r="J136" s="23" t="inlineStr">
        <is>
          <t>CAMINHÃO BASCULANTE</t>
        </is>
      </c>
      <c r="K136" s="23" t="inlineStr">
        <is>
          <t>PRINCIPAL</t>
        </is>
      </c>
      <c r="L136" s="23" t="inlineStr">
        <is>
          <t>BHM 200</t>
        </is>
      </c>
      <c r="M136" s="31" t="n"/>
      <c r="N136" s="31" t="n"/>
      <c r="O136" s="31" t="n"/>
      <c r="P136" s="31" t="n"/>
      <c r="Q136" s="31" t="n"/>
      <c r="R136" s="34">
        <f>IFERROR(IF(AND(O136&gt;0,P136&gt;0,Q136&gt;0),(O136*P136*Q136)/6000,""),"")</f>
        <v/>
      </c>
      <c r="S136" s="34">
        <f>IFERROR(IF(AND(N136&gt;0,R136&gt;0),MAX(N136,R136),IF(N136&gt;0,N136,IF(R136&gt;0,R136,""))),"")</f>
        <v/>
      </c>
      <c r="T136" s="36" t="n"/>
      <c r="U136" s="38" t="inlineStr">
        <is>
          <t>FALTA</t>
        </is>
      </c>
      <c r="V136" s="36" t="n">
        <v>330</v>
      </c>
      <c r="W136" s="39" t="n">
        <v>0.3</v>
      </c>
      <c r="X136" s="41">
        <f>IFERROR(V136+T136,"")</f>
        <v/>
      </c>
      <c r="Y136" s="41">
        <f>IFERROR(IF(W136&lt;1,X136/(1-W136),""),"")</f>
        <v/>
      </c>
      <c r="Z136" s="43">
        <f>'01_CONFIG_GLOBAL'!$C$14</f>
        <v/>
      </c>
      <c r="AA136" s="41">
        <f>IFERROR(Y136*Z136,"")</f>
        <v/>
      </c>
      <c r="AB136" s="41">
        <f>IFERROR(IF(Z136&lt;1,Y136/(1-Z136),""),"")</f>
        <v/>
      </c>
      <c r="AC136" s="23" t="n"/>
      <c r="AD136" s="36" t="n"/>
      <c r="AE136" s="23" t="n"/>
      <c r="AF136" s="36" t="n"/>
      <c r="AG136" s="23" t="n"/>
      <c r="AH136" s="36" t="n"/>
      <c r="AI136" s="41">
        <f>IFERROR(AVERAGE(AD136,AF136,AH136),"")</f>
        <v/>
      </c>
      <c r="AJ136" s="29">
        <f>IFERROR(IF(AI136="","sem dados",IF(AB136&lt;AI136*0.95,"abaixo",IF(AB136&gt;AI136*1.05,"acima","em linha"))),"")</f>
        <v/>
      </c>
      <c r="AK136" s="23" t="inlineStr">
        <is>
          <t>não</t>
        </is>
      </c>
      <c r="AL136" s="23" t="n"/>
      <c r="AM136" s="23" t="n"/>
      <c r="AN136" s="23" t="n"/>
      <c r="AO136" s="44">
        <f>A136</f>
        <v/>
      </c>
      <c r="AP136" s="44">
        <f>D136</f>
        <v/>
      </c>
    </row>
    <row r="137" hidden="1" ht="15.75" customHeight="1" s="93">
      <c r="A137" s="23" t="inlineStr">
        <is>
          <t>5.0702.0503779.0</t>
        </is>
      </c>
      <c r="B137" s="23" t="inlineStr">
        <is>
          <t>503779</t>
        </is>
      </c>
      <c r="C137" s="29">
        <f>IFERROR(LOWER(SUBSTITUTE(SUBSTITUTE(SUBSTITUTE(SUBSTITUTE(D137," ","-"),"/","-"),".",""),",","")),"")</f>
        <v/>
      </c>
      <c r="D137" s="23" t="inlineStr">
        <is>
          <t>MD1 75 205.1.23.93 (ACC NEUMATICO 2 POS.)</t>
        </is>
      </c>
      <c r="E137" s="23" t="n"/>
      <c r="F137" s="23" t="inlineStr">
        <is>
          <t>SOHIPREN</t>
        </is>
      </c>
      <c r="G137" s="23" t="n"/>
      <c r="H137" s="23" t="inlineStr">
        <is>
          <t>draft</t>
        </is>
      </c>
      <c r="I137" s="23" t="inlineStr">
        <is>
          <t>BASCULANTE</t>
        </is>
      </c>
      <c r="J137" s="23" t="inlineStr">
        <is>
          <t>CAMINHAO BASCULANTE</t>
        </is>
      </c>
      <c r="K137" s="23" t="inlineStr">
        <is>
          <t>PRINCIPAL</t>
        </is>
      </c>
      <c r="L137" s="23" t="inlineStr">
        <is>
          <t>BHM 200</t>
        </is>
      </c>
      <c r="M137" s="31" t="n"/>
      <c r="N137" s="31" t="n"/>
      <c r="O137" s="31" t="n"/>
      <c r="P137" s="31" t="n"/>
      <c r="Q137" s="31" t="n"/>
      <c r="R137" s="34">
        <f>IFERROR(IF(AND(O137&gt;0,P137&gt;0,Q137&gt;0),(O137*P137*Q137)/6000,""),"")</f>
        <v/>
      </c>
      <c r="S137" s="34">
        <f>IFERROR(IF(AND(N137&gt;0,R137&gt;0),MAX(N137,R137),IF(N137&gt;0,N137,IF(R137&gt;0,R137,""))),"")</f>
        <v/>
      </c>
      <c r="T137" s="36" t="n"/>
      <c r="U137" s="38" t="inlineStr">
        <is>
          <t>FALTA</t>
        </is>
      </c>
      <c r="V137" s="36" t="n">
        <v>1078</v>
      </c>
      <c r="W137" s="39" t="n">
        <v>0.3</v>
      </c>
      <c r="X137" s="41">
        <f>IFERROR(V137+T137,"")</f>
        <v/>
      </c>
      <c r="Y137" s="41">
        <f>IFERROR(IF(W137&lt;1,X137/(1-W137),""),"")</f>
        <v/>
      </c>
      <c r="Z137" s="43">
        <f>'01_CONFIG_GLOBAL'!$C$14</f>
        <v/>
      </c>
      <c r="AA137" s="41">
        <f>IFERROR(Y137*Z137,"")</f>
        <v/>
      </c>
      <c r="AB137" s="41">
        <f>IFERROR(IF(Z137&lt;1,Y137/(1-Z137),""),"")</f>
        <v/>
      </c>
      <c r="AC137" s="23" t="n"/>
      <c r="AD137" s="36" t="n"/>
      <c r="AE137" s="23" t="n"/>
      <c r="AF137" s="36" t="n"/>
      <c r="AG137" s="23" t="n"/>
      <c r="AH137" s="36" t="n"/>
      <c r="AI137" s="41">
        <f>IFERROR(AVERAGE(AD137,AF137,AH137),"")</f>
        <v/>
      </c>
      <c r="AJ137" s="29">
        <f>IFERROR(IF(AI137="","sem dados",IF(AB137&lt;AI137*0.95,"abaixo",IF(AB137&gt;AI137*1.05,"acima","em linha"))),"")</f>
        <v/>
      </c>
      <c r="AK137" s="23" t="inlineStr">
        <is>
          <t>não</t>
        </is>
      </c>
      <c r="AL137" s="23" t="n"/>
      <c r="AM137" s="23" t="n"/>
      <c r="AN137" s="23" t="n"/>
      <c r="AO137" s="44">
        <f>A137</f>
        <v/>
      </c>
      <c r="AP137" s="44">
        <f>D137</f>
        <v/>
      </c>
    </row>
    <row r="138" hidden="1" ht="15.75" customHeight="1" s="93">
      <c r="A138" s="23" t="inlineStr">
        <is>
          <t>5.0703.0503780.0</t>
        </is>
      </c>
      <c r="B138" s="23" t="inlineStr">
        <is>
          <t>503780</t>
        </is>
      </c>
      <c r="C138" s="29">
        <f>IFERROR(LOWER(SUBSTITUTE(SUBSTITUTE(SUBSTITUTE(SUBSTITUTE(D138," ","-"),"/","-"),".",""),",","")),"")</f>
        <v/>
      </c>
      <c r="D138" s="23" t="inlineStr">
        <is>
          <t>MD1 90 205.1.23.93 (ACC NEUMATICO 2 POS)</t>
        </is>
      </c>
      <c r="E138" s="23" t="n"/>
      <c r="F138" s="23" t="inlineStr">
        <is>
          <t>SOHIPREN</t>
        </is>
      </c>
      <c r="G138" s="23" t="n"/>
      <c r="H138" s="23" t="inlineStr">
        <is>
          <t>draft</t>
        </is>
      </c>
      <c r="I138" s="23" t="inlineStr">
        <is>
          <t>BASCULANTE</t>
        </is>
      </c>
      <c r="J138" s="23" t="inlineStr">
        <is>
          <t>CAMINHÃO BASCULANTE</t>
        </is>
      </c>
      <c r="K138" s="23" t="inlineStr">
        <is>
          <t>PRINCIPAL</t>
        </is>
      </c>
      <c r="L138" s="23" t="inlineStr">
        <is>
          <t>BHM 200</t>
        </is>
      </c>
      <c r="M138" s="31" t="n"/>
      <c r="N138" s="31" t="n"/>
      <c r="O138" s="31" t="n"/>
      <c r="P138" s="31" t="n"/>
      <c r="Q138" s="31" t="n"/>
      <c r="R138" s="34">
        <f>IFERROR(IF(AND(O138&gt;0,P138&gt;0,Q138&gt;0),(O138*P138*Q138)/6000,""),"")</f>
        <v/>
      </c>
      <c r="S138" s="34">
        <f>IFERROR(IF(AND(N138&gt;0,R138&gt;0),MAX(N138,R138),IF(N138&gt;0,N138,IF(R138&gt;0,R138,""))),"")</f>
        <v/>
      </c>
      <c r="T138" s="36" t="n"/>
      <c r="U138" s="38" t="inlineStr">
        <is>
          <t>FALTA</t>
        </is>
      </c>
      <c r="V138" s="36" t="n">
        <v>1078</v>
      </c>
      <c r="W138" s="39" t="n">
        <v>0.3</v>
      </c>
      <c r="X138" s="41">
        <f>IFERROR(V138+T138,"")</f>
        <v/>
      </c>
      <c r="Y138" s="41">
        <f>IFERROR(IF(W138&lt;1,X138/(1-W138),""),"")</f>
        <v/>
      </c>
      <c r="Z138" s="43">
        <f>'01_CONFIG_GLOBAL'!$C$14</f>
        <v/>
      </c>
      <c r="AA138" s="41">
        <f>IFERROR(Y138*Z138,"")</f>
        <v/>
      </c>
      <c r="AB138" s="41">
        <f>IFERROR(IF(Z138&lt;1,Y138/(1-Z138),""),"")</f>
        <v/>
      </c>
      <c r="AC138" s="23" t="n"/>
      <c r="AD138" s="36" t="n"/>
      <c r="AE138" s="23" t="n"/>
      <c r="AF138" s="36" t="n"/>
      <c r="AG138" s="23" t="n"/>
      <c r="AH138" s="36" t="n"/>
      <c r="AI138" s="41">
        <f>IFERROR(AVERAGE(AD138,AF138,AH138),"")</f>
        <v/>
      </c>
      <c r="AJ138" s="29">
        <f>IFERROR(IF(AI138="","sem dados",IF(AB138&lt;AI138*0.95,"abaixo",IF(AB138&gt;AI138*1.05,"acima","em linha"))),"")</f>
        <v/>
      </c>
      <c r="AK138" s="23" t="inlineStr">
        <is>
          <t>não</t>
        </is>
      </c>
      <c r="AL138" s="23" t="n"/>
      <c r="AM138" s="23" t="n"/>
      <c r="AN138" s="23" t="n"/>
      <c r="AO138" s="44">
        <f>A138</f>
        <v/>
      </c>
      <c r="AP138" s="44">
        <f>D138</f>
        <v/>
      </c>
    </row>
    <row r="139" hidden="1" ht="15.75" customHeight="1" s="93">
      <c r="A139" s="23" t="inlineStr">
        <is>
          <t>5.0701.0503782.0</t>
        </is>
      </c>
      <c r="B139" s="23" t="inlineStr">
        <is>
          <t>503782</t>
        </is>
      </c>
      <c r="C139" s="29">
        <f>IFERROR(LOWER(SUBSTITUTE(SUBSTITUTE(SUBSTITUTE(SUBSTITUTE(D139," ","-"),"/","-"),".",""),",","")),"")</f>
        <v/>
      </c>
      <c r="D139" s="23" t="inlineStr">
        <is>
          <t>MD1 60 201.3.31.92 (MANUAL 2 POS.)</t>
        </is>
      </c>
      <c r="E139" s="23" t="n"/>
      <c r="F139" s="23" t="inlineStr">
        <is>
          <t>SOHIPREN</t>
        </is>
      </c>
      <c r="G139" s="23" t="n"/>
      <c r="H139" s="23" t="inlineStr">
        <is>
          <t>draft</t>
        </is>
      </c>
      <c r="I139" s="23" t="inlineStr">
        <is>
          <t>BASCULANTE</t>
        </is>
      </c>
      <c r="J139" s="23" t="inlineStr">
        <is>
          <t>CAMINHÃO BASCULANTE</t>
        </is>
      </c>
      <c r="K139" s="23" t="inlineStr">
        <is>
          <t>PRINCIPAL</t>
        </is>
      </c>
      <c r="L139" s="23" t="inlineStr">
        <is>
          <t>BHM 200</t>
        </is>
      </c>
      <c r="M139" s="31" t="n"/>
      <c r="N139" s="31" t="n"/>
      <c r="O139" s="31" t="n"/>
      <c r="P139" s="31" t="n"/>
      <c r="Q139" s="31" t="n"/>
      <c r="R139" s="34">
        <f>IFERROR(IF(AND(O139&gt;0,P139&gt;0,Q139&gt;0),(O139*P139*Q139)/6000,""),"")</f>
        <v/>
      </c>
      <c r="S139" s="34">
        <f>IFERROR(IF(AND(N139&gt;0,R139&gt;0),MAX(N139,R139),IF(N139&gt;0,N139,IF(R139&gt;0,R139,""))),"")</f>
        <v/>
      </c>
      <c r="T139" s="36" t="n"/>
      <c r="U139" s="38" t="inlineStr">
        <is>
          <t>FALTA</t>
        </is>
      </c>
      <c r="V139" s="36" t="n">
        <v>330</v>
      </c>
      <c r="W139" s="39" t="n">
        <v>0.3</v>
      </c>
      <c r="X139" s="41">
        <f>IFERROR(V139+T139,"")</f>
        <v/>
      </c>
      <c r="Y139" s="41">
        <f>IFERROR(IF(W139&lt;1,X139/(1-W139),""),"")</f>
        <v/>
      </c>
      <c r="Z139" s="43">
        <f>'01_CONFIG_GLOBAL'!$C$14</f>
        <v/>
      </c>
      <c r="AA139" s="41">
        <f>IFERROR(Y139*Z139,"")</f>
        <v/>
      </c>
      <c r="AB139" s="41">
        <f>IFERROR(IF(Z139&lt;1,Y139/(1-Z139),""),"")</f>
        <v/>
      </c>
      <c r="AC139" s="23" t="n"/>
      <c r="AD139" s="36" t="n"/>
      <c r="AE139" s="23" t="n"/>
      <c r="AF139" s="36" t="n"/>
      <c r="AG139" s="23" t="n"/>
      <c r="AH139" s="36" t="n"/>
      <c r="AI139" s="41">
        <f>IFERROR(AVERAGE(AD139,AF139,AH139),"")</f>
        <v/>
      </c>
      <c r="AJ139" s="29">
        <f>IFERROR(IF(AI139="","sem dados",IF(AB139&lt;AI139*0.95,"abaixo",IF(AB139&gt;AI139*1.05,"acima","em linha"))),"")</f>
        <v/>
      </c>
      <c r="AK139" s="23" t="inlineStr">
        <is>
          <t>não</t>
        </is>
      </c>
      <c r="AL139" s="23" t="n"/>
      <c r="AM139" s="23" t="n"/>
      <c r="AN139" s="23" t="n"/>
      <c r="AO139" s="44">
        <f>A139</f>
        <v/>
      </c>
      <c r="AP139" s="44">
        <f>D139</f>
        <v/>
      </c>
    </row>
    <row r="140" hidden="1" ht="15.75" customHeight="1" s="93">
      <c r="A140" s="23" t="inlineStr">
        <is>
          <t>5.0702.0503712.0</t>
        </is>
      </c>
      <c r="B140" s="23" t="inlineStr">
        <is>
          <t>503712</t>
        </is>
      </c>
      <c r="C140" s="29">
        <f>IFERROR(LOWER(SUBSTITUTE(SUBSTITUTE(SUBSTITUTE(SUBSTITUTE(D140," ","-"),"/","-"),".",""),",","")),"")</f>
        <v/>
      </c>
      <c r="D140" s="23" t="inlineStr">
        <is>
          <t>MD1 75 201.3.31.92 (MANUAL 2 POS.)</t>
        </is>
      </c>
      <c r="E140" s="23" t="n"/>
      <c r="F140" s="23" t="inlineStr">
        <is>
          <t>SOHIPREN</t>
        </is>
      </c>
      <c r="G140" s="23" t="n"/>
      <c r="H140" s="23" t="inlineStr">
        <is>
          <t>draft</t>
        </is>
      </c>
      <c r="I140" s="23" t="inlineStr">
        <is>
          <t>BASCULANTE</t>
        </is>
      </c>
      <c r="J140" s="23" t="inlineStr">
        <is>
          <t>CAMINHAO BASCULANTE</t>
        </is>
      </c>
      <c r="K140" s="23" t="inlineStr">
        <is>
          <t>PRINCIPAL</t>
        </is>
      </c>
      <c r="L140" s="23" t="inlineStr">
        <is>
          <t>BHM 200</t>
        </is>
      </c>
      <c r="M140" s="31" t="n"/>
      <c r="N140" s="31" t="n"/>
      <c r="O140" s="31" t="n"/>
      <c r="P140" s="31" t="n"/>
      <c r="Q140" s="31" t="n"/>
      <c r="R140" s="34">
        <f>IFERROR(IF(AND(O140&gt;0,P140&gt;0,Q140&gt;0),(O140*P140*Q140)/6000,""),"")</f>
        <v/>
      </c>
      <c r="S140" s="34">
        <f>IFERROR(IF(AND(N140&gt;0,R140&gt;0),MAX(N140,R140),IF(N140&gt;0,N140,IF(R140&gt;0,R140,""))),"")</f>
        <v/>
      </c>
      <c r="T140" s="36" t="n"/>
      <c r="U140" s="38" t="inlineStr">
        <is>
          <t>FALTA</t>
        </is>
      </c>
      <c r="V140" s="36" t="n">
        <v>1078</v>
      </c>
      <c r="W140" s="39" t="n">
        <v>0.3</v>
      </c>
      <c r="X140" s="41">
        <f>IFERROR(V140+T140,"")</f>
        <v/>
      </c>
      <c r="Y140" s="41">
        <f>IFERROR(IF(W140&lt;1,X140/(1-W140),""),"")</f>
        <v/>
      </c>
      <c r="Z140" s="43">
        <f>'01_CONFIG_GLOBAL'!$C$14</f>
        <v/>
      </c>
      <c r="AA140" s="41">
        <f>IFERROR(Y140*Z140,"")</f>
        <v/>
      </c>
      <c r="AB140" s="41">
        <f>IFERROR(IF(Z140&lt;1,Y140/(1-Z140),""),"")</f>
        <v/>
      </c>
      <c r="AC140" s="23" t="n"/>
      <c r="AD140" s="36" t="n"/>
      <c r="AE140" s="23" t="n"/>
      <c r="AF140" s="36" t="n"/>
      <c r="AG140" s="23" t="n"/>
      <c r="AH140" s="36" t="n"/>
      <c r="AI140" s="41">
        <f>IFERROR(AVERAGE(AD140,AF140,AH140),"")</f>
        <v/>
      </c>
      <c r="AJ140" s="29">
        <f>IFERROR(IF(AI140="","sem dados",IF(AB140&lt;AI140*0.95,"abaixo",IF(AB140&gt;AI140*1.05,"acima","em linha"))),"")</f>
        <v/>
      </c>
      <c r="AK140" s="23" t="inlineStr">
        <is>
          <t>não</t>
        </is>
      </c>
      <c r="AL140" s="23" t="n"/>
      <c r="AM140" s="23" t="n"/>
      <c r="AN140" s="23" t="n"/>
      <c r="AO140" s="44">
        <f>A140</f>
        <v/>
      </c>
      <c r="AP140" s="44">
        <f>D140</f>
        <v/>
      </c>
    </row>
    <row r="141" hidden="1" ht="15.75" customHeight="1" s="93">
      <c r="A141" s="23" t="inlineStr">
        <is>
          <t>5.0703.0503713.0</t>
        </is>
      </c>
      <c r="B141" s="23" t="inlineStr">
        <is>
          <t>503713</t>
        </is>
      </c>
      <c r="C141" s="29">
        <f>IFERROR(LOWER(SUBSTITUTE(SUBSTITUTE(SUBSTITUTE(SUBSTITUTE(D141," ","-"),"/","-"),".",""),",","")),"")</f>
        <v/>
      </c>
      <c r="D141" s="23" t="inlineStr">
        <is>
          <t>MD1 90 201.3.31.92 (MANUAL 2 POS.)</t>
        </is>
      </c>
      <c r="E141" s="23" t="n"/>
      <c r="F141" s="23" t="inlineStr">
        <is>
          <t>SOHIPREN</t>
        </is>
      </c>
      <c r="G141" s="23" t="n"/>
      <c r="H141" s="23" t="inlineStr">
        <is>
          <t>draft</t>
        </is>
      </c>
      <c r="I141" s="23" t="inlineStr">
        <is>
          <t>BASCULANTE</t>
        </is>
      </c>
      <c r="J141" s="23" t="inlineStr">
        <is>
          <t>CAMINHÃO BASCULANTE</t>
        </is>
      </c>
      <c r="K141" s="23" t="inlineStr">
        <is>
          <t>PRINCIPAL</t>
        </is>
      </c>
      <c r="L141" s="23" t="inlineStr">
        <is>
          <t>BHM 200</t>
        </is>
      </c>
      <c r="M141" s="31" t="n"/>
      <c r="N141" s="31" t="n"/>
      <c r="O141" s="31" t="n"/>
      <c r="P141" s="31" t="n"/>
      <c r="Q141" s="31" t="n"/>
      <c r="R141" s="34">
        <f>IFERROR(IF(AND(O141&gt;0,P141&gt;0,Q141&gt;0),(O141*P141*Q141)/6000,""),"")</f>
        <v/>
      </c>
      <c r="S141" s="34">
        <f>IFERROR(IF(AND(N141&gt;0,R141&gt;0),MAX(N141,R141),IF(N141&gt;0,N141,IF(R141&gt;0,R141,""))),"")</f>
        <v/>
      </c>
      <c r="T141" s="36" t="n"/>
      <c r="U141" s="38" t="inlineStr">
        <is>
          <t>FALTA</t>
        </is>
      </c>
      <c r="V141" s="36" t="n">
        <v>1078</v>
      </c>
      <c r="W141" s="39" t="n">
        <v>0.3</v>
      </c>
      <c r="X141" s="41">
        <f>IFERROR(V141+T141,"")</f>
        <v/>
      </c>
      <c r="Y141" s="41">
        <f>IFERROR(IF(W141&lt;1,X141/(1-W141),""),"")</f>
        <v/>
      </c>
      <c r="Z141" s="43">
        <f>'01_CONFIG_GLOBAL'!$C$14</f>
        <v/>
      </c>
      <c r="AA141" s="41">
        <f>IFERROR(Y141*Z141,"")</f>
        <v/>
      </c>
      <c r="AB141" s="41">
        <f>IFERROR(IF(Z141&lt;1,Y141/(1-Z141),""),"")</f>
        <v/>
      </c>
      <c r="AC141" s="23" t="n"/>
      <c r="AD141" s="36" t="n"/>
      <c r="AE141" s="23" t="n"/>
      <c r="AF141" s="36" t="n"/>
      <c r="AG141" s="23" t="n"/>
      <c r="AH141" s="36" t="n"/>
      <c r="AI141" s="41">
        <f>IFERROR(AVERAGE(AD141,AF141,AH141),"")</f>
        <v/>
      </c>
      <c r="AJ141" s="29">
        <f>IFERROR(IF(AI141="","sem dados",IF(AB141&lt;AI141*0.95,"abaixo",IF(AB141&gt;AI141*1.05,"acima","em linha"))),"")</f>
        <v/>
      </c>
      <c r="AK141" s="23" t="inlineStr">
        <is>
          <t>não</t>
        </is>
      </c>
      <c r="AL141" s="23" t="n"/>
      <c r="AM141" s="23" t="n"/>
      <c r="AN141" s="23" t="n"/>
      <c r="AO141" s="44">
        <f>A141</f>
        <v/>
      </c>
      <c r="AP141" s="44">
        <f>D141</f>
        <v/>
      </c>
    </row>
    <row r="142" hidden="1" ht="15.75" customHeight="1" s="93">
      <c r="A142" s="23" t="inlineStr">
        <is>
          <t>5.0702.0503628.0</t>
        </is>
      </c>
      <c r="B142" s="23" t="inlineStr">
        <is>
          <t>503628</t>
        </is>
      </c>
      <c r="C142" s="29">
        <f>IFERROR(LOWER(SUBSTITUTE(SUBSTITUTE(SUBSTITUTE(SUBSTITUTE(D142," ","-"),"/","-"),".",""),",","")),"")</f>
        <v/>
      </c>
      <c r="D142" s="23" t="inlineStr">
        <is>
          <t>MD1 75 201.3.31.93 (ACC NEUMATICO 2 POS.)</t>
        </is>
      </c>
      <c r="E142" s="23" t="n"/>
      <c r="F142" s="23" t="inlineStr">
        <is>
          <t>SOHIPREN</t>
        </is>
      </c>
      <c r="G142" s="23" t="n"/>
      <c r="H142" s="23" t="inlineStr">
        <is>
          <t>draft</t>
        </is>
      </c>
      <c r="I142" s="23" t="inlineStr">
        <is>
          <t>BASCULANTE</t>
        </is>
      </c>
      <c r="J142" s="23" t="inlineStr">
        <is>
          <t>CAMINHÃO BASCULANTE</t>
        </is>
      </c>
      <c r="K142" s="23" t="inlineStr">
        <is>
          <t>PRINCIPAL</t>
        </is>
      </c>
      <c r="L142" s="23" t="inlineStr">
        <is>
          <t>BHM 200</t>
        </is>
      </c>
      <c r="M142" s="31" t="n"/>
      <c r="N142" s="31" t="n"/>
      <c r="O142" s="31" t="n"/>
      <c r="P142" s="31" t="n"/>
      <c r="Q142" s="31" t="n"/>
      <c r="R142" s="34">
        <f>IFERROR(IF(AND(O142&gt;0,P142&gt;0,Q142&gt;0),(O142*P142*Q142)/6000,""),"")</f>
        <v/>
      </c>
      <c r="S142" s="34">
        <f>IFERROR(IF(AND(N142&gt;0,R142&gt;0),MAX(N142,R142),IF(N142&gt;0,N142,IF(R142&gt;0,R142,""))),"")</f>
        <v/>
      </c>
      <c r="T142" s="36" t="n"/>
      <c r="U142" s="38" t="inlineStr">
        <is>
          <t>FALTA</t>
        </is>
      </c>
      <c r="V142" s="36" t="n">
        <v>330</v>
      </c>
      <c r="W142" s="39" t="n">
        <v>0.3</v>
      </c>
      <c r="X142" s="41">
        <f>IFERROR(V142+T142,"")</f>
        <v/>
      </c>
      <c r="Y142" s="41">
        <f>IFERROR(IF(W142&lt;1,X142/(1-W142),""),"")</f>
        <v/>
      </c>
      <c r="Z142" s="43">
        <f>'01_CONFIG_GLOBAL'!$C$14</f>
        <v/>
      </c>
      <c r="AA142" s="41">
        <f>IFERROR(Y142*Z142,"")</f>
        <v/>
      </c>
      <c r="AB142" s="41">
        <f>IFERROR(IF(Z142&lt;1,Y142/(1-Z142),""),"")</f>
        <v/>
      </c>
      <c r="AC142" s="23" t="n"/>
      <c r="AD142" s="36" t="n"/>
      <c r="AE142" s="23" t="n"/>
      <c r="AF142" s="36" t="n"/>
      <c r="AG142" s="23" t="n"/>
      <c r="AH142" s="36" t="n"/>
      <c r="AI142" s="41">
        <f>IFERROR(AVERAGE(AD142,AF142,AH142),"")</f>
        <v/>
      </c>
      <c r="AJ142" s="29">
        <f>IFERROR(IF(AI142="","sem dados",IF(AB142&lt;AI142*0.95,"abaixo",IF(AB142&gt;AI142*1.05,"acima","em linha"))),"")</f>
        <v/>
      </c>
      <c r="AK142" s="23" t="inlineStr">
        <is>
          <t>não</t>
        </is>
      </c>
      <c r="AL142" s="23" t="n"/>
      <c r="AM142" s="23" t="n"/>
      <c r="AN142" s="23" t="n"/>
      <c r="AO142" s="44">
        <f>A142</f>
        <v/>
      </c>
      <c r="AP142" s="44">
        <f>D142</f>
        <v/>
      </c>
    </row>
    <row r="143" hidden="1" ht="15.75" customHeight="1" s="93">
      <c r="A143" s="23" t="inlineStr">
        <is>
          <t>5.0208.0544827.0</t>
        </is>
      </c>
      <c r="B143" s="23" t="inlineStr">
        <is>
          <t>544827</t>
        </is>
      </c>
      <c r="C143" s="29">
        <f>IFERROR(LOWER(SUBSTITUTE(SUBSTITUTE(SUBSTITUTE(SUBSTITUTE(D143," ","-"),"/","-"),".",""),",","")),"")</f>
        <v/>
      </c>
      <c r="D143" s="23" t="inlineStr">
        <is>
          <t>BOD 16 C4.C.C3.L  (ADAPTADOR C4)</t>
        </is>
      </c>
      <c r="E143" s="23" t="inlineStr">
        <is>
          <t>Bombas Hidráulicas</t>
        </is>
      </c>
      <c r="F143" s="23" t="inlineStr">
        <is>
          <t>SOHIPREN</t>
        </is>
      </c>
      <c r="G143" s="23" t="n"/>
      <c r="H143" s="23" t="inlineStr">
        <is>
          <t>draft</t>
        </is>
      </c>
      <c r="I143" s="23" t="inlineStr">
        <is>
          <t>BOELTER</t>
        </is>
      </c>
      <c r="J143" s="23" t="inlineStr">
        <is>
          <t>NIVELADORA</t>
        </is>
      </c>
      <c r="K143" s="23" t="inlineStr">
        <is>
          <t>PRINCIPAL</t>
        </is>
      </c>
      <c r="L143" s="23" t="n"/>
      <c r="M143" s="31" t="n"/>
      <c r="N143" s="31" t="n"/>
      <c r="O143" s="31" t="n"/>
      <c r="P143" s="31" t="n"/>
      <c r="Q143" s="31" t="n"/>
      <c r="R143" s="34">
        <f>IFERROR(IF(AND(O143&gt;0,P143&gt;0,Q143&gt;0),(O143*P143*Q143)/6000,""),"")</f>
        <v/>
      </c>
      <c r="S143" s="34">
        <f>IFERROR(IF(AND(N143&gt;0,R143&gt;0),MAX(N143,R143),IF(N143&gt;0,N143,IF(R143&gt;0,R143,""))),"")</f>
        <v/>
      </c>
      <c r="T143" s="36" t="n"/>
      <c r="U143" s="38" t="inlineStr">
        <is>
          <t>FALTA</t>
        </is>
      </c>
      <c r="V143" s="36" t="n">
        <v>605</v>
      </c>
      <c r="W143" s="39" t="n">
        <v>0.3</v>
      </c>
      <c r="X143" s="41">
        <f>IFERROR(V143+T143,"")</f>
        <v/>
      </c>
      <c r="Y143" s="41">
        <f>IFERROR(IF(W143&lt;1,X143/(1-W143),""),"")</f>
        <v/>
      </c>
      <c r="Z143" s="43">
        <f>'01_CONFIG_GLOBAL'!$C$14</f>
        <v/>
      </c>
      <c r="AA143" s="41">
        <f>IFERROR(Y143*Z143,"")</f>
        <v/>
      </c>
      <c r="AB143" s="41">
        <f>IFERROR(IF(Z143&lt;1,Y143/(1-Z143),""),"")</f>
        <v/>
      </c>
      <c r="AC143" s="23" t="n"/>
      <c r="AD143" s="36" t="n"/>
      <c r="AE143" s="23" t="n"/>
      <c r="AF143" s="36" t="n"/>
      <c r="AG143" s="23" t="n"/>
      <c r="AH143" s="36" t="n"/>
      <c r="AI143" s="41">
        <f>IFERROR(AVERAGE(AD143,AF143,AH143),"")</f>
        <v/>
      </c>
      <c r="AJ143" s="29">
        <f>IFERROR(IF(AI143="","sem dados",IF(AB143&lt;AI143*0.95,"abaixo",IF(AB143&gt;AI143*1.05,"acima","em linha"))),"")</f>
        <v/>
      </c>
      <c r="AK143" s="23" t="inlineStr">
        <is>
          <t>não</t>
        </is>
      </c>
      <c r="AL143" s="23" t="n"/>
      <c r="AM143" s="23" t="n"/>
      <c r="AN143" s="23" t="n"/>
      <c r="AO143" s="44">
        <f>A143</f>
        <v/>
      </c>
      <c r="AP143" s="44">
        <f>D143</f>
        <v/>
      </c>
    </row>
    <row r="144" hidden="1" ht="15.75" customHeight="1" s="93">
      <c r="A144" s="23" t="inlineStr">
        <is>
          <t>5.0521.L025882.0</t>
        </is>
      </c>
      <c r="B144" s="23" t="inlineStr">
        <is>
          <t>L025882</t>
        </is>
      </c>
      <c r="C144" s="29">
        <f>IFERROR(LOWER(SUBSTITUTE(SUBSTITUTE(SUBSTITUTE(SUBSTITUTE(D144," ","-"),"/","-"),".",""),",","")),"")</f>
        <v/>
      </c>
      <c r="D144" s="23" t="inlineStr">
        <is>
          <t>MC1 26 201.2.21.93/19.A.L</t>
        </is>
      </c>
      <c r="E144" s="23" t="n"/>
      <c r="F144" s="23" t="inlineStr">
        <is>
          <t>SOHIPREN</t>
        </is>
      </c>
      <c r="G144" s="23" t="n"/>
      <c r="H144" s="23" t="inlineStr">
        <is>
          <t>draft</t>
        </is>
      </c>
      <c r="I144" s="23" t="inlineStr">
        <is>
          <t>BOSCH</t>
        </is>
      </c>
      <c r="J144" s="23" t="n"/>
      <c r="K144" s="23" t="n"/>
      <c r="L144" s="23" t="inlineStr">
        <is>
          <t>R979012920</t>
        </is>
      </c>
      <c r="M144" s="31" t="n"/>
      <c r="N144" s="31" t="n"/>
      <c r="O144" s="31" t="n"/>
      <c r="P144" s="31" t="n"/>
      <c r="Q144" s="31" t="n"/>
      <c r="R144" s="34">
        <f>IFERROR(IF(AND(O144&gt;0,P144&gt;0,Q144&gt;0),(O144*P144*Q144)/6000,""),"")</f>
        <v/>
      </c>
      <c r="S144" s="34">
        <f>IFERROR(IF(AND(N144&gt;0,R144&gt;0),MAX(N144,R144),IF(N144&gt;0,N144,IF(R144&gt;0,R144,""))),"")</f>
        <v/>
      </c>
      <c r="T144" s="36" t="n"/>
      <c r="U144" s="38" t="inlineStr">
        <is>
          <t>FALTA</t>
        </is>
      </c>
      <c r="V144" s="36" t="n">
        <v>1823.2</v>
      </c>
      <c r="W144" s="39" t="n">
        <v>0.3</v>
      </c>
      <c r="X144" s="41">
        <f>IFERROR(V144+T144,"")</f>
        <v/>
      </c>
      <c r="Y144" s="41">
        <f>IFERROR(IF(W144&lt;1,X144/(1-W144),""),"")</f>
        <v/>
      </c>
      <c r="Z144" s="43">
        <f>'01_CONFIG_GLOBAL'!$C$14</f>
        <v/>
      </c>
      <c r="AA144" s="41">
        <f>IFERROR(Y144*Z144,"")</f>
        <v/>
      </c>
      <c r="AB144" s="41">
        <f>IFERROR(IF(Z144&lt;1,Y144/(1-Z144),""),"")</f>
        <v/>
      </c>
      <c r="AC144" s="23" t="n"/>
      <c r="AD144" s="36" t="n"/>
      <c r="AE144" s="23" t="n"/>
      <c r="AF144" s="36" t="n"/>
      <c r="AG144" s="23" t="n"/>
      <c r="AH144" s="36" t="n"/>
      <c r="AI144" s="41">
        <f>IFERROR(AVERAGE(AD144,AF144,AH144),"")</f>
        <v/>
      </c>
      <c r="AJ144" s="29">
        <f>IFERROR(IF(AI144="","sem dados",IF(AB144&lt;AI144*0.95,"abaixo",IF(AB144&gt;AI144*1.05,"acima","em linha"))),"")</f>
        <v/>
      </c>
      <c r="AK144" s="23" t="inlineStr">
        <is>
          <t>não</t>
        </is>
      </c>
      <c r="AL144" s="23" t="n"/>
      <c r="AM144" s="23" t="n"/>
      <c r="AN144" s="23" t="n"/>
      <c r="AO144" s="44">
        <f>A144</f>
        <v/>
      </c>
      <c r="AP144" s="44">
        <f>D144</f>
        <v/>
      </c>
    </row>
    <row r="145" hidden="1" ht="15.75" customHeight="1" s="93">
      <c r="A145" s="23" t="inlineStr">
        <is>
          <t>5.0521.L025887.0</t>
        </is>
      </c>
      <c r="B145" s="23" t="inlineStr">
        <is>
          <t>L025887</t>
        </is>
      </c>
      <c r="C145" s="29">
        <f>IFERROR(LOWER(SUBSTITUTE(SUBSTITUTE(SUBSTITUTE(SUBSTITUTE(D145," ","-"),"/","-"),".",""),",","")),"")</f>
        <v/>
      </c>
      <c r="D145" s="23" t="inlineStr">
        <is>
          <t>MC1 26.201.1.21.314/22,5.A.L</t>
        </is>
      </c>
      <c r="E145" s="23" t="n"/>
      <c r="F145" s="23" t="inlineStr">
        <is>
          <t>SOHIPREN</t>
        </is>
      </c>
      <c r="G145" s="23" t="n"/>
      <c r="H145" s="23" t="inlineStr">
        <is>
          <t>draft</t>
        </is>
      </c>
      <c r="I145" s="23" t="inlineStr">
        <is>
          <t>BOSCH</t>
        </is>
      </c>
      <c r="J145" s="23" t="n"/>
      <c r="K145" s="23" t="n"/>
      <c r="L145" s="23" t="n"/>
      <c r="M145" s="31" t="n"/>
      <c r="N145" s="31" t="n"/>
      <c r="O145" s="31" t="n"/>
      <c r="P145" s="31" t="n"/>
      <c r="Q145" s="31" t="n"/>
      <c r="R145" s="34">
        <f>IFERROR(IF(AND(O145&gt;0,P145&gt;0,Q145&gt;0),(O145*P145*Q145)/6000,""),"")</f>
        <v/>
      </c>
      <c r="S145" s="34">
        <f>IFERROR(IF(AND(N145&gt;0,R145&gt;0),MAX(N145,R145),IF(N145&gt;0,N145,IF(R145&gt;0,R145,""))),"")</f>
        <v/>
      </c>
      <c r="T145" s="36" t="n"/>
      <c r="U145" s="38" t="inlineStr">
        <is>
          <t>FALTA</t>
        </is>
      </c>
      <c r="V145" s="36" t="n">
        <v>1650</v>
      </c>
      <c r="W145" s="39" t="n">
        <v>0.3</v>
      </c>
      <c r="X145" s="41">
        <f>IFERROR(V145+T145,"")</f>
        <v/>
      </c>
      <c r="Y145" s="41">
        <f>IFERROR(IF(W145&lt;1,X145/(1-W145),""),"")</f>
        <v/>
      </c>
      <c r="Z145" s="43">
        <f>'01_CONFIG_GLOBAL'!$C$14</f>
        <v/>
      </c>
      <c r="AA145" s="41">
        <f>IFERROR(Y145*Z145,"")</f>
        <v/>
      </c>
      <c r="AB145" s="41">
        <f>IFERROR(IF(Z145&lt;1,Y145/(1-Z145),""),"")</f>
        <v/>
      </c>
      <c r="AC145" s="23" t="n"/>
      <c r="AD145" s="36" t="n"/>
      <c r="AE145" s="23" t="n"/>
      <c r="AF145" s="36" t="n"/>
      <c r="AG145" s="23" t="n"/>
      <c r="AH145" s="36" t="n"/>
      <c r="AI145" s="41">
        <f>IFERROR(AVERAGE(AD145,AF145,AH145),"")</f>
        <v/>
      </c>
      <c r="AJ145" s="29">
        <f>IFERROR(IF(AI145="","sem dados",IF(AB145&lt;AI145*0.95,"abaixo",IF(AB145&gt;AI145*1.05,"acima","em linha"))),"")</f>
        <v/>
      </c>
      <c r="AK145" s="23" t="inlineStr">
        <is>
          <t>não</t>
        </is>
      </c>
      <c r="AL145" s="23" t="n"/>
      <c r="AM145" s="23" t="n"/>
      <c r="AN145" s="23" t="n"/>
      <c r="AO145" s="44">
        <f>A145</f>
        <v/>
      </c>
      <c r="AP145" s="44">
        <f>D145</f>
        <v/>
      </c>
    </row>
    <row r="146" hidden="1" ht="15.75" customHeight="1" s="93">
      <c r="A146" s="23" t="inlineStr">
        <is>
          <t>5.0202.0540029.0</t>
        </is>
      </c>
      <c r="B146" s="23" t="inlineStr">
        <is>
          <t>540029</t>
        </is>
      </c>
      <c r="C146" s="29">
        <f>IFERROR(LOWER(SUBSTITUTE(SUBSTITUTE(SUBSTITUTE(SUBSTITUTE(D146," ","-"),"/","-"),".",""),",","")),"")</f>
        <v/>
      </c>
      <c r="D146" s="23" t="inlineStr">
        <is>
          <t>BOD 4 C11.P1.C27.L</t>
        </is>
      </c>
      <c r="E146" s="23" t="inlineStr">
        <is>
          <t>Bombas Hidráulicas</t>
        </is>
      </c>
      <c r="F146" s="23" t="inlineStr">
        <is>
          <t>SOHIPREN</t>
        </is>
      </c>
      <c r="G146" s="23" t="n"/>
      <c r="H146" s="23" t="inlineStr">
        <is>
          <t>draft</t>
        </is>
      </c>
      <c r="I146" s="23" t="inlineStr">
        <is>
          <t>BOSCH</t>
        </is>
      </c>
      <c r="J146" s="23" t="inlineStr">
        <is>
          <t>DIVERSOS</t>
        </is>
      </c>
      <c r="K146" s="23" t="n"/>
      <c r="L146" s="23" t="inlineStr">
        <is>
          <t>F000510204 / 41076503 /</t>
        </is>
      </c>
      <c r="M146" s="31" t="n"/>
      <c r="N146" s="31" t="n"/>
      <c r="O146" s="31" t="n"/>
      <c r="P146" s="31" t="n"/>
      <c r="Q146" s="31" t="n"/>
      <c r="R146" s="34">
        <f>IFERROR(IF(AND(O146&gt;0,P146&gt;0,Q146&gt;0),(O146*P146*Q146)/6000,""),"")</f>
        <v/>
      </c>
      <c r="S146" s="34">
        <f>IFERROR(IF(AND(N146&gt;0,R146&gt;0),MAX(N146,R146),IF(N146&gt;0,N146,IF(R146&gt;0,R146,""))),"")</f>
        <v/>
      </c>
      <c r="T146" s="36" t="n"/>
      <c r="U146" s="38" t="inlineStr">
        <is>
          <t>FALTA</t>
        </is>
      </c>
      <c r="V146" s="36" t="n">
        <v>620</v>
      </c>
      <c r="W146" s="39" t="n">
        <v>0.3</v>
      </c>
      <c r="X146" s="41">
        <f>IFERROR(V146+T146,"")</f>
        <v/>
      </c>
      <c r="Y146" s="41">
        <f>IFERROR(IF(W146&lt;1,X146/(1-W146),""),"")</f>
        <v/>
      </c>
      <c r="Z146" s="43">
        <f>'01_CONFIG_GLOBAL'!$C$14</f>
        <v/>
      </c>
      <c r="AA146" s="41">
        <f>IFERROR(Y146*Z146,"")</f>
        <v/>
      </c>
      <c r="AB146" s="41">
        <f>IFERROR(IF(Z146&lt;1,Y146/(1-Z146),""),"")</f>
        <v/>
      </c>
      <c r="AC146" s="23" t="n"/>
      <c r="AD146" s="36" t="n"/>
      <c r="AE146" s="23" t="n"/>
      <c r="AF146" s="36" t="n"/>
      <c r="AG146" s="23" t="n"/>
      <c r="AH146" s="36" t="n"/>
      <c r="AI146" s="41">
        <f>IFERROR(AVERAGE(AD146,AF146,AH146),"")</f>
        <v/>
      </c>
      <c r="AJ146" s="29">
        <f>IFERROR(IF(AI146="","sem dados",IF(AB146&lt;AI146*0.95,"abaixo",IF(AB146&gt;AI146*1.05,"acima","em linha"))),"")</f>
        <v/>
      </c>
      <c r="AK146" s="23" t="inlineStr">
        <is>
          <t>não</t>
        </is>
      </c>
      <c r="AL146" s="23" t="n"/>
      <c r="AM146" s="23" t="n"/>
      <c r="AN146" s="23" t="n"/>
      <c r="AO146" s="44">
        <f>A146</f>
        <v/>
      </c>
      <c r="AP146" s="44">
        <f>D146</f>
        <v/>
      </c>
    </row>
    <row r="147" hidden="1" ht="15.75" customHeight="1" s="93">
      <c r="A147" s="23" t="inlineStr">
        <is>
          <t>5.0201.0540617.0</t>
        </is>
      </c>
      <c r="B147" s="23" t="inlineStr">
        <is>
          <t>540617</t>
        </is>
      </c>
      <c r="C147" s="29">
        <f>IFERROR(LOWER(SUBSTITUTE(SUBSTITUTE(SUBSTITUTE(SUBSTITUTE(D147," ","-"),"/","-"),".",""),",","")),"")</f>
        <v/>
      </c>
      <c r="D147" s="23" t="inlineStr">
        <is>
          <t>BOD 2,5 C11.C.C27.L</t>
        </is>
      </c>
      <c r="E147" s="23" t="inlineStr">
        <is>
          <t>Bombas Hidráulicas</t>
        </is>
      </c>
      <c r="F147" s="23" t="inlineStr">
        <is>
          <t>SOHIPREN</t>
        </is>
      </c>
      <c r="G147" s="23" t="n"/>
      <c r="H147" s="23" t="inlineStr">
        <is>
          <t>draft</t>
        </is>
      </c>
      <c r="I147" s="23" t="inlineStr">
        <is>
          <t>BOSCH</t>
        </is>
      </c>
      <c r="J147" s="23" t="inlineStr">
        <is>
          <t>DIVERSOS</t>
        </is>
      </c>
      <c r="K147" s="23" t="n"/>
      <c r="L147" s="23" t="inlineStr">
        <is>
          <t>F000510100</t>
        </is>
      </c>
      <c r="M147" s="31" t="n"/>
      <c r="N147" s="31" t="n"/>
      <c r="O147" s="31" t="n"/>
      <c r="P147" s="31" t="n"/>
      <c r="Q147" s="31" t="n"/>
      <c r="R147" s="34">
        <f>IFERROR(IF(AND(O147&gt;0,P147&gt;0,Q147&gt;0),(O147*P147*Q147)/6000,""),"")</f>
        <v/>
      </c>
      <c r="S147" s="34">
        <f>IFERROR(IF(AND(N147&gt;0,R147&gt;0),MAX(N147,R147),IF(N147&gt;0,N147,IF(R147&gt;0,R147,""))),"")</f>
        <v/>
      </c>
      <c r="T147" s="36" t="n"/>
      <c r="U147" s="38" t="inlineStr">
        <is>
          <t>FALTA</t>
        </is>
      </c>
      <c r="V147" s="36" t="n">
        <v>665</v>
      </c>
      <c r="W147" s="39" t="n">
        <v>0.3</v>
      </c>
      <c r="X147" s="41">
        <f>IFERROR(V147+T147,"")</f>
        <v/>
      </c>
      <c r="Y147" s="41">
        <f>IFERROR(IF(W147&lt;1,X147/(1-W147),""),"")</f>
        <v/>
      </c>
      <c r="Z147" s="43">
        <f>'01_CONFIG_GLOBAL'!$C$14</f>
        <v/>
      </c>
      <c r="AA147" s="41">
        <f>IFERROR(Y147*Z147,"")</f>
        <v/>
      </c>
      <c r="AB147" s="41">
        <f>IFERROR(IF(Z147&lt;1,Y147/(1-Z147),""),"")</f>
        <v/>
      </c>
      <c r="AC147" s="23" t="n"/>
      <c r="AD147" s="36" t="n"/>
      <c r="AE147" s="23" t="n"/>
      <c r="AF147" s="36" t="n"/>
      <c r="AG147" s="23" t="n"/>
      <c r="AH147" s="36" t="n"/>
      <c r="AI147" s="41">
        <f>IFERROR(AVERAGE(AD147,AF147,AH147),"")</f>
        <v/>
      </c>
      <c r="AJ147" s="29">
        <f>IFERROR(IF(AI147="","sem dados",IF(AB147&lt;AI147*0.95,"abaixo",IF(AB147&gt;AI147*1.05,"acima","em linha"))),"")</f>
        <v/>
      </c>
      <c r="AK147" s="23" t="inlineStr">
        <is>
          <t>não</t>
        </is>
      </c>
      <c r="AL147" s="23" t="n"/>
      <c r="AM147" s="23" t="n"/>
      <c r="AN147" s="23" t="n"/>
      <c r="AO147" s="44">
        <f>A147</f>
        <v/>
      </c>
      <c r="AP147" s="44">
        <f>D147</f>
        <v/>
      </c>
    </row>
    <row r="148" hidden="1" ht="15.75" customHeight="1" s="93">
      <c r="A148" s="23" t="inlineStr">
        <is>
          <t>5.0220.L027089.0</t>
        </is>
      </c>
      <c r="B148" s="23" t="inlineStr">
        <is>
          <t>L027089</t>
        </is>
      </c>
      <c r="C148" s="29">
        <f>IFERROR(LOWER(SUBSTITUTE(SUBSTITUTE(SUBSTITUTE(SUBSTITUTE(D148," ","-"),"/","-"),".",""),",","")),"")</f>
        <v/>
      </c>
      <c r="D148" s="23" t="inlineStr">
        <is>
          <t>BOMBA HIDRÁULICA - APLICAÇÃO 19 B2 P100.B116/11.B117.L</t>
        </is>
      </c>
      <c r="E148" s="23" t="inlineStr">
        <is>
          <t>Bombas Hidráulicas</t>
        </is>
      </c>
      <c r="F148" s="23" t="inlineStr">
        <is>
          <t>SOHIPREN</t>
        </is>
      </c>
      <c r="G148" s="23" t="n"/>
      <c r="H148" s="23" t="inlineStr">
        <is>
          <t>draft</t>
        </is>
      </c>
      <c r="I148" s="23" t="inlineStr">
        <is>
          <t>BOSCH / REXROTH</t>
        </is>
      </c>
      <c r="J148" s="23" t="n"/>
      <c r="K148" s="23" t="n"/>
      <c r="L148" s="23" t="inlineStr">
        <is>
          <t>R979107648</t>
        </is>
      </c>
      <c r="M148" s="31" t="n"/>
      <c r="N148" s="31" t="n"/>
      <c r="O148" s="31" t="n"/>
      <c r="P148" s="31" t="n"/>
      <c r="Q148" s="31" t="n"/>
      <c r="R148" s="34">
        <f>IFERROR(IF(AND(O148&gt;0,P148&gt;0,Q148&gt;0),(O148*P148*Q148)/6000,""),"")</f>
        <v/>
      </c>
      <c r="S148" s="34">
        <f>IFERROR(IF(AND(N148&gt;0,R148&gt;0),MAX(N148,R148),IF(N148&gt;0,N148,IF(R148&gt;0,R148,""))),"")</f>
        <v/>
      </c>
      <c r="T148" s="36" t="n"/>
      <c r="U148" s="38" t="inlineStr">
        <is>
          <t>FALTA</t>
        </is>
      </c>
      <c r="V148" s="36" t="n">
        <v>1935</v>
      </c>
      <c r="W148" s="39" t="n">
        <v>0.3</v>
      </c>
      <c r="X148" s="41">
        <f>IFERROR(V148+T148,"")</f>
        <v/>
      </c>
      <c r="Y148" s="41">
        <f>IFERROR(IF(W148&lt;1,X148/(1-W148),""),"")</f>
        <v/>
      </c>
      <c r="Z148" s="43">
        <f>'01_CONFIG_GLOBAL'!$C$14</f>
        <v/>
      </c>
      <c r="AA148" s="41">
        <f>IFERROR(Y148*Z148,"")</f>
        <v/>
      </c>
      <c r="AB148" s="41">
        <f>IFERROR(IF(Z148&lt;1,Y148/(1-Z148),""),"")</f>
        <v/>
      </c>
      <c r="AC148" s="23" t="n"/>
      <c r="AD148" s="36" t="n"/>
      <c r="AE148" s="23" t="n"/>
      <c r="AF148" s="36" t="n"/>
      <c r="AG148" s="23" t="n"/>
      <c r="AH148" s="36" t="n"/>
      <c r="AI148" s="41">
        <f>IFERROR(AVERAGE(AD148,AF148,AH148),"")</f>
        <v/>
      </c>
      <c r="AJ148" s="29">
        <f>IFERROR(IF(AI148="","sem dados",IF(AB148&lt;AI148*0.95,"abaixo",IF(AB148&gt;AI148*1.05,"acima","em linha"))),"")</f>
        <v/>
      </c>
      <c r="AK148" s="23" t="inlineStr">
        <is>
          <t>não</t>
        </is>
      </c>
      <c r="AL148" s="23" t="n"/>
      <c r="AM148" s="23" t="n"/>
      <c r="AN148" s="23" t="n"/>
      <c r="AO148" s="44">
        <f>A148</f>
        <v/>
      </c>
      <c r="AP148" s="44">
        <f>D148</f>
        <v/>
      </c>
    </row>
    <row r="149" hidden="1" ht="15.75" customHeight="1" s="93">
      <c r="A149" s="23" t="inlineStr">
        <is>
          <t>5.0210.0546431.0</t>
        </is>
      </c>
      <c r="B149" s="23" t="inlineStr">
        <is>
          <t>546431</t>
        </is>
      </c>
      <c r="C149" s="29">
        <f>IFERROR(LOWER(SUBSTITUTE(SUBSTITUTE(SUBSTITUTE(SUBSTITUTE(D149," ","-"),"/","-"),".",""),",","")),"")</f>
        <v/>
      </c>
      <c r="D149" s="23" t="inlineStr">
        <is>
          <t>BOD 22,5 B1.P1.A.L</t>
        </is>
      </c>
      <c r="E149" s="23" t="inlineStr">
        <is>
          <t>Bombas Hidráulicas</t>
        </is>
      </c>
      <c r="F149" s="23" t="inlineStr">
        <is>
          <t>SOHIPREN</t>
        </is>
      </c>
      <c r="G149" s="23" t="n"/>
      <c r="H149" s="23" t="inlineStr">
        <is>
          <t>draft</t>
        </is>
      </c>
      <c r="I149" s="23" t="inlineStr">
        <is>
          <t>BOSCH / SCHWING-SIW / SKAM</t>
        </is>
      </c>
      <c r="J149" s="23" t="inlineStr">
        <is>
          <t>SKAM</t>
        </is>
      </c>
      <c r="K149" s="23" t="n"/>
      <c r="L149" s="23" t="inlineStr">
        <is>
          <t>9510080720/0510725030/13300350/41086203</t>
        </is>
      </c>
      <c r="M149" s="31" t="n"/>
      <c r="N149" s="31" t="n"/>
      <c r="O149" s="31" t="n"/>
      <c r="P149" s="31" t="n"/>
      <c r="Q149" s="31" t="n"/>
      <c r="R149" s="34">
        <f>IFERROR(IF(AND(O149&gt;0,P149&gt;0,Q149&gt;0),(O149*P149*Q149)/6000,""),"")</f>
        <v/>
      </c>
      <c r="S149" s="34">
        <f>IFERROR(IF(AND(N149&gt;0,R149&gt;0),MAX(N149,R149),IF(N149&gt;0,N149,IF(R149&gt;0,R149,""))),"")</f>
        <v/>
      </c>
      <c r="T149" s="36" t="n"/>
      <c r="U149" s="38" t="inlineStr">
        <is>
          <t>FALTA</t>
        </is>
      </c>
      <c r="V149" s="36" t="n">
        <v>605</v>
      </c>
      <c r="W149" s="39" t="n">
        <v>0.3</v>
      </c>
      <c r="X149" s="41">
        <f>IFERROR(V149+T149,"")</f>
        <v/>
      </c>
      <c r="Y149" s="41">
        <f>IFERROR(IF(W149&lt;1,X149/(1-W149),""),"")</f>
        <v/>
      </c>
      <c r="Z149" s="43">
        <f>'01_CONFIG_GLOBAL'!$C$14</f>
        <v/>
      </c>
      <c r="AA149" s="41">
        <f>IFERROR(Y149*Z149,"")</f>
        <v/>
      </c>
      <c r="AB149" s="41">
        <f>IFERROR(IF(Z149&lt;1,Y149/(1-Z149),""),"")</f>
        <v/>
      </c>
      <c r="AC149" s="23" t="n"/>
      <c r="AD149" s="36" t="n"/>
      <c r="AE149" s="23" t="n"/>
      <c r="AF149" s="36" t="n"/>
      <c r="AG149" s="23" t="n"/>
      <c r="AH149" s="36" t="n"/>
      <c r="AI149" s="41">
        <f>IFERROR(AVERAGE(AD149,AF149,AH149),"")</f>
        <v/>
      </c>
      <c r="AJ149" s="29">
        <f>IFERROR(IF(AI149="","sem dados",IF(AB149&lt;AI149*0.95,"abaixo",IF(AB149&gt;AI149*1.05,"acima","em linha"))),"")</f>
        <v/>
      </c>
      <c r="AK149" s="23" t="inlineStr">
        <is>
          <t>não</t>
        </is>
      </c>
      <c r="AL149" s="23" t="n"/>
      <c r="AM149" s="23" t="n"/>
      <c r="AN149" s="23" t="n"/>
      <c r="AO149" s="44">
        <f>A149</f>
        <v/>
      </c>
      <c r="AP149" s="44">
        <f>D149</f>
        <v/>
      </c>
    </row>
    <row r="150" hidden="1" ht="15.75" customHeight="1" s="93">
      <c r="A150" s="23" t="inlineStr">
        <is>
          <t>5.0103.0569015.0</t>
        </is>
      </c>
      <c r="B150" s="23" t="inlineStr">
        <is>
          <t>569015</t>
        </is>
      </c>
      <c r="C150" s="29">
        <f>IFERROR(LOWER(SUBSTITUTE(SUBSTITUTE(SUBSTITUTE(SUBSTITUTE(D150," ","-"),"/","-"),".",""),",","")),"")</f>
        <v/>
      </c>
      <c r="D150" s="23" t="inlineStr">
        <is>
          <t>B1I 2,1 A.B7.G.G4</t>
        </is>
      </c>
      <c r="E150" s="23" t="n"/>
      <c r="F150" s="23" t="inlineStr">
        <is>
          <t>SOHIPREN</t>
        </is>
      </c>
      <c r="G150" s="23" t="n"/>
      <c r="H150" s="23" t="inlineStr">
        <is>
          <t>draft</t>
        </is>
      </c>
      <c r="I150" s="23" t="inlineStr">
        <is>
          <t>BOSCH REXROTH</t>
        </is>
      </c>
      <c r="J150" s="23" t="n"/>
      <c r="K150" s="23" t="inlineStr">
        <is>
          <t>PRINCIPAL</t>
        </is>
      </c>
      <c r="L150" s="23" t="inlineStr">
        <is>
          <t>0510112307/R979021467</t>
        </is>
      </c>
      <c r="M150" s="31" t="n"/>
      <c r="N150" s="31" t="n"/>
      <c r="O150" s="31" t="n"/>
      <c r="P150" s="31" t="n"/>
      <c r="Q150" s="31" t="n"/>
      <c r="R150" s="34">
        <f>IFERROR(IF(AND(O150&gt;0,P150&gt;0,Q150&gt;0),(O150*P150*Q150)/6000,""),"")</f>
        <v/>
      </c>
      <c r="S150" s="34">
        <f>IFERROR(IF(AND(N150&gt;0,R150&gt;0),MAX(N150,R150),IF(N150&gt;0,N150,IF(R150&gt;0,R150,""))),"")</f>
        <v/>
      </c>
      <c r="T150" s="36" t="n"/>
      <c r="U150" s="38" t="inlineStr">
        <is>
          <t>FALTA</t>
        </is>
      </c>
      <c r="V150" s="36" t="n">
        <v>694</v>
      </c>
      <c r="W150" s="39" t="n">
        <v>0.3</v>
      </c>
      <c r="X150" s="41">
        <f>IFERROR(V150+T150,"")</f>
        <v/>
      </c>
      <c r="Y150" s="41">
        <f>IFERROR(IF(W150&lt;1,X150/(1-W150),""),"")</f>
        <v/>
      </c>
      <c r="Z150" s="43">
        <f>'01_CONFIG_GLOBAL'!$C$14</f>
        <v/>
      </c>
      <c r="AA150" s="41">
        <f>IFERROR(Y150*Z150,"")</f>
        <v/>
      </c>
      <c r="AB150" s="41">
        <f>IFERROR(IF(Z150&lt;1,Y150/(1-Z150),""),"")</f>
        <v/>
      </c>
      <c r="AC150" s="23" t="n"/>
      <c r="AD150" s="36" t="n"/>
      <c r="AE150" s="23" t="n"/>
      <c r="AF150" s="36" t="n"/>
      <c r="AG150" s="23" t="n"/>
      <c r="AH150" s="36" t="n"/>
      <c r="AI150" s="41">
        <f>IFERROR(AVERAGE(AD150,AF150,AH150),"")</f>
        <v/>
      </c>
      <c r="AJ150" s="29">
        <f>IFERROR(IF(AI150="","sem dados",IF(AB150&lt;AI150*0.95,"abaixo",IF(AB150&gt;AI150*1.05,"acima","em linha"))),"")</f>
        <v/>
      </c>
      <c r="AK150" s="23" t="inlineStr">
        <is>
          <t>não</t>
        </is>
      </c>
      <c r="AL150" s="23" t="n"/>
      <c r="AM150" s="23" t="n"/>
      <c r="AN150" s="23" t="n"/>
      <c r="AO150" s="44">
        <f>A150</f>
        <v/>
      </c>
      <c r="AP150" s="44">
        <f>D150</f>
        <v/>
      </c>
    </row>
    <row r="151" hidden="1" ht="15.75" customHeight="1" s="93">
      <c r="A151" s="23" t="inlineStr">
        <is>
          <t>5.0220.L019230.0</t>
        </is>
      </c>
      <c r="B151" s="23" t="inlineStr">
        <is>
          <t>L01923</t>
        </is>
      </c>
      <c r="C151" s="29">
        <f>IFERROR(LOWER(SUBSTITUTE(SUBSTITUTE(SUBSTITUTE(SUBSTITUTE(D151," ","-"),"/","-"),".",""),",","")),"")</f>
        <v/>
      </c>
      <c r="D151" s="23" t="inlineStr">
        <is>
          <t>BOD 16 C11.C.C19/11.C19.L</t>
        </is>
      </c>
      <c r="E151" s="23" t="inlineStr">
        <is>
          <t>Bombas Hidráulicas</t>
        </is>
      </c>
      <c r="F151" s="23" t="inlineStr">
        <is>
          <t>SOHIPREN</t>
        </is>
      </c>
      <c r="G151" s="23" t="n"/>
      <c r="H151" s="23" t="inlineStr">
        <is>
          <t>draft</t>
        </is>
      </c>
      <c r="I151" s="23" t="inlineStr">
        <is>
          <t>BOSCH REXROTH</t>
        </is>
      </c>
      <c r="J151" s="23" t="n"/>
      <c r="K151" s="23" t="n"/>
      <c r="L151" s="23" t="n"/>
      <c r="M151" s="31" t="n"/>
      <c r="N151" s="31" t="n"/>
      <c r="O151" s="31" t="n"/>
      <c r="P151" s="31" t="n"/>
      <c r="Q151" s="31" t="n"/>
      <c r="R151" s="34">
        <f>IFERROR(IF(AND(O151&gt;0,P151&gt;0,Q151&gt;0),(O151*P151*Q151)/6000,""),"")</f>
        <v/>
      </c>
      <c r="S151" s="34">
        <f>IFERROR(IF(AND(N151&gt;0,R151&gt;0),MAX(N151,R151),IF(N151&gt;0,N151,IF(R151&gt;0,R151,""))),"")</f>
        <v/>
      </c>
      <c r="T151" s="36" t="n"/>
      <c r="U151" s="38" t="inlineStr">
        <is>
          <t>FALTA</t>
        </is>
      </c>
      <c r="V151" s="36" t="n">
        <v>1034</v>
      </c>
      <c r="W151" s="39" t="n">
        <v>0.3</v>
      </c>
      <c r="X151" s="41">
        <f>IFERROR(V151+T151,"")</f>
        <v/>
      </c>
      <c r="Y151" s="41">
        <f>IFERROR(IF(W151&lt;1,X151/(1-W151),""),"")</f>
        <v/>
      </c>
      <c r="Z151" s="43">
        <f>'01_CONFIG_GLOBAL'!$C$14</f>
        <v/>
      </c>
      <c r="AA151" s="41">
        <f>IFERROR(Y151*Z151,"")</f>
        <v/>
      </c>
      <c r="AB151" s="41">
        <f>IFERROR(IF(Z151&lt;1,Y151/(1-Z151),""),"")</f>
        <v/>
      </c>
      <c r="AC151" s="23" t="n"/>
      <c r="AD151" s="36" t="n"/>
      <c r="AE151" s="23" t="n"/>
      <c r="AF151" s="36" t="n"/>
      <c r="AG151" s="23" t="n"/>
      <c r="AH151" s="36" t="n"/>
      <c r="AI151" s="41">
        <f>IFERROR(AVERAGE(AD151,AF151,AH151),"")</f>
        <v/>
      </c>
      <c r="AJ151" s="29">
        <f>IFERROR(IF(AI151="","sem dados",IF(AB151&lt;AI151*0.95,"abaixo",IF(AB151&gt;AI151*1.05,"acima","em linha"))),"")</f>
        <v/>
      </c>
      <c r="AK151" s="23" t="inlineStr">
        <is>
          <t>não</t>
        </is>
      </c>
      <c r="AL151" s="23" t="n"/>
      <c r="AM151" s="23" t="n"/>
      <c r="AN151" s="23" t="n"/>
      <c r="AO151" s="44">
        <f>A151</f>
        <v/>
      </c>
      <c r="AP151" s="44">
        <f>D151</f>
        <v/>
      </c>
    </row>
    <row r="152" hidden="1" ht="15.75" customHeight="1" s="93">
      <c r="A152" s="23" t="inlineStr">
        <is>
          <t>5.0206.L019610.0</t>
        </is>
      </c>
      <c r="B152" s="23" t="inlineStr">
        <is>
          <t>L01961</t>
        </is>
      </c>
      <c r="C152" s="29">
        <f>IFERROR(LOWER(SUBSTITUTE(SUBSTITUTE(SUBSTITUTE(SUBSTITUTE(D152," ","-"),"/","-"),".",""),",","")),"")</f>
        <v/>
      </c>
      <c r="D152" s="23" t="inlineStr">
        <is>
          <t>BOD 11 E18.C.A.L</t>
        </is>
      </c>
      <c r="E152" s="23" t="inlineStr">
        <is>
          <t>Bombas Hidráulicas</t>
        </is>
      </c>
      <c r="F152" s="23" t="inlineStr">
        <is>
          <t>SOHIPREN</t>
        </is>
      </c>
      <c r="G152" s="23" t="n"/>
      <c r="H152" s="23" t="inlineStr">
        <is>
          <t>draft</t>
        </is>
      </c>
      <c r="I152" s="23" t="inlineStr">
        <is>
          <t>BOSCH REXROTH</t>
        </is>
      </c>
      <c r="J152" s="23" t="n"/>
      <c r="K152" s="23" t="inlineStr">
        <is>
          <t>PRINCIPAL</t>
        </is>
      </c>
      <c r="L152" s="23" t="inlineStr">
        <is>
          <t>510525072</t>
        </is>
      </c>
      <c r="M152" s="31" t="n"/>
      <c r="N152" s="31" t="n"/>
      <c r="O152" s="31" t="n"/>
      <c r="P152" s="31" t="n"/>
      <c r="Q152" s="31" t="n"/>
      <c r="R152" s="34">
        <f>IFERROR(IF(AND(O152&gt;0,P152&gt;0,Q152&gt;0),(O152*P152*Q152)/6000,""),"")</f>
        <v/>
      </c>
      <c r="S152" s="34">
        <f>IFERROR(IF(AND(N152&gt;0,R152&gt;0),MAX(N152,R152),IF(N152&gt;0,N152,IF(R152&gt;0,R152,""))),"")</f>
        <v/>
      </c>
      <c r="T152" s="36" t="n"/>
      <c r="U152" s="38" t="inlineStr">
        <is>
          <t>FALTA</t>
        </is>
      </c>
      <c r="V152" s="36" t="n">
        <v>665</v>
      </c>
      <c r="W152" s="39" t="n">
        <v>0.3</v>
      </c>
      <c r="X152" s="41">
        <f>IFERROR(V152+T152,"")</f>
        <v/>
      </c>
      <c r="Y152" s="41">
        <f>IFERROR(IF(W152&lt;1,X152/(1-W152),""),"")</f>
        <v/>
      </c>
      <c r="Z152" s="43">
        <f>'01_CONFIG_GLOBAL'!$C$14</f>
        <v/>
      </c>
      <c r="AA152" s="41">
        <f>IFERROR(Y152*Z152,"")</f>
        <v/>
      </c>
      <c r="AB152" s="41">
        <f>IFERROR(IF(Z152&lt;1,Y152/(1-Z152),""),"")</f>
        <v/>
      </c>
      <c r="AC152" s="23" t="n"/>
      <c r="AD152" s="36" t="n"/>
      <c r="AE152" s="23" t="n"/>
      <c r="AF152" s="36" t="n"/>
      <c r="AG152" s="23" t="n"/>
      <c r="AH152" s="36" t="n"/>
      <c r="AI152" s="41">
        <f>IFERROR(AVERAGE(AD152,AF152,AH152),"")</f>
        <v/>
      </c>
      <c r="AJ152" s="29">
        <f>IFERROR(IF(AI152="","sem dados",IF(AB152&lt;AI152*0.95,"abaixo",IF(AB152&gt;AI152*1.05,"acima","em linha"))),"")</f>
        <v/>
      </c>
      <c r="AK152" s="23" t="inlineStr">
        <is>
          <t>não</t>
        </is>
      </c>
      <c r="AL152" s="23" t="n"/>
      <c r="AM152" s="23" t="n"/>
      <c r="AN152" s="23" t="n"/>
      <c r="AO152" s="44">
        <f>A152</f>
        <v/>
      </c>
      <c r="AP152" s="44">
        <f>D152</f>
        <v/>
      </c>
    </row>
    <row r="153" hidden="1" ht="15.75" customHeight="1" s="93">
      <c r="A153" s="23" t="inlineStr">
        <is>
          <t>5.5208.L011040.0</t>
        </is>
      </c>
      <c r="B153" s="23" t="inlineStr">
        <is>
          <t>L01104</t>
        </is>
      </c>
      <c r="C153" s="29">
        <f>IFERROR(LOWER(SUBSTITUTE(SUBSTITUTE(SUBSTITUTE(SUBSTITUTE(D153," ","-"),"/","-"),".",""),",","")),"")</f>
        <v/>
      </c>
      <c r="D153" s="23" t="inlineStr">
        <is>
          <t>MRBO 16 C11.C.C21.L1</t>
        </is>
      </c>
      <c r="E153" s="23" t="n"/>
      <c r="F153" s="23" t="inlineStr">
        <is>
          <t>SOHIPREN</t>
        </is>
      </c>
      <c r="G153" s="23" t="n"/>
      <c r="H153" s="23" t="inlineStr">
        <is>
          <t>draft</t>
        </is>
      </c>
      <c r="I153" s="23" t="inlineStr">
        <is>
          <t>BOSCH REXROTH</t>
        </is>
      </c>
      <c r="J153" s="23" t="n"/>
      <c r="K153" s="23" t="inlineStr">
        <is>
          <t>MOTOR HIDRÁULICO</t>
        </is>
      </c>
      <c r="L153" s="23" t="inlineStr">
        <is>
          <t>F000510641</t>
        </is>
      </c>
      <c r="M153" s="31" t="n"/>
      <c r="N153" s="31" t="n"/>
      <c r="O153" s="31" t="n"/>
      <c r="P153" s="31" t="n"/>
      <c r="Q153" s="31" t="n"/>
      <c r="R153" s="34">
        <f>IFERROR(IF(AND(O153&gt;0,P153&gt;0,Q153&gt;0),(O153*P153*Q153)/6000,""),"")</f>
        <v/>
      </c>
      <c r="S153" s="34">
        <f>IFERROR(IF(AND(N153&gt;0,R153&gt;0),MAX(N153,R153),IF(N153&gt;0,N153,IF(R153&gt;0,R153,""))),"")</f>
        <v/>
      </c>
      <c r="T153" s="36" t="n"/>
      <c r="U153" s="38" t="inlineStr">
        <is>
          <t>FALTA</t>
        </is>
      </c>
      <c r="V153" s="36" t="n">
        <v>645</v>
      </c>
      <c r="W153" s="39" t="n">
        <v>0.3</v>
      </c>
      <c r="X153" s="41">
        <f>IFERROR(V153+T153,"")</f>
        <v/>
      </c>
      <c r="Y153" s="41">
        <f>IFERROR(IF(W153&lt;1,X153/(1-W153),""),"")</f>
        <v/>
      </c>
      <c r="Z153" s="43">
        <f>'01_CONFIG_GLOBAL'!$C$14</f>
        <v/>
      </c>
      <c r="AA153" s="41">
        <f>IFERROR(Y153*Z153,"")</f>
        <v/>
      </c>
      <c r="AB153" s="41">
        <f>IFERROR(IF(Z153&lt;1,Y153/(1-Z153),""),"")</f>
        <v/>
      </c>
      <c r="AC153" s="23" t="n"/>
      <c r="AD153" s="36" t="n"/>
      <c r="AE153" s="23" t="n"/>
      <c r="AF153" s="36" t="n"/>
      <c r="AG153" s="23" t="n"/>
      <c r="AH153" s="36" t="n"/>
      <c r="AI153" s="41">
        <f>IFERROR(AVERAGE(AD153,AF153,AH153),"")</f>
        <v/>
      </c>
      <c r="AJ153" s="29">
        <f>IFERROR(IF(AI153="","sem dados",IF(AB153&lt;AI153*0.95,"abaixo",IF(AB153&gt;AI153*1.05,"acima","em linha"))),"")</f>
        <v/>
      </c>
      <c r="AK153" s="23" t="inlineStr">
        <is>
          <t>não</t>
        </is>
      </c>
      <c r="AL153" s="23" t="n"/>
      <c r="AM153" s="23" t="n"/>
      <c r="AN153" s="23" t="n"/>
      <c r="AO153" s="44">
        <f>A153</f>
        <v/>
      </c>
      <c r="AP153" s="44">
        <f>D153</f>
        <v/>
      </c>
    </row>
    <row r="154" hidden="1" ht="15.75" customHeight="1" s="93">
      <c r="A154" s="23" t="inlineStr">
        <is>
          <t>5.0205.0542461.0</t>
        </is>
      </c>
      <c r="B154" s="23" t="inlineStr">
        <is>
          <t>542461</t>
        </is>
      </c>
      <c r="C154" s="29">
        <f>IFERROR(LOWER(SUBSTITUTE(SUBSTITUTE(SUBSTITUTE(SUBSTITUTE(D154," ","-"),"/","-"),".",""),",","")),"")</f>
        <v/>
      </c>
      <c r="D154" s="23" t="inlineStr">
        <is>
          <t>BOD 8 C11.P1.C27.L</t>
        </is>
      </c>
      <c r="E154" s="23" t="inlineStr">
        <is>
          <t>Bombas Hidráulicas</t>
        </is>
      </c>
      <c r="F154" s="23" t="inlineStr">
        <is>
          <t>SOHIPREN</t>
        </is>
      </c>
      <c r="G154" s="23" t="n"/>
      <c r="H154" s="23" t="inlineStr">
        <is>
          <t>draft</t>
        </is>
      </c>
      <c r="I154" s="23" t="inlineStr">
        <is>
          <t>BOSCH REXROTH</t>
        </is>
      </c>
      <c r="J154" s="23" t="n"/>
      <c r="K154" s="23" t="n"/>
      <c r="L154" s="23" t="inlineStr">
        <is>
          <t>F000510407</t>
        </is>
      </c>
      <c r="M154" s="31" t="n"/>
      <c r="N154" s="31" t="n"/>
      <c r="O154" s="31" t="n"/>
      <c r="P154" s="31" t="n"/>
      <c r="Q154" s="31" t="n"/>
      <c r="R154" s="34">
        <f>IFERROR(IF(AND(O154&gt;0,P154&gt;0,Q154&gt;0),(O154*P154*Q154)/6000,""),"")</f>
        <v/>
      </c>
      <c r="S154" s="34">
        <f>IFERROR(IF(AND(N154&gt;0,R154&gt;0),MAX(N154,R154),IF(N154&gt;0,N154,IF(R154&gt;0,R154,""))),"")</f>
        <v/>
      </c>
      <c r="T154" s="36" t="n"/>
      <c r="U154" s="38" t="inlineStr">
        <is>
          <t>FALTA</t>
        </is>
      </c>
      <c r="V154" s="36" t="n">
        <v>517</v>
      </c>
      <c r="W154" s="39" t="n">
        <v>0.3</v>
      </c>
      <c r="X154" s="41">
        <f>IFERROR(V154+T154,"")</f>
        <v/>
      </c>
      <c r="Y154" s="41">
        <f>IFERROR(IF(W154&lt;1,X154/(1-W154),""),"")</f>
        <v/>
      </c>
      <c r="Z154" s="43">
        <f>'01_CONFIG_GLOBAL'!$C$14</f>
        <v/>
      </c>
      <c r="AA154" s="41">
        <f>IFERROR(Y154*Z154,"")</f>
        <v/>
      </c>
      <c r="AB154" s="41">
        <f>IFERROR(IF(Z154&lt;1,Y154/(1-Z154),""),"")</f>
        <v/>
      </c>
      <c r="AC154" s="23" t="n"/>
      <c r="AD154" s="36" t="n"/>
      <c r="AE154" s="23" t="n"/>
      <c r="AF154" s="36" t="n"/>
      <c r="AG154" s="23" t="n"/>
      <c r="AH154" s="36" t="n"/>
      <c r="AI154" s="41">
        <f>IFERROR(AVERAGE(AD154,AF154,AH154),"")</f>
        <v/>
      </c>
      <c r="AJ154" s="29">
        <f>IFERROR(IF(AI154="","sem dados",IF(AB154&lt;AI154*0.95,"abaixo",IF(AB154&gt;AI154*1.05,"acima","em linha"))),"")</f>
        <v/>
      </c>
      <c r="AK154" s="23" t="inlineStr">
        <is>
          <t>não</t>
        </is>
      </c>
      <c r="AL154" s="23" t="n"/>
      <c r="AM154" s="23" t="n"/>
      <c r="AN154" s="23" t="n"/>
      <c r="AO154" s="44">
        <f>A154</f>
        <v/>
      </c>
      <c r="AP154" s="44">
        <f>D154</f>
        <v/>
      </c>
    </row>
    <row r="155" hidden="1" ht="15.75" customHeight="1" s="93">
      <c r="A155" s="23" t="inlineStr">
        <is>
          <t>5.0505.0504070.0</t>
        </is>
      </c>
      <c r="B155" s="23" t="inlineStr">
        <is>
          <t>504070</t>
        </is>
      </c>
      <c r="C155" s="29">
        <f>IFERROR(LOWER(SUBSTITUTE(SUBSTITUTE(SUBSTITUTE(SUBSTITUTE(D155," ","-"),"/","-"),".",""),",","")),"")</f>
        <v/>
      </c>
      <c r="D155" s="23" t="inlineStr">
        <is>
          <t>MC1 50 201.2.37.86.63</t>
        </is>
      </c>
      <c r="E155" s="23" t="n"/>
      <c r="F155" s="23" t="inlineStr">
        <is>
          <t>SOHIPREN</t>
        </is>
      </c>
      <c r="G155" s="23" t="n"/>
      <c r="H155" s="23" t="inlineStr">
        <is>
          <t>draft</t>
        </is>
      </c>
      <c r="I155" s="23" t="inlineStr">
        <is>
          <t>BOZZA</t>
        </is>
      </c>
      <c r="J155" s="23" t="inlineStr">
        <is>
          <t>CAMINHÃO COMBOMBA HIDRÁULICA - APLICAÇÃOO</t>
        </is>
      </c>
      <c r="K155" s="23" t="inlineStr">
        <is>
          <t>PRINCIPAL</t>
        </is>
      </c>
      <c r="L155" s="23" t="inlineStr">
        <is>
          <t>219230061</t>
        </is>
      </c>
      <c r="M155" s="31" t="n"/>
      <c r="N155" s="31" t="n"/>
      <c r="O155" s="31" t="n"/>
      <c r="P155" s="31" t="n"/>
      <c r="Q155" s="31" t="n"/>
      <c r="R155" s="34">
        <f>IFERROR(IF(AND(O155&gt;0,P155&gt;0,Q155&gt;0),(O155*P155*Q155)/6000,""),"")</f>
        <v/>
      </c>
      <c r="S155" s="34">
        <f>IFERROR(IF(AND(N155&gt;0,R155&gt;0),MAX(N155,R155),IF(N155&gt;0,N155,IF(R155&gt;0,R155,""))),"")</f>
        <v/>
      </c>
      <c r="T155" s="36" t="n"/>
      <c r="U155" s="38" t="inlineStr">
        <is>
          <t>FALTA</t>
        </is>
      </c>
      <c r="V155" s="36" t="n">
        <v>874.47</v>
      </c>
      <c r="W155" s="39" t="n">
        <v>0.3</v>
      </c>
      <c r="X155" s="41">
        <f>IFERROR(V155+T155,"")</f>
        <v/>
      </c>
      <c r="Y155" s="41">
        <f>IFERROR(IF(W155&lt;1,X155/(1-W155),""),"")</f>
        <v/>
      </c>
      <c r="Z155" s="43">
        <f>'01_CONFIG_GLOBAL'!$C$14</f>
        <v/>
      </c>
      <c r="AA155" s="41">
        <f>IFERROR(Y155*Z155,"")</f>
        <v/>
      </c>
      <c r="AB155" s="41">
        <f>IFERROR(IF(Z155&lt;1,Y155/(1-Z155),""),"")</f>
        <v/>
      </c>
      <c r="AC155" s="23" t="n"/>
      <c r="AD155" s="36" t="n"/>
      <c r="AE155" s="23" t="n"/>
      <c r="AF155" s="36" t="n"/>
      <c r="AG155" s="23" t="n"/>
      <c r="AH155" s="36" t="n"/>
      <c r="AI155" s="41">
        <f>IFERROR(AVERAGE(AD155,AF155,AH155),"")</f>
        <v/>
      </c>
      <c r="AJ155" s="29">
        <f>IFERROR(IF(AI155="","sem dados",IF(AB155&lt;AI155*0.95,"abaixo",IF(AB155&gt;AI155*1.05,"acima","em linha"))),"")</f>
        <v/>
      </c>
      <c r="AK155" s="23" t="inlineStr">
        <is>
          <t>não</t>
        </is>
      </c>
      <c r="AL155" s="23" t="n"/>
      <c r="AM155" s="23" t="n"/>
      <c r="AN155" s="23" t="n"/>
      <c r="AO155" s="44">
        <f>A155</f>
        <v/>
      </c>
      <c r="AP155" s="44">
        <f>D155</f>
        <v/>
      </c>
    </row>
    <row r="156" hidden="1" ht="15.75" customHeight="1" s="93">
      <c r="A156" s="23" t="inlineStr">
        <is>
          <t>5.0504.0503081.0</t>
        </is>
      </c>
      <c r="B156" s="23" t="inlineStr">
        <is>
          <t>503081</t>
        </is>
      </c>
      <c r="C156" s="29">
        <f>IFERROR(LOWER(SUBSTITUTE(SUBSTITUTE(SUBSTITUTE(SUBSTITUTE(D156," ","-"),"/","-"),".",""),",","")),"")</f>
        <v/>
      </c>
      <c r="D156" s="23" t="inlineStr">
        <is>
          <t>MC1 40 201.1.21.86.63</t>
        </is>
      </c>
      <c r="E156" s="23" t="n"/>
      <c r="F156" s="23" t="inlineStr">
        <is>
          <t>SOHIPREN</t>
        </is>
      </c>
      <c r="G156" s="23" t="n"/>
      <c r="H156" s="23" t="inlineStr">
        <is>
          <t>draft</t>
        </is>
      </c>
      <c r="I156" s="23" t="inlineStr">
        <is>
          <t>BOZZA</t>
        </is>
      </c>
      <c r="J156" s="23" t="inlineStr">
        <is>
          <t>CAMINHÃO COMBOMBA HIDRÁULICA - APLICAÇÃOO</t>
        </is>
      </c>
      <c r="K156" s="23" t="inlineStr">
        <is>
          <t>PRINCIPAL</t>
        </is>
      </c>
      <c r="L156" s="23" t="inlineStr">
        <is>
          <t>219230055</t>
        </is>
      </c>
      <c r="M156" s="31" t="n"/>
      <c r="N156" s="31" t="n"/>
      <c r="O156" s="31" t="n"/>
      <c r="P156" s="31" t="n"/>
      <c r="Q156" s="31" t="n"/>
      <c r="R156" s="34">
        <f>IFERROR(IF(AND(O156&gt;0,P156&gt;0,Q156&gt;0),(O156*P156*Q156)/6000,""),"")</f>
        <v/>
      </c>
      <c r="S156" s="34">
        <f>IFERROR(IF(AND(N156&gt;0,R156&gt;0),MAX(N156,R156),IF(N156&gt;0,N156,IF(R156&gt;0,R156,""))),"")</f>
        <v/>
      </c>
      <c r="T156" s="36" t="n"/>
      <c r="U156" s="38" t="inlineStr">
        <is>
          <t>FALTA</t>
        </is>
      </c>
      <c r="V156" s="36" t="n">
        <v>800.8</v>
      </c>
      <c r="W156" s="39" t="n">
        <v>0.3</v>
      </c>
      <c r="X156" s="41">
        <f>IFERROR(V156+T156,"")</f>
        <v/>
      </c>
      <c r="Y156" s="41">
        <f>IFERROR(IF(W156&lt;1,X156/(1-W156),""),"")</f>
        <v/>
      </c>
      <c r="Z156" s="43">
        <f>'01_CONFIG_GLOBAL'!$C$14</f>
        <v/>
      </c>
      <c r="AA156" s="41">
        <f>IFERROR(Y156*Z156,"")</f>
        <v/>
      </c>
      <c r="AB156" s="41">
        <f>IFERROR(IF(Z156&lt;1,Y156/(1-Z156),""),"")</f>
        <v/>
      </c>
      <c r="AC156" s="23" t="n"/>
      <c r="AD156" s="36" t="n"/>
      <c r="AE156" s="23" t="n"/>
      <c r="AF156" s="36" t="n"/>
      <c r="AG156" s="23" t="n"/>
      <c r="AH156" s="36" t="n"/>
      <c r="AI156" s="41">
        <f>IFERROR(AVERAGE(AD156,AF156,AH156),"")</f>
        <v/>
      </c>
      <c r="AJ156" s="29">
        <f>IFERROR(IF(AI156="","sem dados",IF(AB156&lt;AI156*0.95,"abaixo",IF(AB156&gt;AI156*1.05,"acima","em linha"))),"")</f>
        <v/>
      </c>
      <c r="AK156" s="23" t="inlineStr">
        <is>
          <t>não</t>
        </is>
      </c>
      <c r="AL156" s="23" t="n"/>
      <c r="AM156" s="23" t="n"/>
      <c r="AN156" s="23" t="n"/>
      <c r="AO156" s="44">
        <f>A156</f>
        <v/>
      </c>
      <c r="AP156" s="44">
        <f>D156</f>
        <v/>
      </c>
    </row>
    <row r="157" hidden="1" ht="15.75" customHeight="1" s="93">
      <c r="A157" s="23" t="inlineStr">
        <is>
          <t>5.0504.0503089.0</t>
        </is>
      </c>
      <c r="B157" s="23" t="inlineStr">
        <is>
          <t>503089</t>
        </is>
      </c>
      <c r="C157" s="29">
        <f>IFERROR(LOWER(SUBSTITUTE(SUBSTITUTE(SUBSTITUTE(SUBSTITUTE(D157," ","-"),"/","-"),".",""),",","")),"")</f>
        <v/>
      </c>
      <c r="D157" s="23" t="inlineStr">
        <is>
          <t>MC1 40 201.1.32.86.63</t>
        </is>
      </c>
      <c r="E157" s="23" t="n"/>
      <c r="F157" s="23" t="inlineStr">
        <is>
          <t>SOHIPREN</t>
        </is>
      </c>
      <c r="G157" s="23" t="n"/>
      <c r="H157" s="23" t="inlineStr">
        <is>
          <t>draft</t>
        </is>
      </c>
      <c r="I157" s="23" t="inlineStr">
        <is>
          <t>BOZZA</t>
        </is>
      </c>
      <c r="J157" s="23" t="inlineStr">
        <is>
          <t>CAMINHÃO COMBOMBA HIDRÁULICA - APLICAÇÃOO</t>
        </is>
      </c>
      <c r="K157" s="23" t="inlineStr">
        <is>
          <t>PRINCIPAL</t>
        </is>
      </c>
      <c r="L157" s="23" t="n"/>
      <c r="M157" s="31" t="n"/>
      <c r="N157" s="31" t="n"/>
      <c r="O157" s="31" t="n"/>
      <c r="P157" s="31" t="n"/>
      <c r="Q157" s="31" t="n"/>
      <c r="R157" s="34">
        <f>IFERROR(IF(AND(O157&gt;0,P157&gt;0,Q157&gt;0),(O157*P157*Q157)/6000,""),"")</f>
        <v/>
      </c>
      <c r="S157" s="34">
        <f>IFERROR(IF(AND(N157&gt;0,R157&gt;0),MAX(N157,R157),IF(N157&gt;0,N157,IF(R157&gt;0,R157,""))),"")</f>
        <v/>
      </c>
      <c r="T157" s="36" t="n"/>
      <c r="U157" s="38" t="inlineStr">
        <is>
          <t>FALTA</t>
        </is>
      </c>
      <c r="V157" s="36" t="n">
        <v>808.5</v>
      </c>
      <c r="W157" s="39" t="n">
        <v>0.3</v>
      </c>
      <c r="X157" s="41">
        <f>IFERROR(V157+T157,"")</f>
        <v/>
      </c>
      <c r="Y157" s="41">
        <f>IFERROR(IF(W157&lt;1,X157/(1-W157),""),"")</f>
        <v/>
      </c>
      <c r="Z157" s="43">
        <f>'01_CONFIG_GLOBAL'!$C$14</f>
        <v/>
      </c>
      <c r="AA157" s="41">
        <f>IFERROR(Y157*Z157,"")</f>
        <v/>
      </c>
      <c r="AB157" s="41">
        <f>IFERROR(IF(Z157&lt;1,Y157/(1-Z157),""),"")</f>
        <v/>
      </c>
      <c r="AC157" s="23" t="n"/>
      <c r="AD157" s="36" t="n"/>
      <c r="AE157" s="23" t="n"/>
      <c r="AF157" s="36" t="n"/>
      <c r="AG157" s="23" t="n"/>
      <c r="AH157" s="36" t="n"/>
      <c r="AI157" s="41">
        <f>IFERROR(AVERAGE(AD157,AF157,AH157),"")</f>
        <v/>
      </c>
      <c r="AJ157" s="29">
        <f>IFERROR(IF(AI157="","sem dados",IF(AB157&lt;AI157*0.95,"abaixo",IF(AB157&gt;AI157*1.05,"acima","em linha"))),"")</f>
        <v/>
      </c>
      <c r="AK157" s="23" t="inlineStr">
        <is>
          <t>não</t>
        </is>
      </c>
      <c r="AL157" s="23" t="n"/>
      <c r="AM157" s="23" t="n"/>
      <c r="AN157" s="23" t="n"/>
      <c r="AO157" s="44">
        <f>A157</f>
        <v/>
      </c>
      <c r="AP157" s="44">
        <f>D157</f>
        <v/>
      </c>
    </row>
    <row r="158" hidden="1" ht="15.75" customHeight="1" s="93">
      <c r="A158" s="23" t="inlineStr">
        <is>
          <t>5.0504.0503090.0</t>
        </is>
      </c>
      <c r="B158" s="23" t="inlineStr">
        <is>
          <t>503090</t>
        </is>
      </c>
      <c r="C158" s="29">
        <f>IFERROR(LOWER(SUBSTITUTE(SUBSTITUTE(SUBSTITUTE(SUBSTITUTE(D158," ","-"),"/","-"),".",""),",","")),"")</f>
        <v/>
      </c>
      <c r="D158" s="23" t="inlineStr">
        <is>
          <t>MC1 40 201.2.32.86.63</t>
        </is>
      </c>
      <c r="E158" s="23" t="n"/>
      <c r="F158" s="23" t="inlineStr">
        <is>
          <t>SOHIPREN</t>
        </is>
      </c>
      <c r="G158" s="23" t="n"/>
      <c r="H158" s="23" t="inlineStr">
        <is>
          <t>draft</t>
        </is>
      </c>
      <c r="I158" s="23" t="inlineStr">
        <is>
          <t>BOZZA</t>
        </is>
      </c>
      <c r="J158" s="23" t="inlineStr">
        <is>
          <t>CAMINHÃO COMBOMBA HIDRÁULICA - APLICAÇÃOO</t>
        </is>
      </c>
      <c r="K158" s="23" t="inlineStr">
        <is>
          <t>PRINCIPAL</t>
        </is>
      </c>
      <c r="L158" s="23" t="inlineStr">
        <is>
          <t>219230107</t>
        </is>
      </c>
      <c r="M158" s="31" t="n"/>
      <c r="N158" s="31" t="n"/>
      <c r="O158" s="31" t="n"/>
      <c r="P158" s="31" t="n"/>
      <c r="Q158" s="31" t="n"/>
      <c r="R158" s="34">
        <f>IFERROR(IF(AND(O158&gt;0,P158&gt;0,Q158&gt;0),(O158*P158*Q158)/6000,""),"")</f>
        <v/>
      </c>
      <c r="S158" s="34">
        <f>IFERROR(IF(AND(N158&gt;0,R158&gt;0),MAX(N158,R158),IF(N158&gt;0,N158,IF(R158&gt;0,R158,""))),"")</f>
        <v/>
      </c>
      <c r="T158" s="36" t="n"/>
      <c r="U158" s="38" t="inlineStr">
        <is>
          <t>FALTA</t>
        </is>
      </c>
      <c r="V158" s="36" t="n">
        <v>805.35</v>
      </c>
      <c r="W158" s="39" t="n">
        <v>0.3</v>
      </c>
      <c r="X158" s="41">
        <f>IFERROR(V158+T158,"")</f>
        <v/>
      </c>
      <c r="Y158" s="41">
        <f>IFERROR(IF(W158&lt;1,X158/(1-W158),""),"")</f>
        <v/>
      </c>
      <c r="Z158" s="43">
        <f>'01_CONFIG_GLOBAL'!$C$14</f>
        <v/>
      </c>
      <c r="AA158" s="41">
        <f>IFERROR(Y158*Z158,"")</f>
        <v/>
      </c>
      <c r="AB158" s="41">
        <f>IFERROR(IF(Z158&lt;1,Y158/(1-Z158),""),"")</f>
        <v/>
      </c>
      <c r="AC158" s="23" t="n"/>
      <c r="AD158" s="36" t="n"/>
      <c r="AE158" s="23" t="n"/>
      <c r="AF158" s="36" t="n"/>
      <c r="AG158" s="23" t="n"/>
      <c r="AH158" s="36" t="n"/>
      <c r="AI158" s="41">
        <f>IFERROR(AVERAGE(AD158,AF158,AH158),"")</f>
        <v/>
      </c>
      <c r="AJ158" s="29">
        <f>IFERROR(IF(AI158="","sem dados",IF(AB158&lt;AI158*0.95,"abaixo",IF(AB158&gt;AI158*1.05,"acima","em linha"))),"")</f>
        <v/>
      </c>
      <c r="AK158" s="23" t="inlineStr">
        <is>
          <t>não</t>
        </is>
      </c>
      <c r="AL158" s="23" t="n"/>
      <c r="AM158" s="23" t="n"/>
      <c r="AN158" s="23" t="n"/>
      <c r="AO158" s="44">
        <f>A158</f>
        <v/>
      </c>
      <c r="AP158" s="44">
        <f>D158</f>
        <v/>
      </c>
    </row>
    <row r="159" hidden="1" ht="15.75" customHeight="1" s="93">
      <c r="A159" s="23" t="inlineStr">
        <is>
          <t>5.1309.0565081.0</t>
        </is>
      </c>
      <c r="B159" s="23" t="inlineStr">
        <is>
          <t>565081</t>
        </is>
      </c>
      <c r="C159" s="29">
        <f>IFERROR(LOWER(SUBSTITUTE(SUBSTITUTE(SUBSTITUTE(SUBSTITUTE(D159," ","-"),"/","-"),".",""),",","")),"")</f>
        <v/>
      </c>
      <c r="D159" s="23" t="inlineStr">
        <is>
          <t>BOMBA DE APLICAÇÃO BUDNY A-002 (1009436) GIRO I (PROTOTIPO)</t>
        </is>
      </c>
      <c r="E159" s="23" t="inlineStr">
        <is>
          <t>Bombas Hidráulicas</t>
        </is>
      </c>
      <c r="F159" s="23" t="inlineStr">
        <is>
          <t>SOHIPREN</t>
        </is>
      </c>
      <c r="G159" s="23" t="n"/>
      <c r="H159" s="23" t="inlineStr">
        <is>
          <t>draft</t>
        </is>
      </c>
      <c r="I159" s="23" t="inlineStr">
        <is>
          <t>BUDNY</t>
        </is>
      </c>
      <c r="J159" s="23" t="inlineStr">
        <is>
          <t>TRATOR</t>
        </is>
      </c>
      <c r="K159" s="23" t="inlineStr">
        <is>
          <t>PRINCIPAL E DUREÇÃO</t>
        </is>
      </c>
      <c r="L159" s="23" t="inlineStr">
        <is>
          <t>1009436</t>
        </is>
      </c>
      <c r="M159" s="31" t="n"/>
      <c r="N159" s="31" t="n"/>
      <c r="O159" s="31" t="n"/>
      <c r="P159" s="31" t="n"/>
      <c r="Q159" s="31" t="n"/>
      <c r="R159" s="34">
        <f>IFERROR(IF(AND(O159&gt;0,P159&gt;0,Q159&gt;0),(O159*P159*Q159)/6000,""),"")</f>
        <v/>
      </c>
      <c r="S159" s="34">
        <f>IFERROR(IF(AND(N159&gt;0,R159&gt;0),MAX(N159,R159),IF(N159&gt;0,N159,IF(R159&gt;0,R159,""))),"")</f>
        <v/>
      </c>
      <c r="T159" s="36" t="n"/>
      <c r="U159" s="38" t="inlineStr">
        <is>
          <t>FALTA</t>
        </is>
      </c>
      <c r="V159" s="36" t="n">
        <v>1206.7</v>
      </c>
      <c r="W159" s="39" t="n">
        <v>0.3</v>
      </c>
      <c r="X159" s="41">
        <f>IFERROR(V159+T159,"")</f>
        <v/>
      </c>
      <c r="Y159" s="41">
        <f>IFERROR(IF(W159&lt;1,X159/(1-W159),""),"")</f>
        <v/>
      </c>
      <c r="Z159" s="43">
        <f>'01_CONFIG_GLOBAL'!$C$14</f>
        <v/>
      </c>
      <c r="AA159" s="41">
        <f>IFERROR(Y159*Z159,"")</f>
        <v/>
      </c>
      <c r="AB159" s="41">
        <f>IFERROR(IF(Z159&lt;1,Y159/(1-Z159),""),"")</f>
        <v/>
      </c>
      <c r="AC159" s="23" t="n"/>
      <c r="AD159" s="36" t="n"/>
      <c r="AE159" s="23" t="n"/>
      <c r="AF159" s="36" t="n"/>
      <c r="AG159" s="23" t="n"/>
      <c r="AH159" s="36" t="n"/>
      <c r="AI159" s="41">
        <f>IFERROR(AVERAGE(AD159,AF159,AH159),"")</f>
        <v/>
      </c>
      <c r="AJ159" s="29">
        <f>IFERROR(IF(AI159="","sem dados",IF(AB159&lt;AI159*0.95,"abaixo",IF(AB159&gt;AI159*1.05,"acima","em linha"))),"")</f>
        <v/>
      </c>
      <c r="AK159" s="23" t="inlineStr">
        <is>
          <t>não</t>
        </is>
      </c>
      <c r="AL159" s="23" t="n"/>
      <c r="AM159" s="23" t="n"/>
      <c r="AN159" s="23" t="n"/>
      <c r="AO159" s="44">
        <f>A159</f>
        <v/>
      </c>
      <c r="AP159" s="44">
        <f>D159</f>
        <v/>
      </c>
    </row>
    <row r="160" hidden="1" ht="15.75" customHeight="1" s="93">
      <c r="A160" s="23" t="inlineStr">
        <is>
          <t>5.1309.0565093.0</t>
        </is>
      </c>
      <c r="B160" s="23" t="inlineStr">
        <is>
          <t>565093</t>
        </is>
      </c>
      <c r="C160" s="29">
        <f>IFERROR(LOWER(SUBSTITUTE(SUBSTITUTE(SUBSTITUTE(SUBSTITUTE(D160," ","-"),"/","-"),".",""),",","")),"")</f>
        <v/>
      </c>
      <c r="D160" s="23" t="inlineStr">
        <is>
          <t>BOMBA HIDRÁULICA - APLICAÇÃO BUDNY A-004</t>
        </is>
      </c>
      <c r="E160" s="23" t="inlineStr">
        <is>
          <t>Bombas Hidráulicas</t>
        </is>
      </c>
      <c r="F160" s="23" t="inlineStr">
        <is>
          <t>SOHIPREN</t>
        </is>
      </c>
      <c r="G160" s="23" t="n"/>
      <c r="H160" s="23" t="inlineStr">
        <is>
          <t>draft</t>
        </is>
      </c>
      <c r="I160" s="23" t="inlineStr">
        <is>
          <t>BUDNY TRATORES</t>
        </is>
      </c>
      <c r="J160" s="23" t="inlineStr">
        <is>
          <t>TRATOR</t>
        </is>
      </c>
      <c r="K160" s="23" t="inlineStr">
        <is>
          <t>PRINCIPAL</t>
        </is>
      </c>
      <c r="L160" s="23" t="inlineStr">
        <is>
          <t>1015016</t>
        </is>
      </c>
      <c r="M160" s="31" t="n"/>
      <c r="N160" s="31" t="n"/>
      <c r="O160" s="31" t="n"/>
      <c r="P160" s="31" t="n"/>
      <c r="Q160" s="31" t="n"/>
      <c r="R160" s="34">
        <f>IFERROR(IF(AND(O160&gt;0,P160&gt;0,Q160&gt;0),(O160*P160*Q160)/6000,""),"")</f>
        <v/>
      </c>
      <c r="S160" s="34">
        <f>IFERROR(IF(AND(N160&gt;0,R160&gt;0),MAX(N160,R160),IF(N160&gt;0,N160,IF(R160&gt;0,R160,""))),"")</f>
        <v/>
      </c>
      <c r="T160" s="36" t="n"/>
      <c r="U160" s="38" t="inlineStr">
        <is>
          <t>FALTA</t>
        </is>
      </c>
      <c r="V160" s="36" t="n">
        <v>925</v>
      </c>
      <c r="W160" s="39" t="n">
        <v>0.3</v>
      </c>
      <c r="X160" s="41">
        <f>IFERROR(V160+T160,"")</f>
        <v/>
      </c>
      <c r="Y160" s="41">
        <f>IFERROR(IF(W160&lt;1,X160/(1-W160),""),"")</f>
        <v/>
      </c>
      <c r="Z160" s="43">
        <f>'01_CONFIG_GLOBAL'!$C$14</f>
        <v/>
      </c>
      <c r="AA160" s="41">
        <f>IFERROR(Y160*Z160,"")</f>
        <v/>
      </c>
      <c r="AB160" s="41">
        <f>IFERROR(IF(Z160&lt;1,Y160/(1-Z160),""),"")</f>
        <v/>
      </c>
      <c r="AC160" s="23" t="n"/>
      <c r="AD160" s="36" t="n"/>
      <c r="AE160" s="23" t="n"/>
      <c r="AF160" s="36" t="n"/>
      <c r="AG160" s="23" t="n"/>
      <c r="AH160" s="36" t="n"/>
      <c r="AI160" s="41">
        <f>IFERROR(AVERAGE(AD160,AF160,AH160),"")</f>
        <v/>
      </c>
      <c r="AJ160" s="29">
        <f>IFERROR(IF(AI160="","sem dados",IF(AB160&lt;AI160*0.95,"abaixo",IF(AB160&gt;AI160*1.05,"acima","em linha"))),"")</f>
        <v/>
      </c>
      <c r="AK160" s="23" t="inlineStr">
        <is>
          <t>não</t>
        </is>
      </c>
      <c r="AL160" s="23" t="n"/>
      <c r="AM160" s="23" t="n"/>
      <c r="AN160" s="23" t="n"/>
      <c r="AO160" s="44">
        <f>A160</f>
        <v/>
      </c>
      <c r="AP160" s="44">
        <f>D160</f>
        <v/>
      </c>
    </row>
    <row r="161" hidden="1" ht="15.75" customHeight="1" s="93">
      <c r="A161" s="23" t="inlineStr">
        <is>
          <t>5.1309.0565092.0</t>
        </is>
      </c>
      <c r="B161" s="23" t="inlineStr">
        <is>
          <t>565092</t>
        </is>
      </c>
      <c r="C161" s="29">
        <f>IFERROR(LOWER(SUBSTITUTE(SUBSTITUTE(SUBSTITUTE(SUBSTITUTE(D161," ","-"),"/","-"),".",""),",","")),"")</f>
        <v/>
      </c>
      <c r="D161" s="23" t="inlineStr">
        <is>
          <t>BOMBA HIDRÁULICA - APLICAÇÃO BUDNY A-003</t>
        </is>
      </c>
      <c r="E161" s="23" t="inlineStr">
        <is>
          <t>Bombas Hidráulicas</t>
        </is>
      </c>
      <c r="F161" s="23" t="inlineStr">
        <is>
          <t>SOHIPREN</t>
        </is>
      </c>
      <c r="G161" s="23" t="n"/>
      <c r="H161" s="23" t="inlineStr">
        <is>
          <t>draft</t>
        </is>
      </c>
      <c r="I161" s="23" t="inlineStr">
        <is>
          <t>BUDNY TRATORES</t>
        </is>
      </c>
      <c r="J161" s="23" t="inlineStr">
        <is>
          <t>TRATOR</t>
        </is>
      </c>
      <c r="K161" s="23" t="inlineStr">
        <is>
          <t>BOMBA DE DIREÇÃO</t>
        </is>
      </c>
      <c r="L161" s="23" t="inlineStr">
        <is>
          <t>1015015</t>
        </is>
      </c>
      <c r="M161" s="31" t="n"/>
      <c r="N161" s="31" t="n"/>
      <c r="O161" s="31" t="n"/>
      <c r="P161" s="31" t="n"/>
      <c r="Q161" s="31" t="n"/>
      <c r="R161" s="34">
        <f>IFERROR(IF(AND(O161&gt;0,P161&gt;0,Q161&gt;0),(O161*P161*Q161)/6000,""),"")</f>
        <v/>
      </c>
      <c r="S161" s="34">
        <f>IFERROR(IF(AND(N161&gt;0,R161&gt;0),MAX(N161,R161),IF(N161&gt;0,N161,IF(R161&gt;0,R161,""))),"")</f>
        <v/>
      </c>
      <c r="T161" s="36" t="n"/>
      <c r="U161" s="38" t="inlineStr">
        <is>
          <t>FALTA</t>
        </is>
      </c>
      <c r="V161" s="36" t="n">
        <v>955.92</v>
      </c>
      <c r="W161" s="39" t="n">
        <v>0.3</v>
      </c>
      <c r="X161" s="41">
        <f>IFERROR(V161+T161,"")</f>
        <v/>
      </c>
      <c r="Y161" s="41">
        <f>IFERROR(IF(W161&lt;1,X161/(1-W161),""),"")</f>
        <v/>
      </c>
      <c r="Z161" s="43">
        <f>'01_CONFIG_GLOBAL'!$C$14</f>
        <v/>
      </c>
      <c r="AA161" s="41">
        <f>IFERROR(Y161*Z161,"")</f>
        <v/>
      </c>
      <c r="AB161" s="41">
        <f>IFERROR(IF(Z161&lt;1,Y161/(1-Z161),""),"")</f>
        <v/>
      </c>
      <c r="AC161" s="23" t="n"/>
      <c r="AD161" s="36" t="n"/>
      <c r="AE161" s="23" t="n"/>
      <c r="AF161" s="36" t="n"/>
      <c r="AG161" s="23" t="n"/>
      <c r="AH161" s="36" t="n"/>
      <c r="AI161" s="41">
        <f>IFERROR(AVERAGE(AD161,AF161,AH161),"")</f>
        <v/>
      </c>
      <c r="AJ161" s="29">
        <f>IFERROR(IF(AI161="","sem dados",IF(AB161&lt;AI161*0.95,"abaixo",IF(AB161&gt;AI161*1.05,"acima","em linha"))),"")</f>
        <v/>
      </c>
      <c r="AK161" s="23" t="inlineStr">
        <is>
          <t>não</t>
        </is>
      </c>
      <c r="AL161" s="23" t="n"/>
      <c r="AM161" s="23" t="n"/>
      <c r="AN161" s="23" t="n"/>
      <c r="AO161" s="44">
        <f>A161</f>
        <v/>
      </c>
      <c r="AP161" s="44">
        <f>D161</f>
        <v/>
      </c>
    </row>
    <row r="162" hidden="1" ht="15.75" customHeight="1" s="93">
      <c r="A162" s="23" t="inlineStr">
        <is>
          <t>5.1309.0565116.0</t>
        </is>
      </c>
      <c r="B162" s="23" t="inlineStr">
        <is>
          <t>565116</t>
        </is>
      </c>
      <c r="C162" s="29">
        <f>IFERROR(LOWER(SUBSTITUTE(SUBSTITUTE(SUBSTITUTE(SUBSTITUTE(D162," ","-"),"/","-"),".",""),",","")),"")</f>
        <v/>
      </c>
      <c r="D162" s="23" t="inlineStr">
        <is>
          <t>BOMBA HIDRÁULICA - APLICAÇÃO BUDNY A-005 (1015449)</t>
        </is>
      </c>
      <c r="E162" s="23" t="inlineStr">
        <is>
          <t>Bombas Hidráulicas</t>
        </is>
      </c>
      <c r="F162" s="23" t="inlineStr">
        <is>
          <t>SOHIPREN</t>
        </is>
      </c>
      <c r="G162" s="23" t="n"/>
      <c r="H162" s="23" t="inlineStr">
        <is>
          <t>draft</t>
        </is>
      </c>
      <c r="I162" s="23" t="inlineStr">
        <is>
          <t>BUDNY TRATORES</t>
        </is>
      </c>
      <c r="J162" s="23" t="inlineStr">
        <is>
          <t>TRATORE</t>
        </is>
      </c>
      <c r="K162" s="23" t="inlineStr">
        <is>
          <t>PRINCIPAL E DIREÇAO</t>
        </is>
      </c>
      <c r="L162" s="23" t="inlineStr">
        <is>
          <t>1015449</t>
        </is>
      </c>
      <c r="M162" s="31" t="n"/>
      <c r="N162" s="31" t="n"/>
      <c r="O162" s="31" t="n"/>
      <c r="P162" s="31" t="n"/>
      <c r="Q162" s="31" t="n"/>
      <c r="R162" s="34">
        <f>IFERROR(IF(AND(O162&gt;0,P162&gt;0,Q162&gt;0),(O162*P162*Q162)/6000,""),"")</f>
        <v/>
      </c>
      <c r="S162" s="34">
        <f>IFERROR(IF(AND(N162&gt;0,R162&gt;0),MAX(N162,R162),IF(N162&gt;0,N162,IF(R162&gt;0,R162,""))),"")</f>
        <v/>
      </c>
      <c r="T162" s="36" t="n"/>
      <c r="U162" s="38" t="inlineStr">
        <is>
          <t>FALTA</t>
        </is>
      </c>
      <c r="V162" s="36" t="n">
        <v>935</v>
      </c>
      <c r="W162" s="39" t="n">
        <v>0.3</v>
      </c>
      <c r="X162" s="41">
        <f>IFERROR(V162+T162,"")</f>
        <v/>
      </c>
      <c r="Y162" s="41">
        <f>IFERROR(IF(W162&lt;1,X162/(1-W162),""),"")</f>
        <v/>
      </c>
      <c r="Z162" s="43">
        <f>'01_CONFIG_GLOBAL'!$C$14</f>
        <v/>
      </c>
      <c r="AA162" s="41">
        <f>IFERROR(Y162*Z162,"")</f>
        <v/>
      </c>
      <c r="AB162" s="41">
        <f>IFERROR(IF(Z162&lt;1,Y162/(1-Z162),""),"")</f>
        <v/>
      </c>
      <c r="AC162" s="23" t="n"/>
      <c r="AD162" s="36" t="n"/>
      <c r="AE162" s="23" t="n"/>
      <c r="AF162" s="36" t="n"/>
      <c r="AG162" s="23" t="n"/>
      <c r="AH162" s="36" t="n"/>
      <c r="AI162" s="41">
        <f>IFERROR(AVERAGE(AD162,AF162,AH162),"")</f>
        <v/>
      </c>
      <c r="AJ162" s="29">
        <f>IFERROR(IF(AI162="","sem dados",IF(AB162&lt;AI162*0.95,"abaixo",IF(AB162&gt;AI162*1.05,"acima","em linha"))),"")</f>
        <v/>
      </c>
      <c r="AK162" s="23" t="inlineStr">
        <is>
          <t>não</t>
        </is>
      </c>
      <c r="AL162" s="23" t="n"/>
      <c r="AM162" s="23" t="n"/>
      <c r="AN162" s="23" t="n"/>
      <c r="AO162" s="44">
        <f>A162</f>
        <v/>
      </c>
      <c r="AP162" s="44">
        <f>D162</f>
        <v/>
      </c>
    </row>
    <row r="163" hidden="1" ht="15.75" customHeight="1" s="93">
      <c r="A163" s="23" t="inlineStr">
        <is>
          <t>0.2207.L082369.0</t>
        </is>
      </c>
      <c r="B163" s="23" t="inlineStr">
        <is>
          <t>L082369</t>
        </is>
      </c>
      <c r="C163" s="29">
        <f>IFERROR(LOWER(SUBSTITUTE(SUBSTITUTE(SUBSTITUTE(SUBSTITUTE(D163," ","-"),"/","-"),".",""),",","")),"")</f>
        <v/>
      </c>
      <c r="D163" s="23" t="inlineStr">
        <is>
          <t>ELEMENTO FILTRANTE CEST: 01.038.00</t>
        </is>
      </c>
      <c r="E163" s="23" t="n"/>
      <c r="F163" s="23" t="inlineStr">
        <is>
          <t>SOHIPREN</t>
        </is>
      </c>
      <c r="G163" s="23" t="n"/>
      <c r="H163" s="23" t="inlineStr">
        <is>
          <t>draft</t>
        </is>
      </c>
      <c r="I163" s="23" t="inlineStr">
        <is>
          <t>BW SISTEMAS</t>
        </is>
      </c>
      <c r="J163" s="23" t="n"/>
      <c r="K163" s="23" t="n"/>
      <c r="L163" s="23" t="inlineStr">
        <is>
          <t>19073848</t>
        </is>
      </c>
      <c r="M163" s="31" t="n"/>
      <c r="N163" s="31" t="n"/>
      <c r="O163" s="31" t="n"/>
      <c r="P163" s="31" t="n"/>
      <c r="Q163" s="31" t="n"/>
      <c r="R163" s="34">
        <f>IFERROR(IF(AND(O163&gt;0,P163&gt;0,Q163&gt;0),(O163*P163*Q163)/6000,""),"")</f>
        <v/>
      </c>
      <c r="S163" s="34">
        <f>IFERROR(IF(AND(N163&gt;0,R163&gt;0),MAX(N163,R163),IF(N163&gt;0,N163,IF(R163&gt;0,R163,""))),"")</f>
        <v/>
      </c>
      <c r="T163" s="36" t="n"/>
      <c r="U163" s="38" t="inlineStr">
        <is>
          <t>FALTA</t>
        </is>
      </c>
      <c r="V163" s="36" t="n">
        <v>621</v>
      </c>
      <c r="W163" s="39" t="n">
        <v>0.3</v>
      </c>
      <c r="X163" s="41">
        <f>IFERROR(V163+T163,"")</f>
        <v/>
      </c>
      <c r="Y163" s="41">
        <f>IFERROR(IF(W163&lt;1,X163/(1-W163),""),"")</f>
        <v/>
      </c>
      <c r="Z163" s="43">
        <f>'01_CONFIG_GLOBAL'!$C$14</f>
        <v/>
      </c>
      <c r="AA163" s="41">
        <f>IFERROR(Y163*Z163,"")</f>
        <v/>
      </c>
      <c r="AB163" s="41">
        <f>IFERROR(IF(Z163&lt;1,Y163/(1-Z163),""),"")</f>
        <v/>
      </c>
      <c r="AC163" s="23" t="n"/>
      <c r="AD163" s="36" t="n"/>
      <c r="AE163" s="23" t="n"/>
      <c r="AF163" s="36" t="n"/>
      <c r="AG163" s="23" t="n"/>
      <c r="AH163" s="36" t="n"/>
      <c r="AI163" s="41">
        <f>IFERROR(AVERAGE(AD163,AF163,AH163),"")</f>
        <v/>
      </c>
      <c r="AJ163" s="29">
        <f>IFERROR(IF(AI163="","sem dados",IF(AB163&lt;AI163*0.95,"abaixo",IF(AB163&gt;AI163*1.05,"acima","em linha"))),"")</f>
        <v/>
      </c>
      <c r="AK163" s="23" t="inlineStr">
        <is>
          <t>não</t>
        </is>
      </c>
      <c r="AL163" s="23" t="n"/>
      <c r="AM163" s="23" t="n"/>
      <c r="AN163" s="23" t="n"/>
      <c r="AO163" s="44">
        <f>A163</f>
        <v/>
      </c>
      <c r="AP163" s="44">
        <f>D163</f>
        <v/>
      </c>
    </row>
    <row r="164" hidden="1" ht="15.75" customHeight="1" s="93">
      <c r="A164" s="23" t="inlineStr">
        <is>
          <t>0.2207.L082367.0</t>
        </is>
      </c>
      <c r="B164" s="23" t="inlineStr">
        <is>
          <t>L082367</t>
        </is>
      </c>
      <c r="C164" s="29">
        <f>IFERROR(LOWER(SUBSTITUTE(SUBSTITUTE(SUBSTITUTE(SUBSTITUTE(D164," ","-"),"/","-"),".",""),",","")),"")</f>
        <v/>
      </c>
      <c r="D164" s="23" t="inlineStr">
        <is>
          <t>CARCACA DE FILTRO CEST: 01.039.00</t>
        </is>
      </c>
      <c r="E164" s="23" t="n"/>
      <c r="F164" s="23" t="inlineStr">
        <is>
          <t>SOHIPREN</t>
        </is>
      </c>
      <c r="G164" s="23" t="n"/>
      <c r="H164" s="23" t="inlineStr">
        <is>
          <t>draft</t>
        </is>
      </c>
      <c r="I164" s="23" t="inlineStr">
        <is>
          <t>BW SISTEMAS</t>
        </is>
      </c>
      <c r="J164" s="23" t="n"/>
      <c r="K164" s="23" t="n"/>
      <c r="L164" s="23" t="inlineStr">
        <is>
          <t>19073922</t>
        </is>
      </c>
      <c r="M164" s="31" t="n"/>
      <c r="N164" s="31" t="n"/>
      <c r="O164" s="31" t="n"/>
      <c r="P164" s="31" t="n"/>
      <c r="Q164" s="31" t="n"/>
      <c r="R164" s="34">
        <f>IFERROR(IF(AND(O164&gt;0,P164&gt;0,Q164&gt;0),(O164*P164*Q164)/6000,""),"")</f>
        <v/>
      </c>
      <c r="S164" s="34">
        <f>IFERROR(IF(AND(N164&gt;0,R164&gt;0),MAX(N164,R164),IF(N164&gt;0,N164,IF(R164&gt;0,R164,""))),"")</f>
        <v/>
      </c>
      <c r="T164" s="36" t="n"/>
      <c r="U164" s="38" t="inlineStr">
        <is>
          <t>FALTA</t>
        </is>
      </c>
      <c r="V164" s="36" t="n">
        <v>621</v>
      </c>
      <c r="W164" s="39" t="n">
        <v>0.3</v>
      </c>
      <c r="X164" s="41">
        <f>IFERROR(V164+T164,"")</f>
        <v/>
      </c>
      <c r="Y164" s="41">
        <f>IFERROR(IF(W164&lt;1,X164/(1-W164),""),"")</f>
        <v/>
      </c>
      <c r="Z164" s="43">
        <f>'01_CONFIG_GLOBAL'!$C$14</f>
        <v/>
      </c>
      <c r="AA164" s="41">
        <f>IFERROR(Y164*Z164,"")</f>
        <v/>
      </c>
      <c r="AB164" s="41">
        <f>IFERROR(IF(Z164&lt;1,Y164/(1-Z164),""),"")</f>
        <v/>
      </c>
      <c r="AC164" s="23" t="n"/>
      <c r="AD164" s="36" t="n"/>
      <c r="AE164" s="23" t="n"/>
      <c r="AF164" s="36" t="n"/>
      <c r="AG164" s="23" t="n"/>
      <c r="AH164" s="36" t="n"/>
      <c r="AI164" s="41">
        <f>IFERROR(AVERAGE(AD164,AF164,AH164),"")</f>
        <v/>
      </c>
      <c r="AJ164" s="29">
        <f>IFERROR(IF(AI164="","sem dados",IF(AB164&lt;AI164*0.95,"abaixo",IF(AB164&gt;AI164*1.05,"acima","em linha"))),"")</f>
        <v/>
      </c>
      <c r="AK164" s="23" t="inlineStr">
        <is>
          <t>não</t>
        </is>
      </c>
      <c r="AL164" s="23" t="n"/>
      <c r="AM164" s="23" t="n"/>
      <c r="AN164" s="23" t="n"/>
      <c r="AO164" s="44">
        <f>A164</f>
        <v/>
      </c>
      <c r="AP164" s="44">
        <f>D164</f>
        <v/>
      </c>
    </row>
    <row r="165" hidden="1" ht="15.75" customHeight="1" s="93">
      <c r="A165" s="23" t="inlineStr">
        <is>
          <t>0.2207.L082368.0</t>
        </is>
      </c>
      <c r="B165" s="23" t="inlineStr">
        <is>
          <t>L082368</t>
        </is>
      </c>
      <c r="C165" s="29">
        <f>IFERROR(LOWER(SUBSTITUTE(SUBSTITUTE(SUBSTITUTE(SUBSTITUTE(D165," ","-"),"/","-"),".",""),",","")),"")</f>
        <v/>
      </c>
      <c r="D165" s="23" t="inlineStr">
        <is>
          <t>INDICADOR DE PRESSAO CEST: 01.123.00</t>
        </is>
      </c>
      <c r="E165" s="23" t="n"/>
      <c r="F165" s="23" t="inlineStr">
        <is>
          <t>SOHIPREN</t>
        </is>
      </c>
      <c r="G165" s="23" t="n"/>
      <c r="H165" s="23" t="inlineStr">
        <is>
          <t>draft</t>
        </is>
      </c>
      <c r="I165" s="23" t="inlineStr">
        <is>
          <t>BW SISTEMAS</t>
        </is>
      </c>
      <c r="J165" s="23" t="n"/>
      <c r="K165" s="23" t="n"/>
      <c r="L165" s="23" t="inlineStr">
        <is>
          <t>19073923</t>
        </is>
      </c>
      <c r="M165" s="31" t="n"/>
      <c r="N165" s="31" t="n"/>
      <c r="O165" s="31" t="n"/>
      <c r="P165" s="31" t="n"/>
      <c r="Q165" s="31" t="n"/>
      <c r="R165" s="34">
        <f>IFERROR(IF(AND(O165&gt;0,P165&gt;0,Q165&gt;0),(O165*P165*Q165)/6000,""),"")</f>
        <v/>
      </c>
      <c r="S165" s="34">
        <f>IFERROR(IF(AND(N165&gt;0,R165&gt;0),MAX(N165,R165),IF(N165&gt;0,N165,IF(R165&gt;0,R165,""))),"")</f>
        <v/>
      </c>
      <c r="T165" s="36" t="n"/>
      <c r="U165" s="38" t="inlineStr">
        <is>
          <t>FALTA</t>
        </is>
      </c>
      <c r="V165" s="36" t="n">
        <v>621</v>
      </c>
      <c r="W165" s="39" t="n">
        <v>0.3</v>
      </c>
      <c r="X165" s="41">
        <f>IFERROR(V165+T165,"")</f>
        <v/>
      </c>
      <c r="Y165" s="41">
        <f>IFERROR(IF(W165&lt;1,X165/(1-W165),""),"")</f>
        <v/>
      </c>
      <c r="Z165" s="43">
        <f>'01_CONFIG_GLOBAL'!$C$14</f>
        <v/>
      </c>
      <c r="AA165" s="41">
        <f>IFERROR(Y165*Z165,"")</f>
        <v/>
      </c>
      <c r="AB165" s="41">
        <f>IFERROR(IF(Z165&lt;1,Y165/(1-Z165),""),"")</f>
        <v/>
      </c>
      <c r="AC165" s="23" t="n"/>
      <c r="AD165" s="36" t="n"/>
      <c r="AE165" s="23" t="n"/>
      <c r="AF165" s="36" t="n"/>
      <c r="AG165" s="23" t="n"/>
      <c r="AH165" s="36" t="n"/>
      <c r="AI165" s="41">
        <f>IFERROR(AVERAGE(AD165,AF165,AH165),"")</f>
        <v/>
      </c>
      <c r="AJ165" s="29">
        <f>IFERROR(IF(AI165="","sem dados",IF(AB165&lt;AI165*0.95,"abaixo",IF(AB165&gt;AI165*1.05,"acima","em linha"))),"")</f>
        <v/>
      </c>
      <c r="AK165" s="23" t="inlineStr">
        <is>
          <t>não</t>
        </is>
      </c>
      <c r="AL165" s="23" t="n"/>
      <c r="AM165" s="23" t="n"/>
      <c r="AN165" s="23" t="n"/>
      <c r="AO165" s="44">
        <f>A165</f>
        <v/>
      </c>
      <c r="AP165" s="44">
        <f>D165</f>
        <v/>
      </c>
    </row>
    <row r="166" hidden="1" ht="15.75" customHeight="1" s="93">
      <c r="A166" s="23" t="inlineStr">
        <is>
          <t>0.2207.L082090.0</t>
        </is>
      </c>
      <c r="B166" s="23" t="inlineStr">
        <is>
          <t>L082090</t>
        </is>
      </c>
      <c r="C166" s="29">
        <f>IFERROR(LOWER(SUBSTITUTE(SUBSTITUTE(SUBSTITUTE(SUBSTITUTE(D166," ","-"),"/","-"),".",""),",","")),"")</f>
        <v/>
      </c>
      <c r="D166" s="23" t="inlineStr">
        <is>
          <t>ELEMENTO FILTRANTE V3.1493-56</t>
        </is>
      </c>
      <c r="E166" s="23" t="n"/>
      <c r="F166" s="23" t="inlineStr">
        <is>
          <t>SOHIPREN</t>
        </is>
      </c>
      <c r="G166" s="23" t="n"/>
      <c r="H166" s="23" t="inlineStr">
        <is>
          <t>draft</t>
        </is>
      </c>
      <c r="I166" s="23" t="inlineStr">
        <is>
          <t>BW SISTEMAS</t>
        </is>
      </c>
      <c r="J166" s="23" t="n"/>
      <c r="K166" s="23" t="n"/>
      <c r="L166" s="23" t="inlineStr">
        <is>
          <t>10000982</t>
        </is>
      </c>
      <c r="M166" s="31" t="n"/>
      <c r="N166" s="31" t="n"/>
      <c r="O166" s="31" t="n"/>
      <c r="P166" s="31" t="n"/>
      <c r="Q166" s="31" t="n"/>
      <c r="R166" s="34">
        <f>IFERROR(IF(AND(O166&gt;0,P166&gt;0,Q166&gt;0),(O166*P166*Q166)/6000,""),"")</f>
        <v/>
      </c>
      <c r="S166" s="34">
        <f>IFERROR(IF(AND(N166&gt;0,R166&gt;0),MAX(N166,R166),IF(N166&gt;0,N166,IF(R166&gt;0,R166,""))),"")</f>
        <v/>
      </c>
      <c r="T166" s="36" t="n"/>
      <c r="U166" s="38" t="inlineStr">
        <is>
          <t>FALTA</t>
        </is>
      </c>
      <c r="V166" s="36" t="n">
        <v>125.4</v>
      </c>
      <c r="W166" s="39" t="n">
        <v>0.3</v>
      </c>
      <c r="X166" s="41">
        <f>IFERROR(V166+T166,"")</f>
        <v/>
      </c>
      <c r="Y166" s="41">
        <f>IFERROR(IF(W166&lt;1,X166/(1-W166),""),"")</f>
        <v/>
      </c>
      <c r="Z166" s="43">
        <f>'01_CONFIG_GLOBAL'!$C$14</f>
        <v/>
      </c>
      <c r="AA166" s="41">
        <f>IFERROR(Y166*Z166,"")</f>
        <v/>
      </c>
      <c r="AB166" s="41">
        <f>IFERROR(IF(Z166&lt;1,Y166/(1-Z166),""),"")</f>
        <v/>
      </c>
      <c r="AC166" s="23" t="n"/>
      <c r="AD166" s="36" t="n"/>
      <c r="AE166" s="23" t="n"/>
      <c r="AF166" s="36" t="n"/>
      <c r="AG166" s="23" t="n"/>
      <c r="AH166" s="36" t="n"/>
      <c r="AI166" s="41">
        <f>IFERROR(AVERAGE(AD166,AF166,AH166),"")</f>
        <v/>
      </c>
      <c r="AJ166" s="29">
        <f>IFERROR(IF(AI166="","sem dados",IF(AB166&lt;AI166*0.95,"abaixo",IF(AB166&gt;AI166*1.05,"acima","em linha"))),"")</f>
        <v/>
      </c>
      <c r="AK166" s="23" t="inlineStr">
        <is>
          <t>não</t>
        </is>
      </c>
      <c r="AL166" s="23" t="n"/>
      <c r="AM166" s="23" t="n"/>
      <c r="AN166" s="23" t="n"/>
      <c r="AO166" s="44">
        <f>A166</f>
        <v/>
      </c>
      <c r="AP166" s="44">
        <f>D166</f>
        <v/>
      </c>
    </row>
    <row r="167" hidden="1" ht="15.75" customHeight="1" s="93">
      <c r="A167" s="23" t="inlineStr">
        <is>
          <t>0.2207.L082089.0</t>
        </is>
      </c>
      <c r="B167" s="23" t="inlineStr">
        <is>
          <t>L082089</t>
        </is>
      </c>
      <c r="C167" s="29">
        <f>IFERROR(LOWER(SUBSTITUTE(SUBSTITUTE(SUBSTITUTE(SUBSTITUTE(D167," ","-"),"/","-"),".",""),",","")),"")</f>
        <v/>
      </c>
      <c r="D167" s="23" t="inlineStr">
        <is>
          <t>ELEMENTO FILTRANTE V7.1560-103</t>
        </is>
      </c>
      <c r="E167" s="23" t="n"/>
      <c r="F167" s="23" t="inlineStr">
        <is>
          <t>SOHIPREN</t>
        </is>
      </c>
      <c r="G167" s="23" t="n"/>
      <c r="H167" s="23" t="inlineStr">
        <is>
          <t>draft</t>
        </is>
      </c>
      <c r="I167" s="23" t="inlineStr">
        <is>
          <t>BW SISTEMAS</t>
        </is>
      </c>
      <c r="J167" s="23" t="n"/>
      <c r="K167" s="23" t="n"/>
      <c r="L167" s="23" t="inlineStr">
        <is>
          <t>10000987</t>
        </is>
      </c>
      <c r="M167" s="31" t="n"/>
      <c r="N167" s="31" t="n"/>
      <c r="O167" s="31" t="n"/>
      <c r="P167" s="31" t="n"/>
      <c r="Q167" s="31" t="n"/>
      <c r="R167" s="34">
        <f>IFERROR(IF(AND(O167&gt;0,P167&gt;0,Q167&gt;0),(O167*P167*Q167)/6000,""),"")</f>
        <v/>
      </c>
      <c r="S167" s="34">
        <f>IFERROR(IF(AND(N167&gt;0,R167&gt;0),MAX(N167,R167),IF(N167&gt;0,N167,IF(R167&gt;0,R167,""))),"")</f>
        <v/>
      </c>
      <c r="T167" s="36" t="n"/>
      <c r="U167" s="38" t="inlineStr">
        <is>
          <t>FALTA</t>
        </is>
      </c>
      <c r="V167" s="36" t="n">
        <v>125.4</v>
      </c>
      <c r="W167" s="39" t="n">
        <v>0.3</v>
      </c>
      <c r="X167" s="41">
        <f>IFERROR(V167+T167,"")</f>
        <v/>
      </c>
      <c r="Y167" s="41">
        <f>IFERROR(IF(W167&lt;1,X167/(1-W167),""),"")</f>
        <v/>
      </c>
      <c r="Z167" s="43">
        <f>'01_CONFIG_GLOBAL'!$C$14</f>
        <v/>
      </c>
      <c r="AA167" s="41">
        <f>IFERROR(Y167*Z167,"")</f>
        <v/>
      </c>
      <c r="AB167" s="41">
        <f>IFERROR(IF(Z167&lt;1,Y167/(1-Z167),""),"")</f>
        <v/>
      </c>
      <c r="AC167" s="23" t="n"/>
      <c r="AD167" s="36" t="n"/>
      <c r="AE167" s="23" t="n"/>
      <c r="AF167" s="36" t="n"/>
      <c r="AG167" s="23" t="n"/>
      <c r="AH167" s="36" t="n"/>
      <c r="AI167" s="41">
        <f>IFERROR(AVERAGE(AD167,AF167,AH167),"")</f>
        <v/>
      </c>
      <c r="AJ167" s="29">
        <f>IFERROR(IF(AI167="","sem dados",IF(AB167&lt;AI167*0.95,"abaixo",IF(AB167&gt;AI167*1.05,"acima","em linha"))),"")</f>
        <v/>
      </c>
      <c r="AK167" s="23" t="inlineStr">
        <is>
          <t>não</t>
        </is>
      </c>
      <c r="AL167" s="23" t="n"/>
      <c r="AM167" s="23" t="n"/>
      <c r="AN167" s="23" t="n"/>
      <c r="AO167" s="44">
        <f>A167</f>
        <v/>
      </c>
      <c r="AP167" s="44">
        <f>D167</f>
        <v/>
      </c>
    </row>
    <row r="168" hidden="1" ht="15.75" customHeight="1" s="93">
      <c r="A168" s="23" t="inlineStr">
        <is>
          <t>6.0460.L082565.0</t>
        </is>
      </c>
      <c r="B168" s="23" t="inlineStr">
        <is>
          <t>L082565</t>
        </is>
      </c>
      <c r="C168" s="29">
        <f>IFERROR(LOWER(SUBSTITUTE(SUBSTITUTE(SUBSTITUTE(SUBSTITUTE(D168," ","-"),"/","-"),".",""),",","")),"")</f>
        <v/>
      </c>
      <c r="D168" s="23" t="inlineStr">
        <is>
          <t>BLSHP-00076</t>
        </is>
      </c>
      <c r="E168" s="23" t="n"/>
      <c r="F168" s="23" t="inlineStr">
        <is>
          <t>SOHIPREN</t>
        </is>
      </c>
      <c r="G168" s="23" t="n"/>
      <c r="H168" s="23" t="inlineStr">
        <is>
          <t>draft</t>
        </is>
      </c>
      <c r="I168" s="23" t="inlineStr">
        <is>
          <t>BW SISTEMAS HIDRAULICOS</t>
        </is>
      </c>
      <c r="J168" s="23" t="inlineStr">
        <is>
          <t>BLOCO DIVISOR DE FLUXO</t>
        </is>
      </c>
      <c r="K168" s="23" t="n"/>
      <c r="L168" s="23" t="inlineStr">
        <is>
          <t>19074897</t>
        </is>
      </c>
      <c r="M168" s="31" t="n"/>
      <c r="N168" s="31" t="n"/>
      <c r="O168" s="31" t="n"/>
      <c r="P168" s="31" t="n"/>
      <c r="Q168" s="31" t="n"/>
      <c r="R168" s="34">
        <f>IFERROR(IF(AND(O168&gt;0,P168&gt;0,Q168&gt;0),(O168*P168*Q168)/6000,""),"")</f>
        <v/>
      </c>
      <c r="S168" s="34">
        <f>IFERROR(IF(AND(N168&gt;0,R168&gt;0),MAX(N168,R168),IF(N168&gt;0,N168,IF(R168&gt;0,R168,""))),"")</f>
        <v/>
      </c>
      <c r="T168" s="36" t="n"/>
      <c r="U168" s="38" t="inlineStr">
        <is>
          <t>FALTA</t>
        </is>
      </c>
      <c r="V168" s="36" t="n">
        <v>289</v>
      </c>
      <c r="W168" s="39" t="n">
        <v>0.3</v>
      </c>
      <c r="X168" s="41">
        <f>IFERROR(V168+T168,"")</f>
        <v/>
      </c>
      <c r="Y168" s="41">
        <f>IFERROR(IF(W168&lt;1,X168/(1-W168),""),"")</f>
        <v/>
      </c>
      <c r="Z168" s="43">
        <f>'01_CONFIG_GLOBAL'!$C$14</f>
        <v/>
      </c>
      <c r="AA168" s="41">
        <f>IFERROR(Y168*Z168,"")</f>
        <v/>
      </c>
      <c r="AB168" s="41">
        <f>IFERROR(IF(Z168&lt;1,Y168/(1-Z168),""),"")</f>
        <v/>
      </c>
      <c r="AC168" s="23" t="n"/>
      <c r="AD168" s="36" t="n"/>
      <c r="AE168" s="23" t="n"/>
      <c r="AF168" s="36" t="n"/>
      <c r="AG168" s="23" t="n"/>
      <c r="AH168" s="36" t="n"/>
      <c r="AI168" s="41">
        <f>IFERROR(AVERAGE(AD168,AF168,AH168),"")</f>
        <v/>
      </c>
      <c r="AJ168" s="29">
        <f>IFERROR(IF(AI168="","sem dados",IF(AB168&lt;AI168*0.95,"abaixo",IF(AB168&gt;AI168*1.05,"acima","em linha"))),"")</f>
        <v/>
      </c>
      <c r="AK168" s="23" t="inlineStr">
        <is>
          <t>não</t>
        </is>
      </c>
      <c r="AL168" s="23" t="n"/>
      <c r="AM168" s="23" t="n"/>
      <c r="AN168" s="23" t="n"/>
      <c r="AO168" s="44">
        <f>A168</f>
        <v/>
      </c>
      <c r="AP168" s="44">
        <f>D168</f>
        <v/>
      </c>
    </row>
    <row r="169" hidden="1" ht="15.75" customHeight="1" s="93">
      <c r="A169" s="23" t="inlineStr">
        <is>
          <t>6.0001.0600023.0</t>
        </is>
      </c>
      <c r="B169" s="23" t="inlineStr">
        <is>
          <t>600023</t>
        </is>
      </c>
      <c r="C169" s="29">
        <f>IFERROR(LOWER(SUBSTITUTE(SUBSTITUTE(SUBSTITUTE(SUBSTITUTE(D169," ","-"),"/","-"),".",""),",","")),"")</f>
        <v/>
      </c>
      <c r="D169" s="23" t="inlineStr">
        <is>
          <t>VCD116 01 D.160-A</t>
        </is>
      </c>
      <c r="E169" s="23" t="n"/>
      <c r="F169" s="23" t="inlineStr">
        <is>
          <t>SOHIPREN</t>
        </is>
      </c>
      <c r="G169" s="23" t="n"/>
      <c r="H169" s="23" t="inlineStr">
        <is>
          <t>draft</t>
        </is>
      </c>
      <c r="I169" s="23" t="inlineStr">
        <is>
          <t>CAMINHÃO DE LEITE</t>
        </is>
      </c>
      <c r="J169" s="23" t="inlineStr">
        <is>
          <t>CAMIMHÃO P/ COLETA</t>
        </is>
      </c>
      <c r="K169" s="23" t="inlineStr">
        <is>
          <t>ACIONAMENTO MOTOR UNI-DIR</t>
        </is>
      </c>
      <c r="L169" s="23" t="n"/>
      <c r="M169" s="31" t="n"/>
      <c r="N169" s="31" t="n"/>
      <c r="O169" s="31" t="n"/>
      <c r="P169" s="31" t="n"/>
      <c r="Q169" s="31" t="n"/>
      <c r="R169" s="34">
        <f>IFERROR(IF(AND(O169&gt;0,P169&gt;0,Q169&gt;0),(O169*P169*Q169)/6000,""),"")</f>
        <v/>
      </c>
      <c r="S169" s="34">
        <f>IFERROR(IF(AND(N169&gt;0,R169&gt;0),MAX(N169,R169),IF(N169&gt;0,N169,IF(R169&gt;0,R169,""))),"")</f>
        <v/>
      </c>
      <c r="T169" s="36" t="n"/>
      <c r="U169" s="38" t="inlineStr">
        <is>
          <t>FALTA</t>
        </is>
      </c>
      <c r="V169" s="36" t="n">
        <v>477.96</v>
      </c>
      <c r="W169" s="39" t="n">
        <v>0.3</v>
      </c>
      <c r="X169" s="41">
        <f>IFERROR(V169+T169,"")</f>
        <v/>
      </c>
      <c r="Y169" s="41">
        <f>IFERROR(IF(W169&lt;1,X169/(1-W169),""),"")</f>
        <v/>
      </c>
      <c r="Z169" s="43">
        <f>'01_CONFIG_GLOBAL'!$C$14</f>
        <v/>
      </c>
      <c r="AA169" s="41">
        <f>IFERROR(Y169*Z169,"")</f>
        <v/>
      </c>
      <c r="AB169" s="41">
        <f>IFERROR(IF(Z169&lt;1,Y169/(1-Z169),""),"")</f>
        <v/>
      </c>
      <c r="AC169" s="23" t="n"/>
      <c r="AD169" s="36" t="n"/>
      <c r="AE169" s="23" t="n"/>
      <c r="AF169" s="36" t="n"/>
      <c r="AG169" s="23" t="n"/>
      <c r="AH169" s="36" t="n"/>
      <c r="AI169" s="41">
        <f>IFERROR(AVERAGE(AD169,AF169,AH169),"")</f>
        <v/>
      </c>
      <c r="AJ169" s="29">
        <f>IFERROR(IF(AI169="","sem dados",IF(AB169&lt;AI169*0.95,"abaixo",IF(AB169&gt;AI169*1.05,"acima","em linha"))),"")</f>
        <v/>
      </c>
      <c r="AK169" s="23" t="inlineStr">
        <is>
          <t>não</t>
        </is>
      </c>
      <c r="AL169" s="23" t="n"/>
      <c r="AM169" s="23" t="n"/>
      <c r="AN169" s="23" t="n"/>
      <c r="AO169" s="44">
        <f>A169</f>
        <v/>
      </c>
      <c r="AP169" s="44">
        <f>D169</f>
        <v/>
      </c>
    </row>
    <row r="170" hidden="1" ht="15.75" customHeight="1" s="93">
      <c r="A170" s="23" t="inlineStr">
        <is>
          <t>6.0001.0600028.0</t>
        </is>
      </c>
      <c r="B170" s="23" t="inlineStr">
        <is>
          <t>600028</t>
        </is>
      </c>
      <c r="C170" s="29">
        <f>IFERROR(LOWER(SUBSTITUTE(SUBSTITUTE(SUBSTITUTE(SUBSTITUTE(D170," ","-"),"/","-"),".",""),",","")),"")</f>
        <v/>
      </c>
      <c r="D170" s="23" t="inlineStr">
        <is>
          <t>VCD116 01 D.160-A</t>
        </is>
      </c>
      <c r="E170" s="23" t="n"/>
      <c r="F170" s="23" t="inlineStr">
        <is>
          <t>SOHIPREN</t>
        </is>
      </c>
      <c r="G170" s="23" t="n"/>
      <c r="H170" s="23" t="inlineStr">
        <is>
          <t>draft</t>
        </is>
      </c>
      <c r="I170" s="23" t="inlineStr">
        <is>
          <t>CAMINHÃO DE LEITE</t>
        </is>
      </c>
      <c r="J170" s="23" t="inlineStr">
        <is>
          <t>CAMINHÃO P/ COLETA</t>
        </is>
      </c>
      <c r="K170" s="23" t="inlineStr">
        <is>
          <t>ACIONAMENTO MOOTOR BI-DIR</t>
        </is>
      </c>
      <c r="L170" s="23" t="n"/>
      <c r="M170" s="31" t="n"/>
      <c r="N170" s="31" t="n"/>
      <c r="O170" s="31" t="n"/>
      <c r="P170" s="31" t="n"/>
      <c r="Q170" s="31" t="n"/>
      <c r="R170" s="34">
        <f>IFERROR(IF(AND(O170&gt;0,P170&gt;0,Q170&gt;0),(O170*P170*Q170)/6000,""),"")</f>
        <v/>
      </c>
      <c r="S170" s="34">
        <f>IFERROR(IF(AND(N170&gt;0,R170&gt;0),MAX(N170,R170),IF(N170&gt;0,N170,IF(R170&gt;0,R170,""))),"")</f>
        <v/>
      </c>
      <c r="T170" s="36" t="n"/>
      <c r="U170" s="38" t="inlineStr">
        <is>
          <t>FALTA</t>
        </is>
      </c>
      <c r="V170" s="36" t="n">
        <v>730</v>
      </c>
      <c r="W170" s="39" t="n">
        <v>0.3</v>
      </c>
      <c r="X170" s="41">
        <f>IFERROR(V170+T170,"")</f>
        <v/>
      </c>
      <c r="Y170" s="41">
        <f>IFERROR(IF(W170&lt;1,X170/(1-W170),""),"")</f>
        <v/>
      </c>
      <c r="Z170" s="43">
        <f>'01_CONFIG_GLOBAL'!$C$14</f>
        <v/>
      </c>
      <c r="AA170" s="41">
        <f>IFERROR(Y170*Z170,"")</f>
        <v/>
      </c>
      <c r="AB170" s="41">
        <f>IFERROR(IF(Z170&lt;1,Y170/(1-Z170),""),"")</f>
        <v/>
      </c>
      <c r="AC170" s="23" t="n"/>
      <c r="AD170" s="36" t="n"/>
      <c r="AE170" s="23" t="n"/>
      <c r="AF170" s="36" t="n"/>
      <c r="AG170" s="23" t="n"/>
      <c r="AH170" s="36" t="n"/>
      <c r="AI170" s="41">
        <f>IFERROR(AVERAGE(AD170,AF170,AH170),"")</f>
        <v/>
      </c>
      <c r="AJ170" s="29">
        <f>IFERROR(IF(AI170="","sem dados",IF(AB170&lt;AI170*0.95,"abaixo",IF(AB170&gt;AI170*1.05,"acima","em linha"))),"")</f>
        <v/>
      </c>
      <c r="AK170" s="23" t="inlineStr">
        <is>
          <t>não</t>
        </is>
      </c>
      <c r="AL170" s="23" t="n"/>
      <c r="AM170" s="23" t="n"/>
      <c r="AN170" s="23" t="n"/>
      <c r="AO170" s="44">
        <f>A170</f>
        <v/>
      </c>
      <c r="AP170" s="44">
        <f>D170</f>
        <v/>
      </c>
    </row>
    <row r="171" hidden="1" ht="15.75" customHeight="1" s="93">
      <c r="A171" s="23" t="inlineStr">
        <is>
          <t>5.0278.0637380.0</t>
        </is>
      </c>
      <c r="B171" s="23" t="inlineStr">
        <is>
          <t>637380</t>
        </is>
      </c>
      <c r="C171" s="29">
        <f>IFERROR(LOWER(SUBSTITUTE(SUBSTITUTE(SUBSTITUTE(SUBSTITUTE(D171," ","-"),"/","-"),".",""),",","")),"")</f>
        <v/>
      </c>
      <c r="D171" s="23" t="inlineStr">
        <is>
          <t>ARRASTRE 5/7</t>
        </is>
      </c>
      <c r="E171" s="23" t="n"/>
      <c r="F171" s="23" t="inlineStr">
        <is>
          <t>SOHIPREN</t>
        </is>
      </c>
      <c r="G171" s="23" t="n"/>
      <c r="H171" s="23" t="inlineStr">
        <is>
          <t>draft</t>
        </is>
      </c>
      <c r="I171" s="23" t="inlineStr">
        <is>
          <t>CAMINHÃO DE LEITE</t>
        </is>
      </c>
      <c r="J171" s="23" t="inlineStr">
        <is>
          <t>CAMINHÃO P/ COLETA</t>
        </is>
      </c>
      <c r="K171" s="23" t="inlineStr">
        <is>
          <t>LUVA DE ACOLAMENTO</t>
        </is>
      </c>
      <c r="L171" s="23" t="n"/>
      <c r="M171" s="31" t="n"/>
      <c r="N171" s="31" t="n"/>
      <c r="O171" s="31" t="n"/>
      <c r="P171" s="31" t="n"/>
      <c r="Q171" s="31" t="n"/>
      <c r="R171" s="34">
        <f>IFERROR(IF(AND(O171&gt;0,P171&gt;0,Q171&gt;0),(O171*P171*Q171)/6000,""),"")</f>
        <v/>
      </c>
      <c r="S171" s="34">
        <f>IFERROR(IF(AND(N171&gt;0,R171&gt;0),MAX(N171,R171),IF(N171&gt;0,N171,IF(R171&gt;0,R171,""))),"")</f>
        <v/>
      </c>
      <c r="T171" s="36" t="n"/>
      <c r="U171" s="38" t="inlineStr">
        <is>
          <t>FALTA</t>
        </is>
      </c>
      <c r="V171" s="36" t="n">
        <v>145.76</v>
      </c>
      <c r="W171" s="39" t="n">
        <v>0.3</v>
      </c>
      <c r="X171" s="41">
        <f>IFERROR(V171+T171,"")</f>
        <v/>
      </c>
      <c r="Y171" s="41">
        <f>IFERROR(IF(W171&lt;1,X171/(1-W171),""),"")</f>
        <v/>
      </c>
      <c r="Z171" s="43">
        <f>'01_CONFIG_GLOBAL'!$C$14</f>
        <v/>
      </c>
      <c r="AA171" s="41">
        <f>IFERROR(Y171*Z171,"")</f>
        <v/>
      </c>
      <c r="AB171" s="41">
        <f>IFERROR(IF(Z171&lt;1,Y171/(1-Z171),""),"")</f>
        <v/>
      </c>
      <c r="AC171" s="23" t="n"/>
      <c r="AD171" s="36" t="n"/>
      <c r="AE171" s="23" t="n"/>
      <c r="AF171" s="36" t="n"/>
      <c r="AG171" s="23" t="n"/>
      <c r="AH171" s="36" t="n"/>
      <c r="AI171" s="41">
        <f>IFERROR(AVERAGE(AD171,AF171,AH171),"")</f>
        <v/>
      </c>
      <c r="AJ171" s="29">
        <f>IFERROR(IF(AI171="","sem dados",IF(AB171&lt;AI171*0.95,"abaixo",IF(AB171&gt;AI171*1.05,"acima","em linha"))),"")</f>
        <v/>
      </c>
      <c r="AK171" s="23" t="inlineStr">
        <is>
          <t>não</t>
        </is>
      </c>
      <c r="AL171" s="23" t="n"/>
      <c r="AM171" s="23" t="n"/>
      <c r="AN171" s="23" t="n"/>
      <c r="AO171" s="44">
        <f>A171</f>
        <v/>
      </c>
      <c r="AP171" s="44">
        <f>D171</f>
        <v/>
      </c>
    </row>
    <row r="172" hidden="1" ht="15.75" customHeight="1" s="93">
      <c r="A172" s="23" t="inlineStr">
        <is>
          <t>5.5209.0549524.0</t>
        </is>
      </c>
      <c r="B172" s="23" t="inlineStr">
        <is>
          <t>549524</t>
        </is>
      </c>
      <c r="C172" s="29">
        <f>IFERROR(LOWER(SUBSTITUTE(SUBSTITUTE(SUBSTITUTE(SUBSTITUTE(D172," ","-"),"/","-"),".",""),",","")),"")</f>
        <v/>
      </c>
      <c r="D172" s="23" t="inlineStr">
        <is>
          <t>MRBO 19 A6.C1.C3.L</t>
        </is>
      </c>
      <c r="E172" s="23" t="n"/>
      <c r="F172" s="23" t="inlineStr">
        <is>
          <t>SOHIPREN</t>
        </is>
      </c>
      <c r="G172" s="23" t="n"/>
      <c r="H172" s="23" t="inlineStr">
        <is>
          <t>draft</t>
        </is>
      </c>
      <c r="I172" s="23" t="inlineStr">
        <is>
          <t>CAMINHÃO DE LEITE</t>
        </is>
      </c>
      <c r="J172" s="23" t="inlineStr">
        <is>
          <t>MOTOR</t>
        </is>
      </c>
      <c r="K172" s="23" t="inlineStr">
        <is>
          <t>BOMBA SANITÁRIA</t>
        </is>
      </c>
      <c r="L172" s="23" t="n"/>
      <c r="M172" s="31" t="n"/>
      <c r="N172" s="31" t="n"/>
      <c r="O172" s="31" t="n"/>
      <c r="P172" s="31" t="n"/>
      <c r="Q172" s="31" t="n"/>
      <c r="R172" s="34">
        <f>IFERROR(IF(AND(O172&gt;0,P172&gt;0,Q172&gt;0),(O172*P172*Q172)/6000,""),"")</f>
        <v/>
      </c>
      <c r="S172" s="34">
        <f>IFERROR(IF(AND(N172&gt;0,R172&gt;0),MAX(N172,R172),IF(N172&gt;0,N172,IF(R172&gt;0,R172,""))),"")</f>
        <v/>
      </c>
      <c r="T172" s="36" t="n"/>
      <c r="U172" s="38" t="inlineStr">
        <is>
          <t>FALTA</t>
        </is>
      </c>
      <c r="V172" s="36" t="n">
        <v>778</v>
      </c>
      <c r="W172" s="39" t="n">
        <v>0.3</v>
      </c>
      <c r="X172" s="41">
        <f>IFERROR(V172+T172,"")</f>
        <v/>
      </c>
      <c r="Y172" s="41">
        <f>IFERROR(IF(W172&lt;1,X172/(1-W172),""),"")</f>
        <v/>
      </c>
      <c r="Z172" s="43">
        <f>'01_CONFIG_GLOBAL'!$C$14</f>
        <v/>
      </c>
      <c r="AA172" s="41">
        <f>IFERROR(Y172*Z172,"")</f>
        <v/>
      </c>
      <c r="AB172" s="41">
        <f>IFERROR(IF(Z172&lt;1,Y172/(1-Z172),""),"")</f>
        <v/>
      </c>
      <c r="AC172" s="23" t="n"/>
      <c r="AD172" s="36" t="n"/>
      <c r="AE172" s="23" t="n"/>
      <c r="AF172" s="36" t="n"/>
      <c r="AG172" s="23" t="n"/>
      <c r="AH172" s="36" t="n"/>
      <c r="AI172" s="41">
        <f>IFERROR(AVERAGE(AD172,AF172,AH172),"")</f>
        <v/>
      </c>
      <c r="AJ172" s="29">
        <f>IFERROR(IF(AI172="","sem dados",IF(AB172&lt;AI172*0.95,"abaixo",IF(AB172&gt;AI172*1.05,"acima","em linha"))),"")</f>
        <v/>
      </c>
      <c r="AK172" s="23" t="inlineStr">
        <is>
          <t>não</t>
        </is>
      </c>
      <c r="AL172" s="23" t="n"/>
      <c r="AM172" s="23" t="n"/>
      <c r="AN172" s="23" t="n"/>
      <c r="AO172" s="44">
        <f>A172</f>
        <v/>
      </c>
      <c r="AP172" s="44">
        <f>D172</f>
        <v/>
      </c>
    </row>
    <row r="173" hidden="1" ht="15.75" customHeight="1" s="93">
      <c r="A173" s="23" t="inlineStr">
        <is>
          <t>5.5208.0548764.0</t>
        </is>
      </c>
      <c r="B173" s="23" t="inlineStr">
        <is>
          <t>548764</t>
        </is>
      </c>
      <c r="C173" s="29">
        <f>IFERROR(LOWER(SUBSTITUTE(SUBSTITUTE(SUBSTITUTE(SUBSTITUTE(D173," ","-"),"/","-"),".",""),",","")),"")</f>
        <v/>
      </c>
      <c r="D173" s="23" t="inlineStr">
        <is>
          <t>MUI BO 16 A6.C1.C30.M  -12V</t>
        </is>
      </c>
      <c r="E173" s="23" t="n"/>
      <c r="F173" s="23" t="inlineStr">
        <is>
          <t>SOHIPREN</t>
        </is>
      </c>
      <c r="G173" s="23" t="n"/>
      <c r="H173" s="23" t="inlineStr">
        <is>
          <t>draft</t>
        </is>
      </c>
      <c r="I173" s="23" t="inlineStr">
        <is>
          <t>CAMINHÃO DE LEITE</t>
        </is>
      </c>
      <c r="J173" s="23" t="inlineStr">
        <is>
          <t>MOTOR ELÉTRICO</t>
        </is>
      </c>
      <c r="K173" s="23" t="inlineStr">
        <is>
          <t>BOMBA SANITÁRIA</t>
        </is>
      </c>
      <c r="L173" s="23" t="n"/>
      <c r="M173" s="31" t="n"/>
      <c r="N173" s="31" t="n"/>
      <c r="O173" s="31" t="n"/>
      <c r="P173" s="31" t="n"/>
      <c r="Q173" s="31" t="n"/>
      <c r="R173" s="34">
        <f>IFERROR(IF(AND(O173&gt;0,P173&gt;0,Q173&gt;0),(O173*P173*Q173)/6000,""),"")</f>
        <v/>
      </c>
      <c r="S173" s="34">
        <f>IFERROR(IF(AND(N173&gt;0,R173&gt;0),MAX(N173,R173),IF(N173&gt;0,N173,IF(R173&gt;0,R173,""))),"")</f>
        <v/>
      </c>
      <c r="T173" s="36" t="n"/>
      <c r="U173" s="38" t="inlineStr">
        <is>
          <t>FALTA</t>
        </is>
      </c>
      <c r="V173" s="36" t="n">
        <v>708</v>
      </c>
      <c r="W173" s="39" t="n">
        <v>0.3</v>
      </c>
      <c r="X173" s="41">
        <f>IFERROR(V173+T173,"")</f>
        <v/>
      </c>
      <c r="Y173" s="41">
        <f>IFERROR(IF(W173&lt;1,X173/(1-W173),""),"")</f>
        <v/>
      </c>
      <c r="Z173" s="43">
        <f>'01_CONFIG_GLOBAL'!$C$14</f>
        <v/>
      </c>
      <c r="AA173" s="41">
        <f>IFERROR(Y173*Z173,"")</f>
        <v/>
      </c>
      <c r="AB173" s="41">
        <f>IFERROR(IF(Z173&lt;1,Y173/(1-Z173),""),"")</f>
        <v/>
      </c>
      <c r="AC173" s="23" t="n"/>
      <c r="AD173" s="36" t="n"/>
      <c r="AE173" s="23" t="n"/>
      <c r="AF173" s="36" t="n"/>
      <c r="AG173" s="23" t="n"/>
      <c r="AH173" s="36" t="n"/>
      <c r="AI173" s="41">
        <f>IFERROR(AVERAGE(AD173,AF173,AH173),"")</f>
        <v/>
      </c>
      <c r="AJ173" s="29">
        <f>IFERROR(IF(AI173="","sem dados",IF(AB173&lt;AI173*0.95,"abaixo",IF(AB173&gt;AI173*1.05,"acima","em linha"))),"")</f>
        <v/>
      </c>
      <c r="AK173" s="23" t="inlineStr">
        <is>
          <t>não</t>
        </is>
      </c>
      <c r="AL173" s="23" t="n"/>
      <c r="AM173" s="23" t="n"/>
      <c r="AN173" s="23" t="n"/>
      <c r="AO173" s="44">
        <f>A173</f>
        <v/>
      </c>
      <c r="AP173" s="44">
        <f>D173</f>
        <v/>
      </c>
    </row>
    <row r="174" hidden="1" ht="15.75" customHeight="1" s="93">
      <c r="A174" s="23" t="inlineStr">
        <is>
          <t>5.5209.0548766.0</t>
        </is>
      </c>
      <c r="B174" s="23" t="inlineStr">
        <is>
          <t>548766</t>
        </is>
      </c>
      <c r="C174" s="29">
        <f>IFERROR(LOWER(SUBSTITUTE(SUBSTITUTE(SUBSTITUTE(SUBSTITUTE(D174," ","-"),"/","-"),".",""),",","")),"")</f>
        <v/>
      </c>
      <c r="D174" s="23" t="inlineStr">
        <is>
          <t>MUI BO 19 B.C1.C30.M</t>
        </is>
      </c>
      <c r="E174" s="23" t="n"/>
      <c r="F174" s="23" t="inlineStr">
        <is>
          <t>SOHIPREN</t>
        </is>
      </c>
      <c r="G174" s="23" t="n"/>
      <c r="H174" s="23" t="inlineStr">
        <is>
          <t>draft</t>
        </is>
      </c>
      <c r="I174" s="23" t="inlineStr">
        <is>
          <t>CAMINHÃO DE LEITE</t>
        </is>
      </c>
      <c r="J174" s="23" t="inlineStr">
        <is>
          <t>MOTOR ELÉTRICO</t>
        </is>
      </c>
      <c r="K174" s="23" t="inlineStr">
        <is>
          <t>BOMBA SANITÁRIA</t>
        </is>
      </c>
      <c r="L174" s="23" t="n"/>
      <c r="M174" s="31" t="n"/>
      <c r="N174" s="31" t="n"/>
      <c r="O174" s="31" t="n"/>
      <c r="P174" s="31" t="n"/>
      <c r="Q174" s="31" t="n"/>
      <c r="R174" s="34">
        <f>IFERROR(IF(AND(O174&gt;0,P174&gt;0,Q174&gt;0),(O174*P174*Q174)/6000,""),"")</f>
        <v/>
      </c>
      <c r="S174" s="34">
        <f>IFERROR(IF(AND(N174&gt;0,R174&gt;0),MAX(N174,R174),IF(N174&gt;0,N174,IF(R174&gt;0,R174,""))),"")</f>
        <v/>
      </c>
      <c r="T174" s="36" t="n"/>
      <c r="U174" s="38" t="inlineStr">
        <is>
          <t>FALTA</t>
        </is>
      </c>
      <c r="V174" s="36" t="n">
        <v>1120</v>
      </c>
      <c r="W174" s="39" t="n">
        <v>0.3</v>
      </c>
      <c r="X174" s="41">
        <f>IFERROR(V174+T174,"")</f>
        <v/>
      </c>
      <c r="Y174" s="41">
        <f>IFERROR(IF(W174&lt;1,X174/(1-W174),""),"")</f>
        <v/>
      </c>
      <c r="Z174" s="43">
        <f>'01_CONFIG_GLOBAL'!$C$14</f>
        <v/>
      </c>
      <c r="AA174" s="41">
        <f>IFERROR(Y174*Z174,"")</f>
        <v/>
      </c>
      <c r="AB174" s="41">
        <f>IFERROR(IF(Z174&lt;1,Y174/(1-Z174),""),"")</f>
        <v/>
      </c>
      <c r="AC174" s="23" t="n"/>
      <c r="AD174" s="36" t="n"/>
      <c r="AE174" s="23" t="n"/>
      <c r="AF174" s="36" t="n"/>
      <c r="AG174" s="23" t="n"/>
      <c r="AH174" s="36" t="n"/>
      <c r="AI174" s="41">
        <f>IFERROR(AVERAGE(AD174,AF174,AH174),"")</f>
        <v/>
      </c>
      <c r="AJ174" s="29">
        <f>IFERROR(IF(AI174="","sem dados",IF(AB174&lt;AI174*0.95,"abaixo",IF(AB174&gt;AI174*1.05,"acima","em linha"))),"")</f>
        <v/>
      </c>
      <c r="AK174" s="23" t="inlineStr">
        <is>
          <t>não</t>
        </is>
      </c>
      <c r="AL174" s="23" t="n"/>
      <c r="AM174" s="23" t="n"/>
      <c r="AN174" s="23" t="n"/>
      <c r="AO174" s="44">
        <f>A174</f>
        <v/>
      </c>
      <c r="AP174" s="44">
        <f>D174</f>
        <v/>
      </c>
    </row>
    <row r="175" hidden="1" ht="15.75" customHeight="1" s="93">
      <c r="A175" s="23" t="inlineStr">
        <is>
          <t>5.5209.0548753.0</t>
        </is>
      </c>
      <c r="B175" s="23" t="inlineStr">
        <is>
          <t>548753</t>
        </is>
      </c>
      <c r="C175" s="29">
        <f>IFERROR(LOWER(SUBSTITUTE(SUBSTITUTE(SUBSTITUTE(SUBSTITUTE(D175," ","-"),"/","-"),".",""),",","")),"")</f>
        <v/>
      </c>
      <c r="D175" s="23" t="inlineStr">
        <is>
          <t>MUI BO 19 B.C1.C.L</t>
        </is>
      </c>
      <c r="E175" s="23" t="n"/>
      <c r="F175" s="23" t="inlineStr">
        <is>
          <t>SOHIPREN</t>
        </is>
      </c>
      <c r="G175" s="23" t="n"/>
      <c r="H175" s="23" t="inlineStr">
        <is>
          <t>draft</t>
        </is>
      </c>
      <c r="I175" s="23" t="inlineStr">
        <is>
          <t>CAMINHÃO DE LEITE</t>
        </is>
      </c>
      <c r="J175" s="23" t="inlineStr">
        <is>
          <t>MOTOR</t>
        </is>
      </c>
      <c r="K175" s="23" t="inlineStr">
        <is>
          <t>BOMBA SANITÁRIA</t>
        </is>
      </c>
      <c r="L175" s="23" t="n"/>
      <c r="M175" s="31" t="n"/>
      <c r="N175" s="31" t="n"/>
      <c r="O175" s="31" t="n"/>
      <c r="P175" s="31" t="n"/>
      <c r="Q175" s="31" t="n"/>
      <c r="R175" s="34">
        <f>IFERROR(IF(AND(O175&gt;0,P175&gt;0,Q175&gt;0),(O175*P175*Q175)/6000,""),"")</f>
        <v/>
      </c>
      <c r="S175" s="34">
        <f>IFERROR(IF(AND(N175&gt;0,R175&gt;0),MAX(N175,R175),IF(N175&gt;0,N175,IF(R175&gt;0,R175,""))),"")</f>
        <v/>
      </c>
      <c r="T175" s="36" t="n"/>
      <c r="U175" s="38" t="inlineStr">
        <is>
          <t>FALTA</t>
        </is>
      </c>
      <c r="V175" s="36" t="n">
        <v>605</v>
      </c>
      <c r="W175" s="39" t="n">
        <v>0.3</v>
      </c>
      <c r="X175" s="41">
        <f>IFERROR(V175+T175,"")</f>
        <v/>
      </c>
      <c r="Y175" s="41">
        <f>IFERROR(IF(W175&lt;1,X175/(1-W175),""),"")</f>
        <v/>
      </c>
      <c r="Z175" s="43">
        <f>'01_CONFIG_GLOBAL'!$C$14</f>
        <v/>
      </c>
      <c r="AA175" s="41">
        <f>IFERROR(Y175*Z175,"")</f>
        <v/>
      </c>
      <c r="AB175" s="41">
        <f>IFERROR(IF(Z175&lt;1,Y175/(1-Z175),""),"")</f>
        <v/>
      </c>
      <c r="AC175" s="23" t="n"/>
      <c r="AD175" s="36" t="n"/>
      <c r="AE175" s="23" t="n"/>
      <c r="AF175" s="36" t="n"/>
      <c r="AG175" s="23" t="n"/>
      <c r="AH175" s="36" t="n"/>
      <c r="AI175" s="41">
        <f>IFERROR(AVERAGE(AD175,AF175,AH175),"")</f>
        <v/>
      </c>
      <c r="AJ175" s="29">
        <f>IFERROR(IF(AI175="","sem dados",IF(AB175&lt;AI175*0.95,"abaixo",IF(AB175&gt;AI175*1.05,"acima","em linha"))),"")</f>
        <v/>
      </c>
      <c r="AK175" s="23" t="inlineStr">
        <is>
          <t>não</t>
        </is>
      </c>
      <c r="AL175" s="23" t="n"/>
      <c r="AM175" s="23" t="n"/>
      <c r="AN175" s="23" t="n"/>
      <c r="AO175" s="44">
        <f>A175</f>
        <v/>
      </c>
      <c r="AP175" s="44">
        <f>D175</f>
        <v/>
      </c>
    </row>
    <row r="176" hidden="1" ht="15.75" customHeight="1" s="93">
      <c r="A176" s="23" t="inlineStr">
        <is>
          <t>5.5209.L008340.0</t>
        </is>
      </c>
      <c r="B176" s="23" t="inlineStr">
        <is>
          <t>L00834</t>
        </is>
      </c>
      <c r="C176" s="29">
        <f>IFERROR(LOWER(SUBSTITUTE(SUBSTITUTE(SUBSTITUTE(SUBSTITUTE(D176," ","-"),"/","-"),".",""),",","")),"")</f>
        <v/>
      </c>
      <c r="D176" s="23" t="inlineStr">
        <is>
          <t>MUD BO 19 B.C1.C30.L</t>
        </is>
      </c>
      <c r="E176" s="23" t="n"/>
      <c r="F176" s="23" t="inlineStr">
        <is>
          <t>SOHIPREN</t>
        </is>
      </c>
      <c r="G176" s="23" t="n"/>
      <c r="H176" s="23" t="inlineStr">
        <is>
          <t>draft</t>
        </is>
      </c>
      <c r="I176" s="23" t="inlineStr">
        <is>
          <t>CAMINHÃO DE LEITE</t>
        </is>
      </c>
      <c r="J176" s="23" t="inlineStr">
        <is>
          <t>MOTOR</t>
        </is>
      </c>
      <c r="K176" s="23" t="inlineStr">
        <is>
          <t>BOMBA SANITÁRIA</t>
        </is>
      </c>
      <c r="L176" s="23" t="n"/>
      <c r="M176" s="31" t="n"/>
      <c r="N176" s="31" t="n"/>
      <c r="O176" s="31" t="n"/>
      <c r="P176" s="31" t="n"/>
      <c r="Q176" s="31" t="n"/>
      <c r="R176" s="34">
        <f>IFERROR(IF(AND(O176&gt;0,P176&gt;0,Q176&gt;0),(O176*P176*Q176)/6000,""),"")</f>
        <v/>
      </c>
      <c r="S176" s="34">
        <f>IFERROR(IF(AND(N176&gt;0,R176&gt;0),MAX(N176,R176),IF(N176&gt;0,N176,IF(R176&gt;0,R176,""))),"")</f>
        <v/>
      </c>
      <c r="T176" s="36" t="n"/>
      <c r="U176" s="38" t="inlineStr">
        <is>
          <t>FALTA</t>
        </is>
      </c>
      <c r="V176" s="36" t="n">
        <v>467.18</v>
      </c>
      <c r="W176" s="39" t="n">
        <v>0.3</v>
      </c>
      <c r="X176" s="41">
        <f>IFERROR(V176+T176,"")</f>
        <v/>
      </c>
      <c r="Y176" s="41">
        <f>IFERROR(IF(W176&lt;1,X176/(1-W176),""),"")</f>
        <v/>
      </c>
      <c r="Z176" s="43">
        <f>'01_CONFIG_GLOBAL'!$C$14</f>
        <v/>
      </c>
      <c r="AA176" s="41">
        <f>IFERROR(Y176*Z176,"")</f>
        <v/>
      </c>
      <c r="AB176" s="41">
        <f>IFERROR(IF(Z176&lt;1,Y176/(1-Z176),""),"")</f>
        <v/>
      </c>
      <c r="AC176" s="23" t="n"/>
      <c r="AD176" s="36" t="n"/>
      <c r="AE176" s="23" t="n"/>
      <c r="AF176" s="36" t="n"/>
      <c r="AG176" s="23" t="n"/>
      <c r="AH176" s="36" t="n"/>
      <c r="AI176" s="41">
        <f>IFERROR(AVERAGE(AD176,AF176,AH176),"")</f>
        <v/>
      </c>
      <c r="AJ176" s="29">
        <f>IFERROR(IF(AI176="","sem dados",IF(AB176&lt;AI176*0.95,"abaixo",IF(AB176&gt;AI176*1.05,"acima","em linha"))),"")</f>
        <v/>
      </c>
      <c r="AK176" s="23" t="inlineStr">
        <is>
          <t>não</t>
        </is>
      </c>
      <c r="AL176" s="23" t="n"/>
      <c r="AM176" s="23" t="n"/>
      <c r="AN176" s="23" t="n"/>
      <c r="AO176" s="44">
        <f>A176</f>
        <v/>
      </c>
      <c r="AP176" s="44">
        <f>D176</f>
        <v/>
      </c>
    </row>
    <row r="177" hidden="1" ht="15.75" customHeight="1" s="93">
      <c r="A177" s="23" t="inlineStr">
        <is>
          <t>5.0506.L025660.0</t>
        </is>
      </c>
      <c r="B177" s="23" t="inlineStr">
        <is>
          <t>L025660</t>
        </is>
      </c>
      <c r="C177" s="29">
        <f>IFERROR(LOWER(SUBSTITUTE(SUBSTITUTE(SUBSTITUTE(SUBSTITUTE(D177," ","-"),"/","-"),".",""),",","")),"")</f>
        <v/>
      </c>
      <c r="D177" s="23" t="inlineStr">
        <is>
          <t>MC1 26 201.1.21.77X.80 15-170 BAR</t>
        </is>
      </c>
      <c r="E177" s="23" t="n"/>
      <c r="F177" s="23" t="inlineStr">
        <is>
          <t>SOHIPREN</t>
        </is>
      </c>
      <c r="G177" s="23" t="n"/>
      <c r="H177" s="23" t="inlineStr">
        <is>
          <t>draft</t>
        </is>
      </c>
      <c r="I177" s="23" t="inlineStr">
        <is>
          <t>CAMINHÃO DE LEITE</t>
        </is>
      </c>
      <c r="J177" s="23" t="inlineStr">
        <is>
          <t>CAMINHÃO P/ COLETA</t>
        </is>
      </c>
      <c r="K177" s="23" t="inlineStr">
        <is>
          <t>PRINCIPAL</t>
        </is>
      </c>
      <c r="L177" s="23" t="n"/>
      <c r="M177" s="31" t="n"/>
      <c r="N177" s="31" t="n"/>
      <c r="O177" s="31" t="n"/>
      <c r="P177" s="31" t="n"/>
      <c r="Q177" s="31" t="n"/>
      <c r="R177" s="34">
        <f>IFERROR(IF(AND(O177&gt;0,P177&gt;0,Q177&gt;0),(O177*P177*Q177)/6000,""),"")</f>
        <v/>
      </c>
      <c r="S177" s="34">
        <f>IFERROR(IF(AND(N177&gt;0,R177&gt;0),MAX(N177,R177),IF(N177&gt;0,N177,IF(R177&gt;0,R177,""))),"")</f>
        <v/>
      </c>
      <c r="T177" s="36" t="n"/>
      <c r="U177" s="38" t="inlineStr">
        <is>
          <t>FALTA</t>
        </is>
      </c>
      <c r="V177" s="36" t="n">
        <v>1617.39</v>
      </c>
      <c r="W177" s="39" t="n">
        <v>0.3</v>
      </c>
      <c r="X177" s="41">
        <f>IFERROR(V177+T177,"")</f>
        <v/>
      </c>
      <c r="Y177" s="41">
        <f>IFERROR(IF(W177&lt;1,X177/(1-W177),""),"")</f>
        <v/>
      </c>
      <c r="Z177" s="43">
        <f>'01_CONFIG_GLOBAL'!$C$14</f>
        <v/>
      </c>
      <c r="AA177" s="41">
        <f>IFERROR(Y177*Z177,"")</f>
        <v/>
      </c>
      <c r="AB177" s="41">
        <f>IFERROR(IF(Z177&lt;1,Y177/(1-Z177),""),"")</f>
        <v/>
      </c>
      <c r="AC177" s="23" t="n"/>
      <c r="AD177" s="36" t="n"/>
      <c r="AE177" s="23" t="n"/>
      <c r="AF177" s="36" t="n"/>
      <c r="AG177" s="23" t="n"/>
      <c r="AH177" s="36" t="n"/>
      <c r="AI177" s="41">
        <f>IFERROR(AVERAGE(AD177,AF177,AH177),"")</f>
        <v/>
      </c>
      <c r="AJ177" s="29">
        <f>IFERROR(IF(AI177="","sem dados",IF(AB177&lt;AI177*0.95,"abaixo",IF(AB177&gt;AI177*1.05,"acima","em linha"))),"")</f>
        <v/>
      </c>
      <c r="AK177" s="23" t="inlineStr">
        <is>
          <t>não</t>
        </is>
      </c>
      <c r="AL177" s="23" t="n"/>
      <c r="AM177" s="23" t="n"/>
      <c r="AN177" s="23" t="n"/>
      <c r="AO177" s="44">
        <f>A177</f>
        <v/>
      </c>
      <c r="AP177" s="44">
        <f>D177</f>
        <v/>
      </c>
    </row>
    <row r="178" hidden="1" ht="15.75" customHeight="1" s="93">
      <c r="A178" s="23" t="inlineStr">
        <is>
          <t>5.0521.L025581.0</t>
        </is>
      </c>
      <c r="B178" s="23" t="inlineStr">
        <is>
          <t>L025581</t>
        </is>
      </c>
      <c r="C178" s="29">
        <f>IFERROR(LOWER(SUBSTITUTE(SUBSTITUTE(SUBSTITUTE(SUBSTITUTE(D178," ","-"),"/","-"),".",""),",","")),"")</f>
        <v/>
      </c>
      <c r="D178" s="23" t="inlineStr">
        <is>
          <t>MC1 60 201.1.21.74/60.74/40.74.L</t>
        </is>
      </c>
      <c r="E178" s="23" t="n"/>
      <c r="F178" s="23" t="inlineStr">
        <is>
          <t>SOHIPREN</t>
        </is>
      </c>
      <c r="G178" s="23" t="n"/>
      <c r="H178" s="23" t="inlineStr">
        <is>
          <t>draft</t>
        </is>
      </c>
      <c r="I178" s="23" t="inlineStr">
        <is>
          <t>CAMINHÃO DE LEITE</t>
        </is>
      </c>
      <c r="J178" s="23" t="inlineStr">
        <is>
          <t>CAMINHÃO P/ COLETA</t>
        </is>
      </c>
      <c r="K178" s="23" t="inlineStr">
        <is>
          <t>PRINCIPAL</t>
        </is>
      </c>
      <c r="L178" s="23" t="n"/>
      <c r="M178" s="31" t="n"/>
      <c r="N178" s="31" t="n"/>
      <c r="O178" s="31" t="n"/>
      <c r="P178" s="31" t="n"/>
      <c r="Q178" s="31" t="n"/>
      <c r="R178" s="34">
        <f>IFERROR(IF(AND(O178&gt;0,P178&gt;0,Q178&gt;0),(O178*P178*Q178)/6000,""),"")</f>
        <v/>
      </c>
      <c r="S178" s="34">
        <f>IFERROR(IF(AND(N178&gt;0,R178&gt;0),MAX(N178,R178),IF(N178&gt;0,N178,IF(R178&gt;0,R178,""))),"")</f>
        <v/>
      </c>
      <c r="T178" s="36" t="n"/>
      <c r="U178" s="38" t="inlineStr">
        <is>
          <t>FALTA</t>
        </is>
      </c>
      <c r="V178" s="36" t="n">
        <v>1815</v>
      </c>
      <c r="W178" s="39" t="n">
        <v>0.3</v>
      </c>
      <c r="X178" s="41">
        <f>IFERROR(V178+T178,"")</f>
        <v/>
      </c>
      <c r="Y178" s="41">
        <f>IFERROR(IF(W178&lt;1,X178/(1-W178),""),"")</f>
        <v/>
      </c>
      <c r="Z178" s="43">
        <f>'01_CONFIG_GLOBAL'!$C$14</f>
        <v/>
      </c>
      <c r="AA178" s="41">
        <f>IFERROR(Y178*Z178,"")</f>
        <v/>
      </c>
      <c r="AB178" s="41">
        <f>IFERROR(IF(Z178&lt;1,Y178/(1-Z178),""),"")</f>
        <v/>
      </c>
      <c r="AC178" s="23" t="n"/>
      <c r="AD178" s="36" t="n"/>
      <c r="AE178" s="23" t="n"/>
      <c r="AF178" s="36" t="n"/>
      <c r="AG178" s="23" t="n"/>
      <c r="AH178" s="36" t="n"/>
      <c r="AI178" s="41">
        <f>IFERROR(AVERAGE(AD178,AF178,AH178),"")</f>
        <v/>
      </c>
      <c r="AJ178" s="29">
        <f>IFERROR(IF(AI178="","sem dados",IF(AB178&lt;AI178*0.95,"abaixo",IF(AB178&gt;AI178*1.05,"acima","em linha"))),"")</f>
        <v/>
      </c>
      <c r="AK178" s="23" t="inlineStr">
        <is>
          <t>não</t>
        </is>
      </c>
      <c r="AL178" s="23" t="n"/>
      <c r="AM178" s="23" t="n"/>
      <c r="AN178" s="23" t="n"/>
      <c r="AO178" s="44">
        <f>A178</f>
        <v/>
      </c>
      <c r="AP178" s="44">
        <f>D178</f>
        <v/>
      </c>
    </row>
    <row r="179" hidden="1" ht="15.75" customHeight="1" s="93">
      <c r="A179" s="23" t="inlineStr">
        <is>
          <t>5.0506.0505512.0</t>
        </is>
      </c>
      <c r="B179" s="23" t="inlineStr">
        <is>
          <t>505512</t>
        </is>
      </c>
      <c r="C179" s="29">
        <f>IFERROR(LOWER(SUBSTITUTE(SUBSTITUTE(SUBSTITUTE(SUBSTITUTE(D179," ","-"),"/","-"),".",""),",","")),"")</f>
        <v/>
      </c>
      <c r="D179" s="23" t="inlineStr">
        <is>
          <t>MC1 60 201.2.21.94.80  24-170 BAR</t>
        </is>
      </c>
      <c r="E179" s="23" t="n"/>
      <c r="F179" s="23" t="inlineStr">
        <is>
          <t>SOHIPREN</t>
        </is>
      </c>
      <c r="G179" s="23" t="n"/>
      <c r="H179" s="23" t="inlineStr">
        <is>
          <t>draft</t>
        </is>
      </c>
      <c r="I179" s="23" t="inlineStr">
        <is>
          <t>CAMINHÃO DE LEITE</t>
        </is>
      </c>
      <c r="J179" s="23" t="inlineStr">
        <is>
          <t>CAMINHÃO P/ COLETA</t>
        </is>
      </c>
      <c r="K179" s="23" t="inlineStr">
        <is>
          <t>PRINCIPAL</t>
        </is>
      </c>
      <c r="L179" s="23" t="n"/>
      <c r="M179" s="31" t="n"/>
      <c r="N179" s="31" t="n"/>
      <c r="O179" s="31" t="n"/>
      <c r="P179" s="31" t="n"/>
      <c r="Q179" s="31" t="n"/>
      <c r="R179" s="34">
        <f>IFERROR(IF(AND(O179&gt;0,P179&gt;0,Q179&gt;0),(O179*P179*Q179)/6000,""),"")</f>
        <v/>
      </c>
      <c r="S179" s="34">
        <f>IFERROR(IF(AND(N179&gt;0,R179&gt;0),MAX(N179,R179),IF(N179&gt;0,N179,IF(R179&gt;0,R179,""))),"")</f>
        <v/>
      </c>
      <c r="T179" s="36" t="n"/>
      <c r="U179" s="38" t="inlineStr">
        <is>
          <t>FALTA</t>
        </is>
      </c>
      <c r="V179" s="36" t="n">
        <v>1193.11</v>
      </c>
      <c r="W179" s="39" t="n">
        <v>0.3</v>
      </c>
      <c r="X179" s="41">
        <f>IFERROR(V179+T179,"")</f>
        <v/>
      </c>
      <c r="Y179" s="41">
        <f>IFERROR(IF(W179&lt;1,X179/(1-W179),""),"")</f>
        <v/>
      </c>
      <c r="Z179" s="43">
        <f>'01_CONFIG_GLOBAL'!$C$14</f>
        <v/>
      </c>
      <c r="AA179" s="41">
        <f>IFERROR(Y179*Z179,"")</f>
        <v/>
      </c>
      <c r="AB179" s="41">
        <f>IFERROR(IF(Z179&lt;1,Y179/(1-Z179),""),"")</f>
        <v/>
      </c>
      <c r="AC179" s="23" t="n"/>
      <c r="AD179" s="36" t="n"/>
      <c r="AE179" s="23" t="n"/>
      <c r="AF179" s="36" t="n"/>
      <c r="AG179" s="23" t="n"/>
      <c r="AH179" s="36" t="n"/>
      <c r="AI179" s="41">
        <f>IFERROR(AVERAGE(AD179,AF179,AH179),"")</f>
        <v/>
      </c>
      <c r="AJ179" s="29">
        <f>IFERROR(IF(AI179="","sem dados",IF(AB179&lt;AI179*0.95,"abaixo",IF(AB179&gt;AI179*1.05,"acima","em linha"))),"")</f>
        <v/>
      </c>
      <c r="AK179" s="23" t="inlineStr">
        <is>
          <t>não</t>
        </is>
      </c>
      <c r="AL179" s="23" t="n"/>
      <c r="AM179" s="23" t="n"/>
      <c r="AN179" s="23" t="n"/>
      <c r="AO179" s="44">
        <f>A179</f>
        <v/>
      </c>
      <c r="AP179" s="44">
        <f>D179</f>
        <v/>
      </c>
    </row>
    <row r="180" hidden="1" ht="15.75" customHeight="1" s="93">
      <c r="A180" s="23" t="inlineStr">
        <is>
          <t>6.0460.L082554.0</t>
        </is>
      </c>
      <c r="B180" s="23" t="inlineStr">
        <is>
          <t>L082554</t>
        </is>
      </c>
      <c r="C180" s="29">
        <f>IFERROR(LOWER(SUBSTITUTE(SUBSTITUTE(SUBSTITUTE(SUBSTITUTE(D180," ","-"),"/","-"),".",""),",","")),"")</f>
        <v/>
      </c>
      <c r="D180" s="23" t="inlineStr">
        <is>
          <t>BLSHP-00073</t>
        </is>
      </c>
      <c r="E180" s="23" t="n"/>
      <c r="F180" s="23" t="inlineStr">
        <is>
          <t>SOHIPREN</t>
        </is>
      </c>
      <c r="G180" s="23" t="n"/>
      <c r="H180" s="23" t="inlineStr">
        <is>
          <t>draft</t>
        </is>
      </c>
      <c r="I180" s="23" t="inlineStr">
        <is>
          <t>CASALE</t>
        </is>
      </c>
      <c r="J180" s="23" t="inlineStr">
        <is>
          <t>FERTILIZADORA</t>
        </is>
      </c>
      <c r="K180" s="23" t="inlineStr">
        <is>
          <t>BLOCO REGULADOR DE VELOCIDADE MOTOR</t>
        </is>
      </c>
      <c r="L180" s="23" t="inlineStr">
        <is>
          <t>84301</t>
        </is>
      </c>
      <c r="M180" s="31" t="n"/>
      <c r="N180" s="31" t="n"/>
      <c r="O180" s="31" t="n"/>
      <c r="P180" s="31" t="n"/>
      <c r="Q180" s="31" t="n"/>
      <c r="R180" s="34">
        <f>IFERROR(IF(AND(O180&gt;0,P180&gt;0,Q180&gt;0),(O180*P180*Q180)/6000,""),"")</f>
        <v/>
      </c>
      <c r="S180" s="34">
        <f>IFERROR(IF(AND(N180&gt;0,R180&gt;0),MAX(N180,R180),IF(N180&gt;0,N180,IF(R180&gt;0,R180,""))),"")</f>
        <v/>
      </c>
      <c r="T180" s="36" t="n"/>
      <c r="U180" s="38" t="inlineStr">
        <is>
          <t>FALTA</t>
        </is>
      </c>
      <c r="V180" s="36" t="n">
        <v>3255.05</v>
      </c>
      <c r="W180" s="39" t="n">
        <v>0.3</v>
      </c>
      <c r="X180" s="41">
        <f>IFERROR(V180+T180,"")</f>
        <v/>
      </c>
      <c r="Y180" s="41">
        <f>IFERROR(IF(W180&lt;1,X180/(1-W180),""),"")</f>
        <v/>
      </c>
      <c r="Z180" s="43">
        <f>'01_CONFIG_GLOBAL'!$C$14</f>
        <v/>
      </c>
      <c r="AA180" s="41">
        <f>IFERROR(Y180*Z180,"")</f>
        <v/>
      </c>
      <c r="AB180" s="41">
        <f>IFERROR(IF(Z180&lt;1,Y180/(1-Z180),""),"")</f>
        <v/>
      </c>
      <c r="AC180" s="23" t="n"/>
      <c r="AD180" s="36" t="n"/>
      <c r="AE180" s="23" t="n"/>
      <c r="AF180" s="36" t="n"/>
      <c r="AG180" s="23" t="n"/>
      <c r="AH180" s="36" t="n"/>
      <c r="AI180" s="41">
        <f>IFERROR(AVERAGE(AD180,AF180,AH180),"")</f>
        <v/>
      </c>
      <c r="AJ180" s="29">
        <f>IFERROR(IF(AI180="","sem dados",IF(AB180&lt;AI180*0.95,"abaixo",IF(AB180&gt;AI180*1.05,"acima","em linha"))),"")</f>
        <v/>
      </c>
      <c r="AK180" s="23" t="inlineStr">
        <is>
          <t>não</t>
        </is>
      </c>
      <c r="AL180" s="23" t="n"/>
      <c r="AM180" s="23" t="n"/>
      <c r="AN180" s="23" t="n"/>
      <c r="AO180" s="44">
        <f>A180</f>
        <v/>
      </c>
      <c r="AP180" s="44">
        <f>D180</f>
        <v/>
      </c>
    </row>
    <row r="181" hidden="1" ht="15.75" customHeight="1" s="93">
      <c r="A181" s="23" t="inlineStr">
        <is>
          <t>6.0460.L082508.0</t>
        </is>
      </c>
      <c r="B181" s="23" t="inlineStr">
        <is>
          <t>L082508</t>
        </is>
      </c>
      <c r="C181" s="29">
        <f>IFERROR(LOWER(SUBSTITUTE(SUBSTITUTE(SUBSTITUTE(SUBSTITUTE(D181," ","-"),"/","-"),".",""),",","")),"")</f>
        <v/>
      </c>
      <c r="D181" s="23" t="inlineStr">
        <is>
          <t>BLSHP-00067</t>
        </is>
      </c>
      <c r="E181" s="23" t="n"/>
      <c r="F181" s="23" t="inlineStr">
        <is>
          <t>SOHIPREN</t>
        </is>
      </c>
      <c r="G181" s="23" t="n"/>
      <c r="H181" s="23" t="inlineStr">
        <is>
          <t>draft</t>
        </is>
      </c>
      <c r="I181" s="23" t="inlineStr">
        <is>
          <t>CASALE</t>
        </is>
      </c>
      <c r="J181" s="23" t="inlineStr">
        <is>
          <t>FERTILIZADORA</t>
        </is>
      </c>
      <c r="K181" s="23" t="inlineStr">
        <is>
          <t>BLOCO REGULADOR DE VELOCIDADE MOTOR</t>
        </is>
      </c>
      <c r="L181" s="23" t="inlineStr">
        <is>
          <t>84301</t>
        </is>
      </c>
      <c r="M181" s="31" t="n"/>
      <c r="N181" s="31" t="n"/>
      <c r="O181" s="31" t="n"/>
      <c r="P181" s="31" t="n"/>
      <c r="Q181" s="31" t="n"/>
      <c r="R181" s="34">
        <f>IFERROR(IF(AND(O181&gt;0,P181&gt;0,Q181&gt;0),(O181*P181*Q181)/6000,""),"")</f>
        <v/>
      </c>
      <c r="S181" s="34">
        <f>IFERROR(IF(AND(N181&gt;0,R181&gt;0),MAX(N181,R181),IF(N181&gt;0,N181,IF(R181&gt;0,R181,""))),"")</f>
        <v/>
      </c>
      <c r="T181" s="36" t="n"/>
      <c r="U181" s="38" t="inlineStr">
        <is>
          <t>FALTA</t>
        </is>
      </c>
      <c r="V181" s="36" t="n">
        <v>2230</v>
      </c>
      <c r="W181" s="39" t="n">
        <v>0.3</v>
      </c>
      <c r="X181" s="41">
        <f>IFERROR(V181+T181,"")</f>
        <v/>
      </c>
      <c r="Y181" s="41">
        <f>IFERROR(IF(W181&lt;1,X181/(1-W181),""),"")</f>
        <v/>
      </c>
      <c r="Z181" s="43">
        <f>'01_CONFIG_GLOBAL'!$C$14</f>
        <v/>
      </c>
      <c r="AA181" s="41">
        <f>IFERROR(Y181*Z181,"")</f>
        <v/>
      </c>
      <c r="AB181" s="41">
        <f>IFERROR(IF(Z181&lt;1,Y181/(1-Z181),""),"")</f>
        <v/>
      </c>
      <c r="AC181" s="23" t="n"/>
      <c r="AD181" s="36" t="n"/>
      <c r="AE181" s="23" t="n"/>
      <c r="AF181" s="36" t="n"/>
      <c r="AG181" s="23" t="n"/>
      <c r="AH181" s="36" t="n"/>
      <c r="AI181" s="41">
        <f>IFERROR(AVERAGE(AD181,AF181,AH181),"")</f>
        <v/>
      </c>
      <c r="AJ181" s="29">
        <f>IFERROR(IF(AI181="","sem dados",IF(AB181&lt;AI181*0.95,"abaixo",IF(AB181&gt;AI181*1.05,"acima","em linha"))),"")</f>
        <v/>
      </c>
      <c r="AK181" s="23" t="inlineStr">
        <is>
          <t>não</t>
        </is>
      </c>
      <c r="AL181" s="23" t="n"/>
      <c r="AM181" s="23" t="n"/>
      <c r="AN181" s="23" t="n"/>
      <c r="AO181" s="44">
        <f>A181</f>
        <v/>
      </c>
      <c r="AP181" s="44">
        <f>D181</f>
        <v/>
      </c>
    </row>
    <row r="182" hidden="1" ht="15.75" customHeight="1" s="93">
      <c r="A182" s="23" t="inlineStr">
        <is>
          <t>5.0207.L026973.0</t>
        </is>
      </c>
      <c r="B182" s="23" t="inlineStr">
        <is>
          <t>L026973</t>
        </is>
      </c>
      <c r="C182" s="29">
        <f>IFERROR(LOWER(SUBSTITUTE(SUBSTITUTE(SUBSTITUTE(SUBSTITUTE(D182," ","-"),"/","-"),".",""),",","")),"")</f>
        <v/>
      </c>
      <c r="D182" s="23" t="inlineStr">
        <is>
          <t>BOD 14 E18.C.B4.L</t>
        </is>
      </c>
      <c r="E182" s="23" t="inlineStr">
        <is>
          <t>Bombas Hidráulicas</t>
        </is>
      </c>
      <c r="F182" s="23" t="inlineStr">
        <is>
          <t>SOHIPREN</t>
        </is>
      </c>
      <c r="G182" s="23" t="n"/>
      <c r="H182" s="23" t="inlineStr">
        <is>
          <t>draft</t>
        </is>
      </c>
      <c r="I182" s="23" t="inlineStr">
        <is>
          <t>CASAPPA</t>
        </is>
      </c>
      <c r="J182" s="23" t="n"/>
      <c r="K182" s="23" t="n"/>
      <c r="L182" s="23" t="inlineStr">
        <is>
          <t>PLP20.14D0-03S1-LE B / EA-N-EL</t>
        </is>
      </c>
      <c r="M182" s="31" t="n"/>
      <c r="N182" s="31" t="n"/>
      <c r="O182" s="31" t="n"/>
      <c r="P182" s="31" t="n"/>
      <c r="Q182" s="31" t="n"/>
      <c r="R182" s="34">
        <f>IFERROR(IF(AND(O182&gt;0,P182&gt;0,Q182&gt;0),(O182*P182*Q182)/6000,""),"")</f>
        <v/>
      </c>
      <c r="S182" s="34">
        <f>IFERROR(IF(AND(N182&gt;0,R182&gt;0),MAX(N182,R182),IF(N182&gt;0,N182,IF(R182&gt;0,R182,""))),"")</f>
        <v/>
      </c>
      <c r="T182" s="36" t="n"/>
      <c r="U182" s="38" t="inlineStr">
        <is>
          <t>FALTA</t>
        </is>
      </c>
      <c r="V182" s="36" t="n">
        <v>605</v>
      </c>
      <c r="W182" s="39" t="n">
        <v>0.3</v>
      </c>
      <c r="X182" s="41">
        <f>IFERROR(V182+T182,"")</f>
        <v/>
      </c>
      <c r="Y182" s="41">
        <f>IFERROR(IF(W182&lt;1,X182/(1-W182),""),"")</f>
        <v/>
      </c>
      <c r="Z182" s="43">
        <f>'01_CONFIG_GLOBAL'!$C$14</f>
        <v/>
      </c>
      <c r="AA182" s="41">
        <f>IFERROR(Y182*Z182,"")</f>
        <v/>
      </c>
      <c r="AB182" s="41">
        <f>IFERROR(IF(Z182&lt;1,Y182/(1-Z182),""),"")</f>
        <v/>
      </c>
      <c r="AC182" s="23" t="n"/>
      <c r="AD182" s="36" t="n"/>
      <c r="AE182" s="23" t="n"/>
      <c r="AF182" s="36" t="n"/>
      <c r="AG182" s="23" t="n"/>
      <c r="AH182" s="36" t="n"/>
      <c r="AI182" s="41">
        <f>IFERROR(AVERAGE(AD182,AF182,AH182),"")</f>
        <v/>
      </c>
      <c r="AJ182" s="29">
        <f>IFERROR(IF(AI182="","sem dados",IF(AB182&lt;AI182*0.95,"abaixo",IF(AB182&gt;AI182*1.05,"acima","em linha"))),"")</f>
        <v/>
      </c>
      <c r="AK182" s="23" t="inlineStr">
        <is>
          <t>não</t>
        </is>
      </c>
      <c r="AL182" s="23" t="n"/>
      <c r="AM182" s="23" t="n"/>
      <c r="AN182" s="23" t="n"/>
      <c r="AO182" s="44">
        <f>A182</f>
        <v/>
      </c>
      <c r="AP182" s="44">
        <f>D182</f>
        <v/>
      </c>
    </row>
    <row r="183" hidden="1" ht="15.75" customHeight="1" s="93">
      <c r="A183" s="23" t="inlineStr">
        <is>
          <t>5.0205.L025747.0</t>
        </is>
      </c>
      <c r="B183" s="23" t="inlineStr">
        <is>
          <t>L025747</t>
        </is>
      </c>
      <c r="C183" s="29">
        <f>IFERROR(LOWER(SUBSTITUTE(SUBSTITUTE(SUBSTITUTE(SUBSTITUTE(D183," ","-"),"/","-"),".",""),",","")),"")</f>
        <v/>
      </c>
      <c r="D183" s="23" t="inlineStr">
        <is>
          <t>BOMBA HIDRÁULICA - APLICAÇÃO 8 A.B9.C23.L</t>
        </is>
      </c>
      <c r="E183" s="23" t="inlineStr">
        <is>
          <t>Bombas Hidráulicas</t>
        </is>
      </c>
      <c r="F183" s="23" t="inlineStr">
        <is>
          <t>SOHIPREN</t>
        </is>
      </c>
      <c r="G183" s="23" t="n"/>
      <c r="H183" s="23" t="inlineStr">
        <is>
          <t>draft</t>
        </is>
      </c>
      <c r="I183" s="23" t="inlineStr">
        <is>
          <t>CASAPPA</t>
        </is>
      </c>
      <c r="J183" s="23" t="n"/>
      <c r="K183" s="23" t="n"/>
      <c r="L183" s="23" t="inlineStr">
        <is>
          <t>PLP20.8S0-95B6-LGE/GD-N-EL-FIL / 0437206S</t>
        </is>
      </c>
      <c r="M183" s="31" t="n"/>
      <c r="N183" s="31" t="n"/>
      <c r="O183" s="31" t="n"/>
      <c r="P183" s="31" t="n"/>
      <c r="Q183" s="31" t="n"/>
      <c r="R183" s="34">
        <f>IFERROR(IF(AND(O183&gt;0,P183&gt;0,Q183&gt;0),(O183*P183*Q183)/6000,""),"")</f>
        <v/>
      </c>
      <c r="S183" s="34">
        <f>IFERROR(IF(AND(N183&gt;0,R183&gt;0),MAX(N183,R183),IF(N183&gt;0,N183,IF(R183&gt;0,R183,""))),"")</f>
        <v/>
      </c>
      <c r="T183" s="36" t="n"/>
      <c r="U183" s="38" t="inlineStr">
        <is>
          <t>FALTA</t>
        </is>
      </c>
      <c r="V183" s="36" t="n">
        <v>473</v>
      </c>
      <c r="W183" s="39" t="n">
        <v>0.3</v>
      </c>
      <c r="X183" s="41">
        <f>IFERROR(V183+T183,"")</f>
        <v/>
      </c>
      <c r="Y183" s="41">
        <f>IFERROR(IF(W183&lt;1,X183/(1-W183),""),"")</f>
        <v/>
      </c>
      <c r="Z183" s="43">
        <f>'01_CONFIG_GLOBAL'!$C$14</f>
        <v/>
      </c>
      <c r="AA183" s="41">
        <f>IFERROR(Y183*Z183,"")</f>
        <v/>
      </c>
      <c r="AB183" s="41">
        <f>IFERROR(IF(Z183&lt;1,Y183/(1-Z183),""),"")</f>
        <v/>
      </c>
      <c r="AC183" s="23" t="n"/>
      <c r="AD183" s="36" t="n"/>
      <c r="AE183" s="23" t="n"/>
      <c r="AF183" s="36" t="n"/>
      <c r="AG183" s="23" t="n"/>
      <c r="AH183" s="36" t="n"/>
      <c r="AI183" s="41">
        <f>IFERROR(AVERAGE(AD183,AF183,AH183),"")</f>
        <v/>
      </c>
      <c r="AJ183" s="29">
        <f>IFERROR(IF(AI183="","sem dados",IF(AB183&lt;AI183*0.95,"abaixo",IF(AB183&gt;AI183*1.05,"acima","em linha"))),"")</f>
        <v/>
      </c>
      <c r="AK183" s="23" t="inlineStr">
        <is>
          <t>não</t>
        </is>
      </c>
      <c r="AL183" s="23" t="n"/>
      <c r="AM183" s="23" t="n"/>
      <c r="AN183" s="23" t="n"/>
      <c r="AO183" s="44">
        <f>A183</f>
        <v/>
      </c>
      <c r="AP183" s="44">
        <f>D183</f>
        <v/>
      </c>
    </row>
    <row r="184" hidden="1" ht="15.75" customHeight="1" s="93">
      <c r="A184" s="23" t="inlineStr">
        <is>
          <t>5.0220.0549016.0</t>
        </is>
      </c>
      <c r="B184" s="23" t="inlineStr">
        <is>
          <t>549016</t>
        </is>
      </c>
      <c r="C184" s="29">
        <f>IFERROR(LOWER(SUBSTITUTE(SUBSTITUTE(SUBSTITUTE(SUBSTITUTE(D184," ","-"),"/","-"),".",""),",","")),"")</f>
        <v/>
      </c>
      <c r="D184" s="23" t="inlineStr">
        <is>
          <t>BOMBA HIDRÁULICA - APLICAÇÃO 16 B1.P1.A42/11 A42.L</t>
        </is>
      </c>
      <c r="E184" s="23" t="inlineStr">
        <is>
          <t>Bombas Hidráulicas</t>
        </is>
      </c>
      <c r="F184" s="23" t="inlineStr">
        <is>
          <t>SOHIPREN</t>
        </is>
      </c>
      <c r="G184" s="23" t="n"/>
      <c r="H184" s="23" t="inlineStr">
        <is>
          <t>draft</t>
        </is>
      </c>
      <c r="I184" s="23" t="inlineStr">
        <is>
          <t>CASE</t>
        </is>
      </c>
      <c r="J184" s="23" t="inlineStr">
        <is>
          <t>ESCAVADEIRA DE ESTEIRA</t>
        </is>
      </c>
      <c r="K184" s="23" t="inlineStr">
        <is>
          <t>PRINCIPAL</t>
        </is>
      </c>
      <c r="L184" s="23" t="inlineStr">
        <is>
          <t>P04884224G</t>
        </is>
      </c>
      <c r="M184" s="31" t="n"/>
      <c r="N184" s="31" t="n"/>
      <c r="O184" s="31" t="n"/>
      <c r="P184" s="31" t="n"/>
      <c r="Q184" s="31" t="n"/>
      <c r="R184" s="34">
        <f>IFERROR(IF(AND(O184&gt;0,P184&gt;0,Q184&gt;0),(O184*P184*Q184)/6000,""),"")</f>
        <v/>
      </c>
      <c r="S184" s="34">
        <f>IFERROR(IF(AND(N184&gt;0,R184&gt;0),MAX(N184,R184),IF(N184&gt;0,N184,IF(R184&gt;0,R184,""))),"")</f>
        <v/>
      </c>
      <c r="T184" s="36" t="n"/>
      <c r="U184" s="38" t="inlineStr">
        <is>
          <t>FALTA</t>
        </is>
      </c>
      <c r="V184" s="36" t="n">
        <v>1210</v>
      </c>
      <c r="W184" s="39" t="n">
        <v>0.3</v>
      </c>
      <c r="X184" s="41">
        <f>IFERROR(V184+T184,"")</f>
        <v/>
      </c>
      <c r="Y184" s="41">
        <f>IFERROR(IF(W184&lt;1,X184/(1-W184),""),"")</f>
        <v/>
      </c>
      <c r="Z184" s="43">
        <f>'01_CONFIG_GLOBAL'!$C$14</f>
        <v/>
      </c>
      <c r="AA184" s="41">
        <f>IFERROR(Y184*Z184,"")</f>
        <v/>
      </c>
      <c r="AB184" s="41">
        <f>IFERROR(IF(Z184&lt;1,Y184/(1-Z184),""),"")</f>
        <v/>
      </c>
      <c r="AC184" s="23" t="n"/>
      <c r="AD184" s="36" t="n"/>
      <c r="AE184" s="23" t="n"/>
      <c r="AF184" s="36" t="n"/>
      <c r="AG184" s="23" t="n"/>
      <c r="AH184" s="36" t="n"/>
      <c r="AI184" s="41">
        <f>IFERROR(AVERAGE(AD184,AF184,AH184),"")</f>
        <v/>
      </c>
      <c r="AJ184" s="29">
        <f>IFERROR(IF(AI184="","sem dados",IF(AB184&lt;AI184*0.95,"abaixo",IF(AB184&gt;AI184*1.05,"acima","em linha"))),"")</f>
        <v/>
      </c>
      <c r="AK184" s="23" t="inlineStr">
        <is>
          <t>não</t>
        </is>
      </c>
      <c r="AL184" s="23" t="n"/>
      <c r="AM184" s="23" t="n"/>
      <c r="AN184" s="23" t="n"/>
      <c r="AO184" s="44">
        <f>A184</f>
        <v/>
      </c>
      <c r="AP184" s="44">
        <f>D184</f>
        <v/>
      </c>
    </row>
    <row r="185" hidden="1" ht="15.75" customHeight="1" s="93">
      <c r="A185" s="23" t="inlineStr">
        <is>
          <t>5.5205.0548769.0</t>
        </is>
      </c>
      <c r="B185" s="23" t="inlineStr">
        <is>
          <t>548769</t>
        </is>
      </c>
      <c r="C185" s="29">
        <f>IFERROR(LOWER(SUBSTITUTE(SUBSTITUTE(SUBSTITUTE(SUBSTITUTE(D185," ","-"),"/","-"),".",""),",","")),"")</f>
        <v/>
      </c>
      <c r="D185" s="23" t="inlineStr">
        <is>
          <t>MUD BO 8 B1.B12.A.L</t>
        </is>
      </c>
      <c r="E185" s="23" t="n"/>
      <c r="F185" s="23" t="inlineStr">
        <is>
          <t>SOHIPREN</t>
        </is>
      </c>
      <c r="G185" s="23" t="n"/>
      <c r="H185" s="23" t="inlineStr">
        <is>
          <t>draft</t>
        </is>
      </c>
      <c r="I185" s="23" t="inlineStr">
        <is>
          <t>CASE</t>
        </is>
      </c>
      <c r="J185" s="23" t="inlineStr">
        <is>
          <t>ESCAVADEIRAS DE ESTEIRAS</t>
        </is>
      </c>
      <c r="K185" s="23" t="inlineStr">
        <is>
          <t>MOTOR VENTILADOR</t>
        </is>
      </c>
      <c r="L185" s="23" t="inlineStr">
        <is>
          <t>P148254UC K 19437-62</t>
        </is>
      </c>
      <c r="M185" s="31" t="n"/>
      <c r="N185" s="31" t="n"/>
      <c r="O185" s="31" t="n"/>
      <c r="P185" s="31" t="n"/>
      <c r="Q185" s="31" t="n"/>
      <c r="R185" s="34">
        <f>IFERROR(IF(AND(O185&gt;0,P185&gt;0,Q185&gt;0),(O185*P185*Q185)/6000,""),"")</f>
        <v/>
      </c>
      <c r="S185" s="34">
        <f>IFERROR(IF(AND(N185&gt;0,R185&gt;0),MAX(N185,R185),IF(N185&gt;0,N185,IF(R185&gt;0,R185,""))),"")</f>
        <v/>
      </c>
      <c r="T185" s="36" t="n"/>
      <c r="U185" s="38" t="inlineStr">
        <is>
          <t>FALTA</t>
        </is>
      </c>
      <c r="V185" s="36" t="n">
        <v>767.8</v>
      </c>
      <c r="W185" s="39" t="n">
        <v>0.3</v>
      </c>
      <c r="X185" s="41">
        <f>IFERROR(V185+T185,"")</f>
        <v/>
      </c>
      <c r="Y185" s="41">
        <f>IFERROR(IF(W185&lt;1,X185/(1-W185),""),"")</f>
        <v/>
      </c>
      <c r="Z185" s="43">
        <f>'01_CONFIG_GLOBAL'!$C$14</f>
        <v/>
      </c>
      <c r="AA185" s="41">
        <f>IFERROR(Y185*Z185,"")</f>
        <v/>
      </c>
      <c r="AB185" s="41">
        <f>IFERROR(IF(Z185&lt;1,Y185/(1-Z185),""),"")</f>
        <v/>
      </c>
      <c r="AC185" s="23" t="n"/>
      <c r="AD185" s="36" t="n"/>
      <c r="AE185" s="23" t="n"/>
      <c r="AF185" s="36" t="n"/>
      <c r="AG185" s="23" t="n"/>
      <c r="AH185" s="36" t="n"/>
      <c r="AI185" s="41">
        <f>IFERROR(AVERAGE(AD185,AF185,AH185),"")</f>
        <v/>
      </c>
      <c r="AJ185" s="29">
        <f>IFERROR(IF(AI185="","sem dados",IF(AB185&lt;AI185*0.95,"abaixo",IF(AB185&gt;AI185*1.05,"acima","em linha"))),"")</f>
        <v/>
      </c>
      <c r="AK185" s="23" t="inlineStr">
        <is>
          <t>não</t>
        </is>
      </c>
      <c r="AL185" s="23" t="n"/>
      <c r="AM185" s="23" t="n"/>
      <c r="AN185" s="23" t="n"/>
      <c r="AO185" s="44">
        <f>A185</f>
        <v/>
      </c>
      <c r="AP185" s="44">
        <f>D185</f>
        <v/>
      </c>
    </row>
    <row r="186" hidden="1" ht="15.75" customHeight="1" s="93">
      <c r="A186" s="23" t="inlineStr">
        <is>
          <t>5.0906.0580533.0</t>
        </is>
      </c>
      <c r="B186" s="23" t="inlineStr">
        <is>
          <t>580533</t>
        </is>
      </c>
      <c r="C186" s="29">
        <f>IFERROR(LOWER(SUBSTITUTE(SUBSTITUTE(SUBSTITUTE(SUBSTITUTE(D186," ","-"),"/","-"),".",""),",","")),"")</f>
        <v/>
      </c>
      <c r="D186" s="23" t="inlineStr">
        <is>
          <t>APR 50 204.2.21.90</t>
        </is>
      </c>
      <c r="E186" s="23" t="n"/>
      <c r="F186" s="23" t="inlineStr">
        <is>
          <t>SOHIPREN</t>
        </is>
      </c>
      <c r="G186" s="23" t="n"/>
      <c r="H186" s="23" t="inlineStr">
        <is>
          <t>draft</t>
        </is>
      </c>
      <c r="I186" s="23" t="inlineStr">
        <is>
          <t>CASE</t>
        </is>
      </c>
      <c r="J186" s="23" t="inlineStr">
        <is>
          <t>RETRO ESCAVADEIRA</t>
        </is>
      </c>
      <c r="K186" s="23" t="inlineStr">
        <is>
          <t>PRINCIPAL</t>
        </is>
      </c>
      <c r="L186" s="23" t="inlineStr">
        <is>
          <t>E65324/E69616/E63771</t>
        </is>
      </c>
      <c r="M186" s="31" t="n"/>
      <c r="N186" s="31" t="n"/>
      <c r="O186" s="31" t="n"/>
      <c r="P186" s="31" t="n"/>
      <c r="Q186" s="31" t="n"/>
      <c r="R186" s="34">
        <f>IFERROR(IF(AND(O186&gt;0,P186&gt;0,Q186&gt;0),(O186*P186*Q186)/6000,""),"")</f>
        <v/>
      </c>
      <c r="S186" s="34">
        <f>IFERROR(IF(AND(N186&gt;0,R186&gt;0),MAX(N186,R186),IF(N186&gt;0,N186,IF(R186&gt;0,R186,""))),"")</f>
        <v/>
      </c>
      <c r="T186" s="36" t="n"/>
      <c r="U186" s="38" t="inlineStr">
        <is>
          <t>FALTA</t>
        </is>
      </c>
      <c r="V186" s="36" t="n">
        <v>1269.77</v>
      </c>
      <c r="W186" s="39" t="n">
        <v>0.3</v>
      </c>
      <c r="X186" s="41">
        <f>IFERROR(V186+T186,"")</f>
        <v/>
      </c>
      <c r="Y186" s="41">
        <f>IFERROR(IF(W186&lt;1,X186/(1-W186),""),"")</f>
        <v/>
      </c>
      <c r="Z186" s="43">
        <f>'01_CONFIG_GLOBAL'!$C$14</f>
        <v/>
      </c>
      <c r="AA186" s="41">
        <f>IFERROR(Y186*Z186,"")</f>
        <v/>
      </c>
      <c r="AB186" s="41">
        <f>IFERROR(IF(Z186&lt;1,Y186/(1-Z186),""),"")</f>
        <v/>
      </c>
      <c r="AC186" s="23" t="n"/>
      <c r="AD186" s="36" t="n"/>
      <c r="AE186" s="23" t="n"/>
      <c r="AF186" s="36" t="n"/>
      <c r="AG186" s="23" t="n"/>
      <c r="AH186" s="36" t="n"/>
      <c r="AI186" s="41">
        <f>IFERROR(AVERAGE(AD186,AF186,AH186),"")</f>
        <v/>
      </c>
      <c r="AJ186" s="29">
        <f>IFERROR(IF(AI186="","sem dados",IF(AB186&lt;AI186*0.95,"abaixo",IF(AB186&gt;AI186*1.05,"acima","em linha"))),"")</f>
        <v/>
      </c>
      <c r="AK186" s="23" t="inlineStr">
        <is>
          <t>não</t>
        </is>
      </c>
      <c r="AL186" s="23" t="n"/>
      <c r="AM186" s="23" t="n"/>
      <c r="AN186" s="23" t="n"/>
      <c r="AO186" s="44">
        <f>A186</f>
        <v/>
      </c>
      <c r="AP186" s="44">
        <f>D186</f>
        <v/>
      </c>
    </row>
    <row r="187" hidden="1" ht="15.75" customHeight="1" s="93">
      <c r="A187" s="23" t="inlineStr">
        <is>
          <t>5.1301.0565018.0</t>
        </is>
      </c>
      <c r="B187" s="23" t="inlineStr">
        <is>
          <t>565018</t>
        </is>
      </c>
      <c r="C187" s="29">
        <f>IFERROR(LOWER(SUBSTITUTE(SUBSTITUTE(SUBSTITUTE(SUBSTITUTE(D187," ","-"),"/","-"),".",""),",","")),"")</f>
        <v/>
      </c>
      <c r="D187" s="23" t="inlineStr">
        <is>
          <t>BOMBA HIDRÁULICA - APLICAÇÃO CNH A-015 (K962635) GIRO I</t>
        </is>
      </c>
      <c r="E187" s="23" t="inlineStr">
        <is>
          <t>Bombas Hidráulicas</t>
        </is>
      </c>
      <c r="F187" s="23" t="inlineStr">
        <is>
          <t>SOHIPREN</t>
        </is>
      </c>
      <c r="G187" s="23" t="n"/>
      <c r="H187" s="23" t="inlineStr">
        <is>
          <t>draft</t>
        </is>
      </c>
      <c r="I187" s="23" t="inlineStr">
        <is>
          <t>CASE</t>
        </is>
      </c>
      <c r="J187" s="23" t="inlineStr">
        <is>
          <t>TRATOR</t>
        </is>
      </c>
      <c r="K187" s="23" t="inlineStr">
        <is>
          <t>LEVANTE</t>
        </is>
      </c>
      <c r="L187" s="23" t="inlineStr">
        <is>
          <t>K962635 / K928578 / K918995</t>
        </is>
      </c>
      <c r="M187" s="31" t="n"/>
      <c r="N187" s="31" t="n"/>
      <c r="O187" s="31" t="n"/>
      <c r="P187" s="31" t="n"/>
      <c r="Q187" s="31" t="n"/>
      <c r="R187" s="34">
        <f>IFERROR(IF(AND(O187&gt;0,P187&gt;0,Q187&gt;0),(O187*P187*Q187)/6000,""),"")</f>
        <v/>
      </c>
      <c r="S187" s="34">
        <f>IFERROR(IF(AND(N187&gt;0,R187&gt;0),MAX(N187,R187),IF(N187&gt;0,N187,IF(R187&gt;0,R187,""))),"")</f>
        <v/>
      </c>
      <c r="T187" s="36" t="n"/>
      <c r="U187" s="38" t="inlineStr">
        <is>
          <t>FALTA</t>
        </is>
      </c>
      <c r="V187" s="36" t="n">
        <v>2815</v>
      </c>
      <c r="W187" s="39" t="n">
        <v>0.3</v>
      </c>
      <c r="X187" s="41">
        <f>IFERROR(V187+T187,"")</f>
        <v/>
      </c>
      <c r="Y187" s="41">
        <f>IFERROR(IF(W187&lt;1,X187/(1-W187),""),"")</f>
        <v/>
      </c>
      <c r="Z187" s="43">
        <f>'01_CONFIG_GLOBAL'!$C$14</f>
        <v/>
      </c>
      <c r="AA187" s="41">
        <f>IFERROR(Y187*Z187,"")</f>
        <v/>
      </c>
      <c r="AB187" s="41">
        <f>IFERROR(IF(Z187&lt;1,Y187/(1-Z187),""),"")</f>
        <v/>
      </c>
      <c r="AC187" s="23" t="n"/>
      <c r="AD187" s="36" t="n"/>
      <c r="AE187" s="23" t="n"/>
      <c r="AF187" s="36" t="n"/>
      <c r="AG187" s="23" t="n"/>
      <c r="AH187" s="36" t="n"/>
      <c r="AI187" s="41">
        <f>IFERROR(AVERAGE(AD187,AF187,AH187),"")</f>
        <v/>
      </c>
      <c r="AJ187" s="29">
        <f>IFERROR(IF(AI187="","sem dados",IF(AB187&lt;AI187*0.95,"abaixo",IF(AB187&gt;AI187*1.05,"acima","em linha"))),"")</f>
        <v/>
      </c>
      <c r="AK187" s="23" t="inlineStr">
        <is>
          <t>não</t>
        </is>
      </c>
      <c r="AL187" s="23" t="n"/>
      <c r="AM187" s="23" t="n"/>
      <c r="AN187" s="23" t="n"/>
      <c r="AO187" s="44">
        <f>A187</f>
        <v/>
      </c>
      <c r="AP187" s="44">
        <f>D187</f>
        <v/>
      </c>
    </row>
    <row r="188" hidden="1" ht="15.75" customHeight="1" s="93">
      <c r="A188" s="23" t="inlineStr">
        <is>
          <t>5.1301.0565022.0</t>
        </is>
      </c>
      <c r="B188" s="23" t="inlineStr">
        <is>
          <t>565022</t>
        </is>
      </c>
      <c r="C188" s="29">
        <f>IFERROR(LOWER(SUBSTITUTE(SUBSTITUTE(SUBSTITUTE(SUBSTITUTE(D188," ","-"),"/","-"),".",""),",","")),"")</f>
        <v/>
      </c>
      <c r="D188" s="23" t="inlineStr">
        <is>
          <t>BOMBA HIDRÁULICA - APLICAÇÃO CNH A-016 (308873A1) GIRO I</t>
        </is>
      </c>
      <c r="E188" s="23" t="inlineStr">
        <is>
          <t>Bombas Hidráulicas</t>
        </is>
      </c>
      <c r="F188" s="23" t="inlineStr">
        <is>
          <t>SOHIPREN</t>
        </is>
      </c>
      <c r="G188" s="23" t="n"/>
      <c r="H188" s="23" t="inlineStr">
        <is>
          <t>draft</t>
        </is>
      </c>
      <c r="I188" s="23" t="inlineStr">
        <is>
          <t>CASE</t>
        </is>
      </c>
      <c r="J188" s="23" t="inlineStr">
        <is>
          <t>TRATOR</t>
        </is>
      </c>
      <c r="K188" s="23" t="inlineStr">
        <is>
          <t>SISTEMA HIDRÁULICO</t>
        </is>
      </c>
      <c r="L188" s="23" t="n"/>
      <c r="M188" s="31" t="n"/>
      <c r="N188" s="31" t="n"/>
      <c r="O188" s="31" t="n"/>
      <c r="P188" s="31" t="n"/>
      <c r="Q188" s="31" t="n"/>
      <c r="R188" s="34">
        <f>IFERROR(IF(AND(O188&gt;0,P188&gt;0,Q188&gt;0),(O188*P188*Q188)/6000,""),"")</f>
        <v/>
      </c>
      <c r="S188" s="34">
        <f>IFERROR(IF(AND(N188&gt;0,R188&gt;0),MAX(N188,R188),IF(N188&gt;0,N188,IF(R188&gt;0,R188,""))),"")</f>
        <v/>
      </c>
      <c r="T188" s="36" t="n"/>
      <c r="U188" s="38" t="inlineStr">
        <is>
          <t>FALTA</t>
        </is>
      </c>
      <c r="V188" s="36" t="n">
        <v>1079.97</v>
      </c>
      <c r="W188" s="39" t="n">
        <v>0.3</v>
      </c>
      <c r="X188" s="41">
        <f>IFERROR(V188+T188,"")</f>
        <v/>
      </c>
      <c r="Y188" s="41">
        <f>IFERROR(IF(W188&lt;1,X188/(1-W188),""),"")</f>
        <v/>
      </c>
      <c r="Z188" s="43">
        <f>'01_CONFIG_GLOBAL'!$C$14</f>
        <v/>
      </c>
      <c r="AA188" s="41">
        <f>IFERROR(Y188*Z188,"")</f>
        <v/>
      </c>
      <c r="AB188" s="41">
        <f>IFERROR(IF(Z188&lt;1,Y188/(1-Z188),""),"")</f>
        <v/>
      </c>
      <c r="AC188" s="23" t="n"/>
      <c r="AD188" s="36" t="n"/>
      <c r="AE188" s="23" t="n"/>
      <c r="AF188" s="36" t="n"/>
      <c r="AG188" s="23" t="n"/>
      <c r="AH188" s="36" t="n"/>
      <c r="AI188" s="41">
        <f>IFERROR(AVERAGE(AD188,AF188,AH188),"")</f>
        <v/>
      </c>
      <c r="AJ188" s="29">
        <f>IFERROR(IF(AI188="","sem dados",IF(AB188&lt;AI188*0.95,"abaixo",IF(AB188&gt;AI188*1.05,"acima","em linha"))),"")</f>
        <v/>
      </c>
      <c r="AK188" s="23" t="inlineStr">
        <is>
          <t>não</t>
        </is>
      </c>
      <c r="AL188" s="23" t="n"/>
      <c r="AM188" s="23" t="n"/>
      <c r="AN188" s="23" t="n"/>
      <c r="AO188" s="44">
        <f>A188</f>
        <v/>
      </c>
      <c r="AP188" s="44">
        <f>D188</f>
        <v/>
      </c>
    </row>
    <row r="189" ht="15.75" customHeight="1" s="93">
      <c r="A189" s="23" t="inlineStr">
        <is>
          <t>5.5211.L026234.0</t>
        </is>
      </c>
      <c r="B189" s="23" t="inlineStr">
        <is>
          <t>L026234</t>
        </is>
      </c>
      <c r="C189" s="29">
        <f>IFERROR(LOWER(SUBSTITUTE(SUBSTITUTE(SUBSTITUTE(SUBSTITUTE(D189," ","-"),"/","-"),".",""),",","")),"")</f>
        <v/>
      </c>
      <c r="D189" s="50" t="inlineStr">
        <is>
          <t>Motor Hidráulico da Hélice MRBO 26 - Case 845B/865B/885B</t>
        </is>
      </c>
      <c r="E189" s="50" t="inlineStr">
        <is>
          <t>MOTOR</t>
        </is>
      </c>
      <c r="F189" s="23" t="inlineStr">
        <is>
          <t>SOHIPREN</t>
        </is>
      </c>
      <c r="G189" s="23" t="n"/>
      <c r="H189" s="23" t="inlineStr">
        <is>
          <t>active</t>
        </is>
      </c>
      <c r="I189" s="23" t="inlineStr">
        <is>
          <t>CASE</t>
        </is>
      </c>
      <c r="J189" s="23" t="inlineStr">
        <is>
          <t>CASE 845B / 865B / 885B</t>
        </is>
      </c>
      <c r="K189" s="23" t="inlineStr">
        <is>
          <t>MOTOR DE HELICE</t>
        </is>
      </c>
      <c r="L189" s="23" t="inlineStr">
        <is>
          <t>75326838</t>
        </is>
      </c>
      <c r="M189" s="31" t="n"/>
      <c r="N189" s="31" t="n">
        <v>4.14</v>
      </c>
      <c r="O189" s="31" t="n">
        <v>17</v>
      </c>
      <c r="P189" s="31" t="n">
        <v>13</v>
      </c>
      <c r="Q189" s="31" t="n">
        <v>13.5</v>
      </c>
      <c r="R189" s="34">
        <f>IFERROR(IF(AND(O189&gt;0,P189&gt;0,Q189&gt;0),(O189*P189*Q189)/6000,""),"")</f>
        <v/>
      </c>
      <c r="S189" s="34">
        <f>IFERROR(IF(AND(N189&gt;0,R189&gt;0),MAX(N189,R189),IF(N189&gt;0,N189,IF(R189&gt;0,R189,""))),"")</f>
        <v/>
      </c>
      <c r="T189" s="36" t="n">
        <v>100</v>
      </c>
      <c r="U189" s="23" t="inlineStr">
        <is>
          <t>fornecedor</t>
        </is>
      </c>
      <c r="V189" s="36" t="n">
        <v>686.8</v>
      </c>
      <c r="W189" s="39" t="n">
        <v>0.2</v>
      </c>
      <c r="X189" s="41">
        <f>IFERROR(V189+T189,"")</f>
        <v/>
      </c>
      <c r="Y189" s="41">
        <f>IFERROR(IF(W189&lt;1,X189/(1-W189),""),"")</f>
        <v/>
      </c>
      <c r="Z189" s="43">
        <f>'01_CONFIG_GLOBAL'!$C$14</f>
        <v/>
      </c>
      <c r="AA189" s="41">
        <f>IFERROR(Y189*Z189,"")</f>
        <v/>
      </c>
      <c r="AB189" s="41">
        <f>IFERROR(IF(Z189&lt;1,Y189/(1-Z189),""),"")</f>
        <v/>
      </c>
      <c r="AC189" s="23" t="n"/>
      <c r="AD189" s="36" t="n"/>
      <c r="AE189" s="23" t="n"/>
      <c r="AF189" s="36" t="n"/>
      <c r="AG189" s="23" t="n"/>
      <c r="AH189" s="36" t="n"/>
      <c r="AI189" s="41">
        <f>IFERROR(AVERAGE(AD189,AF189,AH189),"")</f>
        <v/>
      </c>
      <c r="AJ189" s="29">
        <f>IFERROR(IF(AI189="","sem dados",IF(AB189&lt;AI189*0.95,"abaixo",IF(AB189&gt;AI189*1.05,"acima","em linha"))),"")</f>
        <v/>
      </c>
      <c r="AK189" s="23" t="inlineStr">
        <is>
          <t>sim</t>
        </is>
      </c>
      <c r="AL189" s="23" t="n"/>
      <c r="AM189" s="23" t="n"/>
      <c r="AN189" s="23" t="n"/>
      <c r="AO189" s="44">
        <f>A189</f>
        <v/>
      </c>
      <c r="AP189" s="44">
        <f>D189</f>
        <v/>
      </c>
      <c r="AQ189" s="28" t="inlineStr">
        <is>
          <t>SEM IMAGEM</t>
        </is>
      </c>
    </row>
    <row r="190" hidden="1" ht="15.75" customHeight="1" s="93">
      <c r="A190" s="23" t="inlineStr">
        <is>
          <t>5.0505.0504069.0</t>
        </is>
      </c>
      <c r="B190" s="23" t="inlineStr">
        <is>
          <t>504069</t>
        </is>
      </c>
      <c r="C190" s="29">
        <f>IFERROR(LOWER(SUBSTITUTE(SUBSTITUTE(SUBSTITUTE(SUBSTITUTE(D190," ","-"),"/","-"),".",""),",","")),"")</f>
        <v/>
      </c>
      <c r="D190" s="23" t="inlineStr">
        <is>
          <t>MC1 50 201.1.21.66.61</t>
        </is>
      </c>
      <c r="E190" s="23" t="n"/>
      <c r="F190" s="23" t="inlineStr">
        <is>
          <t>SOHIPREN</t>
        </is>
      </c>
      <c r="G190" s="23" t="n"/>
      <c r="H190" s="23" t="inlineStr">
        <is>
          <t>draft</t>
        </is>
      </c>
      <c r="I190" s="23" t="inlineStr">
        <is>
          <t>CASE</t>
        </is>
      </c>
      <c r="J190" s="23" t="inlineStr">
        <is>
          <t>RETRO ESCAVADEIRA</t>
        </is>
      </c>
      <c r="K190" s="23" t="inlineStr">
        <is>
          <t>PRINCIPAL</t>
        </is>
      </c>
      <c r="L190" s="23" t="inlineStr">
        <is>
          <t>D48950</t>
        </is>
      </c>
      <c r="M190" s="31" t="n"/>
      <c r="N190" s="31" t="n"/>
      <c r="O190" s="31" t="n"/>
      <c r="P190" s="31" t="n"/>
      <c r="Q190" s="31" t="n"/>
      <c r="R190" s="34">
        <f>IFERROR(IF(AND(O190&gt;0,P190&gt;0,Q190&gt;0),(O190*P190*Q190)/6000,""),"")</f>
        <v/>
      </c>
      <c r="S190" s="34">
        <f>IFERROR(IF(AND(N190&gt;0,R190&gt;0),MAX(N190,R190),IF(N190&gt;0,N190,IF(R190&gt;0,R190,""))),"")</f>
        <v/>
      </c>
      <c r="T190" s="36" t="n"/>
      <c r="U190" s="38" t="inlineStr">
        <is>
          <t>FALTA</t>
        </is>
      </c>
      <c r="V190" s="36" t="n">
        <v>1150</v>
      </c>
      <c r="W190" s="39" t="n">
        <v>0.3</v>
      </c>
      <c r="X190" s="41">
        <f>IFERROR(V190+T190,"")</f>
        <v/>
      </c>
      <c r="Y190" s="41">
        <f>IFERROR(IF(W190&lt;1,X190/(1-W190),""),"")</f>
        <v/>
      </c>
      <c r="Z190" s="43">
        <f>'01_CONFIG_GLOBAL'!$C$14</f>
        <v/>
      </c>
      <c r="AA190" s="41">
        <f>IFERROR(Y190*Z190,"")</f>
        <v/>
      </c>
      <c r="AB190" s="41">
        <f>IFERROR(IF(Z190&lt;1,Y190/(1-Z190),""),"")</f>
        <v/>
      </c>
      <c r="AC190" s="23" t="n"/>
      <c r="AD190" s="36" t="n"/>
      <c r="AE190" s="23" t="n"/>
      <c r="AF190" s="36" t="n"/>
      <c r="AG190" s="23" t="n"/>
      <c r="AH190" s="36" t="n"/>
      <c r="AI190" s="41">
        <f>IFERROR(AVERAGE(AD190,AF190,AH190),"")</f>
        <v/>
      </c>
      <c r="AJ190" s="29">
        <f>IFERROR(IF(AI190="","sem dados",IF(AB190&lt;AI190*0.95,"abaixo",IF(AB190&gt;AI190*1.05,"acima","em linha"))),"")</f>
        <v/>
      </c>
      <c r="AK190" s="23" t="inlineStr">
        <is>
          <t>não</t>
        </is>
      </c>
      <c r="AL190" s="23" t="n"/>
      <c r="AM190" s="23" t="n"/>
      <c r="AN190" s="23" t="n"/>
      <c r="AO190" s="44">
        <f>A190</f>
        <v/>
      </c>
      <c r="AP190" s="44">
        <f>D190</f>
        <v/>
      </c>
    </row>
    <row r="191" hidden="1" ht="15.75" customHeight="1" s="93">
      <c r="A191" s="23" t="inlineStr">
        <is>
          <t>5.0206.0543251.0</t>
        </is>
      </c>
      <c r="B191" s="23" t="inlineStr">
        <is>
          <t>543251</t>
        </is>
      </c>
      <c r="C191" s="29">
        <f>IFERROR(LOWER(SUBSTITUTE(SUBSTITUTE(SUBSTITUTE(SUBSTITUTE(D191," ","-"),"/","-"),".",""),",","")),"")</f>
        <v/>
      </c>
      <c r="D191" s="23" t="inlineStr">
        <is>
          <t>BOMBA HIDRÁULICA - APLICAÇÃO 11 B1.P1.A.L</t>
        </is>
      </c>
      <c r="E191" s="23" t="inlineStr">
        <is>
          <t>Bombas Hidráulicas</t>
        </is>
      </c>
      <c r="F191" s="23" t="inlineStr">
        <is>
          <t>SOHIPREN</t>
        </is>
      </c>
      <c r="G191" s="23" t="n"/>
      <c r="H191" s="23" t="inlineStr">
        <is>
          <t>draft</t>
        </is>
      </c>
      <c r="I191" s="23" t="inlineStr">
        <is>
          <t>CASE</t>
        </is>
      </c>
      <c r="J191" s="23" t="inlineStr">
        <is>
          <t>ESCAVADEIRAS DE ESTEIRAS</t>
        </is>
      </c>
      <c r="K191" s="23" t="inlineStr">
        <is>
          <t>VENTILADOR</t>
        </is>
      </c>
      <c r="L191" s="23" t="inlineStr">
        <is>
          <t>P-035842-99</t>
        </is>
      </c>
      <c r="M191" s="31" t="n"/>
      <c r="N191" s="31" t="n"/>
      <c r="O191" s="31" t="n"/>
      <c r="P191" s="31" t="n"/>
      <c r="Q191" s="31" t="n"/>
      <c r="R191" s="34">
        <f>IFERROR(IF(AND(O191&gt;0,P191&gt;0,Q191&gt;0),(O191*P191*Q191)/6000,""),"")</f>
        <v/>
      </c>
      <c r="S191" s="34">
        <f>IFERROR(IF(AND(N191&gt;0,R191&gt;0),MAX(N191,R191),IF(N191&gt;0,N191,IF(R191&gt;0,R191,""))),"")</f>
        <v/>
      </c>
      <c r="T191" s="36" t="n"/>
      <c r="U191" s="38" t="inlineStr">
        <is>
          <t>FALTA</t>
        </is>
      </c>
      <c r="V191" s="36" t="n">
        <v>960</v>
      </c>
      <c r="W191" s="39" t="n">
        <v>0.3</v>
      </c>
      <c r="X191" s="41">
        <f>IFERROR(V191+T191,"")</f>
        <v/>
      </c>
      <c r="Y191" s="41">
        <f>IFERROR(IF(W191&lt;1,X191/(1-W191),""),"")</f>
        <v/>
      </c>
      <c r="Z191" s="43">
        <f>'01_CONFIG_GLOBAL'!$C$14</f>
        <v/>
      </c>
      <c r="AA191" s="41">
        <f>IFERROR(Y191*Z191,"")</f>
        <v/>
      </c>
      <c r="AB191" s="41">
        <f>IFERROR(IF(Z191&lt;1,Y191/(1-Z191),""),"")</f>
        <v/>
      </c>
      <c r="AC191" s="23" t="n"/>
      <c r="AD191" s="36" t="n"/>
      <c r="AE191" s="23" t="n"/>
      <c r="AF191" s="36" t="n"/>
      <c r="AG191" s="23" t="n"/>
      <c r="AH191" s="36" t="n"/>
      <c r="AI191" s="41">
        <f>IFERROR(AVERAGE(AD191,AF191,AH191),"")</f>
        <v/>
      </c>
      <c r="AJ191" s="29">
        <f>IFERROR(IF(AI191="","sem dados",IF(AB191&lt;AI191*0.95,"abaixo",IF(AB191&gt;AI191*1.05,"acima","em linha"))),"")</f>
        <v/>
      </c>
      <c r="AK191" s="23" t="inlineStr">
        <is>
          <t>não</t>
        </is>
      </c>
      <c r="AL191" s="23" t="n"/>
      <c r="AM191" s="23" t="n"/>
      <c r="AN191" s="23" t="n"/>
      <c r="AO191" s="44">
        <f>A191</f>
        <v/>
      </c>
      <c r="AP191" s="44">
        <f>D191</f>
        <v/>
      </c>
    </row>
    <row r="192" hidden="1" ht="15.75" customHeight="1" s="93">
      <c r="A192" s="23" t="inlineStr">
        <is>
          <t>5.0205.0542406.0</t>
        </is>
      </c>
      <c r="B192" s="23" t="inlineStr">
        <is>
          <t>542406</t>
        </is>
      </c>
      <c r="C192" s="29">
        <f>IFERROR(LOWER(SUBSTITUTE(SUBSTITUTE(SUBSTITUTE(SUBSTITUTE(D192," ","-"),"/","-"),".",""),",","")),"")</f>
        <v/>
      </c>
      <c r="D192" s="23" t="inlineStr">
        <is>
          <t>BOMBA HIDRÁULICA - APLICAÇÃO 8 B1.B12.A.L</t>
        </is>
      </c>
      <c r="E192" s="23" t="inlineStr">
        <is>
          <t>Bombas Hidráulicas</t>
        </is>
      </c>
      <c r="F192" s="23" t="inlineStr">
        <is>
          <t>SOHIPREN</t>
        </is>
      </c>
      <c r="G192" s="23" t="n"/>
      <c r="H192" s="23" t="inlineStr">
        <is>
          <t>draft</t>
        </is>
      </c>
      <c r="I192" s="23" t="inlineStr">
        <is>
          <t>CASE</t>
        </is>
      </c>
      <c r="J192" s="23" t="inlineStr">
        <is>
          <t>ESCAVADEIRAS DE ESTEIRAS</t>
        </is>
      </c>
      <c r="K192" s="23" t="inlineStr">
        <is>
          <t>VENTILADOR</t>
        </is>
      </c>
      <c r="L192" s="23" t="inlineStr">
        <is>
          <t>43560</t>
        </is>
      </c>
      <c r="M192" s="31" t="n"/>
      <c r="N192" s="31" t="n"/>
      <c r="O192" s="31" t="n"/>
      <c r="P192" s="31" t="n"/>
      <c r="Q192" s="31" t="n"/>
      <c r="R192" s="34">
        <f>IFERROR(IF(AND(O192&gt;0,P192&gt;0,Q192&gt;0),(O192*P192*Q192)/6000,""),"")</f>
        <v/>
      </c>
      <c r="S192" s="34">
        <f>IFERROR(IF(AND(N192&gt;0,R192&gt;0),MAX(N192,R192),IF(N192&gt;0,N192,IF(R192&gt;0,R192,""))),"")</f>
        <v/>
      </c>
      <c r="T192" s="36" t="n"/>
      <c r="U192" s="38" t="inlineStr">
        <is>
          <t>FALTA</t>
        </is>
      </c>
      <c r="V192" s="36" t="n">
        <v>665</v>
      </c>
      <c r="W192" s="39" t="n">
        <v>0.3</v>
      </c>
      <c r="X192" s="41">
        <f>IFERROR(V192+T192,"")</f>
        <v/>
      </c>
      <c r="Y192" s="41">
        <f>IFERROR(IF(W192&lt;1,X192/(1-W192),""),"")</f>
        <v/>
      </c>
      <c r="Z192" s="43">
        <f>'01_CONFIG_GLOBAL'!$C$14</f>
        <v/>
      </c>
      <c r="AA192" s="41">
        <f>IFERROR(Y192*Z192,"")</f>
        <v/>
      </c>
      <c r="AB192" s="41">
        <f>IFERROR(IF(Z192&lt;1,Y192/(1-Z192),""),"")</f>
        <v/>
      </c>
      <c r="AC192" s="23" t="n"/>
      <c r="AD192" s="36" t="n"/>
      <c r="AE192" s="23" t="n"/>
      <c r="AF192" s="36" t="n"/>
      <c r="AG192" s="23" t="n"/>
      <c r="AH192" s="36" t="n"/>
      <c r="AI192" s="41">
        <f>IFERROR(AVERAGE(AD192,AF192,AH192),"")</f>
        <v/>
      </c>
      <c r="AJ192" s="29">
        <f>IFERROR(IF(AI192="","sem dados",IF(AB192&lt;AI192*0.95,"abaixo",IF(AB192&gt;AI192*1.05,"acima","em linha"))),"")</f>
        <v/>
      </c>
      <c r="AK192" s="23" t="inlineStr">
        <is>
          <t>não</t>
        </is>
      </c>
      <c r="AL192" s="23" t="n"/>
      <c r="AM192" s="23" t="n"/>
      <c r="AN192" s="23" t="n"/>
      <c r="AO192" s="44">
        <f>A192</f>
        <v/>
      </c>
      <c r="AP192" s="44">
        <f>D192</f>
        <v/>
      </c>
    </row>
    <row r="193" hidden="1" ht="15.75" customHeight="1" s="93">
      <c r="A193" s="23" t="inlineStr">
        <is>
          <t>5.0206.0543218.0</t>
        </is>
      </c>
      <c r="B193" s="23" t="inlineStr">
        <is>
          <t>543218</t>
        </is>
      </c>
      <c r="C193" s="29">
        <f>IFERROR(LOWER(SUBSTITUTE(SUBSTITUTE(SUBSTITUTE(SUBSTITUTE(D193," ","-"),"/","-"),".",""),",","")),"")</f>
        <v/>
      </c>
      <c r="D193" s="23" t="inlineStr">
        <is>
          <t>BOMBA HIDRÁULICA - APLICAÇÃO 11 F5.C14.C14.L</t>
        </is>
      </c>
      <c r="E193" s="23" t="inlineStr">
        <is>
          <t>Bombas Hidráulicas</t>
        </is>
      </c>
      <c r="F193" s="23" t="inlineStr">
        <is>
          <t>SOHIPREN</t>
        </is>
      </c>
      <c r="G193" s="23" t="n"/>
      <c r="H193" s="23" t="inlineStr">
        <is>
          <t>draft</t>
        </is>
      </c>
      <c r="I193" s="23" t="inlineStr">
        <is>
          <t>CASE</t>
        </is>
      </c>
      <c r="J193" s="23" t="inlineStr">
        <is>
          <t>RETRO ESCAVADEIRA</t>
        </is>
      </c>
      <c r="K193" s="23" t="inlineStr">
        <is>
          <t>DIREÇÃO</t>
        </is>
      </c>
      <c r="L193" s="23" t="inlineStr">
        <is>
          <t>E62627 UNF</t>
        </is>
      </c>
      <c r="M193" s="31" t="n"/>
      <c r="N193" s="31" t="n"/>
      <c r="O193" s="31" t="n"/>
      <c r="P193" s="31" t="n"/>
      <c r="Q193" s="31" t="n"/>
      <c r="R193" s="34">
        <f>IFERROR(IF(AND(O193&gt;0,P193&gt;0,Q193&gt;0),(O193*P193*Q193)/6000,""),"")</f>
        <v/>
      </c>
      <c r="S193" s="34">
        <f>IFERROR(IF(AND(N193&gt;0,R193&gt;0),MAX(N193,R193),IF(N193&gt;0,N193,IF(R193&gt;0,R193,""))),"")</f>
        <v/>
      </c>
      <c r="T193" s="36" t="n"/>
      <c r="U193" s="38" t="inlineStr">
        <is>
          <t>FALTA</t>
        </is>
      </c>
      <c r="V193" s="36" t="n">
        <v>1101</v>
      </c>
      <c r="W193" s="39" t="n">
        <v>0.3</v>
      </c>
      <c r="X193" s="41">
        <f>IFERROR(V193+T193,"")</f>
        <v/>
      </c>
      <c r="Y193" s="41">
        <f>IFERROR(IF(W193&lt;1,X193/(1-W193),""),"")</f>
        <v/>
      </c>
      <c r="Z193" s="43">
        <f>'01_CONFIG_GLOBAL'!$C$14</f>
        <v/>
      </c>
      <c r="AA193" s="41">
        <f>IFERROR(Y193*Z193,"")</f>
        <v/>
      </c>
      <c r="AB193" s="41">
        <f>IFERROR(IF(Z193&lt;1,Y193/(1-Z193),""),"")</f>
        <v/>
      </c>
      <c r="AC193" s="23" t="n"/>
      <c r="AD193" s="36" t="n"/>
      <c r="AE193" s="23" t="n"/>
      <c r="AF193" s="36" t="n"/>
      <c r="AG193" s="23" t="n"/>
      <c r="AH193" s="36" t="n"/>
      <c r="AI193" s="41">
        <f>IFERROR(AVERAGE(AD193,AF193,AH193),"")</f>
        <v/>
      </c>
      <c r="AJ193" s="29">
        <f>IFERROR(IF(AI193="","sem dados",IF(AB193&lt;AI193*0.95,"abaixo",IF(AB193&gt;AI193*1.05,"acima","em linha"))),"")</f>
        <v/>
      </c>
      <c r="AK193" s="23" t="inlineStr">
        <is>
          <t>não</t>
        </is>
      </c>
      <c r="AL193" s="23" t="n"/>
      <c r="AM193" s="23" t="n"/>
      <c r="AN193" s="23" t="n"/>
      <c r="AO193" s="44">
        <f>A193</f>
        <v/>
      </c>
      <c r="AP193" s="44">
        <f>D193</f>
        <v/>
      </c>
    </row>
    <row r="194" hidden="1" ht="15.75" customHeight="1" s="93">
      <c r="A194" s="23" t="inlineStr">
        <is>
          <t>5.0502.0501038.0</t>
        </is>
      </c>
      <c r="B194" s="23" t="inlineStr">
        <is>
          <t>501038</t>
        </is>
      </c>
      <c r="C194" s="29">
        <f>IFERROR(LOWER(SUBSTITUTE(SUBSTITUTE(SUBSTITUTE(SUBSTITUTE(D194," ","-"),"/","-"),".",""),",","")),"")</f>
        <v/>
      </c>
      <c r="D194" s="23" t="inlineStr">
        <is>
          <t>MC1 26 601.1.24.69.61</t>
        </is>
      </c>
      <c r="E194" s="23" t="n"/>
      <c r="F194" s="23" t="inlineStr">
        <is>
          <t>SOHIPREN</t>
        </is>
      </c>
      <c r="G194" s="23" t="n"/>
      <c r="H194" s="23" t="inlineStr">
        <is>
          <t>draft</t>
        </is>
      </c>
      <c r="I194" s="23" t="inlineStr">
        <is>
          <t>CASE</t>
        </is>
      </c>
      <c r="J194" s="23" t="inlineStr">
        <is>
          <t>PÁ CARREHADEIRA</t>
        </is>
      </c>
      <c r="K194" s="23" t="inlineStr">
        <is>
          <t>TORQUE</t>
        </is>
      </c>
      <c r="L194" s="23" t="inlineStr">
        <is>
          <t>L30054</t>
        </is>
      </c>
      <c r="M194" s="31" t="n"/>
      <c r="N194" s="31" t="n"/>
      <c r="O194" s="31" t="n"/>
      <c r="P194" s="31" t="n"/>
      <c r="Q194" s="31" t="n"/>
      <c r="R194" s="34">
        <f>IFERROR(IF(AND(O194&gt;0,P194&gt;0,Q194&gt;0),(O194*P194*Q194)/6000,""),"")</f>
        <v/>
      </c>
      <c r="S194" s="34">
        <f>IFERROR(IF(AND(N194&gt;0,R194&gt;0),MAX(N194,R194),IF(N194&gt;0,N194,IF(R194&gt;0,R194,""))),"")</f>
        <v/>
      </c>
      <c r="T194" s="36" t="n"/>
      <c r="U194" s="38" t="inlineStr">
        <is>
          <t>FALTA</t>
        </is>
      </c>
      <c r="V194" s="36" t="n">
        <v>1045</v>
      </c>
      <c r="W194" s="39" t="n">
        <v>0.3</v>
      </c>
      <c r="X194" s="41">
        <f>IFERROR(V194+T194,"")</f>
        <v/>
      </c>
      <c r="Y194" s="41">
        <f>IFERROR(IF(W194&lt;1,X194/(1-W194),""),"")</f>
        <v/>
      </c>
      <c r="Z194" s="43">
        <f>'01_CONFIG_GLOBAL'!$C$14</f>
        <v/>
      </c>
      <c r="AA194" s="41">
        <f>IFERROR(Y194*Z194,"")</f>
        <v/>
      </c>
      <c r="AB194" s="41">
        <f>IFERROR(IF(Z194&lt;1,Y194/(1-Z194),""),"")</f>
        <v/>
      </c>
      <c r="AC194" s="23" t="n"/>
      <c r="AD194" s="36" t="n"/>
      <c r="AE194" s="23" t="n"/>
      <c r="AF194" s="36" t="n"/>
      <c r="AG194" s="23" t="n"/>
      <c r="AH194" s="36" t="n"/>
      <c r="AI194" s="41">
        <f>IFERROR(AVERAGE(AD194,AF194,AH194),"")</f>
        <v/>
      </c>
      <c r="AJ194" s="29">
        <f>IFERROR(IF(AI194="","sem dados",IF(AB194&lt;AI194*0.95,"abaixo",IF(AB194&gt;AI194*1.05,"acima","em linha"))),"")</f>
        <v/>
      </c>
      <c r="AK194" s="23" t="inlineStr">
        <is>
          <t>não</t>
        </is>
      </c>
      <c r="AL194" s="23" t="n"/>
      <c r="AM194" s="23" t="n"/>
      <c r="AN194" s="23" t="n"/>
      <c r="AO194" s="44">
        <f>A194</f>
        <v/>
      </c>
      <c r="AP194" s="44">
        <f>D194</f>
        <v/>
      </c>
    </row>
    <row r="195" ht="15.75" customHeight="1" s="93">
      <c r="A195" s="23" t="inlineStr">
        <is>
          <t>5.5210.L011190.0</t>
        </is>
      </c>
      <c r="B195" s="23" t="inlineStr">
        <is>
          <t>L01119</t>
        </is>
      </c>
      <c r="C195" s="29">
        <f>IFERROR(LOWER(SUBSTITUTE(SUBSTITUTE(SUBSTITUTE(SUBSTITUTE(D195," ","-"),"/","-"),".",""),",","")),"")</f>
        <v/>
      </c>
      <c r="D195" s="50" t="inlineStr">
        <is>
          <t>Motor Hidráulico do Ventilador MUI BO 22,5 - Pá Carregadeira Case/New Holland</t>
        </is>
      </c>
      <c r="E195" s="50" t="inlineStr">
        <is>
          <t>Bombas Hidráulicas</t>
        </is>
      </c>
      <c r="F195" s="23" t="inlineStr">
        <is>
          <t>SOHIPREN</t>
        </is>
      </c>
      <c r="G195" s="23" t="n"/>
      <c r="H195" s="23" t="inlineStr">
        <is>
          <t>active</t>
        </is>
      </c>
      <c r="I195" s="23" t="inlineStr">
        <is>
          <t>CASE / NEW HOLLAND</t>
        </is>
      </c>
      <c r="J195" s="23" t="inlineStr">
        <is>
          <t>PA CARREGADEIRA</t>
        </is>
      </c>
      <c r="K195" s="23" t="inlineStr">
        <is>
          <t>MOTOR DO VENTILADOR</t>
        </is>
      </c>
      <c r="L195" s="23" t="inlineStr">
        <is>
          <t>8500105 / 12151023046</t>
        </is>
      </c>
      <c r="M195" s="31" t="n"/>
      <c r="N195" s="31" t="n">
        <v>4.5</v>
      </c>
      <c r="O195" s="31" t="n">
        <v>17</v>
      </c>
      <c r="P195" s="31" t="n">
        <v>13</v>
      </c>
      <c r="Q195" s="31" t="n">
        <v>13.5</v>
      </c>
      <c r="R195" s="34">
        <f>IFERROR(IF(AND(O195&gt;0,P195&gt;0,Q195&gt;0),(O195*P195*Q195)/6000,""),"")</f>
        <v/>
      </c>
      <c r="S195" s="34">
        <f>IFERROR(IF(AND(N195&gt;0,R195&gt;0),MAX(N195,R195),IF(N195&gt;0,N195,IF(R195&gt;0,R195,""))),"")</f>
        <v/>
      </c>
      <c r="T195" s="36" t="n">
        <v>100</v>
      </c>
      <c r="U195" s="23" t="inlineStr">
        <is>
          <t>fornecedor</t>
        </is>
      </c>
      <c r="V195" s="36" t="n">
        <v>636.65</v>
      </c>
      <c r="W195" s="39" t="n">
        <v>0.2</v>
      </c>
      <c r="X195" s="41">
        <f>IFERROR(V195+T195,"")</f>
        <v/>
      </c>
      <c r="Y195" s="41">
        <f>IFERROR(IF(W195&lt;1,X195/(1-W195),""),"")</f>
        <v/>
      </c>
      <c r="Z195" s="43">
        <f>'01_CONFIG_GLOBAL'!$C$14</f>
        <v/>
      </c>
      <c r="AA195" s="41">
        <f>IFERROR(Y195*Z195,"")</f>
        <v/>
      </c>
      <c r="AB195" s="41">
        <f>IFERROR(IF(Z195&lt;1,Y195/(1-Z195),""),"")</f>
        <v/>
      </c>
      <c r="AC195" s="23" t="n"/>
      <c r="AD195" s="36" t="n"/>
      <c r="AE195" s="23" t="n"/>
      <c r="AF195" s="36" t="n"/>
      <c r="AG195" s="23" t="n"/>
      <c r="AH195" s="36" t="n"/>
      <c r="AI195" s="41">
        <f>IFERROR(AVERAGE(AD195,AF195,AH195),"")</f>
        <v/>
      </c>
      <c r="AJ195" s="29">
        <f>IFERROR(IF(AI195="","sem dados",IF(AB195&lt;AI195*0.95,"abaixo",IF(AB195&gt;AI195*1.05,"acima","em linha"))),"")</f>
        <v/>
      </c>
      <c r="AK195" s="23" t="inlineStr">
        <is>
          <t>sim</t>
        </is>
      </c>
      <c r="AL195" s="23" t="n"/>
      <c r="AM195" s="23" t="n"/>
      <c r="AN195" s="23" t="n"/>
      <c r="AO195" s="44">
        <f>A195</f>
        <v/>
      </c>
      <c r="AP195" s="44">
        <f>D195</f>
        <v/>
      </c>
      <c r="AQ195" s="28" t="inlineStr">
        <is>
          <t>SEM IMAGEM</t>
        </is>
      </c>
    </row>
    <row r="196" hidden="1" ht="15.75" customHeight="1" s="93">
      <c r="A196" s="23" t="inlineStr">
        <is>
          <t>6.5061.L620006.0</t>
        </is>
      </c>
      <c r="B196" s="23" t="inlineStr">
        <is>
          <t>L620006</t>
        </is>
      </c>
      <c r="C196" s="29">
        <f>IFERROR(LOWER(SUBSTITUTE(SUBSTITUTE(SUBSTITUTE(SUBSTITUTE(D196," ","-"),"/","-"),".",""),",","")),"")</f>
        <v/>
      </c>
      <c r="D196" s="23" t="inlineStr">
        <is>
          <t>DIR. HIDROSTÁTICA 400cm³ (VLP)</t>
        </is>
      </c>
      <c r="E196" s="23" t="n"/>
      <c r="F196" s="23" t="inlineStr">
        <is>
          <t>SOHIPREN</t>
        </is>
      </c>
      <c r="G196" s="23" t="n"/>
      <c r="H196" s="23" t="inlineStr">
        <is>
          <t>draft</t>
        </is>
      </c>
      <c r="I196" s="23" t="inlineStr">
        <is>
          <t>CATERPILLAR</t>
        </is>
      </c>
      <c r="J196" s="23" t="inlineStr">
        <is>
          <t>PÁ CARREGADEIRA</t>
        </is>
      </c>
      <c r="K196" s="23" t="inlineStr">
        <is>
          <t>DIREÇÃO</t>
        </is>
      </c>
      <c r="L196" s="23" t="inlineStr">
        <is>
          <t>1198741-9T5530</t>
        </is>
      </c>
      <c r="M196" s="31" t="n"/>
      <c r="N196" s="31" t="n"/>
      <c r="O196" s="31" t="n"/>
      <c r="P196" s="31" t="n"/>
      <c r="Q196" s="31" t="n"/>
      <c r="R196" s="34">
        <f>IFERROR(IF(AND(O196&gt;0,P196&gt;0,Q196&gt;0),(O196*P196*Q196)/6000,""),"")</f>
        <v/>
      </c>
      <c r="S196" s="34">
        <f>IFERROR(IF(AND(N196&gt;0,R196&gt;0),MAX(N196,R196),IF(N196&gt;0,N196,IF(R196&gt;0,R196,""))),"")</f>
        <v/>
      </c>
      <c r="T196" s="36" t="n"/>
      <c r="U196" s="38" t="inlineStr">
        <is>
          <t>FALTA</t>
        </is>
      </c>
      <c r="V196" s="36" t="n">
        <v>1485.4</v>
      </c>
      <c r="W196" s="39" t="n">
        <v>0.3</v>
      </c>
      <c r="X196" s="41">
        <f>IFERROR(V196+T196,"")</f>
        <v/>
      </c>
      <c r="Y196" s="41">
        <f>IFERROR(IF(W196&lt;1,X196/(1-W196),""),"")</f>
        <v/>
      </c>
      <c r="Z196" s="43">
        <f>'01_CONFIG_GLOBAL'!$C$14</f>
        <v/>
      </c>
      <c r="AA196" s="41">
        <f>IFERROR(Y196*Z196,"")</f>
        <v/>
      </c>
      <c r="AB196" s="41">
        <f>IFERROR(IF(Z196&lt;1,Y196/(1-Z196),""),"")</f>
        <v/>
      </c>
      <c r="AC196" s="23" t="n"/>
      <c r="AD196" s="36" t="n"/>
      <c r="AE196" s="23" t="n"/>
      <c r="AF196" s="36" t="n"/>
      <c r="AG196" s="23" t="n"/>
      <c r="AH196" s="36" t="n"/>
      <c r="AI196" s="41">
        <f>IFERROR(AVERAGE(AD196,AF196,AH196),"")</f>
        <v/>
      </c>
      <c r="AJ196" s="29">
        <f>IFERROR(IF(AI196="","sem dados",IF(AB196&lt;AI196*0.95,"abaixo",IF(AB196&gt;AI196*1.05,"acima","em linha"))),"")</f>
        <v/>
      </c>
      <c r="AK196" s="23" t="inlineStr">
        <is>
          <t>não</t>
        </is>
      </c>
      <c r="AL196" s="23" t="n"/>
      <c r="AM196" s="23" t="n"/>
      <c r="AN196" s="23" t="n"/>
      <c r="AO196" s="44">
        <f>A196</f>
        <v/>
      </c>
      <c r="AP196" s="44">
        <f>D196</f>
        <v/>
      </c>
    </row>
    <row r="197" hidden="1" ht="15.75" customHeight="1" s="93">
      <c r="A197" s="23" t="inlineStr">
        <is>
          <t>6.5061.L620013.0</t>
        </is>
      </c>
      <c r="B197" s="23" t="inlineStr">
        <is>
          <t>L620013</t>
        </is>
      </c>
      <c r="C197" s="29">
        <f>IFERROR(LOWER(SUBSTITUTE(SUBSTITUTE(SUBSTITUTE(SUBSTITUTE(D197," ","-"),"/","-"),".",""),",","")),"")</f>
        <v/>
      </c>
      <c r="D197" s="23" t="inlineStr">
        <is>
          <t>BHRS1-125-B14-Y4</t>
        </is>
      </c>
      <c r="E197" s="23" t="n"/>
      <c r="F197" s="23" t="inlineStr">
        <is>
          <t>SOHIPREN</t>
        </is>
      </c>
      <c r="G197" s="23" t="n"/>
      <c r="H197" s="23" t="inlineStr">
        <is>
          <t>draft</t>
        </is>
      </c>
      <c r="I197" s="23" t="inlineStr">
        <is>
          <t>CATERPILLAR</t>
        </is>
      </c>
      <c r="J197" s="23" t="inlineStr">
        <is>
          <t>ROLO COMPACTADOR</t>
        </is>
      </c>
      <c r="K197" s="23" t="inlineStr">
        <is>
          <t>HIDROSTÁTICO</t>
        </is>
      </c>
      <c r="L197" s="23" t="inlineStr">
        <is>
          <t>E780119</t>
        </is>
      </c>
      <c r="M197" s="31" t="n"/>
      <c r="N197" s="31" t="n"/>
      <c r="O197" s="31" t="n"/>
      <c r="P197" s="31" t="n"/>
      <c r="Q197" s="31" t="n"/>
      <c r="R197" s="34">
        <f>IFERROR(IF(AND(O197&gt;0,P197&gt;0,Q197&gt;0),(O197*P197*Q197)/6000,""),"")</f>
        <v/>
      </c>
      <c r="S197" s="34">
        <f>IFERROR(IF(AND(N197&gt;0,R197&gt;0),MAX(N197,R197),IF(N197&gt;0,N197,IF(R197&gt;0,R197,""))),"")</f>
        <v/>
      </c>
      <c r="T197" s="36" t="n"/>
      <c r="U197" s="38" t="inlineStr">
        <is>
          <t>FALTA</t>
        </is>
      </c>
      <c r="V197" s="36" t="n">
        <v>1683</v>
      </c>
      <c r="W197" s="39" t="n">
        <v>0.3</v>
      </c>
      <c r="X197" s="41">
        <f>IFERROR(V197+T197,"")</f>
        <v/>
      </c>
      <c r="Y197" s="41">
        <f>IFERROR(IF(W197&lt;1,X197/(1-W197),""),"")</f>
        <v/>
      </c>
      <c r="Z197" s="43">
        <f>'01_CONFIG_GLOBAL'!$C$14</f>
        <v/>
      </c>
      <c r="AA197" s="41">
        <f>IFERROR(Y197*Z197,"")</f>
        <v/>
      </c>
      <c r="AB197" s="41">
        <f>IFERROR(IF(Z197&lt;1,Y197/(1-Z197),""),"")</f>
        <v/>
      </c>
      <c r="AC197" s="23" t="n"/>
      <c r="AD197" s="36" t="n"/>
      <c r="AE197" s="23" t="n"/>
      <c r="AF197" s="36" t="n"/>
      <c r="AG197" s="23" t="n"/>
      <c r="AH197" s="36" t="n"/>
      <c r="AI197" s="41">
        <f>IFERROR(AVERAGE(AD197,AF197,AH197),"")</f>
        <v/>
      </c>
      <c r="AJ197" s="29">
        <f>IFERROR(IF(AI197="","sem dados",IF(AB197&lt;AI197*0.95,"abaixo",IF(AB197&gt;AI197*1.05,"acima","em linha"))),"")</f>
        <v/>
      </c>
      <c r="AK197" s="23" t="inlineStr">
        <is>
          <t>não</t>
        </is>
      </c>
      <c r="AL197" s="23" t="n"/>
      <c r="AM197" s="23" t="n"/>
      <c r="AN197" s="23" t="n"/>
      <c r="AO197" s="44">
        <f>A197</f>
        <v/>
      </c>
      <c r="AP197" s="44">
        <f>D197</f>
        <v/>
      </c>
    </row>
    <row r="198" hidden="1" ht="15.75" customHeight="1" s="93">
      <c r="A198" s="23" t="inlineStr">
        <is>
          <t>5.0208.0544822.0</t>
        </is>
      </c>
      <c r="B198" s="23" t="inlineStr">
        <is>
          <t>544822</t>
        </is>
      </c>
      <c r="C198" s="29">
        <f>IFERROR(LOWER(SUBSTITUTE(SUBSTITUTE(SUBSTITUTE(SUBSTITUTE(D198," ","-"),"/","-"),".",""),",","")),"")</f>
        <v/>
      </c>
      <c r="D198" s="23" t="inlineStr">
        <is>
          <t>BOMBA HIDRÁULICA - APLICAÇÃO 16 B1.B10.A14.C9  17-100+10 BAR (DEPOSITO)</t>
        </is>
      </c>
      <c r="E198" s="23" t="inlineStr">
        <is>
          <t>Bombas Hidráulicas</t>
        </is>
      </c>
      <c r="F198" s="23" t="inlineStr">
        <is>
          <t>SOHIPREN</t>
        </is>
      </c>
      <c r="G198" s="23" t="n"/>
      <c r="H198" s="23" t="inlineStr">
        <is>
          <t>draft</t>
        </is>
      </c>
      <c r="I198" s="23" t="inlineStr">
        <is>
          <t>CBT</t>
        </is>
      </c>
      <c r="J198" s="23" t="inlineStr">
        <is>
          <t>TRATOR DE PNEUS</t>
        </is>
      </c>
      <c r="K198" s="23" t="inlineStr">
        <is>
          <t>DIREÇÃO</t>
        </is>
      </c>
      <c r="L198" s="23" t="inlineStr">
        <is>
          <t>9540082516-9540082519-2500803100</t>
        </is>
      </c>
      <c r="M198" s="31" t="n"/>
      <c r="N198" s="31" t="n"/>
      <c r="O198" s="31" t="n"/>
      <c r="P198" s="31" t="n"/>
      <c r="Q198" s="31" t="n"/>
      <c r="R198" s="34">
        <f>IFERROR(IF(AND(O198&gt;0,P198&gt;0,Q198&gt;0),(O198*P198*Q198)/6000,""),"")</f>
        <v/>
      </c>
      <c r="S198" s="34">
        <f>IFERROR(IF(AND(N198&gt;0,R198&gt;0),MAX(N198,R198),IF(N198&gt;0,N198,IF(R198&gt;0,R198,""))),"")</f>
        <v/>
      </c>
      <c r="T198" s="36" t="n"/>
      <c r="U198" s="38" t="inlineStr">
        <is>
          <t>FALTA</t>
        </is>
      </c>
      <c r="V198" s="36" t="n">
        <v>935</v>
      </c>
      <c r="W198" s="39" t="n">
        <v>0.3</v>
      </c>
      <c r="X198" s="41">
        <f>IFERROR(V198+T198,"")</f>
        <v/>
      </c>
      <c r="Y198" s="41">
        <f>IFERROR(IF(W198&lt;1,X198/(1-W198),""),"")</f>
        <v/>
      </c>
      <c r="Z198" s="43">
        <f>'01_CONFIG_GLOBAL'!$C$14</f>
        <v/>
      </c>
      <c r="AA198" s="41">
        <f>IFERROR(Y198*Z198,"")</f>
        <v/>
      </c>
      <c r="AB198" s="41">
        <f>IFERROR(IF(Z198&lt;1,Y198/(1-Z198),""),"")</f>
        <v/>
      </c>
      <c r="AC198" s="23" t="n"/>
      <c r="AD198" s="36" t="n"/>
      <c r="AE198" s="23" t="n"/>
      <c r="AF198" s="36" t="n"/>
      <c r="AG198" s="23" t="n"/>
      <c r="AH198" s="36" t="n"/>
      <c r="AI198" s="41">
        <f>IFERROR(AVERAGE(AD198,AF198,AH198),"")</f>
        <v/>
      </c>
      <c r="AJ198" s="29">
        <f>IFERROR(IF(AI198="","sem dados",IF(AB198&lt;AI198*0.95,"abaixo",IF(AB198&gt;AI198*1.05,"acima","em linha"))),"")</f>
        <v/>
      </c>
      <c r="AK198" s="23" t="inlineStr">
        <is>
          <t>não</t>
        </is>
      </c>
      <c r="AL198" s="23" t="n"/>
      <c r="AM198" s="23" t="n"/>
      <c r="AN198" s="23" t="n"/>
      <c r="AO198" s="44">
        <f>A198</f>
        <v/>
      </c>
      <c r="AP198" s="44">
        <f>D198</f>
        <v/>
      </c>
    </row>
    <row r="199" hidden="1" ht="15.75" customHeight="1" s="93">
      <c r="A199" s="23" t="inlineStr">
        <is>
          <t>0.2022.L082458.0</t>
        </is>
      </c>
      <c r="B199" s="23" t="inlineStr">
        <is>
          <t>L082458</t>
        </is>
      </c>
      <c r="C199" s="29">
        <f>IFERROR(LOWER(SUBSTITUTE(SUBSTITUTE(SUBSTITUTE(SUBSTITUTE(D199," ","-"),"/","-"),".",""),",","")),"")</f>
        <v/>
      </c>
      <c r="D199" s="23" t="inlineStr">
        <is>
          <t>BROCA HSS - HASTE RETA - 14.0 X 108 X 160 MM (DIN338-N)</t>
        </is>
      </c>
      <c r="E199" s="23" t="n"/>
      <c r="F199" s="23" t="inlineStr">
        <is>
          <t>SOHIPREN</t>
        </is>
      </c>
      <c r="G199" s="23" t="n"/>
      <c r="H199" s="23" t="inlineStr">
        <is>
          <t>draft</t>
        </is>
      </c>
      <c r="I199" s="23" t="inlineStr">
        <is>
          <t>CELMAR</t>
        </is>
      </c>
      <c r="J199" s="23" t="n"/>
      <c r="K199" s="23" t="n"/>
      <c r="L199" s="23" t="inlineStr">
        <is>
          <t>20118320540</t>
        </is>
      </c>
      <c r="M199" s="31" t="n"/>
      <c r="N199" s="31" t="n"/>
      <c r="O199" s="31" t="n"/>
      <c r="P199" s="31" t="n"/>
      <c r="Q199" s="31" t="n"/>
      <c r="R199" s="34">
        <f>IFERROR(IF(AND(O199&gt;0,P199&gt;0,Q199&gt;0),(O199*P199*Q199)/6000,""),"")</f>
        <v/>
      </c>
      <c r="S199" s="34">
        <f>IFERROR(IF(AND(N199&gt;0,R199&gt;0),MAX(N199,R199),IF(N199&gt;0,N199,IF(R199&gt;0,R199,""))),"")</f>
        <v/>
      </c>
      <c r="T199" s="36" t="n"/>
      <c r="U199" s="38" t="inlineStr">
        <is>
          <t>FALTA</t>
        </is>
      </c>
      <c r="V199" s="36" t="n">
        <v>59</v>
      </c>
      <c r="W199" s="39" t="n">
        <v>0.3</v>
      </c>
      <c r="X199" s="41">
        <f>IFERROR(V199+T199,"")</f>
        <v/>
      </c>
      <c r="Y199" s="41">
        <f>IFERROR(IF(W199&lt;1,X199/(1-W199),""),"")</f>
        <v/>
      </c>
      <c r="Z199" s="43">
        <f>'01_CONFIG_GLOBAL'!$C$14</f>
        <v/>
      </c>
      <c r="AA199" s="41">
        <f>IFERROR(Y199*Z199,"")</f>
        <v/>
      </c>
      <c r="AB199" s="41">
        <f>IFERROR(IF(Z199&lt;1,Y199/(1-Z199),""),"")</f>
        <v/>
      </c>
      <c r="AC199" s="23" t="n"/>
      <c r="AD199" s="36" t="n"/>
      <c r="AE199" s="23" t="n"/>
      <c r="AF199" s="36" t="n"/>
      <c r="AG199" s="23" t="n"/>
      <c r="AH199" s="36" t="n"/>
      <c r="AI199" s="41">
        <f>IFERROR(AVERAGE(AD199,AF199,AH199),"")</f>
        <v/>
      </c>
      <c r="AJ199" s="29">
        <f>IFERROR(IF(AI199="","sem dados",IF(AB199&lt;AI199*0.95,"abaixo",IF(AB199&gt;AI199*1.05,"acima","em linha"))),"")</f>
        <v/>
      </c>
      <c r="AK199" s="23" t="inlineStr">
        <is>
          <t>não</t>
        </is>
      </c>
      <c r="AL199" s="23" t="n"/>
      <c r="AM199" s="23" t="n"/>
      <c r="AN199" s="23" t="n"/>
      <c r="AO199" s="44">
        <f>A199</f>
        <v/>
      </c>
      <c r="AP199" s="44">
        <f>D199</f>
        <v/>
      </c>
    </row>
    <row r="200" hidden="1" ht="15.75" customHeight="1" s="93">
      <c r="A200" s="23" t="inlineStr">
        <is>
          <t>0.2005.L082453.0</t>
        </is>
      </c>
      <c r="B200" s="23" t="inlineStr">
        <is>
          <t>L082453</t>
        </is>
      </c>
      <c r="C200" s="29">
        <f>IFERROR(LOWER(SUBSTITUTE(SUBSTITUTE(SUBSTITUTE(SUBSTITUTE(D200," ","-"),"/","-"),".",""),",","")),"")</f>
        <v/>
      </c>
      <c r="D200" s="23" t="inlineStr">
        <is>
          <t>FRESA WOODRUFF 850A Ø16,5 x 4 / 56x10x8</t>
        </is>
      </c>
      <c r="E200" s="23" t="n"/>
      <c r="F200" s="23" t="inlineStr">
        <is>
          <t>SOHIPREN</t>
        </is>
      </c>
      <c r="G200" s="23" t="n"/>
      <c r="H200" s="23" t="inlineStr">
        <is>
          <t>draft</t>
        </is>
      </c>
      <c r="I200" s="23" t="inlineStr">
        <is>
          <t>CELMAR</t>
        </is>
      </c>
      <c r="J200" s="23" t="n"/>
      <c r="K200" s="23" t="n"/>
      <c r="L200" s="23" t="inlineStr">
        <is>
          <t>440201120043</t>
        </is>
      </c>
      <c r="M200" s="31" t="n"/>
      <c r="N200" s="31" t="n"/>
      <c r="O200" s="31" t="n"/>
      <c r="P200" s="31" t="n"/>
      <c r="Q200" s="31" t="n"/>
      <c r="R200" s="34">
        <f>IFERROR(IF(AND(O200&gt;0,P200&gt;0,Q200&gt;0),(O200*P200*Q200)/6000,""),"")</f>
        <v/>
      </c>
      <c r="S200" s="34">
        <f>IFERROR(IF(AND(N200&gt;0,R200&gt;0),MAX(N200,R200),IF(N200&gt;0,N200,IF(R200&gt;0,R200,""))),"")</f>
        <v/>
      </c>
      <c r="T200" s="36" t="n"/>
      <c r="U200" s="38" t="inlineStr">
        <is>
          <t>FALTA</t>
        </is>
      </c>
      <c r="V200" s="36" t="n">
        <v>59</v>
      </c>
      <c r="W200" s="39" t="n">
        <v>0.3</v>
      </c>
      <c r="X200" s="41">
        <f>IFERROR(V200+T200,"")</f>
        <v/>
      </c>
      <c r="Y200" s="41">
        <f>IFERROR(IF(W200&lt;1,X200/(1-W200),""),"")</f>
        <v/>
      </c>
      <c r="Z200" s="43">
        <f>'01_CONFIG_GLOBAL'!$C$14</f>
        <v/>
      </c>
      <c r="AA200" s="41">
        <f>IFERROR(Y200*Z200,"")</f>
        <v/>
      </c>
      <c r="AB200" s="41">
        <f>IFERROR(IF(Z200&lt;1,Y200/(1-Z200),""),"")</f>
        <v/>
      </c>
      <c r="AC200" s="23" t="n"/>
      <c r="AD200" s="36" t="n"/>
      <c r="AE200" s="23" t="n"/>
      <c r="AF200" s="36" t="n"/>
      <c r="AG200" s="23" t="n"/>
      <c r="AH200" s="36" t="n"/>
      <c r="AI200" s="41">
        <f>IFERROR(AVERAGE(AD200,AF200,AH200),"")</f>
        <v/>
      </c>
      <c r="AJ200" s="29">
        <f>IFERROR(IF(AI200="","sem dados",IF(AB200&lt;AI200*0.95,"abaixo",IF(AB200&gt;AI200*1.05,"acima","em linha"))),"")</f>
        <v/>
      </c>
      <c r="AK200" s="23" t="inlineStr">
        <is>
          <t>não</t>
        </is>
      </c>
      <c r="AL200" s="23" t="n"/>
      <c r="AM200" s="23" t="n"/>
      <c r="AN200" s="23" t="n"/>
      <c r="AO200" s="44">
        <f>A200</f>
        <v/>
      </c>
      <c r="AP200" s="44">
        <f>D200</f>
        <v/>
      </c>
    </row>
    <row r="201" hidden="1" ht="15.75" customHeight="1" s="93">
      <c r="A201" s="23" t="inlineStr">
        <is>
          <t>0.2022.L082454.0</t>
        </is>
      </c>
      <c r="B201" s="23" t="inlineStr">
        <is>
          <t>L082454</t>
        </is>
      </c>
      <c r="C201" s="29">
        <f>IFERROR(LOWER(SUBSTITUTE(SUBSTITUTE(SUBSTITUTE(SUBSTITUTE(D201," ","-"),"/","-"),".",""),",","")),"")</f>
        <v/>
      </c>
      <c r="D201" s="23" t="inlineStr">
        <is>
          <t>BROCA HSS - HASTE RETA - 7/8 X 140 X 215 MM (DIN338-N)</t>
        </is>
      </c>
      <c r="E201" s="23" t="n"/>
      <c r="F201" s="23" t="inlineStr">
        <is>
          <t>SOHIPREN</t>
        </is>
      </c>
      <c r="G201" s="23" t="n"/>
      <c r="H201" s="23" t="inlineStr">
        <is>
          <t>draft</t>
        </is>
      </c>
      <c r="I201" s="23" t="inlineStr">
        <is>
          <t>CELMAR</t>
        </is>
      </c>
      <c r="J201" s="23" t="n"/>
      <c r="K201" s="23" t="n"/>
      <c r="L201" s="23" t="inlineStr">
        <is>
          <t>20128040540</t>
        </is>
      </c>
      <c r="M201" s="31" t="n"/>
      <c r="N201" s="31" t="n"/>
      <c r="O201" s="31" t="n"/>
      <c r="P201" s="31" t="n"/>
      <c r="Q201" s="31" t="n"/>
      <c r="R201" s="34">
        <f>IFERROR(IF(AND(O201&gt;0,P201&gt;0,Q201&gt;0),(O201*P201*Q201)/6000,""),"")</f>
        <v/>
      </c>
      <c r="S201" s="34">
        <f>IFERROR(IF(AND(N201&gt;0,R201&gt;0),MAX(N201,R201),IF(N201&gt;0,N201,IF(R201&gt;0,R201,""))),"")</f>
        <v/>
      </c>
      <c r="T201" s="36" t="n"/>
      <c r="U201" s="38" t="inlineStr">
        <is>
          <t>FALTA</t>
        </is>
      </c>
      <c r="V201" s="36" t="n">
        <v>59</v>
      </c>
      <c r="W201" s="39" t="n">
        <v>0.3</v>
      </c>
      <c r="X201" s="41">
        <f>IFERROR(V201+T201,"")</f>
        <v/>
      </c>
      <c r="Y201" s="41">
        <f>IFERROR(IF(W201&lt;1,X201/(1-W201),""),"")</f>
        <v/>
      </c>
      <c r="Z201" s="43">
        <f>'01_CONFIG_GLOBAL'!$C$14</f>
        <v/>
      </c>
      <c r="AA201" s="41">
        <f>IFERROR(Y201*Z201,"")</f>
        <v/>
      </c>
      <c r="AB201" s="41">
        <f>IFERROR(IF(Z201&lt;1,Y201/(1-Z201),""),"")</f>
        <v/>
      </c>
      <c r="AC201" s="23" t="n"/>
      <c r="AD201" s="36" t="n"/>
      <c r="AE201" s="23" t="n"/>
      <c r="AF201" s="36" t="n"/>
      <c r="AG201" s="23" t="n"/>
      <c r="AH201" s="36" t="n"/>
      <c r="AI201" s="41">
        <f>IFERROR(AVERAGE(AD201,AF201,AH201),"")</f>
        <v/>
      </c>
      <c r="AJ201" s="29">
        <f>IFERROR(IF(AI201="","sem dados",IF(AB201&lt;AI201*0.95,"abaixo",IF(AB201&gt;AI201*1.05,"acima","em linha"))),"")</f>
        <v/>
      </c>
      <c r="AK201" s="23" t="inlineStr">
        <is>
          <t>não</t>
        </is>
      </c>
      <c r="AL201" s="23" t="n"/>
      <c r="AM201" s="23" t="n"/>
      <c r="AN201" s="23" t="n"/>
      <c r="AO201" s="44">
        <f>A201</f>
        <v/>
      </c>
      <c r="AP201" s="44">
        <f>D201</f>
        <v/>
      </c>
    </row>
    <row r="202" hidden="1" ht="15.75" customHeight="1" s="93">
      <c r="A202" s="23" t="inlineStr">
        <is>
          <t>0.2022.L082455.0</t>
        </is>
      </c>
      <c r="B202" s="23" t="inlineStr">
        <is>
          <t>L082455</t>
        </is>
      </c>
      <c r="C202" s="29">
        <f>IFERROR(LOWER(SUBSTITUTE(SUBSTITUTE(SUBSTITUTE(SUBSTITUTE(D202," ","-"),"/","-"),".",""),",","")),"")</f>
        <v/>
      </c>
      <c r="D202" s="23" t="inlineStr">
        <is>
          <t>BROCA HSS - HASTE RETA - 30.0 X 165 X 240 MM (DIN338-N)</t>
        </is>
      </c>
      <c r="E202" s="23" t="n"/>
      <c r="F202" s="23" t="inlineStr">
        <is>
          <t>SOHIPREN</t>
        </is>
      </c>
      <c r="G202" s="23" t="n"/>
      <c r="H202" s="23" t="inlineStr">
        <is>
          <t>draft</t>
        </is>
      </c>
      <c r="I202" s="23" t="inlineStr">
        <is>
          <t>CELMAR</t>
        </is>
      </c>
      <c r="J202" s="23" t="n"/>
      <c r="K202" s="23" t="n"/>
      <c r="L202" s="23" t="inlineStr">
        <is>
          <t>71201001435797</t>
        </is>
      </c>
      <c r="M202" s="31" t="n"/>
      <c r="N202" s="31" t="n"/>
      <c r="O202" s="31" t="n"/>
      <c r="P202" s="31" t="n"/>
      <c r="Q202" s="31" t="n"/>
      <c r="R202" s="34">
        <f>IFERROR(IF(AND(O202&gt;0,P202&gt;0,Q202&gt;0),(O202*P202*Q202)/6000,""),"")</f>
        <v/>
      </c>
      <c r="S202" s="34">
        <f>IFERROR(IF(AND(N202&gt;0,R202&gt;0),MAX(N202,R202),IF(N202&gt;0,N202,IF(R202&gt;0,R202,""))),"")</f>
        <v/>
      </c>
      <c r="T202" s="36" t="n"/>
      <c r="U202" s="38" t="inlineStr">
        <is>
          <t>FALTA</t>
        </is>
      </c>
      <c r="V202" s="36" t="n">
        <v>59</v>
      </c>
      <c r="W202" s="39" t="n">
        <v>0.3</v>
      </c>
      <c r="X202" s="41">
        <f>IFERROR(V202+T202,"")</f>
        <v/>
      </c>
      <c r="Y202" s="41">
        <f>IFERROR(IF(W202&lt;1,X202/(1-W202),""),"")</f>
        <v/>
      </c>
      <c r="Z202" s="43">
        <f>'01_CONFIG_GLOBAL'!$C$14</f>
        <v/>
      </c>
      <c r="AA202" s="41">
        <f>IFERROR(Y202*Z202,"")</f>
        <v/>
      </c>
      <c r="AB202" s="41">
        <f>IFERROR(IF(Z202&lt;1,Y202/(1-Z202),""),"")</f>
        <v/>
      </c>
      <c r="AC202" s="23" t="n"/>
      <c r="AD202" s="36" t="n"/>
      <c r="AE202" s="23" t="n"/>
      <c r="AF202" s="36" t="n"/>
      <c r="AG202" s="23" t="n"/>
      <c r="AH202" s="36" t="n"/>
      <c r="AI202" s="41">
        <f>IFERROR(AVERAGE(AD202,AF202,AH202),"")</f>
        <v/>
      </c>
      <c r="AJ202" s="29">
        <f>IFERROR(IF(AI202="","sem dados",IF(AB202&lt;AI202*0.95,"abaixo",IF(AB202&gt;AI202*1.05,"acima","em linha"))),"")</f>
        <v/>
      </c>
      <c r="AK202" s="23" t="inlineStr">
        <is>
          <t>não</t>
        </is>
      </c>
      <c r="AL202" s="23" t="n"/>
      <c r="AM202" s="23" t="n"/>
      <c r="AN202" s="23" t="n"/>
      <c r="AO202" s="44">
        <f>A202</f>
        <v/>
      </c>
      <c r="AP202" s="44">
        <f>D202</f>
        <v/>
      </c>
    </row>
    <row r="203" hidden="1" ht="15.75" customHeight="1" s="93">
      <c r="A203" s="23" t="inlineStr">
        <is>
          <t>0.2022.L082456.0</t>
        </is>
      </c>
      <c r="B203" s="23" t="inlineStr">
        <is>
          <t>L082456</t>
        </is>
      </c>
      <c r="C203" s="29">
        <f>IFERROR(LOWER(SUBSTITUTE(SUBSTITUTE(SUBSTITUTE(SUBSTITUTE(D203," ","-"),"/","-"),".",""),",","")),"")</f>
        <v/>
      </c>
      <c r="D203" s="23" t="inlineStr">
        <is>
          <t>BROCA HSS - HASTE RETA - 17.0 X 125 X 184 MM (DIN338-N)</t>
        </is>
      </c>
      <c r="E203" s="23" t="n"/>
      <c r="F203" s="23" t="inlineStr">
        <is>
          <t>SOHIPREN</t>
        </is>
      </c>
      <c r="G203" s="23" t="n"/>
      <c r="H203" s="23" t="inlineStr">
        <is>
          <t>draft</t>
        </is>
      </c>
      <c r="I203" s="23" t="inlineStr">
        <is>
          <t>CELMAR</t>
        </is>
      </c>
      <c r="J203" s="23" t="n"/>
      <c r="K203" s="23" t="n"/>
      <c r="L203" s="23" t="inlineStr">
        <is>
          <t>20119560540</t>
        </is>
      </c>
      <c r="M203" s="31" t="n"/>
      <c r="N203" s="31" t="n"/>
      <c r="O203" s="31" t="n"/>
      <c r="P203" s="31" t="n"/>
      <c r="Q203" s="31" t="n"/>
      <c r="R203" s="34">
        <f>IFERROR(IF(AND(O203&gt;0,P203&gt;0,Q203&gt;0),(O203*P203*Q203)/6000,""),"")</f>
        <v/>
      </c>
      <c r="S203" s="34">
        <f>IFERROR(IF(AND(N203&gt;0,R203&gt;0),MAX(N203,R203),IF(N203&gt;0,N203,IF(R203&gt;0,R203,""))),"")</f>
        <v/>
      </c>
      <c r="T203" s="36" t="n"/>
      <c r="U203" s="38" t="inlineStr">
        <is>
          <t>FALTA</t>
        </is>
      </c>
      <c r="V203" s="36" t="n">
        <v>59</v>
      </c>
      <c r="W203" s="39" t="n">
        <v>0.3</v>
      </c>
      <c r="X203" s="41">
        <f>IFERROR(V203+T203,"")</f>
        <v/>
      </c>
      <c r="Y203" s="41">
        <f>IFERROR(IF(W203&lt;1,X203/(1-W203),""),"")</f>
        <v/>
      </c>
      <c r="Z203" s="43">
        <f>'01_CONFIG_GLOBAL'!$C$14</f>
        <v/>
      </c>
      <c r="AA203" s="41">
        <f>IFERROR(Y203*Z203,"")</f>
        <v/>
      </c>
      <c r="AB203" s="41">
        <f>IFERROR(IF(Z203&lt;1,Y203/(1-Z203),""),"")</f>
        <v/>
      </c>
      <c r="AC203" s="23" t="n"/>
      <c r="AD203" s="36" t="n"/>
      <c r="AE203" s="23" t="n"/>
      <c r="AF203" s="36" t="n"/>
      <c r="AG203" s="23" t="n"/>
      <c r="AH203" s="36" t="n"/>
      <c r="AI203" s="41">
        <f>IFERROR(AVERAGE(AD203,AF203,AH203),"")</f>
        <v/>
      </c>
      <c r="AJ203" s="29">
        <f>IFERROR(IF(AI203="","sem dados",IF(AB203&lt;AI203*0.95,"abaixo",IF(AB203&gt;AI203*1.05,"acima","em linha"))),"")</f>
        <v/>
      </c>
      <c r="AK203" s="23" t="inlineStr">
        <is>
          <t>não</t>
        </is>
      </c>
      <c r="AL203" s="23" t="n"/>
      <c r="AM203" s="23" t="n"/>
      <c r="AN203" s="23" t="n"/>
      <c r="AO203" s="44">
        <f>A203</f>
        <v/>
      </c>
      <c r="AP203" s="44">
        <f>D203</f>
        <v/>
      </c>
    </row>
    <row r="204" hidden="1" ht="15.75" customHeight="1" s="93">
      <c r="A204" s="23" t="inlineStr">
        <is>
          <t>0.2022.L082457.0</t>
        </is>
      </c>
      <c r="B204" s="23" t="inlineStr">
        <is>
          <t>L082457</t>
        </is>
      </c>
      <c r="C204" s="29">
        <f>IFERROR(LOWER(SUBSTITUTE(SUBSTITUTE(SUBSTITUTE(SUBSTITUTE(D204," ","-"),"/","-"),".",""),",","")),"")</f>
        <v/>
      </c>
      <c r="D204" s="23" t="inlineStr">
        <is>
          <t>BROCA HSS - HASTE RETA - 12.0 X 101 X 151 MM (DIN338-N)</t>
        </is>
      </c>
      <c r="E204" s="23" t="n"/>
      <c r="F204" s="23" t="inlineStr">
        <is>
          <t>SOHIPREN</t>
        </is>
      </c>
      <c r="G204" s="23" t="n"/>
      <c r="H204" s="23" t="inlineStr">
        <is>
          <t>draft</t>
        </is>
      </c>
      <c r="I204" s="23" t="inlineStr">
        <is>
          <t>CELMAR</t>
        </is>
      </c>
      <c r="J204" s="23" t="n"/>
      <c r="K204" s="23" t="n"/>
      <c r="L204" s="23" t="inlineStr">
        <is>
          <t>20115900540</t>
        </is>
      </c>
      <c r="M204" s="31" t="n"/>
      <c r="N204" s="31" t="n"/>
      <c r="O204" s="31" t="n"/>
      <c r="P204" s="31" t="n"/>
      <c r="Q204" s="31" t="n"/>
      <c r="R204" s="34">
        <f>IFERROR(IF(AND(O204&gt;0,P204&gt;0,Q204&gt;0),(O204*P204*Q204)/6000,""),"")</f>
        <v/>
      </c>
      <c r="S204" s="34">
        <f>IFERROR(IF(AND(N204&gt;0,R204&gt;0),MAX(N204,R204),IF(N204&gt;0,N204,IF(R204&gt;0,R204,""))),"")</f>
        <v/>
      </c>
      <c r="T204" s="36" t="n"/>
      <c r="U204" s="38" t="inlineStr">
        <is>
          <t>FALTA</t>
        </is>
      </c>
      <c r="V204" s="36" t="n">
        <v>59</v>
      </c>
      <c r="W204" s="39" t="n">
        <v>0.3</v>
      </c>
      <c r="X204" s="41">
        <f>IFERROR(V204+T204,"")</f>
        <v/>
      </c>
      <c r="Y204" s="41">
        <f>IFERROR(IF(W204&lt;1,X204/(1-W204),""),"")</f>
        <v/>
      </c>
      <c r="Z204" s="43">
        <f>'01_CONFIG_GLOBAL'!$C$14</f>
        <v/>
      </c>
      <c r="AA204" s="41">
        <f>IFERROR(Y204*Z204,"")</f>
        <v/>
      </c>
      <c r="AB204" s="41">
        <f>IFERROR(IF(Z204&lt;1,Y204/(1-Z204),""),"")</f>
        <v/>
      </c>
      <c r="AC204" s="23" t="n"/>
      <c r="AD204" s="36" t="n"/>
      <c r="AE204" s="23" t="n"/>
      <c r="AF204" s="36" t="n"/>
      <c r="AG204" s="23" t="n"/>
      <c r="AH204" s="36" t="n"/>
      <c r="AI204" s="41">
        <f>IFERROR(AVERAGE(AD204,AF204,AH204),"")</f>
        <v/>
      </c>
      <c r="AJ204" s="29">
        <f>IFERROR(IF(AI204="","sem dados",IF(AB204&lt;AI204*0.95,"abaixo",IF(AB204&gt;AI204*1.05,"acima","em linha"))),"")</f>
        <v/>
      </c>
      <c r="AK204" s="23" t="inlineStr">
        <is>
          <t>não</t>
        </is>
      </c>
      <c r="AL204" s="23" t="n"/>
      <c r="AM204" s="23" t="n"/>
      <c r="AN204" s="23" t="n"/>
      <c r="AO204" s="44">
        <f>A204</f>
        <v/>
      </c>
      <c r="AP204" s="44">
        <f>D204</f>
        <v/>
      </c>
    </row>
    <row r="205" hidden="1" ht="15.75" customHeight="1" s="93">
      <c r="A205" s="23" t="inlineStr">
        <is>
          <t>0.2005.L082133.0</t>
        </is>
      </c>
      <c r="B205" s="23" t="inlineStr">
        <is>
          <t>L082133</t>
        </is>
      </c>
      <c r="C205" s="29">
        <f>IFERROR(LOWER(SUBSTITUTE(SUBSTITUTE(SUBSTITUTE(SUBSTITUTE(D205," ","-"),"/","-"),".",""),",","")),"")</f>
        <v/>
      </c>
      <c r="D205" s="23" t="inlineStr">
        <is>
          <t>MACHO HELICOIDAL HSS-M12 x 1.5 (DIN 374)</t>
        </is>
      </c>
      <c r="E205" s="23" t="n"/>
      <c r="F205" s="23" t="inlineStr">
        <is>
          <t>SOHIPREN</t>
        </is>
      </c>
      <c r="G205" s="23" t="n"/>
      <c r="H205" s="23" t="inlineStr">
        <is>
          <t>draft</t>
        </is>
      </c>
      <c r="I205" s="23" t="inlineStr">
        <is>
          <t>CELMAR</t>
        </is>
      </c>
      <c r="J205" s="23" t="n"/>
      <c r="K205" s="23" t="n"/>
      <c r="L205" s="23" t="inlineStr">
        <is>
          <t>71008001220027</t>
        </is>
      </c>
      <c r="M205" s="31" t="n"/>
      <c r="N205" s="31" t="n"/>
      <c r="O205" s="31" t="n"/>
      <c r="P205" s="31" t="n"/>
      <c r="Q205" s="31" t="n"/>
      <c r="R205" s="34">
        <f>IFERROR(IF(AND(O205&gt;0,P205&gt;0,Q205&gt;0),(O205*P205*Q205)/6000,""),"")</f>
        <v/>
      </c>
      <c r="S205" s="34">
        <f>IFERROR(IF(AND(N205&gt;0,R205&gt;0),MAX(N205,R205),IF(N205&gt;0,N205,IF(R205&gt;0,R205,""))),"")</f>
        <v/>
      </c>
      <c r="T205" s="36" t="n"/>
      <c r="U205" s="38" t="inlineStr">
        <is>
          <t>FALTA</t>
        </is>
      </c>
      <c r="V205" s="36" t="n">
        <v>59</v>
      </c>
      <c r="W205" s="39" t="n">
        <v>0.3</v>
      </c>
      <c r="X205" s="41">
        <f>IFERROR(V205+T205,"")</f>
        <v/>
      </c>
      <c r="Y205" s="41">
        <f>IFERROR(IF(W205&lt;1,X205/(1-W205),""),"")</f>
        <v/>
      </c>
      <c r="Z205" s="43">
        <f>'01_CONFIG_GLOBAL'!$C$14</f>
        <v/>
      </c>
      <c r="AA205" s="41">
        <f>IFERROR(Y205*Z205,"")</f>
        <v/>
      </c>
      <c r="AB205" s="41">
        <f>IFERROR(IF(Z205&lt;1,Y205/(1-Z205),""),"")</f>
        <v/>
      </c>
      <c r="AC205" s="23" t="n"/>
      <c r="AD205" s="36" t="n"/>
      <c r="AE205" s="23" t="n"/>
      <c r="AF205" s="36" t="n"/>
      <c r="AG205" s="23" t="n"/>
      <c r="AH205" s="36" t="n"/>
      <c r="AI205" s="41">
        <f>IFERROR(AVERAGE(AD205,AF205,AH205),"")</f>
        <v/>
      </c>
      <c r="AJ205" s="29">
        <f>IFERROR(IF(AI205="","sem dados",IF(AB205&lt;AI205*0.95,"abaixo",IF(AB205&gt;AI205*1.05,"acima","em linha"))),"")</f>
        <v/>
      </c>
      <c r="AK205" s="23" t="inlineStr">
        <is>
          <t>não</t>
        </is>
      </c>
      <c r="AL205" s="23" t="n"/>
      <c r="AM205" s="23" t="n"/>
      <c r="AN205" s="23" t="n"/>
      <c r="AO205" s="44">
        <f>A205</f>
        <v/>
      </c>
      <c r="AP205" s="44">
        <f>D205</f>
        <v/>
      </c>
    </row>
    <row r="206" hidden="1" ht="15.75" customHeight="1" s="93">
      <c r="A206" s="23" t="inlineStr">
        <is>
          <t>0.7005.F001281.0</t>
        </is>
      </c>
      <c r="B206" s="23" t="inlineStr">
        <is>
          <t>F001281</t>
        </is>
      </c>
      <c r="C206" s="29">
        <f>IFERROR(LOWER(SUBSTITUTE(SUBSTITUTE(SUBSTITUTE(SUBSTITUTE(D206," ","-"),"/","-"),".",""),",","")),"")</f>
        <v/>
      </c>
      <c r="D206" s="23" t="inlineStr">
        <is>
          <t>105/8C M10X1,5 - COSSINETE S/ PEELING DIN 223-B</t>
        </is>
      </c>
      <c r="E206" s="23" t="n"/>
      <c r="F206" s="23" t="inlineStr">
        <is>
          <t>SOHIPREN</t>
        </is>
      </c>
      <c r="G206" s="23" t="n"/>
      <c r="H206" s="23" t="inlineStr">
        <is>
          <t>draft</t>
        </is>
      </c>
      <c r="I206" s="23" t="inlineStr">
        <is>
          <t>CELMAR</t>
        </is>
      </c>
      <c r="J206" s="23" t="n"/>
      <c r="K206" s="23" t="n"/>
      <c r="L206" s="23" t="inlineStr">
        <is>
          <t>310101050027</t>
        </is>
      </c>
      <c r="M206" s="31" t="n"/>
      <c r="N206" s="31" t="n"/>
      <c r="O206" s="31" t="n"/>
      <c r="P206" s="31" t="n"/>
      <c r="Q206" s="31" t="n"/>
      <c r="R206" s="34">
        <f>IFERROR(IF(AND(O206&gt;0,P206&gt;0,Q206&gt;0),(O206*P206*Q206)/6000,""),"")</f>
        <v/>
      </c>
      <c r="S206" s="34">
        <f>IFERROR(IF(AND(N206&gt;0,R206&gt;0),MAX(N206,R206),IF(N206&gt;0,N206,IF(R206&gt;0,R206,""))),"")</f>
        <v/>
      </c>
      <c r="T206" s="36" t="n"/>
      <c r="U206" s="38" t="inlineStr">
        <is>
          <t>FALTA</t>
        </is>
      </c>
      <c r="V206" s="36" t="n">
        <v>285</v>
      </c>
      <c r="W206" s="39" t="n">
        <v>0.3</v>
      </c>
      <c r="X206" s="41">
        <f>IFERROR(V206+T206,"")</f>
        <v/>
      </c>
      <c r="Y206" s="41">
        <f>IFERROR(IF(W206&lt;1,X206/(1-W206),""),"")</f>
        <v/>
      </c>
      <c r="Z206" s="43">
        <f>'01_CONFIG_GLOBAL'!$C$14</f>
        <v/>
      </c>
      <c r="AA206" s="41">
        <f>IFERROR(Y206*Z206,"")</f>
        <v/>
      </c>
      <c r="AB206" s="41">
        <f>IFERROR(IF(Z206&lt;1,Y206/(1-Z206),""),"")</f>
        <v/>
      </c>
      <c r="AC206" s="23" t="n"/>
      <c r="AD206" s="36" t="n"/>
      <c r="AE206" s="23" t="n"/>
      <c r="AF206" s="36" t="n"/>
      <c r="AG206" s="23" t="n"/>
      <c r="AH206" s="36" t="n"/>
      <c r="AI206" s="41">
        <f>IFERROR(AVERAGE(AD206,AF206,AH206),"")</f>
        <v/>
      </c>
      <c r="AJ206" s="29">
        <f>IFERROR(IF(AI206="","sem dados",IF(AB206&lt;AI206*0.95,"abaixo",IF(AB206&gt;AI206*1.05,"acima","em linha"))),"")</f>
        <v/>
      </c>
      <c r="AK206" s="23" t="inlineStr">
        <is>
          <t>não</t>
        </is>
      </c>
      <c r="AL206" s="23" t="n"/>
      <c r="AM206" s="23" t="n"/>
      <c r="AN206" s="23" t="n"/>
      <c r="AO206" s="44">
        <f>A206</f>
        <v/>
      </c>
      <c r="AP206" s="44">
        <f>D206</f>
        <v/>
      </c>
    </row>
    <row r="207" hidden="1" ht="15.75" customHeight="1" s="93">
      <c r="A207" s="23" t="inlineStr">
        <is>
          <t>0.2002.F001275.0</t>
        </is>
      </c>
      <c r="B207" s="23" t="inlineStr">
        <is>
          <t>F001275</t>
        </is>
      </c>
      <c r="C207" s="29">
        <f>IFERROR(LOWER(SUBSTITUTE(SUBSTITUTE(SUBSTITUTE(SUBSTITUTE(D207," ","-"),"/","-"),".",""),",","")),"")</f>
        <v/>
      </c>
      <c r="D207" s="23" t="inlineStr">
        <is>
          <t>BROCA LONGA Ø11.0 X 128 X 195 (HSS)</t>
        </is>
      </c>
      <c r="E207" s="23" t="n"/>
      <c r="F207" s="23" t="inlineStr">
        <is>
          <t>SOHIPREN</t>
        </is>
      </c>
      <c r="G207" s="23" t="n"/>
      <c r="H207" s="23" t="inlineStr">
        <is>
          <t>draft</t>
        </is>
      </c>
      <c r="I207" s="23" t="inlineStr">
        <is>
          <t>CELMAR</t>
        </is>
      </c>
      <c r="J207" s="23" t="n"/>
      <c r="K207" s="23" t="n"/>
      <c r="L207" s="23" t="inlineStr">
        <is>
          <t>204111110540</t>
        </is>
      </c>
      <c r="M207" s="31" t="n"/>
      <c r="N207" s="31" t="n"/>
      <c r="O207" s="31" t="n"/>
      <c r="P207" s="31" t="n"/>
      <c r="Q207" s="31" t="n"/>
      <c r="R207" s="34">
        <f>IFERROR(IF(AND(O207&gt;0,P207&gt;0,Q207&gt;0),(O207*P207*Q207)/6000,""),"")</f>
        <v/>
      </c>
      <c r="S207" s="34">
        <f>IFERROR(IF(AND(N207&gt;0,R207&gt;0),MAX(N207,R207),IF(N207&gt;0,N207,IF(R207&gt;0,R207,""))),"")</f>
        <v/>
      </c>
      <c r="T207" s="36" t="n"/>
      <c r="U207" s="38" t="inlineStr">
        <is>
          <t>FALTA</t>
        </is>
      </c>
      <c r="V207" s="36" t="n">
        <v>59</v>
      </c>
      <c r="W207" s="39" t="n">
        <v>0.3</v>
      </c>
      <c r="X207" s="41">
        <f>IFERROR(V207+T207,"")</f>
        <v/>
      </c>
      <c r="Y207" s="41">
        <f>IFERROR(IF(W207&lt;1,X207/(1-W207),""),"")</f>
        <v/>
      </c>
      <c r="Z207" s="43">
        <f>'01_CONFIG_GLOBAL'!$C$14</f>
        <v/>
      </c>
      <c r="AA207" s="41">
        <f>IFERROR(Y207*Z207,"")</f>
        <v/>
      </c>
      <c r="AB207" s="41">
        <f>IFERROR(IF(Z207&lt;1,Y207/(1-Z207),""),"")</f>
        <v/>
      </c>
      <c r="AC207" s="23" t="n"/>
      <c r="AD207" s="36" t="n"/>
      <c r="AE207" s="23" t="n"/>
      <c r="AF207" s="36" t="n"/>
      <c r="AG207" s="23" t="n"/>
      <c r="AH207" s="36" t="n"/>
      <c r="AI207" s="41">
        <f>IFERROR(AVERAGE(AD207,AF207,AH207),"")</f>
        <v/>
      </c>
      <c r="AJ207" s="29">
        <f>IFERROR(IF(AI207="","sem dados",IF(AB207&lt;AI207*0.95,"abaixo",IF(AB207&gt;AI207*1.05,"acima","em linha"))),"")</f>
        <v/>
      </c>
      <c r="AK207" s="23" t="inlineStr">
        <is>
          <t>não</t>
        </is>
      </c>
      <c r="AL207" s="23" t="n"/>
      <c r="AM207" s="23" t="n"/>
      <c r="AN207" s="23" t="n"/>
      <c r="AO207" s="44">
        <f>A207</f>
        <v/>
      </c>
      <c r="AP207" s="44">
        <f>D207</f>
        <v/>
      </c>
    </row>
    <row r="208" hidden="1" ht="15.75" customHeight="1" s="93">
      <c r="A208" s="23" t="inlineStr">
        <is>
          <t>0.7005.F001282.0</t>
        </is>
      </c>
      <c r="B208" s="23" t="inlineStr">
        <is>
          <t>F001282</t>
        </is>
      </c>
      <c r="C208" s="29">
        <f>IFERROR(LOWER(SUBSTITUTE(SUBSTITUTE(SUBSTITUTE(SUBSTITUTE(D208," ","-"),"/","-"),".",""),",","")),"")</f>
        <v/>
      </c>
      <c r="D208" s="23" t="inlineStr">
        <is>
          <t>106/8C 5/16 UNC - COSSINETE S/ PEELING DIN 223 B</t>
        </is>
      </c>
      <c r="E208" s="23" t="n"/>
      <c r="F208" s="23" t="inlineStr">
        <is>
          <t>SOHIPREN</t>
        </is>
      </c>
      <c r="G208" s="23" t="n"/>
      <c r="H208" s="23" t="inlineStr">
        <is>
          <t>draft</t>
        </is>
      </c>
      <c r="I208" s="23" t="inlineStr">
        <is>
          <t>CELMAR</t>
        </is>
      </c>
      <c r="J208" s="23" t="n"/>
      <c r="K208" s="23" t="n"/>
      <c r="L208" s="23" t="inlineStr">
        <is>
          <t>310500850027</t>
        </is>
      </c>
      <c r="M208" s="31" t="n"/>
      <c r="N208" s="31" t="n"/>
      <c r="O208" s="31" t="n"/>
      <c r="P208" s="31" t="n"/>
      <c r="Q208" s="31" t="n"/>
      <c r="R208" s="34">
        <f>IFERROR(IF(AND(O208&gt;0,P208&gt;0,Q208&gt;0),(O208*P208*Q208)/6000,""),"")</f>
        <v/>
      </c>
      <c r="S208" s="34">
        <f>IFERROR(IF(AND(N208&gt;0,R208&gt;0),MAX(N208,R208),IF(N208&gt;0,N208,IF(R208&gt;0,R208,""))),"")</f>
        <v/>
      </c>
      <c r="T208" s="36" t="n"/>
      <c r="U208" s="38" t="inlineStr">
        <is>
          <t>FALTA</t>
        </is>
      </c>
      <c r="V208" s="36" t="n">
        <v>285</v>
      </c>
      <c r="W208" s="39" t="n">
        <v>0.3</v>
      </c>
      <c r="X208" s="41">
        <f>IFERROR(V208+T208,"")</f>
        <v/>
      </c>
      <c r="Y208" s="41">
        <f>IFERROR(IF(W208&lt;1,X208/(1-W208),""),"")</f>
        <v/>
      </c>
      <c r="Z208" s="43">
        <f>'01_CONFIG_GLOBAL'!$C$14</f>
        <v/>
      </c>
      <c r="AA208" s="41">
        <f>IFERROR(Y208*Z208,"")</f>
        <v/>
      </c>
      <c r="AB208" s="41">
        <f>IFERROR(IF(Z208&lt;1,Y208/(1-Z208),""),"")</f>
        <v/>
      </c>
      <c r="AC208" s="23" t="n"/>
      <c r="AD208" s="36" t="n"/>
      <c r="AE208" s="23" t="n"/>
      <c r="AF208" s="36" t="n"/>
      <c r="AG208" s="23" t="n"/>
      <c r="AH208" s="36" t="n"/>
      <c r="AI208" s="41">
        <f>IFERROR(AVERAGE(AD208,AF208,AH208),"")</f>
        <v/>
      </c>
      <c r="AJ208" s="29">
        <f>IFERROR(IF(AI208="","sem dados",IF(AB208&lt;AI208*0.95,"abaixo",IF(AB208&gt;AI208*1.05,"acima","em linha"))),"")</f>
        <v/>
      </c>
      <c r="AK208" s="23" t="inlineStr">
        <is>
          <t>não</t>
        </is>
      </c>
      <c r="AL208" s="23" t="n"/>
      <c r="AM208" s="23" t="n"/>
      <c r="AN208" s="23" t="n"/>
      <c r="AO208" s="44">
        <f>A208</f>
        <v/>
      </c>
      <c r="AP208" s="44">
        <f>D208</f>
        <v/>
      </c>
    </row>
    <row r="209" hidden="1" ht="15.75" customHeight="1" s="93">
      <c r="A209" s="23" t="inlineStr">
        <is>
          <t>0.2002.F001274.0</t>
        </is>
      </c>
      <c r="B209" s="23" t="inlineStr">
        <is>
          <t>F001274</t>
        </is>
      </c>
      <c r="C209" s="29">
        <f>IFERROR(LOWER(SUBSTITUTE(SUBSTITUTE(SUBSTITUTE(SUBSTITUTE(D209," ","-"),"/","-"),".",""),",","")),"")</f>
        <v/>
      </c>
      <c r="D209" s="23" t="inlineStr">
        <is>
          <t>BROCA LONGA Ø7.0 X 102 X 156 (HSS)</t>
        </is>
      </c>
      <c r="E209" s="23" t="n"/>
      <c r="F209" s="23" t="inlineStr">
        <is>
          <t>SOHIPREN</t>
        </is>
      </c>
      <c r="G209" s="23" t="n"/>
      <c r="H209" s="23" t="inlineStr">
        <is>
          <t>draft</t>
        </is>
      </c>
      <c r="I209" s="23" t="inlineStr">
        <is>
          <t>CELMAR</t>
        </is>
      </c>
      <c r="J209" s="23" t="n"/>
      <c r="K209" s="23" t="n"/>
      <c r="L209" s="23" t="inlineStr">
        <is>
          <t>20407190019</t>
        </is>
      </c>
      <c r="M209" s="31" t="n"/>
      <c r="N209" s="31" t="n"/>
      <c r="O209" s="31" t="n"/>
      <c r="P209" s="31" t="n"/>
      <c r="Q209" s="31" t="n"/>
      <c r="R209" s="34">
        <f>IFERROR(IF(AND(O209&gt;0,P209&gt;0,Q209&gt;0),(O209*P209*Q209)/6000,""),"")</f>
        <v/>
      </c>
      <c r="S209" s="34">
        <f>IFERROR(IF(AND(N209&gt;0,R209&gt;0),MAX(N209,R209),IF(N209&gt;0,N209,IF(R209&gt;0,R209,""))),"")</f>
        <v/>
      </c>
      <c r="T209" s="36" t="n"/>
      <c r="U209" s="38" t="inlineStr">
        <is>
          <t>FALTA</t>
        </is>
      </c>
      <c r="V209" s="36" t="n">
        <v>59</v>
      </c>
      <c r="W209" s="39" t="n">
        <v>0.3</v>
      </c>
      <c r="X209" s="41">
        <f>IFERROR(V209+T209,"")</f>
        <v/>
      </c>
      <c r="Y209" s="41">
        <f>IFERROR(IF(W209&lt;1,X209/(1-W209),""),"")</f>
        <v/>
      </c>
      <c r="Z209" s="43">
        <f>'01_CONFIG_GLOBAL'!$C$14</f>
        <v/>
      </c>
      <c r="AA209" s="41">
        <f>IFERROR(Y209*Z209,"")</f>
        <v/>
      </c>
      <c r="AB209" s="41">
        <f>IFERROR(IF(Z209&lt;1,Y209/(1-Z209),""),"")</f>
        <v/>
      </c>
      <c r="AC209" s="23" t="n"/>
      <c r="AD209" s="36" t="n"/>
      <c r="AE209" s="23" t="n"/>
      <c r="AF209" s="36" t="n"/>
      <c r="AG209" s="23" t="n"/>
      <c r="AH209" s="36" t="n"/>
      <c r="AI209" s="41">
        <f>IFERROR(AVERAGE(AD209,AF209,AH209),"")</f>
        <v/>
      </c>
      <c r="AJ209" s="29">
        <f>IFERROR(IF(AI209="","sem dados",IF(AB209&lt;AI209*0.95,"abaixo",IF(AB209&gt;AI209*1.05,"acima","em linha"))),"")</f>
        <v/>
      </c>
      <c r="AK209" s="23" t="inlineStr">
        <is>
          <t>não</t>
        </is>
      </c>
      <c r="AL209" s="23" t="n"/>
      <c r="AM209" s="23" t="n"/>
      <c r="AN209" s="23" t="n"/>
      <c r="AO209" s="44">
        <f>A209</f>
        <v/>
      </c>
      <c r="AP209" s="44">
        <f>D209</f>
        <v/>
      </c>
    </row>
    <row r="210" hidden="1" ht="15.75" customHeight="1" s="93">
      <c r="A210" s="23" t="inlineStr">
        <is>
          <t>0.2005.F001269.0</t>
        </is>
      </c>
      <c r="B210" s="23" t="inlineStr">
        <is>
          <t>F001269</t>
        </is>
      </c>
      <c r="C210" s="29">
        <f>IFERROR(LOWER(SUBSTITUTE(SUBSTITUTE(SUBSTITUTE(SUBSTITUTE(D210," ","-"),"/","-"),".",""),",","")),"")</f>
        <v/>
      </c>
      <c r="D210" s="23" t="inlineStr">
        <is>
          <t>MACHO MAQUINA CANAL HELICOIDAL BSP 1/8"X28FPP DIN 5156</t>
        </is>
      </c>
      <c r="E210" s="23" t="n"/>
      <c r="F210" s="23" t="inlineStr">
        <is>
          <t>SOHIPREN</t>
        </is>
      </c>
      <c r="G210" s="23" t="n"/>
      <c r="H210" s="23" t="inlineStr">
        <is>
          <t>draft</t>
        </is>
      </c>
      <c r="I210" s="23" t="inlineStr">
        <is>
          <t>CELMAR</t>
        </is>
      </c>
      <c r="J210" s="23" t="n"/>
      <c r="K210" s="23" t="n"/>
      <c r="L210" s="23" t="inlineStr">
        <is>
          <t>71008001430027</t>
        </is>
      </c>
      <c r="M210" s="31" t="n"/>
      <c r="N210" s="31" t="n"/>
      <c r="O210" s="31" t="n"/>
      <c r="P210" s="31" t="n"/>
      <c r="Q210" s="31" t="n"/>
      <c r="R210" s="34">
        <f>IFERROR(IF(AND(O210&gt;0,P210&gt;0,Q210&gt;0),(O210*P210*Q210)/6000,""),"")</f>
        <v/>
      </c>
      <c r="S210" s="34">
        <f>IFERROR(IF(AND(N210&gt;0,R210&gt;0),MAX(N210,R210),IF(N210&gt;0,N210,IF(R210&gt;0,R210,""))),"")</f>
        <v/>
      </c>
      <c r="T210" s="36" t="n"/>
      <c r="U210" s="38" t="inlineStr">
        <is>
          <t>FALTA</t>
        </is>
      </c>
      <c r="V210" s="36" t="n">
        <v>59</v>
      </c>
      <c r="W210" s="39" t="n">
        <v>0.3</v>
      </c>
      <c r="X210" s="41">
        <f>IFERROR(V210+T210,"")</f>
        <v/>
      </c>
      <c r="Y210" s="41">
        <f>IFERROR(IF(W210&lt;1,X210/(1-W210),""),"")</f>
        <v/>
      </c>
      <c r="Z210" s="43">
        <f>'01_CONFIG_GLOBAL'!$C$14</f>
        <v/>
      </c>
      <c r="AA210" s="41">
        <f>IFERROR(Y210*Z210,"")</f>
        <v/>
      </c>
      <c r="AB210" s="41">
        <f>IFERROR(IF(Z210&lt;1,Y210/(1-Z210),""),"")</f>
        <v/>
      </c>
      <c r="AC210" s="23" t="n"/>
      <c r="AD210" s="36" t="n"/>
      <c r="AE210" s="23" t="n"/>
      <c r="AF210" s="36" t="n"/>
      <c r="AG210" s="23" t="n"/>
      <c r="AH210" s="36" t="n"/>
      <c r="AI210" s="41">
        <f>IFERROR(AVERAGE(AD210,AF210,AH210),"")</f>
        <v/>
      </c>
      <c r="AJ210" s="29">
        <f>IFERROR(IF(AI210="","sem dados",IF(AB210&lt;AI210*0.95,"abaixo",IF(AB210&gt;AI210*1.05,"acima","em linha"))),"")</f>
        <v/>
      </c>
      <c r="AK210" s="23" t="inlineStr">
        <is>
          <t>não</t>
        </is>
      </c>
      <c r="AL210" s="23" t="n"/>
      <c r="AM210" s="23" t="n"/>
      <c r="AN210" s="23" t="n"/>
      <c r="AO210" s="44">
        <f>A210</f>
        <v/>
      </c>
      <c r="AP210" s="44">
        <f>D210</f>
        <v/>
      </c>
    </row>
    <row r="211" hidden="1" ht="15.75" customHeight="1" s="93">
      <c r="A211" s="23" t="inlineStr">
        <is>
          <t>0.2002.F001273.0</t>
        </is>
      </c>
      <c r="B211" s="23" t="inlineStr">
        <is>
          <t>F001273</t>
        </is>
      </c>
      <c r="C211" s="29">
        <f>IFERROR(LOWER(SUBSTITUTE(SUBSTITUTE(SUBSTITUTE(SUBSTITUTE(D211," ","-"),"/","-"),".",""),",","")),"")</f>
        <v/>
      </c>
      <c r="D211" s="23" t="inlineStr">
        <is>
          <t>BROCA LONGA Ø5.0 X 87 X 132 (HSS)</t>
        </is>
      </c>
      <c r="E211" s="23" t="n"/>
      <c r="F211" s="23" t="inlineStr">
        <is>
          <t>SOHIPREN</t>
        </is>
      </c>
      <c r="G211" s="23" t="n"/>
      <c r="H211" s="23" t="inlineStr">
        <is>
          <t>draft</t>
        </is>
      </c>
      <c r="I211" s="23" t="inlineStr">
        <is>
          <t>CELMAR</t>
        </is>
      </c>
      <c r="J211" s="23" t="n"/>
      <c r="K211" s="23" t="n"/>
      <c r="L211" s="23" t="inlineStr">
        <is>
          <t>20405140019</t>
        </is>
      </c>
      <c r="M211" s="31" t="n"/>
      <c r="N211" s="31" t="n"/>
      <c r="O211" s="31" t="n"/>
      <c r="P211" s="31" t="n"/>
      <c r="Q211" s="31" t="n"/>
      <c r="R211" s="34">
        <f>IFERROR(IF(AND(O211&gt;0,P211&gt;0,Q211&gt;0),(O211*P211*Q211)/6000,""),"")</f>
        <v/>
      </c>
      <c r="S211" s="34">
        <f>IFERROR(IF(AND(N211&gt;0,R211&gt;0),MAX(N211,R211),IF(N211&gt;0,N211,IF(R211&gt;0,R211,""))),"")</f>
        <v/>
      </c>
      <c r="T211" s="36" t="n"/>
      <c r="U211" s="38" t="inlineStr">
        <is>
          <t>FALTA</t>
        </is>
      </c>
      <c r="V211" s="36" t="n">
        <v>59</v>
      </c>
      <c r="W211" s="39" t="n">
        <v>0.3</v>
      </c>
      <c r="X211" s="41">
        <f>IFERROR(V211+T211,"")</f>
        <v/>
      </c>
      <c r="Y211" s="41">
        <f>IFERROR(IF(W211&lt;1,X211/(1-W211),""),"")</f>
        <v/>
      </c>
      <c r="Z211" s="43">
        <f>'01_CONFIG_GLOBAL'!$C$14</f>
        <v/>
      </c>
      <c r="AA211" s="41">
        <f>IFERROR(Y211*Z211,"")</f>
        <v/>
      </c>
      <c r="AB211" s="41">
        <f>IFERROR(IF(Z211&lt;1,Y211/(1-Z211),""),"")</f>
        <v/>
      </c>
      <c r="AC211" s="23" t="n"/>
      <c r="AD211" s="36" t="n"/>
      <c r="AE211" s="23" t="n"/>
      <c r="AF211" s="36" t="n"/>
      <c r="AG211" s="23" t="n"/>
      <c r="AH211" s="36" t="n"/>
      <c r="AI211" s="41">
        <f>IFERROR(AVERAGE(AD211,AF211,AH211),"")</f>
        <v/>
      </c>
      <c r="AJ211" s="29">
        <f>IFERROR(IF(AI211="","sem dados",IF(AB211&lt;AI211*0.95,"abaixo",IF(AB211&gt;AI211*1.05,"acima","em linha"))),"")</f>
        <v/>
      </c>
      <c r="AK211" s="23" t="inlineStr">
        <is>
          <t>não</t>
        </is>
      </c>
      <c r="AL211" s="23" t="n"/>
      <c r="AM211" s="23" t="n"/>
      <c r="AN211" s="23" t="n"/>
      <c r="AO211" s="44">
        <f>A211</f>
        <v/>
      </c>
      <c r="AP211" s="44">
        <f>D211</f>
        <v/>
      </c>
    </row>
    <row r="212" hidden="1" ht="15.75" customHeight="1" s="93">
      <c r="A212" s="23" t="inlineStr">
        <is>
          <t>0.2401.F001200.0</t>
        </is>
      </c>
      <c r="B212" s="23" t="inlineStr">
        <is>
          <t>F001200</t>
        </is>
      </c>
      <c r="C212" s="29">
        <f>IFERROR(LOWER(SUBSTITUTE(SUBSTITUTE(SUBSTITUTE(SUBSTITUTE(D212," ","-"),"/","-"),".",""),",","")),"")</f>
        <v/>
      </c>
      <c r="D212" s="23" t="inlineStr">
        <is>
          <t>BATERIA LR44H</t>
        </is>
      </c>
      <c r="E212" s="23" t="n"/>
      <c r="F212" s="23" t="inlineStr">
        <is>
          <t>SOHIPREN</t>
        </is>
      </c>
      <c r="G212" s="23" t="n"/>
      <c r="H212" s="23" t="inlineStr">
        <is>
          <t>draft</t>
        </is>
      </c>
      <c r="I212" s="23" t="inlineStr">
        <is>
          <t>CELMAR</t>
        </is>
      </c>
      <c r="J212" s="23" t="n"/>
      <c r="K212" s="23" t="n"/>
      <c r="L212" s="23" t="inlineStr">
        <is>
          <t>20093882834820</t>
        </is>
      </c>
      <c r="M212" s="31" t="n"/>
      <c r="N212" s="31" t="n"/>
      <c r="O212" s="31" t="n"/>
      <c r="P212" s="31" t="n"/>
      <c r="Q212" s="31" t="n"/>
      <c r="R212" s="34">
        <f>IFERROR(IF(AND(O212&gt;0,P212&gt;0,Q212&gt;0),(O212*P212*Q212)/6000,""),"")</f>
        <v/>
      </c>
      <c r="S212" s="34">
        <f>IFERROR(IF(AND(N212&gt;0,R212&gt;0),MAX(N212,R212),IF(N212&gt;0,N212,IF(R212&gt;0,R212,""))),"")</f>
        <v/>
      </c>
      <c r="T212" s="36" t="n"/>
      <c r="U212" s="38" t="inlineStr">
        <is>
          <t>FALTA</t>
        </is>
      </c>
      <c r="V212" s="36" t="n">
        <v>285</v>
      </c>
      <c r="W212" s="39" t="n">
        <v>0.3</v>
      </c>
      <c r="X212" s="41">
        <f>IFERROR(V212+T212,"")</f>
        <v/>
      </c>
      <c r="Y212" s="41">
        <f>IFERROR(IF(W212&lt;1,X212/(1-W212),""),"")</f>
        <v/>
      </c>
      <c r="Z212" s="43">
        <f>'01_CONFIG_GLOBAL'!$C$14</f>
        <v/>
      </c>
      <c r="AA212" s="41">
        <f>IFERROR(Y212*Z212,"")</f>
        <v/>
      </c>
      <c r="AB212" s="41">
        <f>IFERROR(IF(Z212&lt;1,Y212/(1-Z212),""),"")</f>
        <v/>
      </c>
      <c r="AC212" s="23" t="n"/>
      <c r="AD212" s="36" t="n"/>
      <c r="AE212" s="23" t="n"/>
      <c r="AF212" s="36" t="n"/>
      <c r="AG212" s="23" t="n"/>
      <c r="AH212" s="36" t="n"/>
      <c r="AI212" s="41">
        <f>IFERROR(AVERAGE(AD212,AF212,AH212),"")</f>
        <v/>
      </c>
      <c r="AJ212" s="29">
        <f>IFERROR(IF(AI212="","sem dados",IF(AB212&lt;AI212*0.95,"abaixo",IF(AB212&gt;AI212*1.05,"acima","em linha"))),"")</f>
        <v/>
      </c>
      <c r="AK212" s="23" t="inlineStr">
        <is>
          <t>não</t>
        </is>
      </c>
      <c r="AL212" s="23" t="n"/>
      <c r="AM212" s="23" t="n"/>
      <c r="AN212" s="23" t="n"/>
      <c r="AO212" s="44">
        <f>A212</f>
        <v/>
      </c>
      <c r="AP212" s="44">
        <f>D212</f>
        <v/>
      </c>
    </row>
    <row r="213" hidden="1" ht="15.75" customHeight="1" s="93">
      <c r="A213" s="23" t="inlineStr">
        <is>
          <t>0.7005.F001305.0</t>
        </is>
      </c>
      <c r="B213" s="23" t="inlineStr">
        <is>
          <t>F001305</t>
        </is>
      </c>
      <c r="C213" s="29">
        <f>IFERROR(LOWER(SUBSTITUTE(SUBSTITUTE(SUBSTITUTE(SUBSTITUTE(D213," ","-"),"/","-"),".",""),",","")),"")</f>
        <v/>
      </c>
      <c r="D213" s="23" t="inlineStr">
        <is>
          <t>106/9C 5/16 UNF - COSSINETE S/ PEELING DIN 223-B</t>
        </is>
      </c>
      <c r="E213" s="23" t="n"/>
      <c r="F213" s="23" t="inlineStr">
        <is>
          <t>SOHIPREN</t>
        </is>
      </c>
      <c r="G213" s="23" t="n"/>
      <c r="H213" s="23" t="inlineStr">
        <is>
          <t>draft</t>
        </is>
      </c>
      <c r="I213" s="23" t="inlineStr">
        <is>
          <t>CELMAR</t>
        </is>
      </c>
      <c r="J213" s="23" t="n"/>
      <c r="K213" s="23" t="n"/>
      <c r="L213" s="23" t="inlineStr">
        <is>
          <t>310710820027</t>
        </is>
      </c>
      <c r="M213" s="31" t="n"/>
      <c r="N213" s="31" t="n"/>
      <c r="O213" s="31" t="n"/>
      <c r="P213" s="31" t="n"/>
      <c r="Q213" s="31" t="n"/>
      <c r="R213" s="34">
        <f>IFERROR(IF(AND(O213&gt;0,P213&gt;0,Q213&gt;0),(O213*P213*Q213)/6000,""),"")</f>
        <v/>
      </c>
      <c r="S213" s="34">
        <f>IFERROR(IF(AND(N213&gt;0,R213&gt;0),MAX(N213,R213),IF(N213&gt;0,N213,IF(R213&gt;0,R213,""))),"")</f>
        <v/>
      </c>
      <c r="T213" s="36" t="n"/>
      <c r="U213" s="38" t="inlineStr">
        <is>
          <t>FALTA</t>
        </is>
      </c>
      <c r="V213" s="36" t="n">
        <v>285</v>
      </c>
      <c r="W213" s="39" t="n">
        <v>0.3</v>
      </c>
      <c r="X213" s="41">
        <f>IFERROR(V213+T213,"")</f>
        <v/>
      </c>
      <c r="Y213" s="41">
        <f>IFERROR(IF(W213&lt;1,X213/(1-W213),""),"")</f>
        <v/>
      </c>
      <c r="Z213" s="43">
        <f>'01_CONFIG_GLOBAL'!$C$14</f>
        <v/>
      </c>
      <c r="AA213" s="41">
        <f>IFERROR(Y213*Z213,"")</f>
        <v/>
      </c>
      <c r="AB213" s="41">
        <f>IFERROR(IF(Z213&lt;1,Y213/(1-Z213),""),"")</f>
        <v/>
      </c>
      <c r="AC213" s="23" t="n"/>
      <c r="AD213" s="36" t="n"/>
      <c r="AE213" s="23" t="n"/>
      <c r="AF213" s="36" t="n"/>
      <c r="AG213" s="23" t="n"/>
      <c r="AH213" s="36" t="n"/>
      <c r="AI213" s="41">
        <f>IFERROR(AVERAGE(AD213,AF213,AH213),"")</f>
        <v/>
      </c>
      <c r="AJ213" s="29">
        <f>IFERROR(IF(AI213="","sem dados",IF(AB213&lt;AI213*0.95,"abaixo",IF(AB213&gt;AI213*1.05,"acima","em linha"))),"")</f>
        <v/>
      </c>
      <c r="AK213" s="23" t="inlineStr">
        <is>
          <t>não</t>
        </is>
      </c>
      <c r="AL213" s="23" t="n"/>
      <c r="AM213" s="23" t="n"/>
      <c r="AN213" s="23" t="n"/>
      <c r="AO213" s="44">
        <f>A213</f>
        <v/>
      </c>
      <c r="AP213" s="44">
        <f>D213</f>
        <v/>
      </c>
    </row>
    <row r="214" hidden="1" ht="15.75" customHeight="1" s="93">
      <c r="A214" s="23" t="inlineStr">
        <is>
          <t>0.7005.F001289.0</t>
        </is>
      </c>
      <c r="B214" s="23" t="inlineStr">
        <is>
          <t>F001289</t>
        </is>
      </c>
      <c r="C214" s="29">
        <f>IFERROR(LOWER(SUBSTITUTE(SUBSTITUTE(SUBSTITUTE(SUBSTITUTE(D214," ","-"),"/","-"),".",""),",","")),"")</f>
        <v/>
      </c>
      <c r="D214" s="23" t="inlineStr">
        <is>
          <t>106/8C 1/4 UNC - COSSINETE S/ PEELING DIN 223 B</t>
        </is>
      </c>
      <c r="E214" s="23" t="n"/>
      <c r="F214" s="23" t="inlineStr">
        <is>
          <t>SOHIPREN</t>
        </is>
      </c>
      <c r="G214" s="23" t="n"/>
      <c r="H214" s="23" t="inlineStr">
        <is>
          <t>draft</t>
        </is>
      </c>
      <c r="I214" s="23" t="inlineStr">
        <is>
          <t>CELMAR</t>
        </is>
      </c>
      <c r="J214" s="23" t="n"/>
      <c r="K214" s="23" t="n"/>
      <c r="L214" s="23" t="inlineStr">
        <is>
          <t>310500770027</t>
        </is>
      </c>
      <c r="M214" s="31" t="n"/>
      <c r="N214" s="31" t="n"/>
      <c r="O214" s="31" t="n"/>
      <c r="P214" s="31" t="n"/>
      <c r="Q214" s="31" t="n"/>
      <c r="R214" s="34">
        <f>IFERROR(IF(AND(O214&gt;0,P214&gt;0,Q214&gt;0),(O214*P214*Q214)/6000,""),"")</f>
        <v/>
      </c>
      <c r="S214" s="34">
        <f>IFERROR(IF(AND(N214&gt;0,R214&gt;0),MAX(N214,R214),IF(N214&gt;0,N214,IF(R214&gt;0,R214,""))),"")</f>
        <v/>
      </c>
      <c r="T214" s="36" t="n"/>
      <c r="U214" s="38" t="inlineStr">
        <is>
          <t>FALTA</t>
        </is>
      </c>
      <c r="V214" s="36" t="n">
        <v>285</v>
      </c>
      <c r="W214" s="39" t="n">
        <v>0.3</v>
      </c>
      <c r="X214" s="41">
        <f>IFERROR(V214+T214,"")</f>
        <v/>
      </c>
      <c r="Y214" s="41">
        <f>IFERROR(IF(W214&lt;1,X214/(1-W214),""),"")</f>
        <v/>
      </c>
      <c r="Z214" s="43">
        <f>'01_CONFIG_GLOBAL'!$C$14</f>
        <v/>
      </c>
      <c r="AA214" s="41">
        <f>IFERROR(Y214*Z214,"")</f>
        <v/>
      </c>
      <c r="AB214" s="41">
        <f>IFERROR(IF(Z214&lt;1,Y214/(1-Z214),""),"")</f>
        <v/>
      </c>
      <c r="AC214" s="23" t="n"/>
      <c r="AD214" s="36" t="n"/>
      <c r="AE214" s="23" t="n"/>
      <c r="AF214" s="36" t="n"/>
      <c r="AG214" s="23" t="n"/>
      <c r="AH214" s="36" t="n"/>
      <c r="AI214" s="41">
        <f>IFERROR(AVERAGE(AD214,AF214,AH214),"")</f>
        <v/>
      </c>
      <c r="AJ214" s="29">
        <f>IFERROR(IF(AI214="","sem dados",IF(AB214&lt;AI214*0.95,"abaixo",IF(AB214&gt;AI214*1.05,"acima","em linha"))),"")</f>
        <v/>
      </c>
      <c r="AK214" s="23" t="inlineStr">
        <is>
          <t>não</t>
        </is>
      </c>
      <c r="AL214" s="23" t="n"/>
      <c r="AM214" s="23" t="n"/>
      <c r="AN214" s="23" t="n"/>
      <c r="AO214" s="44">
        <f>A214</f>
        <v/>
      </c>
      <c r="AP214" s="44">
        <f>D214</f>
        <v/>
      </c>
    </row>
    <row r="215" hidden="1" ht="15.75" customHeight="1" s="93">
      <c r="A215" s="23" t="inlineStr">
        <is>
          <t>0.7005.F001290.0</t>
        </is>
      </c>
      <c r="B215" s="23" t="inlineStr">
        <is>
          <t>F001290</t>
        </is>
      </c>
      <c r="C215" s="29">
        <f>IFERROR(LOWER(SUBSTITUTE(SUBSTITUTE(SUBSTITUTE(SUBSTITUTE(D215," ","-"),"/","-"),".",""),",","")),"")</f>
        <v/>
      </c>
      <c r="D215" s="23" t="inlineStr">
        <is>
          <t>PORTA COSSINETES - 20MM</t>
        </is>
      </c>
      <c r="E215" s="23" t="n"/>
      <c r="F215" s="23" t="inlineStr">
        <is>
          <t>SOHIPREN</t>
        </is>
      </c>
      <c r="G215" s="23" t="n"/>
      <c r="H215" s="23" t="inlineStr">
        <is>
          <t>draft</t>
        </is>
      </c>
      <c r="I215" s="23" t="inlineStr">
        <is>
          <t>CELMAR</t>
        </is>
      </c>
      <c r="J215" s="23" t="n"/>
      <c r="K215" s="23" t="n"/>
      <c r="L215" s="23" t="inlineStr">
        <is>
          <t>77152207222682</t>
        </is>
      </c>
      <c r="M215" s="31" t="n"/>
      <c r="N215" s="31" t="n"/>
      <c r="O215" s="31" t="n"/>
      <c r="P215" s="31" t="n"/>
      <c r="Q215" s="31" t="n"/>
      <c r="R215" s="34">
        <f>IFERROR(IF(AND(O215&gt;0,P215&gt;0,Q215&gt;0),(O215*P215*Q215)/6000,""),"")</f>
        <v/>
      </c>
      <c r="S215" s="34">
        <f>IFERROR(IF(AND(N215&gt;0,R215&gt;0),MAX(N215,R215),IF(N215&gt;0,N215,IF(R215&gt;0,R215,""))),"")</f>
        <v/>
      </c>
      <c r="T215" s="36" t="n"/>
      <c r="U215" s="38" t="inlineStr">
        <is>
          <t>FALTA</t>
        </is>
      </c>
      <c r="V215" s="36" t="n">
        <v>285</v>
      </c>
      <c r="W215" s="39" t="n">
        <v>0.3</v>
      </c>
      <c r="X215" s="41">
        <f>IFERROR(V215+T215,"")</f>
        <v/>
      </c>
      <c r="Y215" s="41">
        <f>IFERROR(IF(W215&lt;1,X215/(1-W215),""),"")</f>
        <v/>
      </c>
      <c r="Z215" s="43">
        <f>'01_CONFIG_GLOBAL'!$C$14</f>
        <v/>
      </c>
      <c r="AA215" s="41">
        <f>IFERROR(Y215*Z215,"")</f>
        <v/>
      </c>
      <c r="AB215" s="41">
        <f>IFERROR(IF(Z215&lt;1,Y215/(1-Z215),""),"")</f>
        <v/>
      </c>
      <c r="AC215" s="23" t="n"/>
      <c r="AD215" s="36" t="n"/>
      <c r="AE215" s="23" t="n"/>
      <c r="AF215" s="36" t="n"/>
      <c r="AG215" s="23" t="n"/>
      <c r="AH215" s="36" t="n"/>
      <c r="AI215" s="41">
        <f>IFERROR(AVERAGE(AD215,AF215,AH215),"")</f>
        <v/>
      </c>
      <c r="AJ215" s="29">
        <f>IFERROR(IF(AI215="","sem dados",IF(AB215&lt;AI215*0.95,"abaixo",IF(AB215&gt;AI215*1.05,"acima","em linha"))),"")</f>
        <v/>
      </c>
      <c r="AK215" s="23" t="inlineStr">
        <is>
          <t>não</t>
        </is>
      </c>
      <c r="AL215" s="23" t="n"/>
      <c r="AM215" s="23" t="n"/>
      <c r="AN215" s="23" t="n"/>
      <c r="AO215" s="44">
        <f>A215</f>
        <v/>
      </c>
      <c r="AP215" s="44">
        <f>D215</f>
        <v/>
      </c>
    </row>
    <row r="216" hidden="1" ht="15.75" customHeight="1" s="93">
      <c r="A216" s="23" t="inlineStr">
        <is>
          <t>0.2002.F001218.0</t>
        </is>
      </c>
      <c r="B216" s="23" t="inlineStr">
        <is>
          <t>F001318</t>
        </is>
      </c>
      <c r="C216" s="29">
        <f>IFERROR(LOWER(SUBSTITUTE(SUBSTITUTE(SUBSTITUTE(SUBSTITUTE(D216," ","-"),"/","-"),".",""),",","")),"")</f>
        <v/>
      </c>
      <c r="D216" s="23" t="inlineStr">
        <is>
          <t>BROCA DIAM. 5 X 150 X 200 MM (HSS)</t>
        </is>
      </c>
      <c r="E216" s="23" t="n"/>
      <c r="F216" s="23" t="inlineStr">
        <is>
          <t>SOHIPREN</t>
        </is>
      </c>
      <c r="G216" s="23" t="n"/>
      <c r="H216" s="23" t="inlineStr">
        <is>
          <t>draft</t>
        </is>
      </c>
      <c r="I216" s="23" t="inlineStr">
        <is>
          <t>CELMAR</t>
        </is>
      </c>
      <c r="J216" s="23" t="n"/>
      <c r="K216" s="23" t="n"/>
      <c r="L216" s="23" t="inlineStr">
        <is>
          <t>20550660019</t>
        </is>
      </c>
      <c r="M216" s="31" t="n"/>
      <c r="N216" s="31" t="n"/>
      <c r="O216" s="31" t="n"/>
      <c r="P216" s="31" t="n"/>
      <c r="Q216" s="31" t="n"/>
      <c r="R216" s="34">
        <f>IFERROR(IF(AND(O216&gt;0,P216&gt;0,Q216&gt;0),(O216*P216*Q216)/6000,""),"")</f>
        <v/>
      </c>
      <c r="S216" s="34">
        <f>IFERROR(IF(AND(N216&gt;0,R216&gt;0),MAX(N216,R216),IF(N216&gt;0,N216,IF(R216&gt;0,R216,""))),"")</f>
        <v/>
      </c>
      <c r="T216" s="36" t="n"/>
      <c r="U216" s="38" t="inlineStr">
        <is>
          <t>FALTA</t>
        </is>
      </c>
      <c r="V216" s="36" t="n">
        <v>59</v>
      </c>
      <c r="W216" s="39" t="n">
        <v>0.3</v>
      </c>
      <c r="X216" s="41">
        <f>IFERROR(V216+T216,"")</f>
        <v/>
      </c>
      <c r="Y216" s="41">
        <f>IFERROR(IF(W216&lt;1,X216/(1-W216),""),"")</f>
        <v/>
      </c>
      <c r="Z216" s="43">
        <f>'01_CONFIG_GLOBAL'!$C$14</f>
        <v/>
      </c>
      <c r="AA216" s="41">
        <f>IFERROR(Y216*Z216,"")</f>
        <v/>
      </c>
      <c r="AB216" s="41">
        <f>IFERROR(IF(Z216&lt;1,Y216/(1-Z216),""),"")</f>
        <v/>
      </c>
      <c r="AC216" s="23" t="n"/>
      <c r="AD216" s="36" t="n"/>
      <c r="AE216" s="23" t="n"/>
      <c r="AF216" s="36" t="n"/>
      <c r="AG216" s="23" t="n"/>
      <c r="AH216" s="36" t="n"/>
      <c r="AI216" s="41">
        <f>IFERROR(AVERAGE(AD216,AF216,AH216),"")</f>
        <v/>
      </c>
      <c r="AJ216" s="29">
        <f>IFERROR(IF(AI216="","sem dados",IF(AB216&lt;AI216*0.95,"abaixo",IF(AB216&gt;AI216*1.05,"acima","em linha"))),"")</f>
        <v/>
      </c>
      <c r="AK216" s="23" t="inlineStr">
        <is>
          <t>não</t>
        </is>
      </c>
      <c r="AL216" s="23" t="n"/>
      <c r="AM216" s="23" t="n"/>
      <c r="AN216" s="23" t="n"/>
      <c r="AO216" s="44">
        <f>A216</f>
        <v/>
      </c>
      <c r="AP216" s="44">
        <f>D216</f>
        <v/>
      </c>
    </row>
    <row r="217" hidden="1" ht="15.75" customHeight="1" s="93">
      <c r="A217" s="23" t="inlineStr">
        <is>
          <t>0.2002.F001219.0</t>
        </is>
      </c>
      <c r="B217" s="23" t="inlineStr">
        <is>
          <t>F001319</t>
        </is>
      </c>
      <c r="C217" s="29">
        <f>IFERROR(LOWER(SUBSTITUTE(SUBSTITUTE(SUBSTITUTE(SUBSTITUTE(D217," ","-"),"/","-"),".",""),",","")),"")</f>
        <v/>
      </c>
      <c r="D217" s="23" t="inlineStr">
        <is>
          <t>BROCA DIAM. 7 X 150 X 200 MM (HSS)</t>
        </is>
      </c>
      <c r="E217" s="23" t="n"/>
      <c r="F217" s="23" t="inlineStr">
        <is>
          <t>SOHIPREN</t>
        </is>
      </c>
      <c r="G217" s="23" t="n"/>
      <c r="H217" s="23" t="inlineStr">
        <is>
          <t>draft</t>
        </is>
      </c>
      <c r="I217" s="23" t="inlineStr">
        <is>
          <t>CELMAR</t>
        </is>
      </c>
      <c r="J217" s="23" t="n"/>
      <c r="K217" s="23" t="n"/>
      <c r="L217" s="23" t="inlineStr">
        <is>
          <t>20550740019</t>
        </is>
      </c>
      <c r="M217" s="31" t="n"/>
      <c r="N217" s="31" t="n"/>
      <c r="O217" s="31" t="n"/>
      <c r="P217" s="31" t="n"/>
      <c r="Q217" s="31" t="n"/>
      <c r="R217" s="34">
        <f>IFERROR(IF(AND(O217&gt;0,P217&gt;0,Q217&gt;0),(O217*P217*Q217)/6000,""),"")</f>
        <v/>
      </c>
      <c r="S217" s="34">
        <f>IFERROR(IF(AND(N217&gt;0,R217&gt;0),MAX(N217,R217),IF(N217&gt;0,N217,IF(R217&gt;0,R217,""))),"")</f>
        <v/>
      </c>
      <c r="T217" s="36" t="n"/>
      <c r="U217" s="38" t="inlineStr">
        <is>
          <t>FALTA</t>
        </is>
      </c>
      <c r="V217" s="36" t="n">
        <v>59</v>
      </c>
      <c r="W217" s="39" t="n">
        <v>0.3</v>
      </c>
      <c r="X217" s="41">
        <f>IFERROR(V217+T217,"")</f>
        <v/>
      </c>
      <c r="Y217" s="41">
        <f>IFERROR(IF(W217&lt;1,X217/(1-W217),""),"")</f>
        <v/>
      </c>
      <c r="Z217" s="43">
        <f>'01_CONFIG_GLOBAL'!$C$14</f>
        <v/>
      </c>
      <c r="AA217" s="41">
        <f>IFERROR(Y217*Z217,"")</f>
        <v/>
      </c>
      <c r="AB217" s="41">
        <f>IFERROR(IF(Z217&lt;1,Y217/(1-Z217),""),"")</f>
        <v/>
      </c>
      <c r="AC217" s="23" t="n"/>
      <c r="AD217" s="36" t="n"/>
      <c r="AE217" s="23" t="n"/>
      <c r="AF217" s="36" t="n"/>
      <c r="AG217" s="23" t="n"/>
      <c r="AH217" s="36" t="n"/>
      <c r="AI217" s="41">
        <f>IFERROR(AVERAGE(AD217,AF217,AH217),"")</f>
        <v/>
      </c>
      <c r="AJ217" s="29">
        <f>IFERROR(IF(AI217="","sem dados",IF(AB217&lt;AI217*0.95,"abaixo",IF(AB217&gt;AI217*1.05,"acima","em linha"))),"")</f>
        <v/>
      </c>
      <c r="AK217" s="23" t="inlineStr">
        <is>
          <t>não</t>
        </is>
      </c>
      <c r="AL217" s="23" t="n"/>
      <c r="AM217" s="23" t="n"/>
      <c r="AN217" s="23" t="n"/>
      <c r="AO217" s="44">
        <f>A217</f>
        <v/>
      </c>
      <c r="AP217" s="44">
        <f>D217</f>
        <v/>
      </c>
    </row>
    <row r="218" hidden="1" ht="15.75" customHeight="1" s="93">
      <c r="A218" s="23" t="inlineStr">
        <is>
          <t>0.2005.F001220.0</t>
        </is>
      </c>
      <c r="B218" s="23" t="inlineStr">
        <is>
          <t>F001320</t>
        </is>
      </c>
      <c r="C218" s="29">
        <f>IFERROR(LOWER(SUBSTITUTE(SUBSTITUTE(SUBSTITUTE(SUBSTITUTE(D218," ","-"),"/","-"),".",""),",","")),"")</f>
        <v/>
      </c>
      <c r="D218" s="23" t="inlineStr">
        <is>
          <t>ALARGADOR DE AÇO RAPIDO P/ MAQUINA Ø 7/8"</t>
        </is>
      </c>
      <c r="E218" s="23" t="n"/>
      <c r="F218" s="23" t="inlineStr">
        <is>
          <t>SOHIPREN</t>
        </is>
      </c>
      <c r="G218" s="23" t="n"/>
      <c r="H218" s="23" t="inlineStr">
        <is>
          <t>draft</t>
        </is>
      </c>
      <c r="I218" s="23" t="inlineStr">
        <is>
          <t>CELMAR</t>
        </is>
      </c>
      <c r="J218" s="23" t="n"/>
      <c r="K218" s="23" t="n"/>
      <c r="L218" s="23" t="inlineStr">
        <is>
          <t>74155253330043</t>
        </is>
      </c>
      <c r="M218" s="31" t="n"/>
      <c r="N218" s="31" t="n"/>
      <c r="O218" s="31" t="n"/>
      <c r="P218" s="31" t="n"/>
      <c r="Q218" s="31" t="n"/>
      <c r="R218" s="34">
        <f>IFERROR(IF(AND(O218&gt;0,P218&gt;0,Q218&gt;0),(O218*P218*Q218)/6000,""),"")</f>
        <v/>
      </c>
      <c r="S218" s="34">
        <f>IFERROR(IF(AND(N218&gt;0,R218&gt;0),MAX(N218,R218),IF(N218&gt;0,N218,IF(R218&gt;0,R218,""))),"")</f>
        <v/>
      </c>
      <c r="T218" s="36" t="n"/>
      <c r="U218" s="38" t="inlineStr">
        <is>
          <t>FALTA</t>
        </is>
      </c>
      <c r="V218" s="36" t="n">
        <v>59</v>
      </c>
      <c r="W218" s="39" t="n">
        <v>0.3</v>
      </c>
      <c r="X218" s="41">
        <f>IFERROR(V218+T218,"")</f>
        <v/>
      </c>
      <c r="Y218" s="41">
        <f>IFERROR(IF(W218&lt;1,X218/(1-W218),""),"")</f>
        <v/>
      </c>
      <c r="Z218" s="43">
        <f>'01_CONFIG_GLOBAL'!$C$14</f>
        <v/>
      </c>
      <c r="AA218" s="41">
        <f>IFERROR(Y218*Z218,"")</f>
        <v/>
      </c>
      <c r="AB218" s="41">
        <f>IFERROR(IF(Z218&lt;1,Y218/(1-Z218),""),"")</f>
        <v/>
      </c>
      <c r="AC218" s="23" t="n"/>
      <c r="AD218" s="36" t="n"/>
      <c r="AE218" s="23" t="n"/>
      <c r="AF218" s="36" t="n"/>
      <c r="AG218" s="23" t="n"/>
      <c r="AH218" s="36" t="n"/>
      <c r="AI218" s="41">
        <f>IFERROR(AVERAGE(AD218,AF218,AH218),"")</f>
        <v/>
      </c>
      <c r="AJ218" s="29">
        <f>IFERROR(IF(AI218="","sem dados",IF(AB218&lt;AI218*0.95,"abaixo",IF(AB218&gt;AI218*1.05,"acima","em linha"))),"")</f>
        <v/>
      </c>
      <c r="AK218" s="23" t="inlineStr">
        <is>
          <t>não</t>
        </is>
      </c>
      <c r="AL218" s="23" t="n"/>
      <c r="AM218" s="23" t="n"/>
      <c r="AN218" s="23" t="n"/>
      <c r="AO218" s="44">
        <f>A218</f>
        <v/>
      </c>
      <c r="AP218" s="44">
        <f>D218</f>
        <v/>
      </c>
    </row>
    <row r="219" hidden="1" ht="15.75" customHeight="1" s="93">
      <c r="A219" s="23" t="inlineStr">
        <is>
          <t>0.2005.F001221.0</t>
        </is>
      </c>
      <c r="B219" s="23" t="inlineStr">
        <is>
          <t>F001321</t>
        </is>
      </c>
      <c r="C219" s="29">
        <f>IFERROR(LOWER(SUBSTITUTE(SUBSTITUTE(SUBSTITUTE(SUBSTITUTE(D219," ","-"),"/","-"),".",""),",","")),"")</f>
        <v/>
      </c>
      <c r="D219" s="23" t="inlineStr">
        <is>
          <t>ALARGADOR DE AÇO RAPIDO P/ MAQUINA Ø 5/8"</t>
        </is>
      </c>
      <c r="E219" s="23" t="n"/>
      <c r="F219" s="23" t="inlineStr">
        <is>
          <t>SOHIPREN</t>
        </is>
      </c>
      <c r="G219" s="23" t="n"/>
      <c r="H219" s="23" t="inlineStr">
        <is>
          <t>draft</t>
        </is>
      </c>
      <c r="I219" s="23" t="inlineStr">
        <is>
          <t>CELMAR</t>
        </is>
      </c>
      <c r="J219" s="23" t="n"/>
      <c r="K219" s="23" t="n"/>
      <c r="L219" s="23" t="inlineStr">
        <is>
          <t>510106660043</t>
        </is>
      </c>
      <c r="M219" s="31" t="n"/>
      <c r="N219" s="31" t="n"/>
      <c r="O219" s="31" t="n"/>
      <c r="P219" s="31" t="n"/>
      <c r="Q219" s="31" t="n"/>
      <c r="R219" s="34">
        <f>IFERROR(IF(AND(O219&gt;0,P219&gt;0,Q219&gt;0),(O219*P219*Q219)/6000,""),"")</f>
        <v/>
      </c>
      <c r="S219" s="34">
        <f>IFERROR(IF(AND(N219&gt;0,R219&gt;0),MAX(N219,R219),IF(N219&gt;0,N219,IF(R219&gt;0,R219,""))),"")</f>
        <v/>
      </c>
      <c r="T219" s="36" t="n"/>
      <c r="U219" s="38" t="inlineStr">
        <is>
          <t>FALTA</t>
        </is>
      </c>
      <c r="V219" s="36" t="n">
        <v>59</v>
      </c>
      <c r="W219" s="39" t="n">
        <v>0.3</v>
      </c>
      <c r="X219" s="41">
        <f>IFERROR(V219+T219,"")</f>
        <v/>
      </c>
      <c r="Y219" s="41">
        <f>IFERROR(IF(W219&lt;1,X219/(1-W219),""),"")</f>
        <v/>
      </c>
      <c r="Z219" s="43">
        <f>'01_CONFIG_GLOBAL'!$C$14</f>
        <v/>
      </c>
      <c r="AA219" s="41">
        <f>IFERROR(Y219*Z219,"")</f>
        <v/>
      </c>
      <c r="AB219" s="41">
        <f>IFERROR(IF(Z219&lt;1,Y219/(1-Z219),""),"")</f>
        <v/>
      </c>
      <c r="AC219" s="23" t="n"/>
      <c r="AD219" s="36" t="n"/>
      <c r="AE219" s="23" t="n"/>
      <c r="AF219" s="36" t="n"/>
      <c r="AG219" s="23" t="n"/>
      <c r="AH219" s="36" t="n"/>
      <c r="AI219" s="41">
        <f>IFERROR(AVERAGE(AD219,AF219,AH219),"")</f>
        <v/>
      </c>
      <c r="AJ219" s="29">
        <f>IFERROR(IF(AI219="","sem dados",IF(AB219&lt;AI219*0.95,"abaixo",IF(AB219&gt;AI219*1.05,"acima","em linha"))),"")</f>
        <v/>
      </c>
      <c r="AK219" s="23" t="inlineStr">
        <is>
          <t>não</t>
        </is>
      </c>
      <c r="AL219" s="23" t="n"/>
      <c r="AM219" s="23" t="n"/>
      <c r="AN219" s="23" t="n"/>
      <c r="AO219" s="44">
        <f>A219</f>
        <v/>
      </c>
      <c r="AP219" s="44">
        <f>D219</f>
        <v/>
      </c>
    </row>
    <row r="220" hidden="1" ht="15.75" customHeight="1" s="93">
      <c r="A220" s="23" t="inlineStr">
        <is>
          <t>0.2005.F001201.0</t>
        </is>
      </c>
      <c r="B220" s="23" t="n"/>
      <c r="C220" s="29">
        <f>IFERROR(LOWER(SUBSTITUTE(SUBSTITUTE(SUBSTITUTE(SUBSTITUTE(D220," ","-"),"/","-"),".",""),",","")),"")</f>
        <v/>
      </c>
      <c r="D220" s="23" t="inlineStr">
        <is>
          <t>OBSOLETO-MACHO HELICOIDAL HSS-M20 x 1.5 (DORMER-DIN 374)</t>
        </is>
      </c>
      <c r="E220" s="23" t="n"/>
      <c r="F220" s="23" t="inlineStr">
        <is>
          <t>SOHIPREN</t>
        </is>
      </c>
      <c r="G220" s="23" t="n"/>
      <c r="H220" s="23" t="inlineStr">
        <is>
          <t>draft</t>
        </is>
      </c>
      <c r="I220" s="23" t="inlineStr">
        <is>
          <t>CELMAR</t>
        </is>
      </c>
      <c r="J220" s="23" t="n"/>
      <c r="K220" s="23" t="n"/>
      <c r="L220" s="23" t="inlineStr">
        <is>
          <t>112702090027</t>
        </is>
      </c>
      <c r="M220" s="31" t="n"/>
      <c r="N220" s="31" t="n"/>
      <c r="O220" s="31" t="n"/>
      <c r="P220" s="31" t="n"/>
      <c r="Q220" s="31" t="n"/>
      <c r="R220" s="34">
        <f>IFERROR(IF(AND(O220&gt;0,P220&gt;0,Q220&gt;0),(O220*P220*Q220)/6000,""),"")</f>
        <v/>
      </c>
      <c r="S220" s="34">
        <f>IFERROR(IF(AND(N220&gt;0,R220&gt;0),MAX(N220,R220),IF(N220&gt;0,N220,IF(R220&gt;0,R220,""))),"")</f>
        <v/>
      </c>
      <c r="T220" s="36" t="n"/>
      <c r="U220" s="38" t="inlineStr">
        <is>
          <t>FALTA</t>
        </is>
      </c>
      <c r="V220" s="36" t="n">
        <v>59</v>
      </c>
      <c r="W220" s="39" t="n">
        <v>0.3</v>
      </c>
      <c r="X220" s="41">
        <f>IFERROR(V220+T220,"")</f>
        <v/>
      </c>
      <c r="Y220" s="41">
        <f>IFERROR(IF(W220&lt;1,X220/(1-W220),""),"")</f>
        <v/>
      </c>
      <c r="Z220" s="43">
        <f>'01_CONFIG_GLOBAL'!$C$14</f>
        <v/>
      </c>
      <c r="AA220" s="41">
        <f>IFERROR(Y220*Z220,"")</f>
        <v/>
      </c>
      <c r="AB220" s="41">
        <f>IFERROR(IF(Z220&lt;1,Y220/(1-Z220),""),"")</f>
        <v/>
      </c>
      <c r="AC220" s="23" t="n"/>
      <c r="AD220" s="36" t="n"/>
      <c r="AE220" s="23" t="n"/>
      <c r="AF220" s="36" t="n"/>
      <c r="AG220" s="23" t="n"/>
      <c r="AH220" s="36" t="n"/>
      <c r="AI220" s="41">
        <f>IFERROR(AVERAGE(AD220,AF220,AH220),"")</f>
        <v/>
      </c>
      <c r="AJ220" s="29">
        <f>IFERROR(IF(AI220="","sem dados",IF(AB220&lt;AI220*0.95,"abaixo",IF(AB220&gt;AI220*1.05,"acima","em linha"))),"")</f>
        <v/>
      </c>
      <c r="AK220" s="23" t="inlineStr">
        <is>
          <t>não</t>
        </is>
      </c>
      <c r="AL220" s="23" t="n"/>
      <c r="AM220" s="23" t="n"/>
      <c r="AN220" s="23" t="n"/>
      <c r="AO220" s="44">
        <f>A220</f>
        <v/>
      </c>
      <c r="AP220" s="44">
        <f>D220</f>
        <v/>
      </c>
    </row>
    <row r="221" hidden="1" ht="15.75" customHeight="1" s="93">
      <c r="A221" s="23" t="inlineStr">
        <is>
          <t>6.5001.L080827.0</t>
        </is>
      </c>
      <c r="B221" s="23" t="inlineStr">
        <is>
          <t>L080827</t>
        </is>
      </c>
      <c r="C221" s="29">
        <f>IFERROR(LOWER(SUBSTITUTE(SUBSTITUTE(SUBSTITUTE(SUBSTITUTE(D221," ","-"),"/","-"),".",""),",","")),"")</f>
        <v/>
      </c>
      <c r="D221" s="23" t="inlineStr">
        <is>
          <t>SUBSTITUIDA POR L082029</t>
        </is>
      </c>
      <c r="E221" s="23" t="n"/>
      <c r="F221" s="23" t="inlineStr">
        <is>
          <t>SOHIPREN</t>
        </is>
      </c>
      <c r="G221" s="23" t="n"/>
      <c r="H221" s="23" t="inlineStr">
        <is>
          <t>draft</t>
        </is>
      </c>
      <c r="I221" s="23" t="inlineStr">
        <is>
          <t>CHECK VALVE</t>
        </is>
      </c>
      <c r="J221" s="23" t="inlineStr">
        <is>
          <t>BLOCOS</t>
        </is>
      </c>
      <c r="K221" s="23" t="inlineStr">
        <is>
          <t>RETENÇÃO</t>
        </is>
      </c>
      <c r="L221" s="23" t="inlineStr">
        <is>
          <t>SCF1-A2/CXTAXAN/CV08-NP-0.7/LCV08-P-0.7</t>
        </is>
      </c>
      <c r="M221" s="31" t="n"/>
      <c r="N221" s="31" t="n"/>
      <c r="O221" s="31" t="n"/>
      <c r="P221" s="31" t="n"/>
      <c r="Q221" s="31" t="n"/>
      <c r="R221" s="34">
        <f>IFERROR(IF(AND(O221&gt;0,P221&gt;0,Q221&gt;0),(O221*P221*Q221)/6000,""),"")</f>
        <v/>
      </c>
      <c r="S221" s="34">
        <f>IFERROR(IF(AND(N221&gt;0,R221&gt;0),MAX(N221,R221),IF(N221&gt;0,N221,IF(R221&gt;0,R221,""))),"")</f>
        <v/>
      </c>
      <c r="T221" s="36" t="n"/>
      <c r="U221" s="38" t="inlineStr">
        <is>
          <t>FALTA</t>
        </is>
      </c>
      <c r="V221" s="36" t="n">
        <v>511.5</v>
      </c>
      <c r="W221" s="39" t="n">
        <v>0.3</v>
      </c>
      <c r="X221" s="41">
        <f>IFERROR(V221+T221,"")</f>
        <v/>
      </c>
      <c r="Y221" s="41">
        <f>IFERROR(IF(W221&lt;1,X221/(1-W221),""),"")</f>
        <v/>
      </c>
      <c r="Z221" s="43">
        <f>'01_CONFIG_GLOBAL'!$C$14</f>
        <v/>
      </c>
      <c r="AA221" s="41">
        <f>IFERROR(Y221*Z221,"")</f>
        <v/>
      </c>
      <c r="AB221" s="41">
        <f>IFERROR(IF(Z221&lt;1,Y221/(1-Z221),""),"")</f>
        <v/>
      </c>
      <c r="AC221" s="23" t="n"/>
      <c r="AD221" s="36" t="n"/>
      <c r="AE221" s="23" t="n"/>
      <c r="AF221" s="36" t="n"/>
      <c r="AG221" s="23" t="n"/>
      <c r="AH221" s="36" t="n"/>
      <c r="AI221" s="41">
        <f>IFERROR(AVERAGE(AD221,AF221,AH221),"")</f>
        <v/>
      </c>
      <c r="AJ221" s="29">
        <f>IFERROR(IF(AI221="","sem dados",IF(AB221&lt;AI221*0.95,"abaixo",IF(AB221&gt;AI221*1.05,"acima","em linha"))),"")</f>
        <v/>
      </c>
      <c r="AK221" s="23" t="inlineStr">
        <is>
          <t>não</t>
        </is>
      </c>
      <c r="AL221" s="23" t="n"/>
      <c r="AM221" s="23" t="n"/>
      <c r="AN221" s="23" t="n"/>
      <c r="AO221" s="44">
        <f>A221</f>
        <v/>
      </c>
      <c r="AP221" s="44">
        <f>D221</f>
        <v/>
      </c>
    </row>
    <row r="222" hidden="1" ht="15.75" customHeight="1" s="93">
      <c r="A222" s="23" t="inlineStr">
        <is>
          <t>5.0403.0575019.0</t>
        </is>
      </c>
      <c r="B222" s="23" t="inlineStr">
        <is>
          <t>575019</t>
        </is>
      </c>
      <c r="C222" s="29">
        <f>IFERROR(LOWER(SUBSTITUTE(SUBSTITUTE(SUBSTITUTE(SUBSTITUTE(D222," ","-"),"/","-"),".",""),",","")),"")</f>
        <v/>
      </c>
      <c r="D222" s="23" t="inlineStr">
        <is>
          <t>BND 28 F1.C5.C4.L (PROTOTIPO)</t>
        </is>
      </c>
      <c r="E222" s="23" t="n"/>
      <c r="F222" s="23" t="inlineStr">
        <is>
          <t>SOHIPREN</t>
        </is>
      </c>
      <c r="G222" s="23" t="n"/>
      <c r="H222" s="23" t="inlineStr">
        <is>
          <t>draft</t>
        </is>
      </c>
      <c r="I222" s="23" t="inlineStr">
        <is>
          <t>CLARK - MICHIGAN</t>
        </is>
      </c>
      <c r="J222" s="23" t="inlineStr">
        <is>
          <t>EMPILHADEIRA</t>
        </is>
      </c>
      <c r="K222" s="23" t="inlineStr">
        <is>
          <t>PRINCIPAL</t>
        </is>
      </c>
      <c r="L222" s="23" t="inlineStr">
        <is>
          <t>3308377</t>
        </is>
      </c>
      <c r="M222" s="31" t="n"/>
      <c r="N222" s="31" t="n"/>
      <c r="O222" s="31" t="n"/>
      <c r="P222" s="31" t="n"/>
      <c r="Q222" s="31" t="n"/>
      <c r="R222" s="34">
        <f>IFERROR(IF(AND(O222&gt;0,P222&gt;0,Q222&gt;0),(O222*P222*Q222)/6000,""),"")</f>
        <v/>
      </c>
      <c r="S222" s="34">
        <f>IFERROR(IF(AND(N222&gt;0,R222&gt;0),MAX(N222,R222),IF(N222&gt;0,N222,IF(R222&gt;0,R222,""))),"")</f>
        <v/>
      </c>
      <c r="T222" s="36" t="n"/>
      <c r="U222" s="38" t="inlineStr">
        <is>
          <t>FALTA</t>
        </is>
      </c>
      <c r="V222" s="36" t="n">
        <v>658.85</v>
      </c>
      <c r="W222" s="39" t="n">
        <v>0.3</v>
      </c>
      <c r="X222" s="41">
        <f>IFERROR(V222+T222,"")</f>
        <v/>
      </c>
      <c r="Y222" s="41">
        <f>IFERROR(IF(W222&lt;1,X222/(1-W222),""),"")</f>
        <v/>
      </c>
      <c r="Z222" s="43">
        <f>'01_CONFIG_GLOBAL'!$C$14</f>
        <v/>
      </c>
      <c r="AA222" s="41">
        <f>IFERROR(Y222*Z222,"")</f>
        <v/>
      </c>
      <c r="AB222" s="41">
        <f>IFERROR(IF(Z222&lt;1,Y222/(1-Z222),""),"")</f>
        <v/>
      </c>
      <c r="AC222" s="23" t="n"/>
      <c r="AD222" s="36" t="n"/>
      <c r="AE222" s="23" t="n"/>
      <c r="AF222" s="36" t="n"/>
      <c r="AG222" s="23" t="n"/>
      <c r="AH222" s="36" t="n"/>
      <c r="AI222" s="41">
        <f>IFERROR(AVERAGE(AD222,AF222,AH222),"")</f>
        <v/>
      </c>
      <c r="AJ222" s="29">
        <f>IFERROR(IF(AI222="","sem dados",IF(AB222&lt;AI222*0.95,"abaixo",IF(AB222&gt;AI222*1.05,"acima","em linha"))),"")</f>
        <v/>
      </c>
      <c r="AK222" s="23" t="inlineStr">
        <is>
          <t>não</t>
        </is>
      </c>
      <c r="AL222" s="23" t="n"/>
      <c r="AM222" s="23" t="n"/>
      <c r="AN222" s="23" t="n"/>
      <c r="AO222" s="44">
        <f>A222</f>
        <v/>
      </c>
      <c r="AP222" s="44">
        <f>D222</f>
        <v/>
      </c>
    </row>
    <row r="223" hidden="1" ht="15.75" customHeight="1" s="93">
      <c r="A223" s="23" t="inlineStr">
        <is>
          <t>5.0403.0575017.0</t>
        </is>
      </c>
      <c r="B223" s="23" t="inlineStr">
        <is>
          <t>575017</t>
        </is>
      </c>
      <c r="C223" s="29">
        <f>IFERROR(LOWER(SUBSTITUTE(SUBSTITUTE(SUBSTITUTE(SUBSTITUTE(D223," ","-"),"/","-"),".",""),",","")),"")</f>
        <v/>
      </c>
      <c r="D223" s="23" t="inlineStr">
        <is>
          <t>BND 28 F1.C5.F1.G2 (PROTOTIPO)</t>
        </is>
      </c>
      <c r="E223" s="23" t="n"/>
      <c r="F223" s="23" t="inlineStr">
        <is>
          <t>SOHIPREN</t>
        </is>
      </c>
      <c r="G223" s="23" t="n"/>
      <c r="H223" s="23" t="inlineStr">
        <is>
          <t>draft</t>
        </is>
      </c>
      <c r="I223" s="23" t="inlineStr">
        <is>
          <t>CLARK - MICHIGAN</t>
        </is>
      </c>
      <c r="J223" s="23" t="inlineStr">
        <is>
          <t>EMPILHADEIRA</t>
        </is>
      </c>
      <c r="K223" s="23" t="inlineStr">
        <is>
          <t>PRINCIPAL</t>
        </is>
      </c>
      <c r="L223" s="23" t="inlineStr">
        <is>
          <t>3308377</t>
        </is>
      </c>
      <c r="M223" s="31" t="n"/>
      <c r="N223" s="31" t="n"/>
      <c r="O223" s="31" t="n"/>
      <c r="P223" s="31" t="n"/>
      <c r="Q223" s="31" t="n"/>
      <c r="R223" s="34">
        <f>IFERROR(IF(AND(O223&gt;0,P223&gt;0,Q223&gt;0),(O223*P223*Q223)/6000,""),"")</f>
        <v/>
      </c>
      <c r="S223" s="34">
        <f>IFERROR(IF(AND(N223&gt;0,R223&gt;0),MAX(N223,R223),IF(N223&gt;0,N223,IF(R223&gt;0,R223,""))),"")</f>
        <v/>
      </c>
      <c r="T223" s="36" t="n"/>
      <c r="U223" s="38" t="inlineStr">
        <is>
          <t>FALTA</t>
        </is>
      </c>
      <c r="V223" s="36" t="n">
        <v>658.85</v>
      </c>
      <c r="W223" s="39" t="n">
        <v>0.3</v>
      </c>
      <c r="X223" s="41">
        <f>IFERROR(V223+T223,"")</f>
        <v/>
      </c>
      <c r="Y223" s="41">
        <f>IFERROR(IF(W223&lt;1,X223/(1-W223),""),"")</f>
        <v/>
      </c>
      <c r="Z223" s="43">
        <f>'01_CONFIG_GLOBAL'!$C$14</f>
        <v/>
      </c>
      <c r="AA223" s="41">
        <f>IFERROR(Y223*Z223,"")</f>
        <v/>
      </c>
      <c r="AB223" s="41">
        <f>IFERROR(IF(Z223&lt;1,Y223/(1-Z223),""),"")</f>
        <v/>
      </c>
      <c r="AC223" s="23" t="n"/>
      <c r="AD223" s="36" t="n"/>
      <c r="AE223" s="23" t="n"/>
      <c r="AF223" s="36" t="n"/>
      <c r="AG223" s="23" t="n"/>
      <c r="AH223" s="36" t="n"/>
      <c r="AI223" s="41">
        <f>IFERROR(AVERAGE(AD223,AF223,AH223),"")</f>
        <v/>
      </c>
      <c r="AJ223" s="29">
        <f>IFERROR(IF(AI223="","sem dados",IF(AB223&lt;AI223*0.95,"abaixo",IF(AB223&gt;AI223*1.05,"acima","em linha"))),"")</f>
        <v/>
      </c>
      <c r="AK223" s="23" t="inlineStr">
        <is>
          <t>não</t>
        </is>
      </c>
      <c r="AL223" s="23" t="n"/>
      <c r="AM223" s="23" t="n"/>
      <c r="AN223" s="23" t="n"/>
      <c r="AO223" s="44">
        <f>A223</f>
        <v/>
      </c>
      <c r="AP223" s="44">
        <f>D223</f>
        <v/>
      </c>
    </row>
    <row r="224" hidden="1" ht="15.75" customHeight="1" s="93">
      <c r="A224" s="23" t="inlineStr">
        <is>
          <t>5.0403.0575018.0</t>
        </is>
      </c>
      <c r="B224" s="23" t="inlineStr">
        <is>
          <t>575018</t>
        </is>
      </c>
      <c r="C224" s="29">
        <f>IFERROR(LOWER(SUBSTITUTE(SUBSTITUTE(SUBSTITUTE(SUBSTITUTE(D224," ","-"),"/","-"),".",""),",","")),"")</f>
        <v/>
      </c>
      <c r="D224" s="23" t="inlineStr">
        <is>
          <t>BND 28 F1.C5.F4.L</t>
        </is>
      </c>
      <c r="E224" s="23" t="n"/>
      <c r="F224" s="23" t="inlineStr">
        <is>
          <t>SOHIPREN</t>
        </is>
      </c>
      <c r="G224" s="23" t="n"/>
      <c r="H224" s="23" t="inlineStr">
        <is>
          <t>draft</t>
        </is>
      </c>
      <c r="I224" s="23" t="inlineStr">
        <is>
          <t>CLARK - MICHIGAN</t>
        </is>
      </c>
      <c r="J224" s="23" t="inlineStr">
        <is>
          <t>EMPILHADEIRA</t>
        </is>
      </c>
      <c r="K224" s="23" t="inlineStr">
        <is>
          <t>PRINCIPAL</t>
        </is>
      </c>
      <c r="L224" s="23" t="inlineStr">
        <is>
          <t>3311418</t>
        </is>
      </c>
      <c r="M224" s="31" t="n"/>
      <c r="N224" s="31" t="n"/>
      <c r="O224" s="31" t="n"/>
      <c r="P224" s="31" t="n"/>
      <c r="Q224" s="31" t="n"/>
      <c r="R224" s="34">
        <f>IFERROR(IF(AND(O224&gt;0,P224&gt;0,Q224&gt;0),(O224*P224*Q224)/6000,""),"")</f>
        <v/>
      </c>
      <c r="S224" s="34">
        <f>IFERROR(IF(AND(N224&gt;0,R224&gt;0),MAX(N224,R224),IF(N224&gt;0,N224,IF(R224&gt;0,R224,""))),"")</f>
        <v/>
      </c>
      <c r="T224" s="36" t="n"/>
      <c r="U224" s="38" t="inlineStr">
        <is>
          <t>FALTA</t>
        </is>
      </c>
      <c r="V224" s="36" t="n">
        <v>1561.39</v>
      </c>
      <c r="W224" s="39" t="n">
        <v>0.3</v>
      </c>
      <c r="X224" s="41">
        <f>IFERROR(V224+T224,"")</f>
        <v/>
      </c>
      <c r="Y224" s="41">
        <f>IFERROR(IF(W224&lt;1,X224/(1-W224),""),"")</f>
        <v/>
      </c>
      <c r="Z224" s="43">
        <f>'01_CONFIG_GLOBAL'!$C$14</f>
        <v/>
      </c>
      <c r="AA224" s="41">
        <f>IFERROR(Y224*Z224,"")</f>
        <v/>
      </c>
      <c r="AB224" s="41">
        <f>IFERROR(IF(Z224&lt;1,Y224/(1-Z224),""),"")</f>
        <v/>
      </c>
      <c r="AC224" s="23" t="n"/>
      <c r="AD224" s="36" t="n"/>
      <c r="AE224" s="23" t="n"/>
      <c r="AF224" s="36" t="n"/>
      <c r="AG224" s="23" t="n"/>
      <c r="AH224" s="36" t="n"/>
      <c r="AI224" s="41">
        <f>IFERROR(AVERAGE(AD224,AF224,AH224),"")</f>
        <v/>
      </c>
      <c r="AJ224" s="29">
        <f>IFERROR(IF(AI224="","sem dados",IF(AB224&lt;AI224*0.95,"abaixo",IF(AB224&gt;AI224*1.05,"acima","em linha"))),"")</f>
        <v/>
      </c>
      <c r="AK224" s="23" t="inlineStr">
        <is>
          <t>não</t>
        </is>
      </c>
      <c r="AL224" s="23" t="n"/>
      <c r="AM224" s="23" t="n"/>
      <c r="AN224" s="23" t="n"/>
      <c r="AO224" s="44">
        <f>A224</f>
        <v/>
      </c>
      <c r="AP224" s="44">
        <f>D224</f>
        <v/>
      </c>
    </row>
    <row r="225" hidden="1" ht="15.75" customHeight="1" s="93">
      <c r="A225" s="23" t="inlineStr">
        <is>
          <t>5.0202.0540010.0</t>
        </is>
      </c>
      <c r="B225" s="23" t="inlineStr">
        <is>
          <t>540010</t>
        </is>
      </c>
      <c r="C225" s="29">
        <f>IFERROR(LOWER(SUBSTITUTE(SUBSTITUTE(SUBSTITUTE(SUBSTITUTE(D225," ","-"),"/","-"),".",""),",","")),"")</f>
        <v/>
      </c>
      <c r="D225" s="23" t="inlineStr">
        <is>
          <t>BOD 4 B1.B12.A.L</t>
        </is>
      </c>
      <c r="E225" s="23" t="inlineStr">
        <is>
          <t>Bombas Hidráulicas</t>
        </is>
      </c>
      <c r="F225" s="23" t="inlineStr">
        <is>
          <t>SOHIPREN</t>
        </is>
      </c>
      <c r="G225" s="23" t="n"/>
      <c r="H225" s="23" t="inlineStr">
        <is>
          <t>draft</t>
        </is>
      </c>
      <c r="I225" s="23" t="inlineStr">
        <is>
          <t>CLARK - MICHIGAN</t>
        </is>
      </c>
      <c r="J225" s="23" t="inlineStr">
        <is>
          <t>PA CARREGADEIRA</t>
        </is>
      </c>
      <c r="K225" s="23" t="inlineStr">
        <is>
          <t>FREIO</t>
        </is>
      </c>
      <c r="L225" s="23" t="inlineStr">
        <is>
          <t>11080048</t>
        </is>
      </c>
      <c r="M225" s="31" t="n"/>
      <c r="N225" s="31" t="n"/>
      <c r="O225" s="31" t="n"/>
      <c r="P225" s="31" t="n"/>
      <c r="Q225" s="31" t="n"/>
      <c r="R225" s="34">
        <f>IFERROR(IF(AND(O225&gt;0,P225&gt;0,Q225&gt;0),(O225*P225*Q225)/6000,""),"")</f>
        <v/>
      </c>
      <c r="S225" s="34">
        <f>IFERROR(IF(AND(N225&gt;0,R225&gt;0),MAX(N225,R225),IF(N225&gt;0,N225,IF(R225&gt;0,R225,""))),"")</f>
        <v/>
      </c>
      <c r="T225" s="36" t="n"/>
      <c r="U225" s="38" t="inlineStr">
        <is>
          <t>FALTA</t>
        </is>
      </c>
      <c r="V225" s="36" t="n">
        <v>605</v>
      </c>
      <c r="W225" s="39" t="n">
        <v>0.3</v>
      </c>
      <c r="X225" s="41">
        <f>IFERROR(V225+T225,"")</f>
        <v/>
      </c>
      <c r="Y225" s="41">
        <f>IFERROR(IF(W225&lt;1,X225/(1-W225),""),"")</f>
        <v/>
      </c>
      <c r="Z225" s="43">
        <f>'01_CONFIG_GLOBAL'!$C$14</f>
        <v/>
      </c>
      <c r="AA225" s="41">
        <f>IFERROR(Y225*Z225,"")</f>
        <v/>
      </c>
      <c r="AB225" s="41">
        <f>IFERROR(IF(Z225&lt;1,Y225/(1-Z225),""),"")</f>
        <v/>
      </c>
      <c r="AC225" s="23" t="n"/>
      <c r="AD225" s="36" t="n"/>
      <c r="AE225" s="23" t="n"/>
      <c r="AF225" s="36" t="n"/>
      <c r="AG225" s="23" t="n"/>
      <c r="AH225" s="36" t="n"/>
      <c r="AI225" s="41">
        <f>IFERROR(AVERAGE(AD225,AF225,AH225),"")</f>
        <v/>
      </c>
      <c r="AJ225" s="29">
        <f>IFERROR(IF(AI225="","sem dados",IF(AB225&lt;AI225*0.95,"abaixo",IF(AB225&gt;AI225*1.05,"acima","em linha"))),"")</f>
        <v/>
      </c>
      <c r="AK225" s="23" t="inlineStr">
        <is>
          <t>não</t>
        </is>
      </c>
      <c r="AL225" s="23" t="n"/>
      <c r="AM225" s="23" t="n"/>
      <c r="AN225" s="23" t="n"/>
      <c r="AO225" s="44">
        <f>A225</f>
        <v/>
      </c>
      <c r="AP225" s="44">
        <f>D225</f>
        <v/>
      </c>
    </row>
    <row r="226" hidden="1" ht="15.75" customHeight="1" s="93">
      <c r="A226" s="23" t="inlineStr">
        <is>
          <t>5.0202.0540030.0</t>
        </is>
      </c>
      <c r="B226" s="23" t="inlineStr">
        <is>
          <t>540030</t>
        </is>
      </c>
      <c r="C226" s="29">
        <f>IFERROR(LOWER(SUBSTITUTE(SUBSTITUTE(SUBSTITUTE(SUBSTITUTE(D226," ","-"),"/","-"),".",""),",","")),"")</f>
        <v/>
      </c>
      <c r="D226" s="23" t="inlineStr">
        <is>
          <t>BOD 4 E18.C.A.L</t>
        </is>
      </c>
      <c r="E226" s="23" t="inlineStr">
        <is>
          <t>Bombas Hidráulicas</t>
        </is>
      </c>
      <c r="F226" s="23" t="inlineStr">
        <is>
          <t>SOHIPREN</t>
        </is>
      </c>
      <c r="G226" s="23" t="n"/>
      <c r="H226" s="23" t="inlineStr">
        <is>
          <t>draft</t>
        </is>
      </c>
      <c r="I226" s="23" t="inlineStr">
        <is>
          <t>CLARK - MICHIGAN</t>
        </is>
      </c>
      <c r="J226" s="23" t="inlineStr">
        <is>
          <t>CARREGADEIRA</t>
        </is>
      </c>
      <c r="K226" s="23" t="inlineStr">
        <is>
          <t>FREIO</t>
        </is>
      </c>
      <c r="L226" s="23" t="inlineStr">
        <is>
          <t>11017702</t>
        </is>
      </c>
      <c r="M226" s="31" t="n"/>
      <c r="N226" s="31" t="n"/>
      <c r="O226" s="31" t="n"/>
      <c r="P226" s="31" t="n"/>
      <c r="Q226" s="31" t="n"/>
      <c r="R226" s="34">
        <f>IFERROR(IF(AND(O226&gt;0,P226&gt;0,Q226&gt;0),(O226*P226*Q226)/6000,""),"")</f>
        <v/>
      </c>
      <c r="S226" s="34">
        <f>IFERROR(IF(AND(N226&gt;0,R226&gt;0),MAX(N226,R226),IF(N226&gt;0,N226,IF(R226&gt;0,R226,""))),"")</f>
        <v/>
      </c>
      <c r="T226" s="36" t="n"/>
      <c r="U226" s="38" t="inlineStr">
        <is>
          <t>FALTA</t>
        </is>
      </c>
      <c r="V226" s="36" t="n">
        <v>605</v>
      </c>
      <c r="W226" s="39" t="n">
        <v>0.3</v>
      </c>
      <c r="X226" s="41">
        <f>IFERROR(V226+T226,"")</f>
        <v/>
      </c>
      <c r="Y226" s="41">
        <f>IFERROR(IF(W226&lt;1,X226/(1-W226),""),"")</f>
        <v/>
      </c>
      <c r="Z226" s="43">
        <f>'01_CONFIG_GLOBAL'!$C$14</f>
        <v/>
      </c>
      <c r="AA226" s="41">
        <f>IFERROR(Y226*Z226,"")</f>
        <v/>
      </c>
      <c r="AB226" s="41">
        <f>IFERROR(IF(Z226&lt;1,Y226/(1-Z226),""),"")</f>
        <v/>
      </c>
      <c r="AC226" s="23" t="n"/>
      <c r="AD226" s="36" t="n"/>
      <c r="AE226" s="23" t="n"/>
      <c r="AF226" s="36" t="n"/>
      <c r="AG226" s="23" t="n"/>
      <c r="AH226" s="36" t="n"/>
      <c r="AI226" s="41">
        <f>IFERROR(AVERAGE(AD226,AF226,AH226),"")</f>
        <v/>
      </c>
      <c r="AJ226" s="29">
        <f>IFERROR(IF(AI226="","sem dados",IF(AB226&lt;AI226*0.95,"abaixo",IF(AB226&gt;AI226*1.05,"acima","em linha"))),"")</f>
        <v/>
      </c>
      <c r="AK226" s="23" t="inlineStr">
        <is>
          <t>não</t>
        </is>
      </c>
      <c r="AL226" s="23" t="n"/>
      <c r="AM226" s="23" t="n"/>
      <c r="AN226" s="23" t="n"/>
      <c r="AO226" s="44">
        <f>A226</f>
        <v/>
      </c>
      <c r="AP226" s="44">
        <f>D226</f>
        <v/>
      </c>
    </row>
    <row r="227" hidden="1" ht="15.75" customHeight="1" s="93">
      <c r="A227" s="23" t="inlineStr">
        <is>
          <t>5.0506.0505012.0</t>
        </is>
      </c>
      <c r="B227" s="23" t="inlineStr">
        <is>
          <t>505012</t>
        </is>
      </c>
      <c r="C227" s="29">
        <f>IFERROR(LOWER(SUBSTITUTE(SUBSTITUTE(SUBSTITUTE(SUBSTITUTE(D227," ","-"),"/","-"),".",""),",","")),"")</f>
        <v/>
      </c>
      <c r="D227" s="23" t="inlineStr">
        <is>
          <t>MC1 60 601.1.23.95.61</t>
        </is>
      </c>
      <c r="E227" s="23" t="n"/>
      <c r="F227" s="23" t="inlineStr">
        <is>
          <t>SOHIPREN</t>
        </is>
      </c>
      <c r="G227" s="23" t="n"/>
      <c r="H227" s="23" t="inlineStr">
        <is>
          <t>draft</t>
        </is>
      </c>
      <c r="I227" s="23" t="inlineStr">
        <is>
          <t>CLARK - MICHIGAN</t>
        </is>
      </c>
      <c r="J227" s="23" t="inlineStr">
        <is>
          <t>PÁ CARREGADEIRA</t>
        </is>
      </c>
      <c r="K227" s="23" t="inlineStr">
        <is>
          <t>PRINCIPAL</t>
        </is>
      </c>
      <c r="L227" s="23" t="inlineStr">
        <is>
          <t>569354 / 3202783</t>
        </is>
      </c>
      <c r="M227" s="31" t="n"/>
      <c r="N227" s="31" t="n"/>
      <c r="O227" s="31" t="n"/>
      <c r="P227" s="31" t="n"/>
      <c r="Q227" s="31" t="n"/>
      <c r="R227" s="34">
        <f>IFERROR(IF(AND(O227&gt;0,P227&gt;0,Q227&gt;0),(O227*P227*Q227)/6000,""),"")</f>
        <v/>
      </c>
      <c r="S227" s="34">
        <f>IFERROR(IF(AND(N227&gt;0,R227&gt;0),MAX(N227,R227),IF(N227&gt;0,N227,IF(R227&gt;0,R227,""))),"")</f>
        <v/>
      </c>
      <c r="T227" s="36" t="n"/>
      <c r="U227" s="38" t="inlineStr">
        <is>
          <t>FALTA</t>
        </is>
      </c>
      <c r="V227" s="36" t="n">
        <v>1135</v>
      </c>
      <c r="W227" s="39" t="n">
        <v>0.3</v>
      </c>
      <c r="X227" s="41">
        <f>IFERROR(V227+T227,"")</f>
        <v/>
      </c>
      <c r="Y227" s="41">
        <f>IFERROR(IF(W227&lt;1,X227/(1-W227),""),"")</f>
        <v/>
      </c>
      <c r="Z227" s="43">
        <f>'01_CONFIG_GLOBAL'!$C$14</f>
        <v/>
      </c>
      <c r="AA227" s="41">
        <f>IFERROR(Y227*Z227,"")</f>
        <v/>
      </c>
      <c r="AB227" s="41">
        <f>IFERROR(IF(Z227&lt;1,Y227/(1-Z227),""),"")</f>
        <v/>
      </c>
      <c r="AC227" s="23" t="n"/>
      <c r="AD227" s="36" t="n"/>
      <c r="AE227" s="23" t="n"/>
      <c r="AF227" s="36" t="n"/>
      <c r="AG227" s="23" t="n"/>
      <c r="AH227" s="36" t="n"/>
      <c r="AI227" s="41">
        <f>IFERROR(AVERAGE(AD227,AF227,AH227),"")</f>
        <v/>
      </c>
      <c r="AJ227" s="29">
        <f>IFERROR(IF(AI227="","sem dados",IF(AB227&lt;AI227*0.95,"abaixo",IF(AB227&gt;AI227*1.05,"acima","em linha"))),"")</f>
        <v/>
      </c>
      <c r="AK227" s="23" t="inlineStr">
        <is>
          <t>não</t>
        </is>
      </c>
      <c r="AL227" s="23" t="n"/>
      <c r="AM227" s="23" t="n"/>
      <c r="AN227" s="23" t="n"/>
      <c r="AO227" s="44">
        <f>A227</f>
        <v/>
      </c>
      <c r="AP227" s="44">
        <f>D227</f>
        <v/>
      </c>
    </row>
    <row r="228" hidden="1" ht="15.75" customHeight="1" s="93">
      <c r="A228" s="23" t="inlineStr">
        <is>
          <t>5.0506.0505060.0</t>
        </is>
      </c>
      <c r="B228" s="23" t="inlineStr">
        <is>
          <t>505060</t>
        </is>
      </c>
      <c r="C228" s="29">
        <f>IFERROR(LOWER(SUBSTITUTE(SUBSTITUTE(SUBSTITUTE(SUBSTITUTE(D228," ","-"),"/","-"),".",""),",","")),"")</f>
        <v/>
      </c>
      <c r="D228" s="23" t="inlineStr">
        <is>
          <t>MC1 60 601.1.23.83.61</t>
        </is>
      </c>
      <c r="E228" s="23" t="n"/>
      <c r="F228" s="23" t="inlineStr">
        <is>
          <t>SOHIPREN</t>
        </is>
      </c>
      <c r="G228" s="23" t="n"/>
      <c r="H228" s="23" t="inlineStr">
        <is>
          <t>draft</t>
        </is>
      </c>
      <c r="I228" s="23" t="inlineStr">
        <is>
          <t>CLARK - MICHIGAN</t>
        </is>
      </c>
      <c r="J228" s="23" t="inlineStr">
        <is>
          <t>PÁ CARREGADEIRA</t>
        </is>
      </c>
      <c r="K228" s="23" t="inlineStr">
        <is>
          <t>PRINCIPAL</t>
        </is>
      </c>
      <c r="L228" s="23" t="inlineStr">
        <is>
          <t>3301852 / 1519912</t>
        </is>
      </c>
      <c r="M228" s="31" t="n"/>
      <c r="N228" s="31" t="n"/>
      <c r="O228" s="31" t="n"/>
      <c r="P228" s="31" t="n"/>
      <c r="Q228" s="31" t="n"/>
      <c r="R228" s="34">
        <f>IFERROR(IF(AND(O228&gt;0,P228&gt;0,Q228&gt;0),(O228*P228*Q228)/6000,""),"")</f>
        <v/>
      </c>
      <c r="S228" s="34">
        <f>IFERROR(IF(AND(N228&gt;0,R228&gt;0),MAX(N228,R228),IF(N228&gt;0,N228,IF(R228&gt;0,R228,""))),"")</f>
        <v/>
      </c>
      <c r="T228" s="36" t="n"/>
      <c r="U228" s="38" t="inlineStr">
        <is>
          <t>FALTA</t>
        </is>
      </c>
      <c r="V228" s="36" t="n">
        <v>898.4299999999999</v>
      </c>
      <c r="W228" s="39" t="n">
        <v>0.3</v>
      </c>
      <c r="X228" s="41">
        <f>IFERROR(V228+T228,"")</f>
        <v/>
      </c>
      <c r="Y228" s="41">
        <f>IFERROR(IF(W228&lt;1,X228/(1-W228),""),"")</f>
        <v/>
      </c>
      <c r="Z228" s="43">
        <f>'01_CONFIG_GLOBAL'!$C$14</f>
        <v/>
      </c>
      <c r="AA228" s="41">
        <f>IFERROR(Y228*Z228,"")</f>
        <v/>
      </c>
      <c r="AB228" s="41">
        <f>IFERROR(IF(Z228&lt;1,Y228/(1-Z228),""),"")</f>
        <v/>
      </c>
      <c r="AC228" s="23" t="n"/>
      <c r="AD228" s="36" t="n"/>
      <c r="AE228" s="23" t="n"/>
      <c r="AF228" s="36" t="n"/>
      <c r="AG228" s="23" t="n"/>
      <c r="AH228" s="36" t="n"/>
      <c r="AI228" s="41">
        <f>IFERROR(AVERAGE(AD228,AF228,AH228),"")</f>
        <v/>
      </c>
      <c r="AJ228" s="29">
        <f>IFERROR(IF(AI228="","sem dados",IF(AB228&lt;AI228*0.95,"abaixo",IF(AB228&gt;AI228*1.05,"acima","em linha"))),"")</f>
        <v/>
      </c>
      <c r="AK228" s="23" t="inlineStr">
        <is>
          <t>não</t>
        </is>
      </c>
      <c r="AL228" s="23" t="n"/>
      <c r="AM228" s="23" t="n"/>
      <c r="AN228" s="23" t="n"/>
      <c r="AO228" s="44">
        <f>A228</f>
        <v/>
      </c>
      <c r="AP228" s="44">
        <f>D228</f>
        <v/>
      </c>
    </row>
    <row r="229" hidden="1" ht="15.75" customHeight="1" s="93">
      <c r="A229" s="23" t="inlineStr">
        <is>
          <t>5.0207.0544030.0</t>
        </is>
      </c>
      <c r="B229" s="23" t="inlineStr">
        <is>
          <t>544030</t>
        </is>
      </c>
      <c r="C229" s="29">
        <f>IFERROR(LOWER(SUBSTITUTE(SUBSTITUTE(SUBSTITUTE(SUBSTITUTE(D229," ","-"),"/","-"),".",""),",","")),"")</f>
        <v/>
      </c>
      <c r="D229" s="23" t="inlineStr">
        <is>
          <t>BOD 14 B.B.C.L</t>
        </is>
      </c>
      <c r="E229" s="23" t="inlineStr">
        <is>
          <t>Bombas Hidráulicas</t>
        </is>
      </c>
      <c r="F229" s="23" t="inlineStr">
        <is>
          <t>SOHIPREN</t>
        </is>
      </c>
      <c r="G229" s="23" t="n"/>
      <c r="H229" s="23" t="inlineStr">
        <is>
          <t>draft</t>
        </is>
      </c>
      <c r="I229" s="23" t="inlineStr">
        <is>
          <t>CLARK - MICHIGAN</t>
        </is>
      </c>
      <c r="J229" s="23" t="inlineStr">
        <is>
          <t>CARREGADEIRA</t>
        </is>
      </c>
      <c r="K229" s="23" t="inlineStr">
        <is>
          <t>FREIO</t>
        </is>
      </c>
      <c r="L229" s="23" t="inlineStr">
        <is>
          <t>12709788</t>
        </is>
      </c>
      <c r="M229" s="31" t="n"/>
      <c r="N229" s="31" t="n"/>
      <c r="O229" s="31" t="n"/>
      <c r="P229" s="31" t="n"/>
      <c r="Q229" s="31" t="n"/>
      <c r="R229" s="34">
        <f>IFERROR(IF(AND(O229&gt;0,P229&gt;0,Q229&gt;0),(O229*P229*Q229)/6000,""),"")</f>
        <v/>
      </c>
      <c r="S229" s="34">
        <f>IFERROR(IF(AND(N229&gt;0,R229&gt;0),MAX(N229,R229),IF(N229&gt;0,N229,IF(R229&gt;0,R229,""))),"")</f>
        <v/>
      </c>
      <c r="T229" s="36" t="n"/>
      <c r="U229" s="38" t="inlineStr">
        <is>
          <t>FALTA</t>
        </is>
      </c>
      <c r="V229" s="36" t="n">
        <v>550</v>
      </c>
      <c r="W229" s="39" t="n">
        <v>0.3</v>
      </c>
      <c r="X229" s="41">
        <f>IFERROR(V229+T229,"")</f>
        <v/>
      </c>
      <c r="Y229" s="41">
        <f>IFERROR(IF(W229&lt;1,X229/(1-W229),""),"")</f>
        <v/>
      </c>
      <c r="Z229" s="43">
        <f>'01_CONFIG_GLOBAL'!$C$14</f>
        <v/>
      </c>
      <c r="AA229" s="41">
        <f>IFERROR(Y229*Z229,"")</f>
        <v/>
      </c>
      <c r="AB229" s="41">
        <f>IFERROR(IF(Z229&lt;1,Y229/(1-Z229),""),"")</f>
        <v/>
      </c>
      <c r="AC229" s="23" t="n"/>
      <c r="AD229" s="36" t="n"/>
      <c r="AE229" s="23" t="n"/>
      <c r="AF229" s="36" t="n"/>
      <c r="AG229" s="23" t="n"/>
      <c r="AH229" s="36" t="n"/>
      <c r="AI229" s="41">
        <f>IFERROR(AVERAGE(AD229,AF229,AH229),"")</f>
        <v/>
      </c>
      <c r="AJ229" s="29">
        <f>IFERROR(IF(AI229="","sem dados",IF(AB229&lt;AI229*0.95,"abaixo",IF(AB229&gt;AI229*1.05,"acima","em linha"))),"")</f>
        <v/>
      </c>
      <c r="AK229" s="23" t="inlineStr">
        <is>
          <t>não</t>
        </is>
      </c>
      <c r="AL229" s="23" t="n"/>
      <c r="AM229" s="23" t="n"/>
      <c r="AN229" s="23" t="n"/>
      <c r="AO229" s="44">
        <f>A229</f>
        <v/>
      </c>
      <c r="AP229" s="44">
        <f>D229</f>
        <v/>
      </c>
    </row>
    <row r="230" hidden="1" ht="15.75" customHeight="1" s="93">
      <c r="A230" s="23" t="inlineStr">
        <is>
          <t>5.0208.0544826.0</t>
        </is>
      </c>
      <c r="B230" s="23" t="inlineStr">
        <is>
          <t>544826</t>
        </is>
      </c>
      <c r="C230" s="29">
        <f>IFERROR(LOWER(SUBSTITUTE(SUBSTITUTE(SUBSTITUTE(SUBSTITUTE(D230," ","-"),"/","-"),".",""),",","")),"")</f>
        <v/>
      </c>
      <c r="D230" s="23" t="inlineStr">
        <is>
          <t>BOD 16 B1.B10.A4.L</t>
        </is>
      </c>
      <c r="E230" s="23" t="inlineStr">
        <is>
          <t>Bombas Hidráulicas</t>
        </is>
      </c>
      <c r="F230" s="23" t="inlineStr">
        <is>
          <t>SOHIPREN</t>
        </is>
      </c>
      <c r="G230" s="23" t="n"/>
      <c r="H230" s="23" t="inlineStr">
        <is>
          <t>draft</t>
        </is>
      </c>
      <c r="I230" s="23" t="inlineStr">
        <is>
          <t>CLARK - MICHIGAN</t>
        </is>
      </c>
      <c r="J230" s="23" t="inlineStr">
        <is>
          <t>PA CARREGADEIRA</t>
        </is>
      </c>
      <c r="K230" s="23" t="inlineStr">
        <is>
          <t>DIREÇÃO</t>
        </is>
      </c>
      <c r="L230" s="23" t="inlineStr">
        <is>
          <t>3327181</t>
        </is>
      </c>
      <c r="M230" s="31" t="n"/>
      <c r="N230" s="31" t="n"/>
      <c r="O230" s="31" t="n"/>
      <c r="P230" s="31" t="n"/>
      <c r="Q230" s="31" t="n"/>
      <c r="R230" s="34">
        <f>IFERROR(IF(AND(O230&gt;0,P230&gt;0,Q230&gt;0),(O230*P230*Q230)/6000,""),"")</f>
        <v/>
      </c>
      <c r="S230" s="34">
        <f>IFERROR(IF(AND(N230&gt;0,R230&gt;0),MAX(N230,R230),IF(N230&gt;0,N230,IF(R230&gt;0,R230,""))),"")</f>
        <v/>
      </c>
      <c r="T230" s="36" t="n"/>
      <c r="U230" s="38" t="inlineStr">
        <is>
          <t>FALTA</t>
        </is>
      </c>
      <c r="V230" s="36" t="n">
        <v>1197</v>
      </c>
      <c r="W230" s="39" t="n">
        <v>0.3</v>
      </c>
      <c r="X230" s="41">
        <f>IFERROR(V230+T230,"")</f>
        <v/>
      </c>
      <c r="Y230" s="41">
        <f>IFERROR(IF(W230&lt;1,X230/(1-W230),""),"")</f>
        <v/>
      </c>
      <c r="Z230" s="43">
        <f>'01_CONFIG_GLOBAL'!$C$14</f>
        <v/>
      </c>
      <c r="AA230" s="41">
        <f>IFERROR(Y230*Z230,"")</f>
        <v/>
      </c>
      <c r="AB230" s="41">
        <f>IFERROR(IF(Z230&lt;1,Y230/(1-Z230),""),"")</f>
        <v/>
      </c>
      <c r="AC230" s="23" t="n"/>
      <c r="AD230" s="36" t="n"/>
      <c r="AE230" s="23" t="n"/>
      <c r="AF230" s="36" t="n"/>
      <c r="AG230" s="23" t="n"/>
      <c r="AH230" s="36" t="n"/>
      <c r="AI230" s="41">
        <f>IFERROR(AVERAGE(AD230,AF230,AH230),"")</f>
        <v/>
      </c>
      <c r="AJ230" s="29">
        <f>IFERROR(IF(AI230="","sem dados",IF(AB230&lt;AI230*0.95,"abaixo",IF(AB230&gt;AI230*1.05,"acima","em linha"))),"")</f>
        <v/>
      </c>
      <c r="AK230" s="23" t="inlineStr">
        <is>
          <t>não</t>
        </is>
      </c>
      <c r="AL230" s="23" t="n"/>
      <c r="AM230" s="23" t="n"/>
      <c r="AN230" s="23" t="n"/>
      <c r="AO230" s="44">
        <f>A230</f>
        <v/>
      </c>
      <c r="AP230" s="44">
        <f>D230</f>
        <v/>
      </c>
    </row>
    <row r="231" hidden="1" ht="15.75" customHeight="1" s="93">
      <c r="A231" s="23" t="inlineStr">
        <is>
          <t>5.0208.0544869.0</t>
        </is>
      </c>
      <c r="B231" s="23" t="inlineStr">
        <is>
          <t>544869</t>
        </is>
      </c>
      <c r="C231" s="29">
        <f>IFERROR(LOWER(SUBSTITUTE(SUBSTITUTE(SUBSTITUTE(SUBSTITUTE(D231," ","-"),"/","-"),".",""),",","")),"")</f>
        <v/>
      </c>
      <c r="D231" s="23" t="inlineStr">
        <is>
          <t>BOMBA HIDRÁULICA - APLICAÇÃO 16 B1.B10.A4.L</t>
        </is>
      </c>
      <c r="E231" s="23" t="inlineStr">
        <is>
          <t>Bombas Hidráulicas</t>
        </is>
      </c>
      <c r="F231" s="23" t="inlineStr">
        <is>
          <t>SOHIPREN</t>
        </is>
      </c>
      <c r="G231" s="23" t="n"/>
      <c r="H231" s="23" t="inlineStr">
        <is>
          <t>draft</t>
        </is>
      </c>
      <c r="I231" s="23" t="inlineStr">
        <is>
          <t>CLARK - MICHIGAN</t>
        </is>
      </c>
      <c r="J231" s="23" t="inlineStr">
        <is>
          <t>PA CARREGADEIRA</t>
        </is>
      </c>
      <c r="K231" s="23" t="inlineStr">
        <is>
          <t>DIREÇÃO</t>
        </is>
      </c>
      <c r="L231" s="23" t="inlineStr">
        <is>
          <t>3327452</t>
        </is>
      </c>
      <c r="M231" s="31" t="n"/>
      <c r="N231" s="31" t="n"/>
      <c r="O231" s="31" t="n"/>
      <c r="P231" s="31" t="n"/>
      <c r="Q231" s="31" t="n"/>
      <c r="R231" s="34">
        <f>IFERROR(IF(AND(O231&gt;0,P231&gt;0,Q231&gt;0),(O231*P231*Q231)/6000,""),"")</f>
        <v/>
      </c>
      <c r="S231" s="34">
        <f>IFERROR(IF(AND(N231&gt;0,R231&gt;0),MAX(N231,R231),IF(N231&gt;0,N231,IF(R231&gt;0,R231,""))),"")</f>
        <v/>
      </c>
      <c r="T231" s="36" t="n"/>
      <c r="U231" s="38" t="inlineStr">
        <is>
          <t>FALTA</t>
        </is>
      </c>
      <c r="V231" s="36" t="n">
        <v>657.8</v>
      </c>
      <c r="W231" s="39" t="n">
        <v>0.3</v>
      </c>
      <c r="X231" s="41">
        <f>IFERROR(V231+T231,"")</f>
        <v/>
      </c>
      <c r="Y231" s="41">
        <f>IFERROR(IF(W231&lt;1,X231/(1-W231),""),"")</f>
        <v/>
      </c>
      <c r="Z231" s="43">
        <f>'01_CONFIG_GLOBAL'!$C$14</f>
        <v/>
      </c>
      <c r="AA231" s="41">
        <f>IFERROR(Y231*Z231,"")</f>
        <v/>
      </c>
      <c r="AB231" s="41">
        <f>IFERROR(IF(Z231&lt;1,Y231/(1-Z231),""),"")</f>
        <v/>
      </c>
      <c r="AC231" s="23" t="n"/>
      <c r="AD231" s="36" t="n"/>
      <c r="AE231" s="23" t="n"/>
      <c r="AF231" s="36" t="n"/>
      <c r="AG231" s="23" t="n"/>
      <c r="AH231" s="36" t="n"/>
      <c r="AI231" s="41">
        <f>IFERROR(AVERAGE(AD231,AF231,AH231),"")</f>
        <v/>
      </c>
      <c r="AJ231" s="29">
        <f>IFERROR(IF(AI231="","sem dados",IF(AB231&lt;AI231*0.95,"abaixo",IF(AB231&gt;AI231*1.05,"acima","em linha"))),"")</f>
        <v/>
      </c>
      <c r="AK231" s="23" t="inlineStr">
        <is>
          <t>não</t>
        </is>
      </c>
      <c r="AL231" s="23" t="n"/>
      <c r="AM231" s="23" t="n"/>
      <c r="AN231" s="23" t="n"/>
      <c r="AO231" s="44">
        <f>A231</f>
        <v/>
      </c>
      <c r="AP231" s="44">
        <f>D231</f>
        <v/>
      </c>
    </row>
    <row r="232" hidden="1" ht="15.75" customHeight="1" s="93">
      <c r="A232" s="23" t="inlineStr">
        <is>
          <t>6.5041.0673004.0</t>
        </is>
      </c>
      <c r="B232" s="23" t="inlineStr">
        <is>
          <t>673004</t>
        </is>
      </c>
      <c r="C232" s="29">
        <f>IFERROR(LOWER(SUBSTITUTE(SUBSTITUTE(SUBSTITUTE(SUBSTITUTE(D232," ","-"),"/","-"),".",""),",","")),"")</f>
        <v/>
      </c>
      <c r="D232" s="23" t="inlineStr">
        <is>
          <t>VALVULA DE LUXE.1 VASTAGO (82988268)</t>
        </is>
      </c>
      <c r="E232" s="23" t="n"/>
      <c r="F232" s="23" t="inlineStr">
        <is>
          <t>SOHIPREN</t>
        </is>
      </c>
      <c r="G232" s="23" t="n"/>
      <c r="H232" s="23" t="inlineStr">
        <is>
          <t>draft</t>
        </is>
      </c>
      <c r="I232" s="23" t="inlineStr">
        <is>
          <t>CNH</t>
        </is>
      </c>
      <c r="J232" s="23" t="inlineStr">
        <is>
          <t>TRATOR</t>
        </is>
      </c>
      <c r="K232" s="23" t="inlineStr">
        <is>
          <t>COMANDO TRASERIO</t>
        </is>
      </c>
      <c r="L232" s="23" t="inlineStr">
        <is>
          <t>82988268</t>
        </is>
      </c>
      <c r="M232" s="31" t="n"/>
      <c r="N232" s="31" t="n"/>
      <c r="O232" s="31" t="n"/>
      <c r="P232" s="31" t="n"/>
      <c r="Q232" s="31" t="n"/>
      <c r="R232" s="34">
        <f>IFERROR(IF(AND(O232&gt;0,P232&gt;0,Q232&gt;0),(O232*P232*Q232)/6000,""),"")</f>
        <v/>
      </c>
      <c r="S232" s="34">
        <f>IFERROR(IF(AND(N232&gt;0,R232&gt;0),MAX(N232,R232),IF(N232&gt;0,N232,IF(R232&gt;0,R232,""))),"")</f>
        <v/>
      </c>
      <c r="T232" s="36" t="n"/>
      <c r="U232" s="38" t="inlineStr">
        <is>
          <t>FALTA</t>
        </is>
      </c>
      <c r="V232" s="36" t="n">
        <v>145</v>
      </c>
      <c r="W232" s="39" t="n">
        <v>0.3</v>
      </c>
      <c r="X232" s="41">
        <f>IFERROR(V232+T232,"")</f>
        <v/>
      </c>
      <c r="Y232" s="41">
        <f>IFERROR(IF(W232&lt;1,X232/(1-W232),""),"")</f>
        <v/>
      </c>
      <c r="Z232" s="43">
        <f>'01_CONFIG_GLOBAL'!$C$14</f>
        <v/>
      </c>
      <c r="AA232" s="41">
        <f>IFERROR(Y232*Z232,"")</f>
        <v/>
      </c>
      <c r="AB232" s="41">
        <f>IFERROR(IF(Z232&lt;1,Y232/(1-Z232),""),"")</f>
        <v/>
      </c>
      <c r="AC232" s="23" t="n"/>
      <c r="AD232" s="36" t="n"/>
      <c r="AE232" s="23" t="n"/>
      <c r="AF232" s="36" t="n"/>
      <c r="AG232" s="23" t="n"/>
      <c r="AH232" s="36" t="n"/>
      <c r="AI232" s="41">
        <f>IFERROR(AVERAGE(AD232,AF232,AH232),"")</f>
        <v/>
      </c>
      <c r="AJ232" s="29">
        <f>IFERROR(IF(AI232="","sem dados",IF(AB232&lt;AI232*0.95,"abaixo",IF(AB232&gt;AI232*1.05,"acima","em linha"))),"")</f>
        <v/>
      </c>
      <c r="AK232" s="23" t="inlineStr">
        <is>
          <t>não</t>
        </is>
      </c>
      <c r="AL232" s="23" t="n"/>
      <c r="AM232" s="23" t="n"/>
      <c r="AN232" s="23" t="n"/>
      <c r="AO232" s="44">
        <f>A232</f>
        <v/>
      </c>
      <c r="AP232" s="44">
        <f>D232</f>
        <v/>
      </c>
    </row>
    <row r="233" ht="15.75" customHeight="1" s="93">
      <c r="A233" s="23" t="inlineStr">
        <is>
          <t>5.0220.0548911.0</t>
        </is>
      </c>
      <c r="B233" s="23" t="inlineStr">
        <is>
          <t>548911</t>
        </is>
      </c>
      <c r="C233" s="29">
        <f>IFERROR(LOWER(SUBSTITUTE(SUBSTITUTE(SUBSTITUTE(SUBSTITUTE(D233," ","-"),"/","-"),".",""),",","")),"")</f>
        <v/>
      </c>
      <c r="D233" s="50" t="inlineStr">
        <is>
          <t>Bomba Hidráulica 19 Principal - Trator New Holland TL75E (E5.P.B2/14)</t>
        </is>
      </c>
      <c r="E233" s="50" t="inlineStr">
        <is>
          <t>Bombas Hidráulicas</t>
        </is>
      </c>
      <c r="F233" s="23" t="inlineStr">
        <is>
          <t>SOHIPREN</t>
        </is>
      </c>
      <c r="G233" s="23" t="n"/>
      <c r="H233" s="23" t="inlineStr">
        <is>
          <t>active</t>
        </is>
      </c>
      <c r="I233" s="23" t="inlineStr">
        <is>
          <t>CNH</t>
        </is>
      </c>
      <c r="J233" s="23" t="inlineStr">
        <is>
          <t>TL75E</t>
        </is>
      </c>
      <c r="K233" s="23" t="inlineStr">
        <is>
          <t>PRINCIPAL</t>
        </is>
      </c>
      <c r="L233" s="23" t="inlineStr">
        <is>
          <t>73402541-F000510642</t>
        </is>
      </c>
      <c r="M233" s="31" t="n"/>
      <c r="N233" s="31" t="n">
        <v>7.5</v>
      </c>
      <c r="O233" s="31" t="n">
        <v>30</v>
      </c>
      <c r="P233" s="31" t="n">
        <v>12.5</v>
      </c>
      <c r="Q233" s="31" t="n">
        <v>12.5</v>
      </c>
      <c r="R233" s="34">
        <f>IFERROR(IF(AND(O233&gt;0,P233&gt;0,Q233&gt;0),(O233*P233*Q233)/6000,""),"")</f>
        <v/>
      </c>
      <c r="S233" s="34">
        <f>IFERROR(IF(AND(N233&gt;0,R233&gt;0),MAX(N233,R233),IF(N233&gt;0,N233,IF(R233&gt;0,R233,""))),"")</f>
        <v/>
      </c>
      <c r="T233" s="36" t="n">
        <v>100</v>
      </c>
      <c r="U233" s="23" t="inlineStr">
        <is>
          <t>fornecedor</t>
        </is>
      </c>
      <c r="V233" s="36" t="n">
        <v>1028.5</v>
      </c>
      <c r="W233" s="39" t="n">
        <v>0.2</v>
      </c>
      <c r="X233" s="41">
        <f>IFERROR(V233+T233,"")</f>
        <v/>
      </c>
      <c r="Y233" s="41">
        <f>IFERROR(IF(W233&lt;1,X233/(1-W233),""),"")</f>
        <v/>
      </c>
      <c r="Z233" s="43">
        <f>'01_CONFIG_GLOBAL'!$C$14</f>
        <v/>
      </c>
      <c r="AA233" s="41">
        <f>IFERROR(Y233*Z233,"")</f>
        <v/>
      </c>
      <c r="AB233" s="41">
        <f>IFERROR(IF(Z233&lt;1,Y233/(1-Z233),""),"")</f>
        <v/>
      </c>
      <c r="AC233" s="23" t="n"/>
      <c r="AD233" s="36" t="n"/>
      <c r="AE233" s="23" t="n"/>
      <c r="AF233" s="36" t="n"/>
      <c r="AG233" s="23" t="n"/>
      <c r="AH233" s="36" t="n"/>
      <c r="AI233" s="41">
        <f>IFERROR(AVERAGE(AD233,AF233,AH233),"")</f>
        <v/>
      </c>
      <c r="AJ233" s="29">
        <f>IFERROR(IF(AI233="","sem dados",IF(AB233&lt;AI233*0.95,"abaixo",IF(AB233&gt;AI233*1.05,"acima","em linha"))),"")</f>
        <v/>
      </c>
      <c r="AK233" s="23" t="inlineStr">
        <is>
          <t>sim</t>
        </is>
      </c>
      <c r="AL233" s="23" t="n"/>
      <c r="AM233" s="23" t="n"/>
      <c r="AN233" s="23" t="n"/>
      <c r="AO233" s="44">
        <f>A233</f>
        <v/>
      </c>
      <c r="AP233" s="44">
        <f>D233</f>
        <v/>
      </c>
      <c r="AQ233" s="28" t="inlineStr">
        <is>
          <t>bomba_generica.png (genérica)</t>
        </is>
      </c>
    </row>
    <row r="234" hidden="1" ht="15.75" customHeight="1" s="93">
      <c r="A234" s="23" t="inlineStr">
        <is>
          <t>5.1301.0565057.0</t>
        </is>
      </c>
      <c r="B234" s="23" t="inlineStr">
        <is>
          <t>565057</t>
        </is>
      </c>
      <c r="C234" s="29">
        <f>IFERROR(LOWER(SUBSTITUTE(SUBSTITUTE(SUBSTITUTE(SUBSTITUTE(D234," ","-"),"/","-"),".",""),",","")),"")</f>
        <v/>
      </c>
      <c r="D234" s="23" t="inlineStr">
        <is>
          <t>BOMBA HIDRÁULICA - APLICAÇÃO CNH A-031 (51600933) GIRO D</t>
        </is>
      </c>
      <c r="E234" s="23" t="inlineStr">
        <is>
          <t>Bombas Hidráulicas</t>
        </is>
      </c>
      <c r="F234" s="23" t="inlineStr">
        <is>
          <t>SOHIPREN</t>
        </is>
      </c>
      <c r="G234" s="23" t="n"/>
      <c r="H234" s="23" t="inlineStr">
        <is>
          <t>draft</t>
        </is>
      </c>
      <c r="I234" s="23" t="inlineStr">
        <is>
          <t>CNH</t>
        </is>
      </c>
      <c r="J234" s="23" t="n"/>
      <c r="K234" s="23" t="n"/>
      <c r="L234" s="23" t="n"/>
      <c r="M234" s="31" t="n"/>
      <c r="N234" s="31" t="n"/>
      <c r="O234" s="31" t="n"/>
      <c r="P234" s="31" t="n"/>
      <c r="Q234" s="31" t="n"/>
      <c r="R234" s="34">
        <f>IFERROR(IF(AND(O234&gt;0,P234&gt;0,Q234&gt;0),(O234*P234*Q234)/6000,""),"")</f>
        <v/>
      </c>
      <c r="S234" s="34">
        <f>IFERROR(IF(AND(N234&gt;0,R234&gt;0),MAX(N234,R234),IF(N234&gt;0,N234,IF(R234&gt;0,R234,""))),"")</f>
        <v/>
      </c>
      <c r="T234" s="36" t="n"/>
      <c r="U234" s="38" t="inlineStr">
        <is>
          <t>FALTA</t>
        </is>
      </c>
      <c r="V234" s="36" t="n">
        <v>2963</v>
      </c>
      <c r="W234" s="39" t="n">
        <v>0.3</v>
      </c>
      <c r="X234" s="41">
        <f>IFERROR(V234+T234,"")</f>
        <v/>
      </c>
      <c r="Y234" s="41">
        <f>IFERROR(IF(W234&lt;1,X234/(1-W234),""),"")</f>
        <v/>
      </c>
      <c r="Z234" s="43">
        <f>'01_CONFIG_GLOBAL'!$C$14</f>
        <v/>
      </c>
      <c r="AA234" s="41">
        <f>IFERROR(Y234*Z234,"")</f>
        <v/>
      </c>
      <c r="AB234" s="41">
        <f>IFERROR(IF(Z234&lt;1,Y234/(1-Z234),""),"")</f>
        <v/>
      </c>
      <c r="AC234" s="23" t="n"/>
      <c r="AD234" s="36" t="n"/>
      <c r="AE234" s="23" t="n"/>
      <c r="AF234" s="36" t="n"/>
      <c r="AG234" s="23" t="n"/>
      <c r="AH234" s="36" t="n"/>
      <c r="AI234" s="41">
        <f>IFERROR(AVERAGE(AD234,AF234,AH234),"")</f>
        <v/>
      </c>
      <c r="AJ234" s="29">
        <f>IFERROR(IF(AI234="","sem dados",IF(AB234&lt;AI234*0.95,"abaixo",IF(AB234&gt;AI234*1.05,"acima","em linha"))),"")</f>
        <v/>
      </c>
      <c r="AK234" s="23" t="inlineStr">
        <is>
          <t>não</t>
        </is>
      </c>
      <c r="AL234" s="23" t="n"/>
      <c r="AM234" s="23" t="n"/>
      <c r="AN234" s="23" t="n"/>
      <c r="AO234" s="44">
        <f>A234</f>
        <v/>
      </c>
      <c r="AP234" s="44">
        <f>D234</f>
        <v/>
      </c>
    </row>
    <row r="235" hidden="1" ht="15.75" customHeight="1" s="93">
      <c r="A235" s="23" t="inlineStr">
        <is>
          <t>5.0208.L027071.0</t>
        </is>
      </c>
      <c r="B235" s="23" t="inlineStr">
        <is>
          <t>L027071</t>
        </is>
      </c>
      <c r="C235" s="29">
        <f>IFERROR(LOWER(SUBSTITUTE(SUBSTITUTE(SUBSTITUTE(SUBSTITUTE(D235," ","-"),"/","-"),".",""),",","")),"")</f>
        <v/>
      </c>
      <c r="D235" s="23" t="inlineStr">
        <is>
          <t>BOMBA HIDRÁULICA - APLICAÇÃO 16 E9.B2.A4.L</t>
        </is>
      </c>
      <c r="E235" s="23" t="inlineStr">
        <is>
          <t>Bombas Hidráulicas</t>
        </is>
      </c>
      <c r="F235" s="23" t="inlineStr">
        <is>
          <t>SOHIPREN</t>
        </is>
      </c>
      <c r="G235" s="23" t="n"/>
      <c r="H235" s="23" t="inlineStr">
        <is>
          <t>draft</t>
        </is>
      </c>
      <c r="I235" s="23" t="inlineStr">
        <is>
          <t>CNH</t>
        </is>
      </c>
      <c r="J235" s="23" t="inlineStr">
        <is>
          <t>TRATOR</t>
        </is>
      </c>
      <c r="K235" s="23" t="inlineStr">
        <is>
          <t>AUXILIAR</t>
        </is>
      </c>
      <c r="L235" s="23" t="inlineStr">
        <is>
          <t>51572441/R979108266</t>
        </is>
      </c>
      <c r="M235" s="31" t="n"/>
      <c r="N235" s="31" t="n"/>
      <c r="O235" s="31" t="n"/>
      <c r="P235" s="31" t="n"/>
      <c r="Q235" s="31" t="n"/>
      <c r="R235" s="34">
        <f>IFERROR(IF(AND(O235&gt;0,P235&gt;0,Q235&gt;0),(O235*P235*Q235)/6000,""),"")</f>
        <v/>
      </c>
      <c r="S235" s="34">
        <f>IFERROR(IF(AND(N235&gt;0,R235&gt;0),MAX(N235,R235),IF(N235&gt;0,N235,IF(R235&gt;0,R235,""))),"")</f>
        <v/>
      </c>
      <c r="T235" s="36" t="n"/>
      <c r="U235" s="38" t="inlineStr">
        <is>
          <t>FALTA</t>
        </is>
      </c>
      <c r="V235" s="36" t="n">
        <v>605</v>
      </c>
      <c r="W235" s="39" t="n">
        <v>0.3</v>
      </c>
      <c r="X235" s="41">
        <f>IFERROR(V235+T235,"")</f>
        <v/>
      </c>
      <c r="Y235" s="41">
        <f>IFERROR(IF(W235&lt;1,X235/(1-W235),""),"")</f>
        <v/>
      </c>
      <c r="Z235" s="43">
        <f>'01_CONFIG_GLOBAL'!$C$14</f>
        <v/>
      </c>
      <c r="AA235" s="41">
        <f>IFERROR(Y235*Z235,"")</f>
        <v/>
      </c>
      <c r="AB235" s="41">
        <f>IFERROR(IF(Z235&lt;1,Y235/(1-Z235),""),"")</f>
        <v/>
      </c>
      <c r="AC235" s="23" t="n"/>
      <c r="AD235" s="36" t="n"/>
      <c r="AE235" s="23" t="n"/>
      <c r="AF235" s="36" t="n"/>
      <c r="AG235" s="23" t="n"/>
      <c r="AH235" s="36" t="n"/>
      <c r="AI235" s="41">
        <f>IFERROR(AVERAGE(AD235,AF235,AH235),"")</f>
        <v/>
      </c>
      <c r="AJ235" s="29">
        <f>IFERROR(IF(AI235="","sem dados",IF(AB235&lt;AI235*0.95,"abaixo",IF(AB235&gt;AI235*1.05,"acima","em linha"))),"")</f>
        <v/>
      </c>
      <c r="AK235" s="23" t="inlineStr">
        <is>
          <t>não</t>
        </is>
      </c>
      <c r="AL235" s="23" t="n"/>
      <c r="AM235" s="23" t="n"/>
      <c r="AN235" s="23" t="n"/>
      <c r="AO235" s="44">
        <f>A235</f>
        <v/>
      </c>
      <c r="AP235" s="44">
        <f>D235</f>
        <v/>
      </c>
    </row>
    <row r="236" hidden="1" ht="15.75" customHeight="1" s="93">
      <c r="A236" s="23" t="inlineStr">
        <is>
          <t>5.0502.L027024.0</t>
        </is>
      </c>
      <c r="B236" s="23" t="inlineStr">
        <is>
          <t>L027024</t>
        </is>
      </c>
      <c r="C236" s="29">
        <f>IFERROR(LOWER(SUBSTITUTE(SUBSTITUTE(SUBSTITUTE(SUBSTITUTE(D236," ","-"),"/","-"),".",""),",","")),"")</f>
        <v/>
      </c>
      <c r="D236" s="23" t="inlineStr">
        <is>
          <t>MC1 26 202.1.21.74.61 C/ FLANGE ADAPT</t>
        </is>
      </c>
      <c r="E236" s="23" t="n"/>
      <c r="F236" s="23" t="inlineStr">
        <is>
          <t>SOHIPREN</t>
        </is>
      </c>
      <c r="G236" s="23" t="n"/>
      <c r="H236" s="23" t="inlineStr">
        <is>
          <t>draft</t>
        </is>
      </c>
      <c r="I236" s="23" t="inlineStr">
        <is>
          <t>CNH</t>
        </is>
      </c>
      <c r="J236" s="23" t="inlineStr">
        <is>
          <t>COLHEITADEIRA</t>
        </is>
      </c>
      <c r="K236" s="23" t="inlineStr">
        <is>
          <t>ELEVAÇÃO</t>
        </is>
      </c>
      <c r="L236" s="23" t="inlineStr">
        <is>
          <t>87537123</t>
        </is>
      </c>
      <c r="M236" s="31" t="n"/>
      <c r="N236" s="31" t="n"/>
      <c r="O236" s="31" t="n"/>
      <c r="P236" s="31" t="n"/>
      <c r="Q236" s="31" t="n"/>
      <c r="R236" s="34">
        <f>IFERROR(IF(AND(O236&gt;0,P236&gt;0,Q236&gt;0),(O236*P236*Q236)/6000,""),"")</f>
        <v/>
      </c>
      <c r="S236" s="34">
        <f>IFERROR(IF(AND(N236&gt;0,R236&gt;0),MAX(N236,R236),IF(N236&gt;0,N236,IF(R236&gt;0,R236,""))),"")</f>
        <v/>
      </c>
      <c r="T236" s="36" t="n"/>
      <c r="U236" s="38" t="inlineStr">
        <is>
          <t>FALTA</t>
        </is>
      </c>
      <c r="V236" s="36" t="n">
        <v>1045</v>
      </c>
      <c r="W236" s="39" t="n">
        <v>0.3</v>
      </c>
      <c r="X236" s="41">
        <f>IFERROR(V236+T236,"")</f>
        <v/>
      </c>
      <c r="Y236" s="41">
        <f>IFERROR(IF(W236&lt;1,X236/(1-W236),""),"")</f>
        <v/>
      </c>
      <c r="Z236" s="43">
        <f>'01_CONFIG_GLOBAL'!$C$14</f>
        <v/>
      </c>
      <c r="AA236" s="41">
        <f>IFERROR(Y236*Z236,"")</f>
        <v/>
      </c>
      <c r="AB236" s="41">
        <f>IFERROR(IF(Z236&lt;1,Y236/(1-Z236),""),"")</f>
        <v/>
      </c>
      <c r="AC236" s="23" t="n"/>
      <c r="AD236" s="36" t="n"/>
      <c r="AE236" s="23" t="n"/>
      <c r="AF236" s="36" t="n"/>
      <c r="AG236" s="23" t="n"/>
      <c r="AH236" s="36" t="n"/>
      <c r="AI236" s="41">
        <f>IFERROR(AVERAGE(AD236,AF236,AH236),"")</f>
        <v/>
      </c>
      <c r="AJ236" s="29">
        <f>IFERROR(IF(AI236="","sem dados",IF(AB236&lt;AI236*0.95,"abaixo",IF(AB236&gt;AI236*1.05,"acima","em linha"))),"")</f>
        <v/>
      </c>
      <c r="AK236" s="23" t="inlineStr">
        <is>
          <t>não</t>
        </is>
      </c>
      <c r="AL236" s="23" t="n"/>
      <c r="AM236" s="23" t="n"/>
      <c r="AN236" s="23" t="n"/>
      <c r="AO236" s="44">
        <f>A236</f>
        <v/>
      </c>
      <c r="AP236" s="44">
        <f>D236</f>
        <v/>
      </c>
    </row>
    <row r="237" hidden="1" ht="15.75" customHeight="1" s="93">
      <c r="A237" s="23" t="inlineStr">
        <is>
          <t>5.0211.L027044.0</t>
        </is>
      </c>
      <c r="B237" s="23" t="inlineStr">
        <is>
          <t>L027044</t>
        </is>
      </c>
      <c r="C237" s="29">
        <f>IFERROR(LOWER(SUBSTITUTE(SUBSTITUTE(SUBSTITUTE(SUBSTITUTE(D237," ","-"),"/","-"),".",""),",","")),"")</f>
        <v/>
      </c>
      <c r="D237" s="23" t="inlineStr">
        <is>
          <t>BOD 25 B105.B150.A111.L</t>
        </is>
      </c>
      <c r="E237" s="23" t="inlineStr">
        <is>
          <t>Bombas Hidráulicas</t>
        </is>
      </c>
      <c r="F237" s="23" t="inlineStr">
        <is>
          <t>SOHIPREN</t>
        </is>
      </c>
      <c r="G237" s="23" t="n"/>
      <c r="H237" s="23" t="inlineStr">
        <is>
          <t>draft</t>
        </is>
      </c>
      <c r="I237" s="23" t="inlineStr">
        <is>
          <t>CNH</t>
        </is>
      </c>
      <c r="J237" s="23" t="inlineStr">
        <is>
          <t>TRATORES</t>
        </is>
      </c>
      <c r="K237" s="23" t="inlineStr">
        <is>
          <t>BOMBA LEVANTE</t>
        </is>
      </c>
      <c r="L237" s="23" t="inlineStr">
        <is>
          <t>R979031089/73401393</t>
        </is>
      </c>
      <c r="M237" s="31" t="n"/>
      <c r="N237" s="31" t="n"/>
      <c r="O237" s="31" t="n"/>
      <c r="P237" s="31" t="n"/>
      <c r="Q237" s="31" t="n"/>
      <c r="R237" s="34">
        <f>IFERROR(IF(AND(O237&gt;0,P237&gt;0,Q237&gt;0),(O237*P237*Q237)/6000,""),"")</f>
        <v/>
      </c>
      <c r="S237" s="34">
        <f>IFERROR(IF(AND(N237&gt;0,R237&gt;0),MAX(N237,R237),IF(N237&gt;0,N237,IF(R237&gt;0,R237,""))),"")</f>
        <v/>
      </c>
      <c r="T237" s="36" t="n"/>
      <c r="U237" s="38" t="inlineStr">
        <is>
          <t>FALTA</t>
        </is>
      </c>
      <c r="V237" s="36" t="n">
        <v>880</v>
      </c>
      <c r="W237" s="39" t="n">
        <v>0.3</v>
      </c>
      <c r="X237" s="41">
        <f>IFERROR(V237+T237,"")</f>
        <v/>
      </c>
      <c r="Y237" s="41">
        <f>IFERROR(IF(W237&lt;1,X237/(1-W237),""),"")</f>
        <v/>
      </c>
      <c r="Z237" s="43">
        <f>'01_CONFIG_GLOBAL'!$C$14</f>
        <v/>
      </c>
      <c r="AA237" s="41">
        <f>IFERROR(Y237*Z237,"")</f>
        <v/>
      </c>
      <c r="AB237" s="41">
        <f>IFERROR(IF(Z237&lt;1,Y237/(1-Z237),""),"")</f>
        <v/>
      </c>
      <c r="AC237" s="23" t="n"/>
      <c r="AD237" s="36" t="n"/>
      <c r="AE237" s="23" t="n"/>
      <c r="AF237" s="36" t="n"/>
      <c r="AG237" s="23" t="n"/>
      <c r="AH237" s="36" t="n"/>
      <c r="AI237" s="41">
        <f>IFERROR(AVERAGE(AD237,AF237,AH237),"")</f>
        <v/>
      </c>
      <c r="AJ237" s="29">
        <f>IFERROR(IF(AI237="","sem dados",IF(AB237&lt;AI237*0.95,"abaixo",IF(AB237&gt;AI237*1.05,"acima","em linha"))),"")</f>
        <v/>
      </c>
      <c r="AK237" s="23" t="inlineStr">
        <is>
          <t>não</t>
        </is>
      </c>
      <c r="AL237" s="23" t="n"/>
      <c r="AM237" s="23" t="n"/>
      <c r="AN237" s="23" t="n"/>
      <c r="AO237" s="44">
        <f>A237</f>
        <v/>
      </c>
      <c r="AP237" s="44">
        <f>D237</f>
        <v/>
      </c>
    </row>
    <row r="238" hidden="1" ht="15.75" customHeight="1" s="93">
      <c r="A238" s="23" t="inlineStr">
        <is>
          <t>5.0220.L027120.0</t>
        </is>
      </c>
      <c r="B238" s="23" t="inlineStr">
        <is>
          <t>L027120</t>
        </is>
      </c>
      <c r="C238" s="29">
        <f>IFERROR(LOWER(SUBSTITUTE(SUBSTITUTE(SUBSTITUTE(SUBSTITUTE(D238," ","-"),"/","-"),".",""),",","")),"")</f>
        <v/>
      </c>
      <c r="D238" s="23" t="inlineStr">
        <is>
          <t>BOMBA HIDRÁULICA - APLICAÇÃO 22,5 B.B.A125/22,5.A125.L (V.2)</t>
        </is>
      </c>
      <c r="E238" s="23" t="inlineStr">
        <is>
          <t>Bombas Hidráulicas</t>
        </is>
      </c>
      <c r="F238" s="23" t="inlineStr">
        <is>
          <t>SOHIPREN</t>
        </is>
      </c>
      <c r="G238" s="23" t="n"/>
      <c r="H238" s="23" t="inlineStr">
        <is>
          <t>draft</t>
        </is>
      </c>
      <c r="I238" s="23" t="inlineStr">
        <is>
          <t>CNH</t>
        </is>
      </c>
      <c r="J238" s="23" t="inlineStr">
        <is>
          <t>TM7140...TM7180      7010-7020-704</t>
        </is>
      </c>
      <c r="K238" s="23" t="inlineStr">
        <is>
          <t>LEVANTE E DIREÇÃO</t>
        </is>
      </c>
      <c r="L238" s="23" t="inlineStr">
        <is>
          <t>R979033839-87382655-subst-84577679-atual</t>
        </is>
      </c>
      <c r="M238" s="31" t="n"/>
      <c r="N238" s="31" t="n"/>
      <c r="O238" s="31" t="n"/>
      <c r="P238" s="31" t="n"/>
      <c r="Q238" s="31" t="n"/>
      <c r="R238" s="34">
        <f>IFERROR(IF(AND(O238&gt;0,P238&gt;0,Q238&gt;0),(O238*P238*Q238)/6000,""),"")</f>
        <v/>
      </c>
      <c r="S238" s="34">
        <f>IFERROR(IF(AND(N238&gt;0,R238&gt;0),MAX(N238,R238),IF(N238&gt;0,N238,IF(R238&gt;0,R238,""))),"")</f>
        <v/>
      </c>
      <c r="T238" s="36" t="n"/>
      <c r="U238" s="38" t="inlineStr">
        <is>
          <t>FALTA</t>
        </is>
      </c>
      <c r="V238" s="36" t="n">
        <v>1365</v>
      </c>
      <c r="W238" s="39" t="n">
        <v>0.3</v>
      </c>
      <c r="X238" s="41">
        <f>IFERROR(V238+T238,"")</f>
        <v/>
      </c>
      <c r="Y238" s="41">
        <f>IFERROR(IF(W238&lt;1,X238/(1-W238),""),"")</f>
        <v/>
      </c>
      <c r="Z238" s="43">
        <f>'01_CONFIG_GLOBAL'!$C$14</f>
        <v/>
      </c>
      <c r="AA238" s="41">
        <f>IFERROR(Y238*Z238,"")</f>
        <v/>
      </c>
      <c r="AB238" s="41">
        <f>IFERROR(IF(Z238&lt;1,Y238/(1-Z238),""),"")</f>
        <v/>
      </c>
      <c r="AC238" s="23" t="n"/>
      <c r="AD238" s="36" t="n"/>
      <c r="AE238" s="23" t="n"/>
      <c r="AF238" s="36" t="n"/>
      <c r="AG238" s="23" t="n"/>
      <c r="AH238" s="36" t="n"/>
      <c r="AI238" s="41">
        <f>IFERROR(AVERAGE(AD238,AF238,AH238),"")</f>
        <v/>
      </c>
      <c r="AJ238" s="29">
        <f>IFERROR(IF(AI238="","sem dados",IF(AB238&lt;AI238*0.95,"abaixo",IF(AB238&gt;AI238*1.05,"acima","em linha"))),"")</f>
        <v/>
      </c>
      <c r="AK238" s="23" t="inlineStr">
        <is>
          <t>não</t>
        </is>
      </c>
      <c r="AL238" s="23" t="n"/>
      <c r="AM238" s="23" t="n"/>
      <c r="AN238" s="23" t="n"/>
      <c r="AO238" s="44">
        <f>A238</f>
        <v/>
      </c>
      <c r="AP238" s="44">
        <f>D238</f>
        <v/>
      </c>
    </row>
    <row r="239" hidden="1" ht="15.75" customHeight="1" s="93">
      <c r="A239" s="23" t="inlineStr">
        <is>
          <t>6.5061.L620007.1</t>
        </is>
      </c>
      <c r="B239" s="23" t="inlineStr">
        <is>
          <t>L620007.1</t>
        </is>
      </c>
      <c r="C239" s="29">
        <f>IFERROR(LOWER(SUBSTITUTE(SUBSTITUTE(SUBSTITUTE(SUBSTITUTE(D239," ","-"),"/","-"),".",""),",","")),"")</f>
        <v/>
      </c>
      <c r="D239" s="23" t="inlineStr">
        <is>
          <t>DIR. HIDROSTÁTICA 500cm³ C/(VLP)</t>
        </is>
      </c>
      <c r="E239" s="23" t="n"/>
      <c r="F239" s="23" t="inlineStr">
        <is>
          <t>SOHIPREN</t>
        </is>
      </c>
      <c r="G239" s="23" t="n"/>
      <c r="H239" s="23" t="inlineStr">
        <is>
          <t>draft</t>
        </is>
      </c>
      <c r="I239" s="23" t="inlineStr">
        <is>
          <t>CNH</t>
        </is>
      </c>
      <c r="J239" s="23" t="inlineStr">
        <is>
          <t>12B</t>
        </is>
      </c>
      <c r="K239" s="23" t="inlineStr">
        <is>
          <t>DIREÇÃO</t>
        </is>
      </c>
      <c r="L239" s="23" t="inlineStr">
        <is>
          <t>87355426-</t>
        </is>
      </c>
      <c r="M239" s="31" t="n"/>
      <c r="N239" s="31" t="n"/>
      <c r="O239" s="31" t="n"/>
      <c r="P239" s="31" t="n"/>
      <c r="Q239" s="31" t="n"/>
      <c r="R239" s="34">
        <f>IFERROR(IF(AND(O239&gt;0,P239&gt;0,Q239&gt;0),(O239*P239*Q239)/6000,""),"")</f>
        <v/>
      </c>
      <c r="S239" s="34">
        <f>IFERROR(IF(AND(N239&gt;0,R239&gt;0),MAX(N239,R239),IF(N239&gt;0,N239,IF(R239&gt;0,R239,""))),"")</f>
        <v/>
      </c>
      <c r="T239" s="36" t="n"/>
      <c r="U239" s="38" t="inlineStr">
        <is>
          <t>FALTA</t>
        </is>
      </c>
      <c r="V239" s="36" t="n">
        <v>1479.8</v>
      </c>
      <c r="W239" s="39" t="n">
        <v>0.3</v>
      </c>
      <c r="X239" s="41">
        <f>IFERROR(V239+T239,"")</f>
        <v/>
      </c>
      <c r="Y239" s="41">
        <f>IFERROR(IF(W239&lt;1,X239/(1-W239),""),"")</f>
        <v/>
      </c>
      <c r="Z239" s="43">
        <f>'01_CONFIG_GLOBAL'!$C$14</f>
        <v/>
      </c>
      <c r="AA239" s="41">
        <f>IFERROR(Y239*Z239,"")</f>
        <v/>
      </c>
      <c r="AB239" s="41">
        <f>IFERROR(IF(Z239&lt;1,Y239/(1-Z239),""),"")</f>
        <v/>
      </c>
      <c r="AC239" s="23" t="n"/>
      <c r="AD239" s="36" t="n"/>
      <c r="AE239" s="23" t="n"/>
      <c r="AF239" s="36" t="n"/>
      <c r="AG239" s="23" t="n"/>
      <c r="AH239" s="36" t="n"/>
      <c r="AI239" s="41">
        <f>IFERROR(AVERAGE(AD239,AF239,AH239),"")</f>
        <v/>
      </c>
      <c r="AJ239" s="29">
        <f>IFERROR(IF(AI239="","sem dados",IF(AB239&lt;AI239*0.95,"abaixo",IF(AB239&gt;AI239*1.05,"acima","em linha"))),"")</f>
        <v/>
      </c>
      <c r="AK239" s="23" t="inlineStr">
        <is>
          <t>não</t>
        </is>
      </c>
      <c r="AL239" s="23" t="n"/>
      <c r="AM239" s="23" t="n"/>
      <c r="AN239" s="23" t="n"/>
      <c r="AO239" s="44">
        <f>A239</f>
        <v/>
      </c>
      <c r="AP239" s="44">
        <f>D239</f>
        <v/>
      </c>
    </row>
    <row r="240" hidden="1" ht="15.75" customHeight="1" s="93">
      <c r="A240" s="23" t="inlineStr">
        <is>
          <t>5.5207.L010990.0</t>
        </is>
      </c>
      <c r="B240" s="23" t="inlineStr">
        <is>
          <t>L01099</t>
        </is>
      </c>
      <c r="C240" s="29">
        <f>IFERROR(LOWER(SUBSTITUTE(SUBSTITUTE(SUBSTITUTE(SUBSTITUTE(D240," ","-"),"/","-"),".",""),",","")),"")</f>
        <v/>
      </c>
      <c r="D240" s="23" t="inlineStr">
        <is>
          <t>MRBO 14 B100.C.C105.L10</t>
        </is>
      </c>
      <c r="E240" s="23" t="n"/>
      <c r="F240" s="23" t="inlineStr">
        <is>
          <t>SOHIPREN</t>
        </is>
      </c>
      <c r="G240" s="23" t="n"/>
      <c r="H240" s="23" t="inlineStr">
        <is>
          <t>draft</t>
        </is>
      </c>
      <c r="I240" s="23" t="inlineStr">
        <is>
          <t>CNH</t>
        </is>
      </c>
      <c r="J240" s="23" t="inlineStr">
        <is>
          <t>PÁ CARREGADEIRA</t>
        </is>
      </c>
      <c r="K240" s="23" t="inlineStr">
        <is>
          <t>MOTOR DO VENTILADOR</t>
        </is>
      </c>
      <c r="L240" s="23" t="inlineStr">
        <is>
          <t>87365673/R979005675/12151013042/87426773/PV035602</t>
        </is>
      </c>
      <c r="M240" s="31" t="n"/>
      <c r="N240" s="31" t="n"/>
      <c r="O240" s="31" t="n"/>
      <c r="P240" s="31" t="n"/>
      <c r="Q240" s="31" t="n"/>
      <c r="R240" s="34">
        <f>IFERROR(IF(AND(O240&gt;0,P240&gt;0,Q240&gt;0),(O240*P240*Q240)/6000,""),"")</f>
        <v/>
      </c>
      <c r="S240" s="34">
        <f>IFERROR(IF(AND(N240&gt;0,R240&gt;0),MAX(N240,R240),IF(N240&gt;0,N240,IF(R240&gt;0,R240,""))),"")</f>
        <v/>
      </c>
      <c r="T240" s="36" t="n"/>
      <c r="U240" s="38" t="inlineStr">
        <is>
          <t>FALTA</t>
        </is>
      </c>
      <c r="V240" s="36" t="n">
        <v>473</v>
      </c>
      <c r="W240" s="39" t="n">
        <v>0.3</v>
      </c>
      <c r="X240" s="41">
        <f>IFERROR(V240+T240,"")</f>
        <v/>
      </c>
      <c r="Y240" s="41">
        <f>IFERROR(IF(W240&lt;1,X240/(1-W240),""),"")</f>
        <v/>
      </c>
      <c r="Z240" s="43">
        <f>'01_CONFIG_GLOBAL'!$C$14</f>
        <v/>
      </c>
      <c r="AA240" s="41">
        <f>IFERROR(Y240*Z240,"")</f>
        <v/>
      </c>
      <c r="AB240" s="41">
        <f>IFERROR(IF(Z240&lt;1,Y240/(1-Z240),""),"")</f>
        <v/>
      </c>
      <c r="AC240" s="23" t="n"/>
      <c r="AD240" s="36" t="n"/>
      <c r="AE240" s="23" t="n"/>
      <c r="AF240" s="36" t="n"/>
      <c r="AG240" s="23" t="n"/>
      <c r="AH240" s="36" t="n"/>
      <c r="AI240" s="41">
        <f>IFERROR(AVERAGE(AD240,AF240,AH240),"")</f>
        <v/>
      </c>
      <c r="AJ240" s="29">
        <f>IFERROR(IF(AI240="","sem dados",IF(AB240&lt;AI240*0.95,"abaixo",IF(AB240&gt;AI240*1.05,"acima","em linha"))),"")</f>
        <v/>
      </c>
      <c r="AK240" s="23" t="inlineStr">
        <is>
          <t>não</t>
        </is>
      </c>
      <c r="AL240" s="23" t="n"/>
      <c r="AM240" s="23" t="n"/>
      <c r="AN240" s="23" t="n"/>
      <c r="AO240" s="44">
        <f>A240</f>
        <v/>
      </c>
      <c r="AP240" s="44">
        <f>D240</f>
        <v/>
      </c>
    </row>
    <row r="241" hidden="1" ht="15.75" customHeight="1" s="93">
      <c r="A241" s="23" t="inlineStr">
        <is>
          <t>5.0241.L012700.0</t>
        </is>
      </c>
      <c r="B241" s="23" t="inlineStr">
        <is>
          <t>L01270</t>
        </is>
      </c>
      <c r="C241" s="29">
        <f>IFERROR(LOWER(SUBSTITUTE(SUBSTITUTE(SUBSTITUTE(SUBSTITUTE(D241," ","-"),"/","-"),".",""),",","")),"")</f>
        <v/>
      </c>
      <c r="D241" s="23" t="inlineStr">
        <is>
          <t>KIT.BO.25.E102.S112</t>
        </is>
      </c>
      <c r="E241" s="23" t="n"/>
      <c r="F241" s="23" t="inlineStr">
        <is>
          <t>SOHIPREN</t>
        </is>
      </c>
      <c r="G241" s="23" t="n"/>
      <c r="H241" s="23" t="inlineStr">
        <is>
          <t>draft</t>
        </is>
      </c>
      <c r="I241" s="23" t="inlineStr">
        <is>
          <t>CNH</t>
        </is>
      </c>
      <c r="J241" s="23" t="inlineStr">
        <is>
          <t>TRATOR</t>
        </is>
      </c>
      <c r="K241" s="23" t="inlineStr">
        <is>
          <t>KIT BOMBA AUXILIAR</t>
        </is>
      </c>
      <c r="L241" s="23" t="inlineStr">
        <is>
          <t>51852940-82031027-12223027041</t>
        </is>
      </c>
      <c r="M241" s="31" t="n"/>
      <c r="N241" s="31" t="n"/>
      <c r="O241" s="31" t="n"/>
      <c r="P241" s="31" t="n"/>
      <c r="Q241" s="31" t="n"/>
      <c r="R241" s="34">
        <f>IFERROR(IF(AND(O241&gt;0,P241&gt;0,Q241&gt;0),(O241*P241*Q241)/6000,""),"")</f>
        <v/>
      </c>
      <c r="S241" s="34">
        <f>IFERROR(IF(AND(N241&gt;0,R241&gt;0),MAX(N241,R241),IF(N241&gt;0,N241,IF(R241&gt;0,R241,""))),"")</f>
        <v/>
      </c>
      <c r="T241" s="36" t="n"/>
      <c r="U241" s="38" t="inlineStr">
        <is>
          <t>FALTA</t>
        </is>
      </c>
      <c r="V241" s="36" t="n">
        <v>565</v>
      </c>
      <c r="W241" s="39" t="n">
        <v>0.3</v>
      </c>
      <c r="X241" s="41">
        <f>IFERROR(V241+T241,"")</f>
        <v/>
      </c>
      <c r="Y241" s="41">
        <f>IFERROR(IF(W241&lt;1,X241/(1-W241),""),"")</f>
        <v/>
      </c>
      <c r="Z241" s="43">
        <f>'01_CONFIG_GLOBAL'!$C$14</f>
        <v/>
      </c>
      <c r="AA241" s="41">
        <f>IFERROR(Y241*Z241,"")</f>
        <v/>
      </c>
      <c r="AB241" s="41">
        <f>IFERROR(IF(Z241&lt;1,Y241/(1-Z241),""),"")</f>
        <v/>
      </c>
      <c r="AC241" s="23" t="n"/>
      <c r="AD241" s="36" t="n"/>
      <c r="AE241" s="23" t="n"/>
      <c r="AF241" s="36" t="n"/>
      <c r="AG241" s="23" t="n"/>
      <c r="AH241" s="36" t="n"/>
      <c r="AI241" s="41">
        <f>IFERROR(AVERAGE(AD241,AF241,AH241),"")</f>
        <v/>
      </c>
      <c r="AJ241" s="29">
        <f>IFERROR(IF(AI241="","sem dados",IF(AB241&lt;AI241*0.95,"abaixo",IF(AB241&gt;AI241*1.05,"acima","em linha"))),"")</f>
        <v/>
      </c>
      <c r="AK241" s="23" t="inlineStr">
        <is>
          <t>não</t>
        </is>
      </c>
      <c r="AL241" s="23" t="n"/>
      <c r="AM241" s="23" t="n"/>
      <c r="AN241" s="23" t="n"/>
      <c r="AO241" s="44">
        <f>A241</f>
        <v/>
      </c>
      <c r="AP241" s="44">
        <f>D241</f>
        <v/>
      </c>
    </row>
    <row r="242" hidden="1" ht="15.75" customHeight="1" s="93">
      <c r="A242" s="23" t="inlineStr">
        <is>
          <t>5.0521.L026104.0</t>
        </is>
      </c>
      <c r="B242" s="23" t="inlineStr">
        <is>
          <t>L026104</t>
        </is>
      </c>
      <c r="C242" s="29">
        <f>IFERROR(LOWER(SUBSTITUTE(SUBSTITUTE(SUBSTITUTE(SUBSTITUTE(D242," ","-"),"/","-"),".",""),",","")),"")</f>
        <v/>
      </c>
      <c r="D242" s="23" t="inlineStr">
        <is>
          <t>MC1 20 201.2.21.326/19.A.L</t>
        </is>
      </c>
      <c r="E242" s="23" t="n"/>
      <c r="F242" s="23" t="inlineStr">
        <is>
          <t>SOHIPREN</t>
        </is>
      </c>
      <c r="G242" s="23" t="n"/>
      <c r="H242" s="23" t="inlineStr">
        <is>
          <t>draft</t>
        </is>
      </c>
      <c r="I242" s="23" t="inlineStr">
        <is>
          <t>CNH</t>
        </is>
      </c>
      <c r="J242" s="23" t="inlineStr">
        <is>
          <t>MOTONIVELADORA</t>
        </is>
      </c>
      <c r="K242" s="23" t="inlineStr">
        <is>
          <t>PRINCIPAL</t>
        </is>
      </c>
      <c r="L242" s="23" t="inlineStr">
        <is>
          <t>75324055-R979028302-75254374-75251956</t>
        </is>
      </c>
      <c r="M242" s="31" t="n"/>
      <c r="N242" s="31" t="n"/>
      <c r="O242" s="31" t="n"/>
      <c r="P242" s="31" t="n"/>
      <c r="Q242" s="31" t="n"/>
      <c r="R242" s="34">
        <f>IFERROR(IF(AND(O242&gt;0,P242&gt;0,Q242&gt;0),(O242*P242*Q242)/6000,""),"")</f>
        <v/>
      </c>
      <c r="S242" s="34">
        <f>IFERROR(IF(AND(N242&gt;0,R242&gt;0),MAX(N242,R242),IF(N242&gt;0,N242,IF(R242&gt;0,R242,""))),"")</f>
        <v/>
      </c>
      <c r="T242" s="36" t="n"/>
      <c r="U242" s="38" t="inlineStr">
        <is>
          <t>FALTA</t>
        </is>
      </c>
      <c r="V242" s="36" t="n">
        <v>1402.5</v>
      </c>
      <c r="W242" s="39" t="n">
        <v>0.3</v>
      </c>
      <c r="X242" s="41">
        <f>IFERROR(V242+T242,"")</f>
        <v/>
      </c>
      <c r="Y242" s="41">
        <f>IFERROR(IF(W242&lt;1,X242/(1-W242),""),"")</f>
        <v/>
      </c>
      <c r="Z242" s="43">
        <f>'01_CONFIG_GLOBAL'!$C$14</f>
        <v/>
      </c>
      <c r="AA242" s="41">
        <f>IFERROR(Y242*Z242,"")</f>
        <v/>
      </c>
      <c r="AB242" s="41">
        <f>IFERROR(IF(Z242&lt;1,Y242/(1-Z242),""),"")</f>
        <v/>
      </c>
      <c r="AC242" s="23" t="n"/>
      <c r="AD242" s="36" t="n"/>
      <c r="AE242" s="23" t="n"/>
      <c r="AF242" s="36" t="n"/>
      <c r="AG242" s="23" t="n"/>
      <c r="AH242" s="36" t="n"/>
      <c r="AI242" s="41">
        <f>IFERROR(AVERAGE(AD242,AF242,AH242),"")</f>
        <v/>
      </c>
      <c r="AJ242" s="29">
        <f>IFERROR(IF(AI242="","sem dados",IF(AB242&lt;AI242*0.95,"abaixo",IF(AB242&gt;AI242*1.05,"acima","em linha"))),"")</f>
        <v/>
      </c>
      <c r="AK242" s="23" t="inlineStr">
        <is>
          <t>não</t>
        </is>
      </c>
      <c r="AL242" s="23" t="n"/>
      <c r="AM242" s="23" t="n"/>
      <c r="AN242" s="23" t="n"/>
      <c r="AO242" s="44">
        <f>A242</f>
        <v/>
      </c>
      <c r="AP242" s="44">
        <f>D242</f>
        <v/>
      </c>
    </row>
    <row r="243" ht="15.75" customHeight="1" s="93">
      <c r="A243" s="23" t="inlineStr">
        <is>
          <t>5.0211.L026819.0</t>
        </is>
      </c>
      <c r="B243" s="23" t="inlineStr">
        <is>
          <t>L026819</t>
        </is>
      </c>
      <c r="C243" s="29">
        <f>IFERROR(LOWER(SUBSTITUTE(SUBSTITUTE(SUBSTITUTE(SUBSTITUTE(D243," ","-"),"/","-"),".",""),",","")),"")</f>
        <v/>
      </c>
      <c r="D243" s="50" t="inlineStr">
        <is>
          <t>Bomba Hidráulica 26 - Trator Case/New Holland (E18.C22.A119.D6)</t>
        </is>
      </c>
      <c r="E243" s="50" t="inlineStr">
        <is>
          <t>Bombas Hidráulicas</t>
        </is>
      </c>
      <c r="F243" s="23" t="inlineStr">
        <is>
          <t>SOHIPREN</t>
        </is>
      </c>
      <c r="G243" s="23" t="n"/>
      <c r="H243" s="23" t="inlineStr">
        <is>
          <t>active</t>
        </is>
      </c>
      <c r="I243" s="23" t="inlineStr">
        <is>
          <t>CNH</t>
        </is>
      </c>
      <c r="J243" s="23" t="inlineStr">
        <is>
          <t>TRATOR</t>
        </is>
      </c>
      <c r="K243" s="23" t="n"/>
      <c r="L243" s="23" t="inlineStr">
        <is>
          <t>90433274-R979108189</t>
        </is>
      </c>
      <c r="M243" s="31" t="n"/>
      <c r="N243" s="31" t="n">
        <v>5.3</v>
      </c>
      <c r="O243" s="31" t="n">
        <v>17</v>
      </c>
      <c r="P243" s="31" t="n">
        <v>13</v>
      </c>
      <c r="Q243" s="31" t="n">
        <v>13.5</v>
      </c>
      <c r="R243" s="34">
        <f>IFERROR(IF(AND(O243&gt;0,P243&gt;0,Q243&gt;0),(O243*P243*Q243)/6000,""),"")</f>
        <v/>
      </c>
      <c r="S243" s="34">
        <f>IFERROR(IF(AND(N243&gt;0,R243&gt;0),MAX(N243,R243),IF(N243&gt;0,N243,IF(R243&gt;0,R243,""))),"")</f>
        <v/>
      </c>
      <c r="T243" s="36" t="n">
        <v>100</v>
      </c>
      <c r="U243" s="23" t="inlineStr">
        <is>
          <t>fornecedor</t>
        </is>
      </c>
      <c r="V243" s="36" t="n">
        <v>807.5</v>
      </c>
      <c r="W243" s="39" t="n">
        <v>0.2</v>
      </c>
      <c r="X243" s="41">
        <f>IFERROR(V243+T243,"")</f>
        <v/>
      </c>
      <c r="Y243" s="41">
        <f>IFERROR(IF(W243&lt;1,X243/(1-W243),""),"")</f>
        <v/>
      </c>
      <c r="Z243" s="43">
        <f>'01_CONFIG_GLOBAL'!$C$14</f>
        <v/>
      </c>
      <c r="AA243" s="41">
        <f>IFERROR(Y243*Z243,"")</f>
        <v/>
      </c>
      <c r="AB243" s="41">
        <f>IFERROR(IF(Z243&lt;1,Y243/(1-Z243),""),"")</f>
        <v/>
      </c>
      <c r="AC243" s="23" t="n"/>
      <c r="AD243" s="36" t="n"/>
      <c r="AE243" s="23" t="n"/>
      <c r="AF243" s="36" t="n"/>
      <c r="AG243" s="23" t="n"/>
      <c r="AH243" s="36" t="n"/>
      <c r="AI243" s="41">
        <f>IFERROR(AVERAGE(AD243,AF243,AH243),"")</f>
        <v/>
      </c>
      <c r="AJ243" s="29">
        <f>IFERROR(IF(AI243="","sem dados",IF(AB243&lt;AI243*0.95,"abaixo",IF(AB243&gt;AI243*1.05,"acima","em linha"))),"")</f>
        <v/>
      </c>
      <c r="AK243" s="23" t="inlineStr">
        <is>
          <t>sim</t>
        </is>
      </c>
      <c r="AL243" s="23" t="n"/>
      <c r="AM243" s="23" t="n"/>
      <c r="AN243" s="23" t="n"/>
      <c r="AO243" s="44">
        <f>A243</f>
        <v/>
      </c>
      <c r="AP243" s="44">
        <f>D243</f>
        <v/>
      </c>
      <c r="AQ243" s="28" t="inlineStr">
        <is>
          <t>bomba_generica.png (genérica)</t>
        </is>
      </c>
    </row>
    <row r="244" ht="15.75" customHeight="1" s="93">
      <c r="A244" s="23" t="inlineStr">
        <is>
          <t>5.0211.L026849.0</t>
        </is>
      </c>
      <c r="B244" s="23" t="inlineStr">
        <is>
          <t>L026849</t>
        </is>
      </c>
      <c r="C244" s="29">
        <f>IFERROR(LOWER(SUBSTITUTE(SUBSTITUTE(SUBSTITUTE(SUBSTITUTE(D244," ","-"),"/","-"),".",""),",","")),"")</f>
        <v/>
      </c>
      <c r="D244" s="50" t="inlineStr">
        <is>
          <t>Bomba Hidráulica 26 Auxiliar e Direção - Trator New Holland (E18.C22.A119.D11)</t>
        </is>
      </c>
      <c r="E244" s="50" t="inlineStr">
        <is>
          <t>Bombas Hidráulicas</t>
        </is>
      </c>
      <c r="F244" s="23" t="inlineStr">
        <is>
          <t>SOHIPREN</t>
        </is>
      </c>
      <c r="G244" s="23" t="n"/>
      <c r="H244" s="23" t="inlineStr">
        <is>
          <t>active</t>
        </is>
      </c>
      <c r="I244" s="23" t="inlineStr">
        <is>
          <t>CNH</t>
        </is>
      </c>
      <c r="J244" s="23" t="inlineStr">
        <is>
          <t>TRATOR</t>
        </is>
      </c>
      <c r="K244" s="23" t="inlineStr">
        <is>
          <t>AUXILIAR E DIREÇÃO</t>
        </is>
      </c>
      <c r="L244" s="23" t="inlineStr">
        <is>
          <t>84263360/R979107254</t>
        </is>
      </c>
      <c r="M244" s="31" t="n"/>
      <c r="N244" s="31" t="n">
        <v>5.3</v>
      </c>
      <c r="O244" s="31" t="n">
        <v>17</v>
      </c>
      <c r="P244" s="31" t="n">
        <v>13</v>
      </c>
      <c r="Q244" s="31" t="n">
        <v>13.5</v>
      </c>
      <c r="R244" s="34">
        <f>IFERROR(IF(AND(O244&gt;0,P244&gt;0,Q244&gt;0),(O244*P244*Q244)/6000,""),"")</f>
        <v/>
      </c>
      <c r="S244" s="34">
        <f>IFERROR(IF(AND(N244&gt;0,R244&gt;0),MAX(N244,R244),IF(N244&gt;0,N244,IF(R244&gt;0,R244,""))),"")</f>
        <v/>
      </c>
      <c r="T244" s="36" t="n">
        <v>100</v>
      </c>
      <c r="U244" s="23" t="inlineStr">
        <is>
          <t>fornecedor</t>
        </is>
      </c>
      <c r="V244" s="36" t="n">
        <v>748</v>
      </c>
      <c r="W244" s="39" t="n">
        <v>0.2</v>
      </c>
      <c r="X244" s="41">
        <f>IFERROR(V244+T244,"")</f>
        <v/>
      </c>
      <c r="Y244" s="41">
        <f>IFERROR(IF(W244&lt;1,X244/(1-W244),""),"")</f>
        <v/>
      </c>
      <c r="Z244" s="43">
        <f>'01_CONFIG_GLOBAL'!$C$14</f>
        <v/>
      </c>
      <c r="AA244" s="41">
        <f>IFERROR(Y244*Z244,"")</f>
        <v/>
      </c>
      <c r="AB244" s="41">
        <f>IFERROR(IF(Z244&lt;1,Y244/(1-Z244),""),"")</f>
        <v/>
      </c>
      <c r="AC244" s="23" t="n"/>
      <c r="AD244" s="36" t="n"/>
      <c r="AE244" s="23" t="n"/>
      <c r="AF244" s="36" t="n"/>
      <c r="AG244" s="23" t="n"/>
      <c r="AH244" s="36" t="n"/>
      <c r="AI244" s="41">
        <f>IFERROR(AVERAGE(AD244,AF244,AH244),"")</f>
        <v/>
      </c>
      <c r="AJ244" s="29">
        <f>IFERROR(IF(AI244="","sem dados",IF(AB244&lt;AI244*0.95,"abaixo",IF(AB244&gt;AI244*1.05,"acima","em linha"))),"")</f>
        <v/>
      </c>
      <c r="AK244" s="23" t="inlineStr">
        <is>
          <t>sim</t>
        </is>
      </c>
      <c r="AL244" s="23" t="n"/>
      <c r="AM244" s="23" t="n"/>
      <c r="AN244" s="23" t="n"/>
      <c r="AO244" s="44">
        <f>A244</f>
        <v/>
      </c>
      <c r="AP244" s="44">
        <f>D244</f>
        <v/>
      </c>
      <c r="AQ244" s="28" t="inlineStr">
        <is>
          <t>bomba_generica.png (genérica)</t>
        </is>
      </c>
    </row>
    <row r="245" hidden="1" ht="15.75" customHeight="1" s="93">
      <c r="A245" s="23" t="inlineStr">
        <is>
          <t>5.0211.L026838.0</t>
        </is>
      </c>
      <c r="B245" s="23" t="inlineStr">
        <is>
          <t>L026838</t>
        </is>
      </c>
      <c r="C245" s="29">
        <f>IFERROR(LOWER(SUBSTITUTE(SUBSTITUTE(SUBSTITUTE(SUBSTITUTE(D245," ","-"),"/","-"),".",""),",","")),"")</f>
        <v/>
      </c>
      <c r="D245" s="23" t="inlineStr">
        <is>
          <t>BOD 25 E18.C102.A120.L</t>
        </is>
      </c>
      <c r="E245" s="23" t="inlineStr">
        <is>
          <t>Bombas Hidráulicas</t>
        </is>
      </c>
      <c r="F245" s="23" t="inlineStr">
        <is>
          <t>SOHIPREN</t>
        </is>
      </c>
      <c r="G245" s="23" t="n"/>
      <c r="H245" s="23" t="inlineStr">
        <is>
          <t>draft</t>
        </is>
      </c>
      <c r="I245" s="23" t="inlineStr">
        <is>
          <t>CNH</t>
        </is>
      </c>
      <c r="J245" s="23" t="inlineStr">
        <is>
          <t>TRATORES MAXXUM</t>
        </is>
      </c>
      <c r="K245" s="23" t="n"/>
      <c r="L245" s="23" t="inlineStr">
        <is>
          <t>84241076-0510725156-12101025079</t>
        </is>
      </c>
      <c r="M245" s="31" t="n"/>
      <c r="N245" s="31" t="n"/>
      <c r="O245" s="31" t="n"/>
      <c r="P245" s="31" t="n"/>
      <c r="Q245" s="31" t="n"/>
      <c r="R245" s="34">
        <f>IFERROR(IF(AND(O245&gt;0,P245&gt;0,Q245&gt;0),(O245*P245*Q245)/6000,""),"")</f>
        <v/>
      </c>
      <c r="S245" s="34">
        <f>IFERROR(IF(AND(N245&gt;0,R245&gt;0),MAX(N245,R245),IF(N245&gt;0,N245,IF(R245&gt;0,R245,""))),"")</f>
        <v/>
      </c>
      <c r="T245" s="36" t="n"/>
      <c r="U245" s="38" t="inlineStr">
        <is>
          <t>FALTA</t>
        </is>
      </c>
      <c r="V245" s="36" t="n">
        <v>950</v>
      </c>
      <c r="W245" s="39" t="n">
        <v>0.3</v>
      </c>
      <c r="X245" s="41">
        <f>IFERROR(V245+T245,"")</f>
        <v/>
      </c>
      <c r="Y245" s="41">
        <f>IFERROR(IF(W245&lt;1,X245/(1-W245),""),"")</f>
        <v/>
      </c>
      <c r="Z245" s="43">
        <f>'01_CONFIG_GLOBAL'!$C$14</f>
        <v/>
      </c>
      <c r="AA245" s="41">
        <f>IFERROR(Y245*Z245,"")</f>
        <v/>
      </c>
      <c r="AB245" s="41">
        <f>IFERROR(IF(Z245&lt;1,Y245/(1-Z245),""),"")</f>
        <v/>
      </c>
      <c r="AC245" s="23" t="n"/>
      <c r="AD245" s="36" t="n"/>
      <c r="AE245" s="23" t="n"/>
      <c r="AF245" s="36" t="n"/>
      <c r="AG245" s="23" t="n"/>
      <c r="AH245" s="36" t="n"/>
      <c r="AI245" s="41">
        <f>IFERROR(AVERAGE(AD245,AF245,AH245),"")</f>
        <v/>
      </c>
      <c r="AJ245" s="29">
        <f>IFERROR(IF(AI245="","sem dados",IF(AB245&lt;AI245*0.95,"abaixo",IF(AB245&gt;AI245*1.05,"acima","em linha"))),"")</f>
        <v/>
      </c>
      <c r="AK245" s="23" t="inlineStr">
        <is>
          <t>não</t>
        </is>
      </c>
      <c r="AL245" s="23" t="n"/>
      <c r="AM245" s="23" t="n"/>
      <c r="AN245" s="23" t="n"/>
      <c r="AO245" s="44">
        <f>A245</f>
        <v/>
      </c>
      <c r="AP245" s="44">
        <f>D245</f>
        <v/>
      </c>
    </row>
    <row r="246" hidden="1" ht="15.75" customHeight="1" s="93">
      <c r="A246" s="23" t="inlineStr">
        <is>
          <t>5.0521.L025502.0</t>
        </is>
      </c>
      <c r="B246" s="23" t="inlineStr">
        <is>
          <t>L025502</t>
        </is>
      </c>
      <c r="C246" s="29">
        <f>IFERROR(LOWER(SUBSTITUTE(SUBSTITUTE(SUBSTITUTE(SUBSTITUTE(D246," ","-"),"/","-"),".",""),",","")),"")</f>
        <v/>
      </c>
      <c r="D246" s="23" t="inlineStr">
        <is>
          <t>MC1 26 201.2.21.86X/19.A42.L - SF 55X55</t>
        </is>
      </c>
      <c r="E246" s="23" t="n"/>
      <c r="F246" s="23" t="inlineStr">
        <is>
          <t>SOHIPREN</t>
        </is>
      </c>
      <c r="G246" s="23" t="n"/>
      <c r="H246" s="23" t="inlineStr">
        <is>
          <t>draft</t>
        </is>
      </c>
      <c r="I246" s="23" t="inlineStr">
        <is>
          <t>CNH</t>
        </is>
      </c>
      <c r="J246" s="23" t="inlineStr">
        <is>
          <t>RG140B/RG170B/RG200B</t>
        </is>
      </c>
      <c r="K246" s="23" t="inlineStr">
        <is>
          <t>PRINCIPAL</t>
        </is>
      </c>
      <c r="L246" s="23" t="inlineStr">
        <is>
          <t>87735592</t>
        </is>
      </c>
      <c r="M246" s="31" t="n"/>
      <c r="N246" s="31" t="n"/>
      <c r="O246" s="31" t="n"/>
      <c r="P246" s="31" t="n"/>
      <c r="Q246" s="31" t="n"/>
      <c r="R246" s="34">
        <f>IFERROR(IF(AND(O246&gt;0,P246&gt;0,Q246&gt;0),(O246*P246*Q246)/6000,""),"")</f>
        <v/>
      </c>
      <c r="S246" s="34">
        <f>IFERROR(IF(AND(N246&gt;0,R246&gt;0),MAX(N246,R246),IF(N246&gt;0,N246,IF(R246&gt;0,R246,""))),"")</f>
        <v/>
      </c>
      <c r="T246" s="36" t="n"/>
      <c r="U246" s="38" t="inlineStr">
        <is>
          <t>FALTA</t>
        </is>
      </c>
      <c r="V246" s="36" t="n">
        <v>1452</v>
      </c>
      <c r="W246" s="39" t="n">
        <v>0.3</v>
      </c>
      <c r="X246" s="41">
        <f>IFERROR(V246+T246,"")</f>
        <v/>
      </c>
      <c r="Y246" s="41">
        <f>IFERROR(IF(W246&lt;1,X246/(1-W246),""),"")</f>
        <v/>
      </c>
      <c r="Z246" s="43">
        <f>'01_CONFIG_GLOBAL'!$C$14</f>
        <v/>
      </c>
      <c r="AA246" s="41">
        <f>IFERROR(Y246*Z246,"")</f>
        <v/>
      </c>
      <c r="AB246" s="41">
        <f>IFERROR(IF(Z246&lt;1,Y246/(1-Z246),""),"")</f>
        <v/>
      </c>
      <c r="AC246" s="23" t="n"/>
      <c r="AD246" s="36" t="n"/>
      <c r="AE246" s="23" t="n"/>
      <c r="AF246" s="36" t="n"/>
      <c r="AG246" s="23" t="n"/>
      <c r="AH246" s="36" t="n"/>
      <c r="AI246" s="41">
        <f>IFERROR(AVERAGE(AD246,AF246,AH246),"")</f>
        <v/>
      </c>
      <c r="AJ246" s="29">
        <f>IFERROR(IF(AI246="","sem dados",IF(AB246&lt;AI246*0.95,"abaixo",IF(AB246&gt;AI246*1.05,"acima","em linha"))),"")</f>
        <v/>
      </c>
      <c r="AK246" s="23" t="inlineStr">
        <is>
          <t>não</t>
        </is>
      </c>
      <c r="AL246" s="23" t="n"/>
      <c r="AM246" s="23" t="n"/>
      <c r="AN246" s="23" t="n"/>
      <c r="AO246" s="44">
        <f>A246</f>
        <v/>
      </c>
      <c r="AP246" s="44">
        <f>D246</f>
        <v/>
      </c>
    </row>
    <row r="247" hidden="1" ht="15.75" customHeight="1" s="93">
      <c r="A247" s="23" t="inlineStr">
        <is>
          <t>5.0220.L025594.0</t>
        </is>
      </c>
      <c r="B247" s="23" t="inlineStr">
        <is>
          <t>L025594</t>
        </is>
      </c>
      <c r="C247" s="29">
        <f>IFERROR(LOWER(SUBSTITUTE(SUBSTITUTE(SUBSTITUTE(SUBSTITUTE(D247," ","-"),"/","-"),".",""),",","")),"")</f>
        <v/>
      </c>
      <c r="D247" s="23" t="inlineStr">
        <is>
          <t>BOD 22,5 *****</t>
        </is>
      </c>
      <c r="E247" s="23" t="inlineStr">
        <is>
          <t>Bombas Hidráulicas</t>
        </is>
      </c>
      <c r="F247" s="23" t="inlineStr">
        <is>
          <t>SOHIPREN</t>
        </is>
      </c>
      <c r="G247" s="23" t="n"/>
      <c r="H247" s="23" t="inlineStr">
        <is>
          <t>draft</t>
        </is>
      </c>
      <c r="I247" s="23" t="inlineStr">
        <is>
          <t>CNH</t>
        </is>
      </c>
      <c r="J247" s="23" t="inlineStr">
        <is>
          <t>TRATOR</t>
        </is>
      </c>
      <c r="K247" s="23" t="inlineStr">
        <is>
          <t>PRINCIPAL</t>
        </is>
      </c>
      <c r="L247" s="23" t="inlineStr">
        <is>
          <t>84577679 - 73382655 - E15B015 - 87494923</t>
        </is>
      </c>
      <c r="M247" s="31" t="n"/>
      <c r="N247" s="31" t="n"/>
      <c r="O247" s="31" t="n"/>
      <c r="P247" s="31" t="n"/>
      <c r="Q247" s="31" t="n"/>
      <c r="R247" s="34">
        <f>IFERROR(IF(AND(O247&gt;0,P247&gt;0,Q247&gt;0),(O247*P247*Q247)/6000,""),"")</f>
        <v/>
      </c>
      <c r="S247" s="34">
        <f>IFERROR(IF(AND(N247&gt;0,R247&gt;0),MAX(N247,R247),IF(N247&gt;0,N247,IF(R247&gt;0,R247,""))),"")</f>
        <v/>
      </c>
      <c r="T247" s="36" t="n"/>
      <c r="U247" s="38" t="inlineStr">
        <is>
          <t>FALTA</t>
        </is>
      </c>
      <c r="V247" s="36" t="n">
        <v>1034</v>
      </c>
      <c r="W247" s="39" t="n">
        <v>0.3</v>
      </c>
      <c r="X247" s="41">
        <f>IFERROR(V247+T247,"")</f>
        <v/>
      </c>
      <c r="Y247" s="41">
        <f>IFERROR(IF(W247&lt;1,X247/(1-W247),""),"")</f>
        <v/>
      </c>
      <c r="Z247" s="43">
        <f>'01_CONFIG_GLOBAL'!$C$14</f>
        <v/>
      </c>
      <c r="AA247" s="41">
        <f>IFERROR(Y247*Z247,"")</f>
        <v/>
      </c>
      <c r="AB247" s="41">
        <f>IFERROR(IF(Z247&lt;1,Y247/(1-Z247),""),"")</f>
        <v/>
      </c>
      <c r="AC247" s="23" t="n"/>
      <c r="AD247" s="36" t="n"/>
      <c r="AE247" s="23" t="n"/>
      <c r="AF247" s="36" t="n"/>
      <c r="AG247" s="23" t="n"/>
      <c r="AH247" s="36" t="n"/>
      <c r="AI247" s="41">
        <f>IFERROR(AVERAGE(AD247,AF247,AH247),"")</f>
        <v/>
      </c>
      <c r="AJ247" s="29">
        <f>IFERROR(IF(AI247="","sem dados",IF(AB247&lt;AI247*0.95,"abaixo",IF(AB247&gt;AI247*1.05,"acima","em linha"))),"")</f>
        <v/>
      </c>
      <c r="AK247" s="23" t="inlineStr">
        <is>
          <t>não</t>
        </is>
      </c>
      <c r="AL247" s="23" t="n"/>
      <c r="AM247" s="23" t="n"/>
      <c r="AN247" s="23" t="n"/>
      <c r="AO247" s="44">
        <f>A247</f>
        <v/>
      </c>
      <c r="AP247" s="44">
        <f>D247</f>
        <v/>
      </c>
    </row>
    <row r="248" hidden="1" ht="15.75" customHeight="1" s="93">
      <c r="A248" s="23" t="inlineStr">
        <is>
          <t>5.0232.0547257.0</t>
        </is>
      </c>
      <c r="B248" s="23" t="inlineStr">
        <is>
          <t>547257</t>
        </is>
      </c>
      <c r="C248" s="29">
        <f>IFERROR(LOWER(SUBSTITUTE(SUBSTITUTE(SUBSTITUTE(SUBSTITUTE(D248," ","-"),"/","-"),".",""),",","")),"")</f>
        <v/>
      </c>
      <c r="D248" s="23" t="inlineStr">
        <is>
          <t>KIT.BO.5,5.A.A2</t>
        </is>
      </c>
      <c r="E248" s="23" t="n"/>
      <c r="F248" s="23" t="inlineStr">
        <is>
          <t>SOHIPREN</t>
        </is>
      </c>
      <c r="G248" s="23" t="n"/>
      <c r="H248" s="23" t="inlineStr">
        <is>
          <t>draft</t>
        </is>
      </c>
      <c r="I248" s="23" t="inlineStr">
        <is>
          <t>CNH</t>
        </is>
      </c>
      <c r="J248" s="23" t="inlineStr">
        <is>
          <t>COLHEITADEIRA</t>
        </is>
      </c>
      <c r="K248" s="23" t="inlineStr">
        <is>
          <t>PRINCIPAL</t>
        </is>
      </c>
      <c r="L248" s="23" t="inlineStr">
        <is>
          <t>9511089139/90652937/9011119139/11223006006</t>
        </is>
      </c>
      <c r="M248" s="31" t="n"/>
      <c r="N248" s="31" t="n"/>
      <c r="O248" s="31" t="n"/>
      <c r="P248" s="31" t="n"/>
      <c r="Q248" s="31" t="n"/>
      <c r="R248" s="34">
        <f>IFERROR(IF(AND(O248&gt;0,P248&gt;0,Q248&gt;0),(O248*P248*Q248)/6000,""),"")</f>
        <v/>
      </c>
      <c r="S248" s="34">
        <f>IFERROR(IF(AND(N248&gt;0,R248&gt;0),MAX(N248,R248),IF(N248&gt;0,N248,IF(R248&gt;0,R248,""))),"")</f>
        <v/>
      </c>
      <c r="T248" s="36" t="n"/>
      <c r="U248" s="38" t="inlineStr">
        <is>
          <t>FALTA</t>
        </is>
      </c>
      <c r="V248" s="36" t="n">
        <v>340.86</v>
      </c>
      <c r="W248" s="39" t="n">
        <v>0.3</v>
      </c>
      <c r="X248" s="41">
        <f>IFERROR(V248+T248,"")</f>
        <v/>
      </c>
      <c r="Y248" s="41">
        <f>IFERROR(IF(W248&lt;1,X248/(1-W248),""),"")</f>
        <v/>
      </c>
      <c r="Z248" s="43">
        <f>'01_CONFIG_GLOBAL'!$C$14</f>
        <v/>
      </c>
      <c r="AA248" s="41">
        <f>IFERROR(Y248*Z248,"")</f>
        <v/>
      </c>
      <c r="AB248" s="41">
        <f>IFERROR(IF(Z248&lt;1,Y248/(1-Z248),""),"")</f>
        <v/>
      </c>
      <c r="AC248" s="23" t="n"/>
      <c r="AD248" s="36" t="n"/>
      <c r="AE248" s="23" t="n"/>
      <c r="AF248" s="36" t="n"/>
      <c r="AG248" s="23" t="n"/>
      <c r="AH248" s="36" t="n"/>
      <c r="AI248" s="41">
        <f>IFERROR(AVERAGE(AD248,AF248,AH248),"")</f>
        <v/>
      </c>
      <c r="AJ248" s="29">
        <f>IFERROR(IF(AI248="","sem dados",IF(AB248&lt;AI248*0.95,"abaixo",IF(AB248&gt;AI248*1.05,"acima","em linha"))),"")</f>
        <v/>
      </c>
      <c r="AK248" s="23" t="inlineStr">
        <is>
          <t>não</t>
        </is>
      </c>
      <c r="AL248" s="23" t="n"/>
      <c r="AM248" s="23" t="n"/>
      <c r="AN248" s="23" t="n"/>
      <c r="AO248" s="44">
        <f>A248</f>
        <v/>
      </c>
      <c r="AP248" s="44">
        <f>D248</f>
        <v/>
      </c>
    </row>
    <row r="249" hidden="1" ht="15.75" customHeight="1" s="93">
      <c r="A249" s="23" t="inlineStr">
        <is>
          <t>5.0235.0547411.0</t>
        </is>
      </c>
      <c r="B249" s="23" t="inlineStr">
        <is>
          <t>547411</t>
        </is>
      </c>
      <c r="C249" s="29">
        <f>IFERROR(LOWER(SUBSTITUTE(SUBSTITUTE(SUBSTITUTE(SUBSTITUTE(D249," ","-"),"/","-"),".",""),",","")),"")</f>
        <v/>
      </c>
      <c r="D249" s="23" t="inlineStr">
        <is>
          <t>KIT.BO.11.B1.A42</t>
        </is>
      </c>
      <c r="E249" s="23" t="n"/>
      <c r="F249" s="23" t="inlineStr">
        <is>
          <t>SOHIPREN</t>
        </is>
      </c>
      <c r="G249" s="23" t="n"/>
      <c r="H249" s="23" t="inlineStr">
        <is>
          <t>draft</t>
        </is>
      </c>
      <c r="I249" s="23" t="inlineStr">
        <is>
          <t>CNH</t>
        </is>
      </c>
      <c r="J249" s="23" t="inlineStr">
        <is>
          <t>COLHEITADEIRA</t>
        </is>
      </c>
      <c r="K249" s="23" t="inlineStr">
        <is>
          <t>PRINCIPAL</t>
        </is>
      </c>
      <c r="L249" s="23" t="inlineStr">
        <is>
          <t>9511089138/90652946/9011119138/11223011010</t>
        </is>
      </c>
      <c r="M249" s="31" t="n"/>
      <c r="N249" s="31" t="n"/>
      <c r="O249" s="31" t="n"/>
      <c r="P249" s="31" t="n"/>
      <c r="Q249" s="31" t="n"/>
      <c r="R249" s="34">
        <f>IFERROR(IF(AND(O249&gt;0,P249&gt;0,Q249&gt;0),(O249*P249*Q249)/6000,""),"")</f>
        <v/>
      </c>
      <c r="S249" s="34">
        <f>IFERROR(IF(AND(N249&gt;0,R249&gt;0),MAX(N249,R249),IF(N249&gt;0,N249,IF(R249&gt;0,R249,""))),"")</f>
        <v/>
      </c>
      <c r="T249" s="36" t="n"/>
      <c r="U249" s="38" t="inlineStr">
        <is>
          <t>FALTA</t>
        </is>
      </c>
      <c r="V249" s="36" t="n">
        <v>515</v>
      </c>
      <c r="W249" s="39" t="n">
        <v>0.3</v>
      </c>
      <c r="X249" s="41">
        <f>IFERROR(V249+T249,"")</f>
        <v/>
      </c>
      <c r="Y249" s="41">
        <f>IFERROR(IF(W249&lt;1,X249/(1-W249),""),"")</f>
        <v/>
      </c>
      <c r="Z249" s="43">
        <f>'01_CONFIG_GLOBAL'!$C$14</f>
        <v/>
      </c>
      <c r="AA249" s="41">
        <f>IFERROR(Y249*Z249,"")</f>
        <v/>
      </c>
      <c r="AB249" s="41">
        <f>IFERROR(IF(Z249&lt;1,Y249/(1-Z249),""),"")</f>
        <v/>
      </c>
      <c r="AC249" s="23" t="n"/>
      <c r="AD249" s="36" t="n"/>
      <c r="AE249" s="23" t="n"/>
      <c r="AF249" s="36" t="n"/>
      <c r="AG249" s="23" t="n"/>
      <c r="AH249" s="36" t="n"/>
      <c r="AI249" s="41">
        <f>IFERROR(AVERAGE(AD249,AF249,AH249),"")</f>
        <v/>
      </c>
      <c r="AJ249" s="29">
        <f>IFERROR(IF(AI249="","sem dados",IF(AB249&lt;AI249*0.95,"abaixo",IF(AB249&gt;AI249*1.05,"acima","em linha"))),"")</f>
        <v/>
      </c>
      <c r="AK249" s="23" t="inlineStr">
        <is>
          <t>não</t>
        </is>
      </c>
      <c r="AL249" s="23" t="n"/>
      <c r="AM249" s="23" t="n"/>
      <c r="AN249" s="23" t="n"/>
      <c r="AO249" s="44">
        <f>A249</f>
        <v/>
      </c>
      <c r="AP249" s="44">
        <f>D249</f>
        <v/>
      </c>
    </row>
    <row r="250" hidden="1" ht="15.75" customHeight="1" s="93">
      <c r="A250" s="23" t="inlineStr">
        <is>
          <t>5.0207.L025525.0</t>
        </is>
      </c>
      <c r="B250" s="23" t="inlineStr">
        <is>
          <t>L025525</t>
        </is>
      </c>
      <c r="C250" s="29">
        <f>IFERROR(LOWER(SUBSTITUTE(SUBSTITUTE(SUBSTITUTE(SUBSTITUTE(D250," ","-"),"/","-"),".",""),",","")),"")</f>
        <v/>
      </c>
      <c r="D250" s="23" t="inlineStr">
        <is>
          <t>BOD 14 B101.C101.C105.L</t>
        </is>
      </c>
      <c r="E250" s="23" t="inlineStr">
        <is>
          <t>Bombas Hidráulicas</t>
        </is>
      </c>
      <c r="F250" s="23" t="inlineStr">
        <is>
          <t>SOHIPREN</t>
        </is>
      </c>
      <c r="G250" s="23" t="n"/>
      <c r="H250" s="23" t="inlineStr">
        <is>
          <t>draft</t>
        </is>
      </c>
      <c r="I250" s="23" t="inlineStr">
        <is>
          <t>CNH - CASE</t>
        </is>
      </c>
      <c r="J250" s="23" t="inlineStr">
        <is>
          <t>W20E/621D/521D/W130</t>
        </is>
      </c>
      <c r="K250" s="23" t="inlineStr">
        <is>
          <t>FREIO</t>
        </is>
      </c>
      <c r="L250" s="23" t="inlineStr">
        <is>
          <t>F000510535/75226621/410610A1</t>
        </is>
      </c>
      <c r="M250" s="31" t="n"/>
      <c r="N250" s="31" t="n"/>
      <c r="O250" s="31" t="n"/>
      <c r="P250" s="31" t="n"/>
      <c r="Q250" s="31" t="n"/>
      <c r="R250" s="34">
        <f>IFERROR(IF(AND(O250&gt;0,P250&gt;0,Q250&gt;0),(O250*P250*Q250)/6000,""),"")</f>
        <v/>
      </c>
      <c r="S250" s="34">
        <f>IFERROR(IF(AND(N250&gt;0,R250&gt;0),MAX(N250,R250),IF(N250&gt;0,N250,IF(R250&gt;0,R250,""))),"")</f>
        <v/>
      </c>
      <c r="T250" s="36" t="n"/>
      <c r="U250" s="38" t="inlineStr">
        <is>
          <t>FALTA</t>
        </is>
      </c>
      <c r="V250" s="36" t="n">
        <v>550</v>
      </c>
      <c r="W250" s="39" t="n">
        <v>0.3</v>
      </c>
      <c r="X250" s="41">
        <f>IFERROR(V250+T250,"")</f>
        <v/>
      </c>
      <c r="Y250" s="41">
        <f>IFERROR(IF(W250&lt;1,X250/(1-W250),""),"")</f>
        <v/>
      </c>
      <c r="Z250" s="43">
        <f>'01_CONFIG_GLOBAL'!$C$14</f>
        <v/>
      </c>
      <c r="AA250" s="41">
        <f>IFERROR(Y250*Z250,"")</f>
        <v/>
      </c>
      <c r="AB250" s="41">
        <f>IFERROR(IF(Z250&lt;1,Y250/(1-Z250),""),"")</f>
        <v/>
      </c>
      <c r="AC250" s="23" t="n"/>
      <c r="AD250" s="36" t="n"/>
      <c r="AE250" s="23" t="n"/>
      <c r="AF250" s="36" t="n"/>
      <c r="AG250" s="23" t="n"/>
      <c r="AH250" s="36" t="n"/>
      <c r="AI250" s="41">
        <f>IFERROR(AVERAGE(AD250,AF250,AH250),"")</f>
        <v/>
      </c>
      <c r="AJ250" s="29">
        <f>IFERROR(IF(AI250="","sem dados",IF(AB250&lt;AI250*0.95,"abaixo",IF(AB250&gt;AI250*1.05,"acima","em linha"))),"")</f>
        <v/>
      </c>
      <c r="AK250" s="23" t="inlineStr">
        <is>
          <t>não</t>
        </is>
      </c>
      <c r="AL250" s="23" t="n"/>
      <c r="AM250" s="23" t="n"/>
      <c r="AN250" s="23" t="n"/>
      <c r="AO250" s="44">
        <f>A250</f>
        <v/>
      </c>
      <c r="AP250" s="44">
        <f>D250</f>
        <v/>
      </c>
    </row>
    <row r="251" hidden="1" ht="15.75" customHeight="1" s="93">
      <c r="A251" s="23" t="inlineStr">
        <is>
          <t>5.0220.L025570.0</t>
        </is>
      </c>
      <c r="B251" s="23" t="inlineStr">
        <is>
          <t>L025570</t>
        </is>
      </c>
      <c r="C251" s="29">
        <f>IFERROR(LOWER(SUBSTITUTE(SUBSTITUTE(SUBSTITUTE(SUBSTITUTE(D251," ","-"),"/","-"),".",""),",","")),"")</f>
        <v/>
      </c>
      <c r="D251" s="23" t="inlineStr">
        <is>
          <t>BOD 19 E4.C9.A/19 A.L (C/ADAPT)</t>
        </is>
      </c>
      <c r="E251" s="23" t="inlineStr">
        <is>
          <t>Bombas Hidráulicas</t>
        </is>
      </c>
      <c r="F251" s="23" t="inlineStr">
        <is>
          <t>SOHIPREN</t>
        </is>
      </c>
      <c r="G251" s="23" t="n"/>
      <c r="H251" s="23" t="inlineStr">
        <is>
          <t>draft</t>
        </is>
      </c>
      <c r="I251" s="23" t="inlineStr">
        <is>
          <t>CNH - CASE - FIAT ALLIS - FIAT</t>
        </is>
      </c>
      <c r="J251" s="23" t="inlineStr">
        <is>
          <t>MOTONIVELADORA / PATROL</t>
        </is>
      </c>
      <c r="K251" s="23" t="inlineStr">
        <is>
          <t>DIREÇÃO E FREIO</t>
        </is>
      </c>
      <c r="L251" s="23" t="inlineStr">
        <is>
          <t>41774503</t>
        </is>
      </c>
      <c r="M251" s="31" t="n"/>
      <c r="N251" s="31" t="n"/>
      <c r="O251" s="31" t="n"/>
      <c r="P251" s="31" t="n"/>
      <c r="Q251" s="31" t="n"/>
      <c r="R251" s="34">
        <f>IFERROR(IF(AND(O251&gt;0,P251&gt;0,Q251&gt;0),(O251*P251*Q251)/6000,""),"")</f>
        <v/>
      </c>
      <c r="S251" s="34">
        <f>IFERROR(IF(AND(N251&gt;0,R251&gt;0),MAX(N251,R251),IF(N251&gt;0,N251,IF(R251&gt;0,R251,""))),"")</f>
        <v/>
      </c>
      <c r="T251" s="36" t="n"/>
      <c r="U251" s="38" t="inlineStr">
        <is>
          <t>FALTA</t>
        </is>
      </c>
      <c r="V251" s="36" t="n">
        <v>946.34</v>
      </c>
      <c r="W251" s="39" t="n">
        <v>0.3</v>
      </c>
      <c r="X251" s="41">
        <f>IFERROR(V251+T251,"")</f>
        <v/>
      </c>
      <c r="Y251" s="41">
        <f>IFERROR(IF(W251&lt;1,X251/(1-W251),""),"")</f>
        <v/>
      </c>
      <c r="Z251" s="43">
        <f>'01_CONFIG_GLOBAL'!$C$14</f>
        <v/>
      </c>
      <c r="AA251" s="41">
        <f>IFERROR(Y251*Z251,"")</f>
        <v/>
      </c>
      <c r="AB251" s="41">
        <f>IFERROR(IF(Z251&lt;1,Y251/(1-Z251),""),"")</f>
        <v/>
      </c>
      <c r="AC251" s="23" t="n"/>
      <c r="AD251" s="36" t="n"/>
      <c r="AE251" s="23" t="n"/>
      <c r="AF251" s="36" t="n"/>
      <c r="AG251" s="23" t="n"/>
      <c r="AH251" s="36" t="n"/>
      <c r="AI251" s="41">
        <f>IFERROR(AVERAGE(AD251,AF251,AH251),"")</f>
        <v/>
      </c>
      <c r="AJ251" s="29">
        <f>IFERROR(IF(AI251="","sem dados",IF(AB251&lt;AI251*0.95,"abaixo",IF(AB251&gt;AI251*1.05,"acima","em linha"))),"")</f>
        <v/>
      </c>
      <c r="AK251" s="23" t="inlineStr">
        <is>
          <t>não</t>
        </is>
      </c>
      <c r="AL251" s="23" t="n"/>
      <c r="AM251" s="23" t="n"/>
      <c r="AN251" s="23" t="n"/>
      <c r="AO251" s="44">
        <f>A251</f>
        <v/>
      </c>
      <c r="AP251" s="44">
        <f>D251</f>
        <v/>
      </c>
    </row>
    <row r="252" ht="15.75" customHeight="1" s="93">
      <c r="A252" s="23" t="inlineStr">
        <is>
          <t>5.0211.L027018.0</t>
        </is>
      </c>
      <c r="B252" s="23" t="inlineStr">
        <is>
          <t>L027018</t>
        </is>
      </c>
      <c r="C252" s="29">
        <f>IFERROR(LOWER(SUBSTITUTE(SUBSTITUTE(SUBSTITUTE(SUBSTITUTE(D252," ","-"),"/","-"),".",""),",","")),"")</f>
        <v/>
      </c>
      <c r="D252" s="50" t="inlineStr">
        <is>
          <t>Bomba Hidráulica 25 Levante - Trator New Holland (B107.B20.B118)</t>
        </is>
      </c>
      <c r="E252" s="50" t="inlineStr">
        <is>
          <t>Bombas Hidráulicas</t>
        </is>
      </c>
      <c r="F252" s="23" t="inlineStr">
        <is>
          <t>SOHIPREN</t>
        </is>
      </c>
      <c r="G252" s="23" t="n"/>
      <c r="H252" s="23" t="inlineStr">
        <is>
          <t>active</t>
        </is>
      </c>
      <c r="I252" s="23" t="inlineStr">
        <is>
          <t>CNH - NEM HOLLAND</t>
        </is>
      </c>
      <c r="J252" s="23" t="inlineStr">
        <is>
          <t>TRATOR</t>
        </is>
      </c>
      <c r="K252" s="23" t="inlineStr">
        <is>
          <t>LEVANTE</t>
        </is>
      </c>
      <c r="L252" s="23" t="inlineStr">
        <is>
          <t>12111025040</t>
        </is>
      </c>
      <c r="M252" s="31" t="n"/>
      <c r="N252" s="31" t="n">
        <v>3.2</v>
      </c>
      <c r="O252" s="31" t="n">
        <v>17</v>
      </c>
      <c r="P252" s="31" t="n">
        <v>13</v>
      </c>
      <c r="Q252" s="31" t="n">
        <v>13.5</v>
      </c>
      <c r="R252" s="34">
        <f>IFERROR(IF(AND(O252&gt;0,P252&gt;0,Q252&gt;0),(O252*P252*Q252)/6000,""),"")</f>
        <v/>
      </c>
      <c r="S252" s="34">
        <f>IFERROR(IF(AND(N252&gt;0,R252&gt;0),MAX(N252,R252),IF(N252&gt;0,N252,IF(R252&gt;0,R252,""))),"")</f>
        <v/>
      </c>
      <c r="T252" s="36" t="n">
        <v>100</v>
      </c>
      <c r="U252" s="23" t="inlineStr">
        <is>
          <t>fornecedor</t>
        </is>
      </c>
      <c r="V252" s="36" t="n">
        <v>636.65</v>
      </c>
      <c r="W252" s="39" t="n">
        <v>0.2</v>
      </c>
      <c r="X252" s="41">
        <f>IFERROR(V252+T252,"")</f>
        <v/>
      </c>
      <c r="Y252" s="41">
        <f>IFERROR(IF(W252&lt;1,X252/(1-W252),""),"")</f>
        <v/>
      </c>
      <c r="Z252" s="43">
        <f>'01_CONFIG_GLOBAL'!$C$14</f>
        <v/>
      </c>
      <c r="AA252" s="41">
        <f>IFERROR(Y252*Z252,"")</f>
        <v/>
      </c>
      <c r="AB252" s="41">
        <f>IFERROR(IF(Z252&lt;1,Y252/(1-Z252),""),"")</f>
        <v/>
      </c>
      <c r="AC252" s="23" t="n"/>
      <c r="AD252" s="36" t="n"/>
      <c r="AE252" s="23" t="n"/>
      <c r="AF252" s="36" t="n"/>
      <c r="AG252" s="23" t="n"/>
      <c r="AH252" s="36" t="n"/>
      <c r="AI252" s="41">
        <f>IFERROR(AVERAGE(AD252,AF252,AH252),"")</f>
        <v/>
      </c>
      <c r="AJ252" s="29">
        <f>IFERROR(IF(AI252="","sem dados",IF(AB252&lt;AI252*0.95,"abaixo",IF(AB252&gt;AI252*1.05,"acima","em linha"))),"")</f>
        <v/>
      </c>
      <c r="AK252" s="23" t="inlineStr">
        <is>
          <t>sim</t>
        </is>
      </c>
      <c r="AL252" s="23" t="n"/>
      <c r="AM252" s="23" t="n"/>
      <c r="AN252" s="23" t="n"/>
      <c r="AO252" s="44">
        <f>A252</f>
        <v/>
      </c>
      <c r="AP252" s="44">
        <f>D252</f>
        <v/>
      </c>
      <c r="AQ252" s="28" t="inlineStr">
        <is>
          <t>bomba_generica.png (genérica)</t>
        </is>
      </c>
    </row>
    <row r="253" hidden="1" ht="15.75" customHeight="1" s="93">
      <c r="A253" s="23" t="inlineStr">
        <is>
          <t>6.5041.0673013.0</t>
        </is>
      </c>
      <c r="B253" s="23" t="inlineStr">
        <is>
          <t>673013</t>
        </is>
      </c>
      <c r="C253" s="29">
        <f>IFERROR(LOWER(SUBSTITUTE(SUBSTITUTE(SUBSTITUTE(SUBSTITUTE(D253," ","-"),"/","-"),".",""),",","")),"")</f>
        <v/>
      </c>
      <c r="D253" s="23" t="inlineStr">
        <is>
          <t>VALVULA PTO (82989498)</t>
        </is>
      </c>
      <c r="E253" s="23" t="n"/>
      <c r="F253" s="23" t="inlineStr">
        <is>
          <t>SOHIPREN</t>
        </is>
      </c>
      <c r="G253" s="23" t="n"/>
      <c r="H253" s="23" t="inlineStr">
        <is>
          <t>draft</t>
        </is>
      </c>
      <c r="I253" s="23" t="inlineStr">
        <is>
          <t>CNH - NEW HOLLAND</t>
        </is>
      </c>
      <c r="J253" s="23" t="inlineStr">
        <is>
          <t>TRATOR</t>
        </is>
      </c>
      <c r="K253" s="23" t="inlineStr">
        <is>
          <t>VÁLVULA DE ACIONAMENTO PTO</t>
        </is>
      </c>
      <c r="L253" s="23" t="inlineStr">
        <is>
          <t>82989498 / F0NN700AB / F0NN700AA / 81865568</t>
        </is>
      </c>
      <c r="M253" s="31" t="n"/>
      <c r="N253" s="31" t="n"/>
      <c r="O253" s="31" t="n"/>
      <c r="P253" s="31" t="n"/>
      <c r="Q253" s="31" t="n"/>
      <c r="R253" s="34">
        <f>IFERROR(IF(AND(O253&gt;0,P253&gt;0,Q253&gt;0),(O253*P253*Q253)/6000,""),"")</f>
        <v/>
      </c>
      <c r="S253" s="34">
        <f>IFERROR(IF(AND(N253&gt;0,R253&gt;0),MAX(N253,R253),IF(N253&gt;0,N253,IF(R253&gt;0,R253,""))),"")</f>
        <v/>
      </c>
      <c r="T253" s="36" t="n"/>
      <c r="U253" s="38" t="inlineStr">
        <is>
          <t>FALTA</t>
        </is>
      </c>
      <c r="V253" s="36" t="n">
        <v>3713.49</v>
      </c>
      <c r="W253" s="39" t="n">
        <v>0.3</v>
      </c>
      <c r="X253" s="41">
        <f>IFERROR(V253+T253,"")</f>
        <v/>
      </c>
      <c r="Y253" s="41">
        <f>IFERROR(IF(W253&lt;1,X253/(1-W253),""),"")</f>
        <v/>
      </c>
      <c r="Z253" s="43">
        <f>'01_CONFIG_GLOBAL'!$C$14</f>
        <v/>
      </c>
      <c r="AA253" s="41">
        <f>IFERROR(Y253*Z253,"")</f>
        <v/>
      </c>
      <c r="AB253" s="41">
        <f>IFERROR(IF(Z253&lt;1,Y253/(1-Z253),""),"")</f>
        <v/>
      </c>
      <c r="AC253" s="23" t="n"/>
      <c r="AD253" s="36" t="n"/>
      <c r="AE253" s="23" t="n"/>
      <c r="AF253" s="36" t="n"/>
      <c r="AG253" s="23" t="n"/>
      <c r="AH253" s="36" t="n"/>
      <c r="AI253" s="41">
        <f>IFERROR(AVERAGE(AD253,AF253,AH253),"")</f>
        <v/>
      </c>
      <c r="AJ253" s="29">
        <f>IFERROR(IF(AI253="","sem dados",IF(AB253&lt;AI253*0.95,"abaixo",IF(AB253&gt;AI253*1.05,"acima","em linha"))),"")</f>
        <v/>
      </c>
      <c r="AK253" s="23" t="inlineStr">
        <is>
          <t>não</t>
        </is>
      </c>
      <c r="AL253" s="23" t="n"/>
      <c r="AM253" s="23" t="n"/>
      <c r="AN253" s="23" t="n"/>
      <c r="AO253" s="44">
        <f>A253</f>
        <v/>
      </c>
      <c r="AP253" s="44">
        <f>D253</f>
        <v/>
      </c>
    </row>
    <row r="254" hidden="1" ht="15.75" customHeight="1" s="93">
      <c r="A254" s="23" t="inlineStr">
        <is>
          <t>5.1301.0565068.0</t>
        </is>
      </c>
      <c r="B254" s="23" t="inlineStr">
        <is>
          <t>565068</t>
        </is>
      </c>
      <c r="C254" s="29">
        <f>IFERROR(LOWER(SUBSTITUTE(SUBSTITUTE(SUBSTITUTE(SUBSTITUTE(D254," ","-"),"/","-"),".",""),",","")),"")</f>
        <v/>
      </c>
      <c r="D254" s="23" t="inlineStr">
        <is>
          <t>BOMBA HIDRÁULICA - APLICAÇÃO CNH A-039 (47129337) GIRO I</t>
        </is>
      </c>
      <c r="E254" s="23" t="inlineStr">
        <is>
          <t>Bombas Hidráulicas</t>
        </is>
      </c>
      <c r="F254" s="23" t="inlineStr">
        <is>
          <t>SOHIPREN</t>
        </is>
      </c>
      <c r="G254" s="23" t="n"/>
      <c r="H254" s="23" t="inlineStr">
        <is>
          <t>draft</t>
        </is>
      </c>
      <c r="I254" s="23" t="inlineStr">
        <is>
          <t>CNH - NEW HOLLAND</t>
        </is>
      </c>
      <c r="J254" s="23" t="inlineStr">
        <is>
          <t>TRATOR DE PNEUS</t>
        </is>
      </c>
      <c r="K254" s="23" t="inlineStr">
        <is>
          <t>PRINCIPAL E DIREÇÃO</t>
        </is>
      </c>
      <c r="L254" s="23" t="inlineStr">
        <is>
          <t>47129337</t>
        </is>
      </c>
      <c r="M254" s="31" t="n"/>
      <c r="N254" s="31" t="n"/>
      <c r="O254" s="31" t="n"/>
      <c r="P254" s="31" t="n"/>
      <c r="Q254" s="31" t="n"/>
      <c r="R254" s="34">
        <f>IFERROR(IF(AND(O254&gt;0,P254&gt;0,Q254&gt;0),(O254*P254*Q254)/6000,""),"")</f>
        <v/>
      </c>
      <c r="S254" s="34">
        <f>IFERROR(IF(AND(N254&gt;0,R254&gt;0),MAX(N254,R254),IF(N254&gt;0,N254,IF(R254&gt;0,R254,""))),"")</f>
        <v/>
      </c>
      <c r="T254" s="36" t="n"/>
      <c r="U254" s="38" t="inlineStr">
        <is>
          <t>FALTA</t>
        </is>
      </c>
      <c r="V254" s="36" t="n">
        <v>938</v>
      </c>
      <c r="W254" s="39" t="n">
        <v>0.3</v>
      </c>
      <c r="X254" s="41">
        <f>IFERROR(V254+T254,"")</f>
        <v/>
      </c>
      <c r="Y254" s="41">
        <f>IFERROR(IF(W254&lt;1,X254/(1-W254),""),"")</f>
        <v/>
      </c>
      <c r="Z254" s="43">
        <f>'01_CONFIG_GLOBAL'!$C$14</f>
        <v/>
      </c>
      <c r="AA254" s="41">
        <f>IFERROR(Y254*Z254,"")</f>
        <v/>
      </c>
      <c r="AB254" s="41">
        <f>IFERROR(IF(Z254&lt;1,Y254/(1-Z254),""),"")</f>
        <v/>
      </c>
      <c r="AC254" s="23" t="n"/>
      <c r="AD254" s="36" t="n"/>
      <c r="AE254" s="23" t="n"/>
      <c r="AF254" s="36" t="n"/>
      <c r="AG254" s="23" t="n"/>
      <c r="AH254" s="36" t="n"/>
      <c r="AI254" s="41">
        <f>IFERROR(AVERAGE(AD254,AF254,AH254),"")</f>
        <v/>
      </c>
      <c r="AJ254" s="29">
        <f>IFERROR(IF(AI254="","sem dados",IF(AB254&lt;AI254*0.95,"abaixo",IF(AB254&gt;AI254*1.05,"acima","em linha"))),"")</f>
        <v/>
      </c>
      <c r="AK254" s="23" t="inlineStr">
        <is>
          <t>não</t>
        </is>
      </c>
      <c r="AL254" s="23" t="n"/>
      <c r="AM254" s="23" t="n"/>
      <c r="AN254" s="23" t="n"/>
      <c r="AO254" s="44">
        <f>A254</f>
        <v/>
      </c>
      <c r="AP254" s="44">
        <f>D254</f>
        <v/>
      </c>
    </row>
    <row r="255" hidden="1" ht="15.75" customHeight="1" s="93">
      <c r="A255" s="23" t="inlineStr">
        <is>
          <t>5.1301.0565075.0</t>
        </is>
      </c>
      <c r="B255" s="23" t="inlineStr">
        <is>
          <t>565075</t>
        </is>
      </c>
      <c r="C255" s="29">
        <f>IFERROR(LOWER(SUBSTITUTE(SUBSTITUTE(SUBSTITUTE(SUBSTITUTE(D255," ","-"),"/","-"),".",""),",","")),"")</f>
        <v/>
      </c>
      <c r="D255" s="23" t="inlineStr">
        <is>
          <t>BOMBA HIDRÁULICA - APLICAÇÃO CNH A-043 (5167392) GIRO I</t>
        </is>
      </c>
      <c r="E255" s="23" t="inlineStr">
        <is>
          <t>Bombas Hidráulicas</t>
        </is>
      </c>
      <c r="F255" s="23" t="inlineStr">
        <is>
          <t>SOHIPREN</t>
        </is>
      </c>
      <c r="G255" s="23" t="n"/>
      <c r="H255" s="23" t="inlineStr">
        <is>
          <t>draft</t>
        </is>
      </c>
      <c r="I255" s="23" t="inlineStr">
        <is>
          <t>CNH - NEW HOLLAND</t>
        </is>
      </c>
      <c r="J255" s="23" t="inlineStr">
        <is>
          <t>TRATOR DE PNEUS</t>
        </is>
      </c>
      <c r="K255" s="23" t="n"/>
      <c r="L255" s="23" t="inlineStr">
        <is>
          <t>5167392</t>
        </is>
      </c>
      <c r="M255" s="31" t="n"/>
      <c r="N255" s="31" t="n"/>
      <c r="O255" s="31" t="n"/>
      <c r="P255" s="31" t="n"/>
      <c r="Q255" s="31" t="n"/>
      <c r="R255" s="34">
        <f>IFERROR(IF(AND(O255&gt;0,P255&gt;0,Q255&gt;0),(O255*P255*Q255)/6000,""),"")</f>
        <v/>
      </c>
      <c r="S255" s="34">
        <f>IFERROR(IF(AND(N255&gt;0,R255&gt;0),MAX(N255,R255),IF(N255&gt;0,N255,IF(R255&gt;0,R255,""))),"")</f>
        <v/>
      </c>
      <c r="T255" s="36" t="n"/>
      <c r="U255" s="38" t="inlineStr">
        <is>
          <t>FALTA</t>
        </is>
      </c>
      <c r="V255" s="36" t="n">
        <v>1205</v>
      </c>
      <c r="W255" s="39" t="n">
        <v>0.3</v>
      </c>
      <c r="X255" s="41">
        <f>IFERROR(V255+T255,"")</f>
        <v/>
      </c>
      <c r="Y255" s="41">
        <f>IFERROR(IF(W255&lt;1,X255/(1-W255),""),"")</f>
        <v/>
      </c>
      <c r="Z255" s="43">
        <f>'01_CONFIG_GLOBAL'!$C$14</f>
        <v/>
      </c>
      <c r="AA255" s="41">
        <f>IFERROR(Y255*Z255,"")</f>
        <v/>
      </c>
      <c r="AB255" s="41">
        <f>IFERROR(IF(Z255&lt;1,Y255/(1-Z255),""),"")</f>
        <v/>
      </c>
      <c r="AC255" s="23" t="n"/>
      <c r="AD255" s="36" t="n"/>
      <c r="AE255" s="23" t="n"/>
      <c r="AF255" s="36" t="n"/>
      <c r="AG255" s="23" t="n"/>
      <c r="AH255" s="36" t="n"/>
      <c r="AI255" s="41">
        <f>IFERROR(AVERAGE(AD255,AF255,AH255),"")</f>
        <v/>
      </c>
      <c r="AJ255" s="29">
        <f>IFERROR(IF(AI255="","sem dados",IF(AB255&lt;AI255*0.95,"abaixo",IF(AB255&gt;AI255*1.05,"acima","em linha"))),"")</f>
        <v/>
      </c>
      <c r="AK255" s="23" t="inlineStr">
        <is>
          <t>não</t>
        </is>
      </c>
      <c r="AL255" s="23" t="n"/>
      <c r="AM255" s="23" t="n"/>
      <c r="AN255" s="23" t="n"/>
      <c r="AO255" s="44">
        <f>A255</f>
        <v/>
      </c>
      <c r="AP255" s="44">
        <f>D255</f>
        <v/>
      </c>
    </row>
    <row r="256" ht="15.75" customHeight="1" s="93">
      <c r="A256" s="23" t="inlineStr">
        <is>
          <t>5.1301.0565055.0</t>
        </is>
      </c>
      <c r="B256" s="23" t="inlineStr">
        <is>
          <t>565055</t>
        </is>
      </c>
      <c r="C256" s="29">
        <f>IFERROR(LOWER(SUBSTITUTE(SUBSTITUTE(SUBSTITUTE(SUBSTITUTE(D256," ","-"),"/","-"),".",""),",","")),"")</f>
        <v/>
      </c>
      <c r="D256" s="50" t="inlineStr">
        <is>
          <t>Bomba de Aplicação New Holland A-048 (47441313) Giro I - 5.1301.0565055.0</t>
        </is>
      </c>
      <c r="E256" s="50" t="inlineStr">
        <is>
          <t>Bombas Hidráulicas</t>
        </is>
      </c>
      <c r="F256" s="23" t="inlineStr">
        <is>
          <t>SOHIPREN</t>
        </is>
      </c>
      <c r="G256" s="23" t="n"/>
      <c r="H256" s="23" t="inlineStr">
        <is>
          <t>active</t>
        </is>
      </c>
      <c r="I256" s="23" t="inlineStr">
        <is>
          <t>CNH - NEW HOLLAND</t>
        </is>
      </c>
      <c r="J256" s="23" t="inlineStr">
        <is>
          <t>COLHEDEIRA</t>
        </is>
      </c>
      <c r="K256" s="23" t="n"/>
      <c r="L256" s="23" t="inlineStr">
        <is>
          <t>87390820/R979024213/47441313/R979024211/47441312</t>
        </is>
      </c>
      <c r="M256" s="31" t="n"/>
      <c r="N256" s="31" t="n">
        <v>10.81</v>
      </c>
      <c r="O256" s="31" t="n">
        <v>35</v>
      </c>
      <c r="P256" s="31" t="n">
        <v>31</v>
      </c>
      <c r="Q256" s="31" t="n">
        <v>20</v>
      </c>
      <c r="R256" s="34">
        <f>IFERROR(IF(AND(O256&gt;0,P256&gt;0,Q256&gt;0),(O256*P256*Q256)/6000,""),"")</f>
        <v/>
      </c>
      <c r="S256" s="34">
        <f>IFERROR(IF(AND(N256&gt;0,R256&gt;0),MAX(N256,R256),IF(N256&gt;0,N256,IF(R256&gt;0,R256,""))),"")</f>
        <v/>
      </c>
      <c r="T256" s="36" t="n">
        <v>100</v>
      </c>
      <c r="U256" s="23" t="inlineStr">
        <is>
          <t>fornecedor</t>
        </is>
      </c>
      <c r="V256" s="36" t="n">
        <v>2518.55</v>
      </c>
      <c r="W256" s="39" t="n">
        <v>0.2</v>
      </c>
      <c r="X256" s="41">
        <f>IFERROR(V256+T256,"")</f>
        <v/>
      </c>
      <c r="Y256" s="41">
        <f>IFERROR(IF(W256&lt;1,X256/(1-W256),""),"")</f>
        <v/>
      </c>
      <c r="Z256" s="43">
        <f>'01_CONFIG_GLOBAL'!$C$14</f>
        <v/>
      </c>
      <c r="AA256" s="41">
        <f>IFERROR(Y256*Z256,"")</f>
        <v/>
      </c>
      <c r="AB256" s="41">
        <f>IFERROR(IF(Z256&lt;1,Y256/(1-Z256),""),"")</f>
        <v/>
      </c>
      <c r="AC256" s="23" t="n"/>
      <c r="AD256" s="36" t="n"/>
      <c r="AE256" s="23" t="n"/>
      <c r="AF256" s="36" t="n"/>
      <c r="AG256" s="23" t="n"/>
      <c r="AH256" s="36" t="n"/>
      <c r="AI256" s="41">
        <f>IFERROR(AVERAGE(AD256,AF256,AH256),"")</f>
        <v/>
      </c>
      <c r="AJ256" s="29">
        <f>IFERROR(IF(AI256="","sem dados",IF(AB256&lt;AI256*0.95,"abaixo",IF(AB256&gt;AI256*1.05,"acima","em linha"))),"")</f>
        <v/>
      </c>
      <c r="AK256" s="23" t="inlineStr">
        <is>
          <t>sim</t>
        </is>
      </c>
      <c r="AL256" s="23" t="n"/>
      <c r="AM256" s="23" t="n"/>
      <c r="AN256" s="23" t="n"/>
      <c r="AO256" s="44">
        <f>A256</f>
        <v/>
      </c>
      <c r="AP256" s="44">
        <f>D256</f>
        <v/>
      </c>
      <c r="AQ256" s="28" t="inlineStr">
        <is>
          <t>bomba_generica.png (genérica)</t>
        </is>
      </c>
    </row>
    <row r="257" hidden="1" ht="15.75" customHeight="1" s="93">
      <c r="A257" s="23" t="inlineStr">
        <is>
          <t>5.1301.0565048.0</t>
        </is>
      </c>
      <c r="B257" s="23" t="inlineStr">
        <is>
          <t>565048</t>
        </is>
      </c>
      <c r="C257" s="29">
        <f>IFERROR(LOWER(SUBSTITUTE(SUBSTITUTE(SUBSTITUTE(SUBSTITUTE(D257," ","-"),"/","-"),".",""),",","")),"")</f>
        <v/>
      </c>
      <c r="D257" s="23" t="inlineStr">
        <is>
          <t>BOMBA HIDRÁULICA - APLICAÇÃO CNH A-027 (87605490) GIRO I (PROTOTIPO)</t>
        </is>
      </c>
      <c r="E257" s="23" t="inlineStr">
        <is>
          <t>Bombas Hidráulicas</t>
        </is>
      </c>
      <c r="F257" s="23" t="inlineStr">
        <is>
          <t>SOHIPREN</t>
        </is>
      </c>
      <c r="G257" s="23" t="n"/>
      <c r="H257" s="23" t="inlineStr">
        <is>
          <t>draft</t>
        </is>
      </c>
      <c r="I257" s="23" t="inlineStr">
        <is>
          <t>CNH - NEW HOLLAND</t>
        </is>
      </c>
      <c r="J257" s="23" t="inlineStr">
        <is>
          <t>COLHEDEIRA</t>
        </is>
      </c>
      <c r="K257" s="23" t="n"/>
      <c r="L257" s="23" t="inlineStr">
        <is>
          <t>87605490</t>
        </is>
      </c>
      <c r="M257" s="31" t="n"/>
      <c r="N257" s="31" t="n"/>
      <c r="O257" s="31" t="n"/>
      <c r="P257" s="31" t="n"/>
      <c r="Q257" s="31" t="n"/>
      <c r="R257" s="34">
        <f>IFERROR(IF(AND(O257&gt;0,P257&gt;0,Q257&gt;0),(O257*P257*Q257)/6000,""),"")</f>
        <v/>
      </c>
      <c r="S257" s="34">
        <f>IFERROR(IF(AND(N257&gt;0,R257&gt;0),MAX(N257,R257),IF(N257&gt;0,N257,IF(R257&gt;0,R257,""))),"")</f>
        <v/>
      </c>
      <c r="T257" s="36" t="n"/>
      <c r="U257" s="38" t="inlineStr">
        <is>
          <t>FALTA</t>
        </is>
      </c>
      <c r="V257" s="36" t="n">
        <v>1310</v>
      </c>
      <c r="W257" s="39" t="n">
        <v>0.3</v>
      </c>
      <c r="X257" s="41">
        <f>IFERROR(V257+T257,"")</f>
        <v/>
      </c>
      <c r="Y257" s="41">
        <f>IFERROR(IF(W257&lt;1,X257/(1-W257),""),"")</f>
        <v/>
      </c>
      <c r="Z257" s="43">
        <f>'01_CONFIG_GLOBAL'!$C$14</f>
        <v/>
      </c>
      <c r="AA257" s="41">
        <f>IFERROR(Y257*Z257,"")</f>
        <v/>
      </c>
      <c r="AB257" s="41">
        <f>IFERROR(IF(Z257&lt;1,Y257/(1-Z257),""),"")</f>
        <v/>
      </c>
      <c r="AC257" s="23" t="n"/>
      <c r="AD257" s="36" t="n"/>
      <c r="AE257" s="23" t="n"/>
      <c r="AF257" s="36" t="n"/>
      <c r="AG257" s="23" t="n"/>
      <c r="AH257" s="36" t="n"/>
      <c r="AI257" s="41">
        <f>IFERROR(AVERAGE(AD257,AF257,AH257),"")</f>
        <v/>
      </c>
      <c r="AJ257" s="29">
        <f>IFERROR(IF(AI257="","sem dados",IF(AB257&lt;AI257*0.95,"abaixo",IF(AB257&gt;AI257*1.05,"acima","em linha"))),"")</f>
        <v/>
      </c>
      <c r="AK257" s="23" t="inlineStr">
        <is>
          <t>não</t>
        </is>
      </c>
      <c r="AL257" s="23" t="n"/>
      <c r="AM257" s="23" t="n"/>
      <c r="AN257" s="23" t="n"/>
      <c r="AO257" s="44">
        <f>A257</f>
        <v/>
      </c>
      <c r="AP257" s="44">
        <f>D257</f>
        <v/>
      </c>
    </row>
    <row r="258" hidden="1" ht="15.75" customHeight="1" s="93">
      <c r="A258" s="23" t="inlineStr">
        <is>
          <t>5.1301.0565050.0</t>
        </is>
      </c>
      <c r="B258" s="23" t="inlineStr">
        <is>
          <t>565050</t>
        </is>
      </c>
      <c r="C258" s="29">
        <f>IFERROR(LOWER(SUBSTITUTE(SUBSTITUTE(SUBSTITUTE(SUBSTITUTE(D258," ","-"),"/","-"),".",""),",","")),"")</f>
        <v/>
      </c>
      <c r="D258" s="23" t="inlineStr">
        <is>
          <t>BOMBA HIDRÁULICA - APLICAÇÃO CNH A-029 (82991209)</t>
        </is>
      </c>
      <c r="E258" s="23" t="inlineStr">
        <is>
          <t>Bombas Hidráulicas</t>
        </is>
      </c>
      <c r="F258" s="23" t="inlineStr">
        <is>
          <t>SOHIPREN</t>
        </is>
      </c>
      <c r="G258" s="23" t="n"/>
      <c r="H258" s="23" t="inlineStr">
        <is>
          <t>draft</t>
        </is>
      </c>
      <c r="I258" s="23" t="inlineStr">
        <is>
          <t>CNH - NEW HOLLAND</t>
        </is>
      </c>
      <c r="J258" s="23" t="inlineStr">
        <is>
          <t>TRATOR</t>
        </is>
      </c>
      <c r="K258" s="23" t="inlineStr">
        <is>
          <t>BOMBA DE DIREÇÃO</t>
        </is>
      </c>
      <c r="L258" s="23" t="inlineStr">
        <is>
          <t>82991210-82991209-F000510506-90609358-9011108506</t>
        </is>
      </c>
      <c r="M258" s="31" t="n"/>
      <c r="N258" s="31" t="n"/>
      <c r="O258" s="31" t="n"/>
      <c r="P258" s="31" t="n"/>
      <c r="Q258" s="31" t="n"/>
      <c r="R258" s="34">
        <f>IFERROR(IF(AND(O258&gt;0,P258&gt;0,Q258&gt;0),(O258*P258*Q258)/6000,""),"")</f>
        <v/>
      </c>
      <c r="S258" s="34">
        <f>IFERROR(IF(AND(N258&gt;0,R258&gt;0),MAX(N258,R258),IF(N258&gt;0,N258,IF(R258&gt;0,R258,""))),"")</f>
        <v/>
      </c>
      <c r="T258" s="36" t="n"/>
      <c r="U258" s="38" t="inlineStr">
        <is>
          <t>FALTA</t>
        </is>
      </c>
      <c r="V258" s="36" t="n">
        <v>1310</v>
      </c>
      <c r="W258" s="39" t="n">
        <v>0.3</v>
      </c>
      <c r="X258" s="41">
        <f>IFERROR(V258+T258,"")</f>
        <v/>
      </c>
      <c r="Y258" s="41">
        <f>IFERROR(IF(W258&lt;1,X258/(1-W258),""),"")</f>
        <v/>
      </c>
      <c r="Z258" s="43">
        <f>'01_CONFIG_GLOBAL'!$C$14</f>
        <v/>
      </c>
      <c r="AA258" s="41">
        <f>IFERROR(Y258*Z258,"")</f>
        <v/>
      </c>
      <c r="AB258" s="41">
        <f>IFERROR(IF(Z258&lt;1,Y258/(1-Z258),""),"")</f>
        <v/>
      </c>
      <c r="AC258" s="23" t="n"/>
      <c r="AD258" s="36" t="n"/>
      <c r="AE258" s="23" t="n"/>
      <c r="AF258" s="36" t="n"/>
      <c r="AG258" s="23" t="n"/>
      <c r="AH258" s="36" t="n"/>
      <c r="AI258" s="41">
        <f>IFERROR(AVERAGE(AD258,AF258,AH258),"")</f>
        <v/>
      </c>
      <c r="AJ258" s="29">
        <f>IFERROR(IF(AI258="","sem dados",IF(AB258&lt;AI258*0.95,"abaixo",IF(AB258&gt;AI258*1.05,"acima","em linha"))),"")</f>
        <v/>
      </c>
      <c r="AK258" s="23" t="inlineStr">
        <is>
          <t>não</t>
        </is>
      </c>
      <c r="AL258" s="23" t="n"/>
      <c r="AM258" s="23" t="n"/>
      <c r="AN258" s="23" t="n"/>
      <c r="AO258" s="44">
        <f>A258</f>
        <v/>
      </c>
      <c r="AP258" s="44">
        <f>D258</f>
        <v/>
      </c>
    </row>
    <row r="259" ht="15.75" customHeight="1" s="93">
      <c r="A259" s="23" t="inlineStr">
        <is>
          <t>5.1301.0565054.0</t>
        </is>
      </c>
      <c r="B259" s="23" t="inlineStr">
        <is>
          <t>565054</t>
        </is>
      </c>
      <c r="C259" s="29">
        <f>IFERROR(LOWER(SUBSTITUTE(SUBSTITUTE(SUBSTITUTE(SUBSTITUTE(D259," ","-"),"/","-"),".",""),",","")),"")</f>
        <v/>
      </c>
      <c r="D259" s="50" t="inlineStr">
        <is>
          <t>Bomba de Aplicação New Holland A-047 (47439228) Giro D - 5.1301.0565054.0</t>
        </is>
      </c>
      <c r="E259" s="50" t="inlineStr">
        <is>
          <t>Bombas Hidráulicas</t>
        </is>
      </c>
      <c r="F259" s="23" t="inlineStr">
        <is>
          <t>SOHIPREN</t>
        </is>
      </c>
      <c r="G259" s="23" t="n"/>
      <c r="H259" s="23" t="inlineStr">
        <is>
          <t>active</t>
        </is>
      </c>
      <c r="I259" s="23" t="inlineStr">
        <is>
          <t>CNH - NEW HOLLAND</t>
        </is>
      </c>
      <c r="J259" s="23" t="inlineStr">
        <is>
          <t>COLHEDEIRA</t>
        </is>
      </c>
      <c r="K259" s="23" t="inlineStr">
        <is>
          <t>PRINCIPAL</t>
        </is>
      </c>
      <c r="L259" s="23" t="inlineStr">
        <is>
          <t>47439228/R979024212/87374500</t>
        </is>
      </c>
      <c r="M259" s="31" t="n"/>
      <c r="N259" s="31" t="n">
        <v>10.78</v>
      </c>
      <c r="O259" s="31" t="n">
        <v>35</v>
      </c>
      <c r="P259" s="31" t="n">
        <v>31</v>
      </c>
      <c r="Q259" s="31" t="n">
        <v>20</v>
      </c>
      <c r="R259" s="34">
        <f>IFERROR(IF(AND(O259&gt;0,P259&gt;0,Q259&gt;0),(O259*P259*Q259)/6000,""),"")</f>
        <v/>
      </c>
      <c r="S259" s="34">
        <f>IFERROR(IF(AND(N259&gt;0,R259&gt;0),MAX(N259,R259),IF(N259&gt;0,N259,IF(R259&gt;0,R259,""))),"")</f>
        <v/>
      </c>
      <c r="T259" s="36" t="n">
        <v>100</v>
      </c>
      <c r="U259" s="23" t="inlineStr">
        <is>
          <t>fornecedor</t>
        </is>
      </c>
      <c r="V259" s="36" t="n">
        <v>2363</v>
      </c>
      <c r="W259" s="39" t="n">
        <v>0.2</v>
      </c>
      <c r="X259" s="41">
        <f>IFERROR(V259+T259,"")</f>
        <v/>
      </c>
      <c r="Y259" s="41">
        <f>IFERROR(IF(W259&lt;1,X259/(1-W259),""),"")</f>
        <v/>
      </c>
      <c r="Z259" s="43">
        <f>'01_CONFIG_GLOBAL'!$C$14</f>
        <v/>
      </c>
      <c r="AA259" s="41">
        <f>IFERROR(Y259*Z259,"")</f>
        <v/>
      </c>
      <c r="AB259" s="41">
        <f>IFERROR(IF(Z259&lt;1,Y259/(1-Z259),""),"")</f>
        <v/>
      </c>
      <c r="AC259" s="23" t="n"/>
      <c r="AD259" s="36" t="n"/>
      <c r="AE259" s="23" t="n"/>
      <c r="AF259" s="36" t="n"/>
      <c r="AG259" s="23" t="n"/>
      <c r="AH259" s="36" t="n"/>
      <c r="AI259" s="41">
        <f>IFERROR(AVERAGE(AD259,AF259,AH259),"")</f>
        <v/>
      </c>
      <c r="AJ259" s="29">
        <f>IFERROR(IF(AI259="","sem dados",IF(AB259&lt;AI259*0.95,"abaixo",IF(AB259&gt;AI259*1.05,"acima","em linha"))),"")</f>
        <v/>
      </c>
      <c r="AK259" s="23" t="inlineStr">
        <is>
          <t>sim</t>
        </is>
      </c>
      <c r="AL259" s="23" t="n"/>
      <c r="AM259" s="23" t="n"/>
      <c r="AN259" s="23" t="n"/>
      <c r="AO259" s="44">
        <f>A259</f>
        <v/>
      </c>
      <c r="AP259" s="44">
        <f>D259</f>
        <v/>
      </c>
      <c r="AQ259" s="28" t="inlineStr">
        <is>
          <t>bomba_generica.png (genérica)</t>
        </is>
      </c>
    </row>
    <row r="260" hidden="1" ht="15.75" customHeight="1" s="93">
      <c r="A260" s="23" t="inlineStr">
        <is>
          <t>5.1301.0565065.0</t>
        </is>
      </c>
      <c r="B260" s="23" t="inlineStr">
        <is>
          <t>565065</t>
        </is>
      </c>
      <c r="C260" s="29">
        <f>IFERROR(LOWER(SUBSTITUTE(SUBSTITUTE(SUBSTITUTE(SUBSTITUTE(D260," ","-"),"/","-"),".",""),",","")),"")</f>
        <v/>
      </c>
      <c r="D260" s="23" t="inlineStr">
        <is>
          <t>BOMBA HIDRÁULICA - APLICAÇÃO CNH A-037 (5168841) GIRO D</t>
        </is>
      </c>
      <c r="E260" s="23" t="inlineStr">
        <is>
          <t>Bombas Hidráulicas</t>
        </is>
      </c>
      <c r="F260" s="23" t="inlineStr">
        <is>
          <t>SOHIPREN</t>
        </is>
      </c>
      <c r="G260" s="23" t="n"/>
      <c r="H260" s="23" t="inlineStr">
        <is>
          <t>draft</t>
        </is>
      </c>
      <c r="I260" s="23" t="inlineStr">
        <is>
          <t>CNH - NEW HOLLAND</t>
        </is>
      </c>
      <c r="J260" s="23" t="inlineStr">
        <is>
          <t>TRATOR DE PNEUS</t>
        </is>
      </c>
      <c r="K260" s="23" t="n"/>
      <c r="L260" s="23" t="inlineStr">
        <is>
          <t>5168841</t>
        </is>
      </c>
      <c r="M260" s="31" t="n"/>
      <c r="N260" s="31" t="n"/>
      <c r="O260" s="31" t="n"/>
      <c r="P260" s="31" t="n"/>
      <c r="Q260" s="31" t="n"/>
      <c r="R260" s="34">
        <f>IFERROR(IF(AND(O260&gt;0,P260&gt;0,Q260&gt;0),(O260*P260*Q260)/6000,""),"")</f>
        <v/>
      </c>
      <c r="S260" s="34">
        <f>IFERROR(IF(AND(N260&gt;0,R260&gt;0),MAX(N260,R260),IF(N260&gt;0,N260,IF(R260&gt;0,R260,""))),"")</f>
        <v/>
      </c>
      <c r="T260" s="36" t="n"/>
      <c r="U260" s="38" t="inlineStr">
        <is>
          <t>FALTA</t>
        </is>
      </c>
      <c r="V260" s="36" t="n">
        <v>938</v>
      </c>
      <c r="W260" s="39" t="n">
        <v>0.3</v>
      </c>
      <c r="X260" s="41">
        <f>IFERROR(V260+T260,"")</f>
        <v/>
      </c>
      <c r="Y260" s="41">
        <f>IFERROR(IF(W260&lt;1,X260/(1-W260),""),"")</f>
        <v/>
      </c>
      <c r="Z260" s="43">
        <f>'01_CONFIG_GLOBAL'!$C$14</f>
        <v/>
      </c>
      <c r="AA260" s="41">
        <f>IFERROR(Y260*Z260,"")</f>
        <v/>
      </c>
      <c r="AB260" s="41">
        <f>IFERROR(IF(Z260&lt;1,Y260/(1-Z260),""),"")</f>
        <v/>
      </c>
      <c r="AC260" s="23" t="n"/>
      <c r="AD260" s="36" t="n"/>
      <c r="AE260" s="23" t="n"/>
      <c r="AF260" s="36" t="n"/>
      <c r="AG260" s="23" t="n"/>
      <c r="AH260" s="36" t="n"/>
      <c r="AI260" s="41">
        <f>IFERROR(AVERAGE(AD260,AF260,AH260),"")</f>
        <v/>
      </c>
      <c r="AJ260" s="29">
        <f>IFERROR(IF(AI260="","sem dados",IF(AB260&lt;AI260*0.95,"abaixo",IF(AB260&gt;AI260*1.05,"acima","em linha"))),"")</f>
        <v/>
      </c>
      <c r="AK260" s="23" t="inlineStr">
        <is>
          <t>não</t>
        </is>
      </c>
      <c r="AL260" s="23" t="n"/>
      <c r="AM260" s="23" t="n"/>
      <c r="AN260" s="23" t="n"/>
      <c r="AO260" s="44">
        <f>A260</f>
        <v/>
      </c>
      <c r="AP260" s="44">
        <f>D260</f>
        <v/>
      </c>
    </row>
    <row r="261" hidden="1" ht="15.75" customHeight="1" s="93">
      <c r="A261" s="23" t="inlineStr">
        <is>
          <t>5.1301.0565063.</t>
        </is>
      </c>
      <c r="B261" s="23" t="inlineStr">
        <is>
          <t>565063</t>
        </is>
      </c>
      <c r="C261" s="29">
        <f>IFERROR(LOWER(SUBSTITUTE(SUBSTITUTE(SUBSTITUTE(SUBSTITUTE(D261," ","-"),"/","-"),".",""),",","")),"")</f>
        <v/>
      </c>
      <c r="D261" s="23" t="inlineStr">
        <is>
          <t>BOMBA HIDRÁULICA - APLICAÇÃO CNH A-035 (82023350) GIRO I</t>
        </is>
      </c>
      <c r="E261" s="23" t="inlineStr">
        <is>
          <t>Bombas Hidráulicas</t>
        </is>
      </c>
      <c r="F261" s="23" t="inlineStr">
        <is>
          <t>SOHIPREN</t>
        </is>
      </c>
      <c r="G261" s="23" t="n"/>
      <c r="H261" s="23" t="inlineStr">
        <is>
          <t>draft</t>
        </is>
      </c>
      <c r="I261" s="23" t="inlineStr">
        <is>
          <t>CNH - NEW HOLLAND</t>
        </is>
      </c>
      <c r="J261" s="23" t="inlineStr">
        <is>
          <t>TRATOR</t>
        </is>
      </c>
      <c r="K261" s="23" t="inlineStr">
        <is>
          <t>PRINCIPAL</t>
        </is>
      </c>
      <c r="L261" s="23" t="inlineStr">
        <is>
          <t>82023350/818633197/F0NN600AA</t>
        </is>
      </c>
      <c r="M261" s="31" t="n"/>
      <c r="N261" s="31" t="n"/>
      <c r="O261" s="31" t="n"/>
      <c r="P261" s="31" t="n"/>
      <c r="Q261" s="31" t="n"/>
      <c r="R261" s="34">
        <f>IFERROR(IF(AND(O261&gt;0,P261&gt;0,Q261&gt;0),(O261*P261*Q261)/6000,""),"")</f>
        <v/>
      </c>
      <c r="S261" s="34">
        <f>IFERROR(IF(AND(N261&gt;0,R261&gt;0),MAX(N261,R261),IF(N261&gt;0,N261,IF(R261&gt;0,R261,""))),"")</f>
        <v/>
      </c>
      <c r="T261" s="36" t="n"/>
      <c r="U261" s="38" t="inlineStr">
        <is>
          <t>FALTA</t>
        </is>
      </c>
      <c r="V261" s="36" t="n">
        <v>1867.8</v>
      </c>
      <c r="W261" s="39" t="n">
        <v>0.3</v>
      </c>
      <c r="X261" s="41">
        <f>IFERROR(V261+T261,"")</f>
        <v/>
      </c>
      <c r="Y261" s="41">
        <f>IFERROR(IF(W261&lt;1,X261/(1-W261),""),"")</f>
        <v/>
      </c>
      <c r="Z261" s="43">
        <f>'01_CONFIG_GLOBAL'!$C$14</f>
        <v/>
      </c>
      <c r="AA261" s="41">
        <f>IFERROR(Y261*Z261,"")</f>
        <v/>
      </c>
      <c r="AB261" s="41">
        <f>IFERROR(IF(Z261&lt;1,Y261/(1-Z261),""),"")</f>
        <v/>
      </c>
      <c r="AC261" s="23" t="n"/>
      <c r="AD261" s="36" t="n"/>
      <c r="AE261" s="23" t="n"/>
      <c r="AF261" s="36" t="n"/>
      <c r="AG261" s="23" t="n"/>
      <c r="AH261" s="36" t="n"/>
      <c r="AI261" s="41">
        <f>IFERROR(AVERAGE(AD261,AF261,AH261),"")</f>
        <v/>
      </c>
      <c r="AJ261" s="29">
        <f>IFERROR(IF(AI261="","sem dados",IF(AB261&lt;AI261*0.95,"abaixo",IF(AB261&gt;AI261*1.05,"acima","em linha"))),"")</f>
        <v/>
      </c>
      <c r="AK261" s="23" t="inlineStr">
        <is>
          <t>não</t>
        </is>
      </c>
      <c r="AL261" s="23" t="n"/>
      <c r="AM261" s="23" t="n"/>
      <c r="AN261" s="23" t="n"/>
      <c r="AO261" s="44">
        <f>A261</f>
        <v/>
      </c>
      <c r="AP261" s="44">
        <f>D261</f>
        <v/>
      </c>
    </row>
    <row r="262" hidden="1" ht="15.75" customHeight="1" s="93">
      <c r="A262" s="23" t="inlineStr">
        <is>
          <t>5.1301.0565046.0</t>
        </is>
      </c>
      <c r="B262" s="23" t="inlineStr">
        <is>
          <t>565046</t>
        </is>
      </c>
      <c r="C262" s="29">
        <f>IFERROR(LOWER(SUBSTITUTE(SUBSTITUTE(SUBSTITUTE(SUBSTITUTE(D262," ","-"),"/","-"),".",""),",","")),"")</f>
        <v/>
      </c>
      <c r="D262" s="23" t="inlineStr">
        <is>
          <t>BOMBA HIDRÁULICA - APLICAÇÃO 14 E9.B2.A26/A27.T - 200 BAR (CNH 84576800)</t>
        </is>
      </c>
      <c r="E262" s="23" t="inlineStr">
        <is>
          <t>Bombas Hidráulicas</t>
        </is>
      </c>
      <c r="F262" s="23" t="inlineStr">
        <is>
          <t>SOHIPREN</t>
        </is>
      </c>
      <c r="G262" s="23" t="n"/>
      <c r="H262" s="23" t="inlineStr">
        <is>
          <t>draft</t>
        </is>
      </c>
      <c r="I262" s="23" t="inlineStr">
        <is>
          <t>CNH - NEW HOLLAND</t>
        </is>
      </c>
      <c r="J262" s="23" t="inlineStr">
        <is>
          <t>TRATOR DE PNEUS</t>
        </is>
      </c>
      <c r="K262" s="23" t="inlineStr">
        <is>
          <t>PRINCIPAL E DIREÇÃO</t>
        </is>
      </c>
      <c r="L262" s="23" t="inlineStr">
        <is>
          <t>84576800/47567714/R979036943</t>
        </is>
      </c>
      <c r="M262" s="31" t="n"/>
      <c r="N262" s="31" t="n"/>
      <c r="O262" s="31" t="n"/>
      <c r="P262" s="31" t="n"/>
      <c r="Q262" s="31" t="n"/>
      <c r="R262" s="34">
        <f>IFERROR(IF(AND(O262&gt;0,P262&gt;0,Q262&gt;0),(O262*P262*Q262)/6000,""),"")</f>
        <v/>
      </c>
      <c r="S262" s="34">
        <f>IFERROR(IF(AND(N262&gt;0,R262&gt;0),MAX(N262,R262),IF(N262&gt;0,N262,IF(R262&gt;0,R262,""))),"")</f>
        <v/>
      </c>
      <c r="T262" s="36" t="n"/>
      <c r="U262" s="38" t="inlineStr">
        <is>
          <t>FALTA</t>
        </is>
      </c>
      <c r="V262" s="36" t="n">
        <v>735</v>
      </c>
      <c r="W262" s="39" t="n">
        <v>0.3</v>
      </c>
      <c r="X262" s="41">
        <f>IFERROR(V262+T262,"")</f>
        <v/>
      </c>
      <c r="Y262" s="41">
        <f>IFERROR(IF(W262&lt;1,X262/(1-W262),""),"")</f>
        <v/>
      </c>
      <c r="Z262" s="43">
        <f>'01_CONFIG_GLOBAL'!$C$14</f>
        <v/>
      </c>
      <c r="AA262" s="41">
        <f>IFERROR(Y262*Z262,"")</f>
        <v/>
      </c>
      <c r="AB262" s="41">
        <f>IFERROR(IF(Z262&lt;1,Y262/(1-Z262),""),"")</f>
        <v/>
      </c>
      <c r="AC262" s="23" t="n"/>
      <c r="AD262" s="36" t="n"/>
      <c r="AE262" s="23" t="n"/>
      <c r="AF262" s="36" t="n"/>
      <c r="AG262" s="23" t="n"/>
      <c r="AH262" s="36" t="n"/>
      <c r="AI262" s="41">
        <f>IFERROR(AVERAGE(AD262,AF262,AH262),"")</f>
        <v/>
      </c>
      <c r="AJ262" s="29">
        <f>IFERROR(IF(AI262="","sem dados",IF(AB262&lt;AI262*0.95,"abaixo",IF(AB262&gt;AI262*1.05,"acima","em linha"))),"")</f>
        <v/>
      </c>
      <c r="AK262" s="23" t="inlineStr">
        <is>
          <t>não</t>
        </is>
      </c>
      <c r="AL262" s="23" t="n"/>
      <c r="AM262" s="23" t="n"/>
      <c r="AN262" s="23" t="n"/>
      <c r="AO262" s="44">
        <f>A262</f>
        <v/>
      </c>
      <c r="AP262" s="44">
        <f>D262</f>
        <v/>
      </c>
    </row>
    <row r="263" hidden="1" ht="15.75" customHeight="1" s="93">
      <c r="A263" s="23" t="inlineStr">
        <is>
          <t>5.1301.0565091.0</t>
        </is>
      </c>
      <c r="B263" s="23" t="inlineStr">
        <is>
          <t>565091</t>
        </is>
      </c>
      <c r="C263" s="29">
        <f>IFERROR(LOWER(SUBSTITUTE(SUBSTITUTE(SUBSTITUTE(SUBSTITUTE(D263," ","-"),"/","-"),".",""),",","")),"")</f>
        <v/>
      </c>
      <c r="D263" s="23" t="inlineStr">
        <is>
          <t>BOMBA HIDRÁULICA - APLICAÇÃO CNH A-046 (87472285) GIRO I</t>
        </is>
      </c>
      <c r="E263" s="23" t="inlineStr">
        <is>
          <t>Bombas Hidráulicas</t>
        </is>
      </c>
      <c r="F263" s="23" t="inlineStr">
        <is>
          <t>SOHIPREN</t>
        </is>
      </c>
      <c r="G263" s="23" t="n"/>
      <c r="H263" s="23" t="inlineStr">
        <is>
          <t>draft</t>
        </is>
      </c>
      <c r="I263" s="23" t="inlineStr">
        <is>
          <t>CNH - NEW HOLLAND</t>
        </is>
      </c>
      <c r="J263" s="23" t="inlineStr">
        <is>
          <t>TRATOR DE PNEUS</t>
        </is>
      </c>
      <c r="K263" s="23" t="n"/>
      <c r="L263" s="23" t="inlineStr">
        <is>
          <t>87472285</t>
        </is>
      </c>
      <c r="M263" s="31" t="n"/>
      <c r="N263" s="31" t="n"/>
      <c r="O263" s="31" t="n"/>
      <c r="P263" s="31" t="n"/>
      <c r="Q263" s="31" t="n"/>
      <c r="R263" s="34">
        <f>IFERROR(IF(AND(O263&gt;0,P263&gt;0,Q263&gt;0),(O263*P263*Q263)/6000,""),"")</f>
        <v/>
      </c>
      <c r="S263" s="34">
        <f>IFERROR(IF(AND(N263&gt;0,R263&gt;0),MAX(N263,R263),IF(N263&gt;0,N263,IF(R263&gt;0,R263,""))),"")</f>
        <v/>
      </c>
      <c r="T263" s="36" t="n"/>
      <c r="U263" s="38" t="inlineStr">
        <is>
          <t>FALTA</t>
        </is>
      </c>
      <c r="V263" s="36" t="n">
        <v>1205</v>
      </c>
      <c r="W263" s="39" t="n">
        <v>0.3</v>
      </c>
      <c r="X263" s="41">
        <f>IFERROR(V263+T263,"")</f>
        <v/>
      </c>
      <c r="Y263" s="41">
        <f>IFERROR(IF(W263&lt;1,X263/(1-W263),""),"")</f>
        <v/>
      </c>
      <c r="Z263" s="43">
        <f>'01_CONFIG_GLOBAL'!$C$14</f>
        <v/>
      </c>
      <c r="AA263" s="41">
        <f>IFERROR(Y263*Z263,"")</f>
        <v/>
      </c>
      <c r="AB263" s="41">
        <f>IFERROR(IF(Z263&lt;1,Y263/(1-Z263),""),"")</f>
        <v/>
      </c>
      <c r="AC263" s="23" t="n"/>
      <c r="AD263" s="36" t="n"/>
      <c r="AE263" s="23" t="n"/>
      <c r="AF263" s="36" t="n"/>
      <c r="AG263" s="23" t="n"/>
      <c r="AH263" s="36" t="n"/>
      <c r="AI263" s="41">
        <f>IFERROR(AVERAGE(AD263,AF263,AH263),"")</f>
        <v/>
      </c>
      <c r="AJ263" s="29">
        <f>IFERROR(IF(AI263="","sem dados",IF(AB263&lt;AI263*0.95,"abaixo",IF(AB263&gt;AI263*1.05,"acima","em linha"))),"")</f>
        <v/>
      </c>
      <c r="AK263" s="23" t="inlineStr">
        <is>
          <t>não</t>
        </is>
      </c>
      <c r="AL263" s="23" t="n"/>
      <c r="AM263" s="23" t="n"/>
      <c r="AN263" s="23" t="n"/>
      <c r="AO263" s="44">
        <f>A263</f>
        <v/>
      </c>
      <c r="AP263" s="44">
        <f>D263</f>
        <v/>
      </c>
    </row>
    <row r="264" hidden="1" ht="15.75" customHeight="1" s="93">
      <c r="A264" s="23" t="inlineStr">
        <is>
          <t>5.1301.0565006.0</t>
        </is>
      </c>
      <c r="B264" s="23" t="inlineStr">
        <is>
          <t>565006</t>
        </is>
      </c>
      <c r="C264" s="29">
        <f>IFERROR(LOWER(SUBSTITUTE(SUBSTITUTE(SUBSTITUTE(SUBSTITUTE(D264," ","-"),"/","-"),".",""),",","")),"")</f>
        <v/>
      </c>
      <c r="D264" s="23" t="inlineStr">
        <is>
          <t>BOMBA HIDRÁULICA - APLICAÇÃO CNH A-006 (E6NN3K514AB - 83960261) GIRO I</t>
        </is>
      </c>
      <c r="E264" s="23" t="inlineStr">
        <is>
          <t>Bombas Hidráulicas</t>
        </is>
      </c>
      <c r="F264" s="23" t="inlineStr">
        <is>
          <t>SOHIPREN</t>
        </is>
      </c>
      <c r="G264" s="23" t="n"/>
      <c r="H264" s="23" t="inlineStr">
        <is>
          <t>draft</t>
        </is>
      </c>
      <c r="I264" s="23" t="inlineStr">
        <is>
          <t>CNH - NEW HOLLAND</t>
        </is>
      </c>
      <c r="J264" s="23" t="inlineStr">
        <is>
          <t>TRATOR</t>
        </is>
      </c>
      <c r="K264" s="23" t="inlineStr">
        <is>
          <t>BOMBA DE DIREÇÃO</t>
        </is>
      </c>
      <c r="L264" s="23" t="inlineStr">
        <is>
          <t>83960261</t>
        </is>
      </c>
      <c r="M264" s="31" t="n"/>
      <c r="N264" s="31" t="n"/>
      <c r="O264" s="31" t="n"/>
      <c r="P264" s="31" t="n"/>
      <c r="Q264" s="31" t="n"/>
      <c r="R264" s="34">
        <f>IFERROR(IF(AND(O264&gt;0,P264&gt;0,Q264&gt;0),(O264*P264*Q264)/6000,""),"")</f>
        <v/>
      </c>
      <c r="S264" s="34">
        <f>IFERROR(IF(AND(N264&gt;0,R264&gt;0),MAX(N264,R264),IF(N264&gt;0,N264,IF(R264&gt;0,R264,""))),"")</f>
        <v/>
      </c>
      <c r="T264" s="36" t="n"/>
      <c r="U264" s="38" t="inlineStr">
        <is>
          <t>FALTA</t>
        </is>
      </c>
      <c r="V264" s="36" t="n">
        <v>1299</v>
      </c>
      <c r="W264" s="39" t="n">
        <v>0.3</v>
      </c>
      <c r="X264" s="41">
        <f>IFERROR(V264+T264,"")</f>
        <v/>
      </c>
      <c r="Y264" s="41">
        <f>IFERROR(IF(W264&lt;1,X264/(1-W264),""),"")</f>
        <v/>
      </c>
      <c r="Z264" s="43">
        <f>'01_CONFIG_GLOBAL'!$C$14</f>
        <v/>
      </c>
      <c r="AA264" s="41">
        <f>IFERROR(Y264*Z264,"")</f>
        <v/>
      </c>
      <c r="AB264" s="41">
        <f>IFERROR(IF(Z264&lt;1,Y264/(1-Z264),""),"")</f>
        <v/>
      </c>
      <c r="AC264" s="23" t="n"/>
      <c r="AD264" s="36" t="n"/>
      <c r="AE264" s="23" t="n"/>
      <c r="AF264" s="36" t="n"/>
      <c r="AG264" s="23" t="n"/>
      <c r="AH264" s="36" t="n"/>
      <c r="AI264" s="41">
        <f>IFERROR(AVERAGE(AD264,AF264,AH264),"")</f>
        <v/>
      </c>
      <c r="AJ264" s="29">
        <f>IFERROR(IF(AI264="","sem dados",IF(AB264&lt;AI264*0.95,"abaixo",IF(AB264&gt;AI264*1.05,"acima","em linha"))),"")</f>
        <v/>
      </c>
      <c r="AK264" s="23" t="inlineStr">
        <is>
          <t>não</t>
        </is>
      </c>
      <c r="AL264" s="23" t="n"/>
      <c r="AM264" s="23" t="n"/>
      <c r="AN264" s="23" t="n"/>
      <c r="AO264" s="44">
        <f>A264</f>
        <v/>
      </c>
      <c r="AP264" s="44">
        <f>D264</f>
        <v/>
      </c>
    </row>
    <row r="265" hidden="1" ht="15.75" customHeight="1" s="93">
      <c r="A265" s="23" t="inlineStr">
        <is>
          <t>5.1301.0565007.0</t>
        </is>
      </c>
      <c r="B265" s="23" t="inlineStr">
        <is>
          <t>565007</t>
        </is>
      </c>
      <c r="C265" s="29">
        <f>IFERROR(LOWER(SUBSTITUTE(SUBSTITUTE(SUBSTITUTE(SUBSTITUTE(D265," ","-"),"/","-"),".",""),",","")),"")</f>
        <v/>
      </c>
      <c r="D265" s="23" t="inlineStr">
        <is>
          <t>BOMBA HIDRÁULICA - APLICAÇÃO CNH A-007 (E6NN3K514AB - 81863197) GIRO I</t>
        </is>
      </c>
      <c r="E265" s="23" t="inlineStr">
        <is>
          <t>Bombas Hidráulicas</t>
        </is>
      </c>
      <c r="F265" s="23" t="inlineStr">
        <is>
          <t>SOHIPREN</t>
        </is>
      </c>
      <c r="G265" s="23" t="n"/>
      <c r="H265" s="23" t="inlineStr">
        <is>
          <t>draft</t>
        </is>
      </c>
      <c r="I265" s="23" t="inlineStr">
        <is>
          <t>CNH - NEW HOLLAND</t>
        </is>
      </c>
      <c r="J265" s="23" t="inlineStr">
        <is>
          <t>TRATOR</t>
        </is>
      </c>
      <c r="K265" s="23" t="inlineStr">
        <is>
          <t>BOMBA DE DIREÇÃO</t>
        </is>
      </c>
      <c r="L265" s="23" t="n"/>
      <c r="M265" s="31" t="n"/>
      <c r="N265" s="31" t="n"/>
      <c r="O265" s="31" t="n"/>
      <c r="P265" s="31" t="n"/>
      <c r="Q265" s="31" t="n"/>
      <c r="R265" s="34">
        <f>IFERROR(IF(AND(O265&gt;0,P265&gt;0,Q265&gt;0),(O265*P265*Q265)/6000,""),"")</f>
        <v/>
      </c>
      <c r="S265" s="34">
        <f>IFERROR(IF(AND(N265&gt;0,R265&gt;0),MAX(N265,R265),IF(N265&gt;0,N265,IF(R265&gt;0,R265,""))),"")</f>
        <v/>
      </c>
      <c r="T265" s="36" t="n"/>
      <c r="U265" s="38" t="inlineStr">
        <is>
          <t>FALTA</t>
        </is>
      </c>
      <c r="V265" s="36" t="n">
        <v>1299</v>
      </c>
      <c r="W265" s="39" t="n">
        <v>0.3</v>
      </c>
      <c r="X265" s="41">
        <f>IFERROR(V265+T265,"")</f>
        <v/>
      </c>
      <c r="Y265" s="41">
        <f>IFERROR(IF(W265&lt;1,X265/(1-W265),""),"")</f>
        <v/>
      </c>
      <c r="Z265" s="43">
        <f>'01_CONFIG_GLOBAL'!$C$14</f>
        <v/>
      </c>
      <c r="AA265" s="41">
        <f>IFERROR(Y265*Z265,"")</f>
        <v/>
      </c>
      <c r="AB265" s="41">
        <f>IFERROR(IF(Z265&lt;1,Y265/(1-Z265),""),"")</f>
        <v/>
      </c>
      <c r="AC265" s="23" t="n"/>
      <c r="AD265" s="36" t="n"/>
      <c r="AE265" s="23" t="n"/>
      <c r="AF265" s="36" t="n"/>
      <c r="AG265" s="23" t="n"/>
      <c r="AH265" s="36" t="n"/>
      <c r="AI265" s="41">
        <f>IFERROR(AVERAGE(AD265,AF265,AH265),"")</f>
        <v/>
      </c>
      <c r="AJ265" s="29">
        <f>IFERROR(IF(AI265="","sem dados",IF(AB265&lt;AI265*0.95,"abaixo",IF(AB265&gt;AI265*1.05,"acima","em linha"))),"")</f>
        <v/>
      </c>
      <c r="AK265" s="23" t="inlineStr">
        <is>
          <t>não</t>
        </is>
      </c>
      <c r="AL265" s="23" t="n"/>
      <c r="AM265" s="23" t="n"/>
      <c r="AN265" s="23" t="n"/>
      <c r="AO265" s="44">
        <f>A265</f>
        <v/>
      </c>
      <c r="AP265" s="44">
        <f>D265</f>
        <v/>
      </c>
    </row>
    <row r="266" ht="15.75" customHeight="1" s="93">
      <c r="A266" s="23" t="inlineStr">
        <is>
          <t>5.1301.0565008.0</t>
        </is>
      </c>
      <c r="B266" s="23" t="inlineStr">
        <is>
          <t>565008</t>
        </is>
      </c>
      <c r="C266" s="29">
        <f>IFERROR(LOWER(SUBSTITUTE(SUBSTITUTE(SUBSTITUTE(SUBSTITUTE(D266," ","-"),"/","-"),".",""),",","")),"")</f>
        <v/>
      </c>
      <c r="D266" s="50" t="inlineStr">
        <is>
          <t>Bomba Hidráulica Ford New Holland CNH A-008 - Série TB/TS</t>
        </is>
      </c>
      <c r="E266" s="50" t="inlineStr">
        <is>
          <t>Bombas Hidráulicas</t>
        </is>
      </c>
      <c r="F266" s="23" t="inlineStr">
        <is>
          <t>SOHIPREN</t>
        </is>
      </c>
      <c r="G266" s="23" t="n"/>
      <c r="H266" s="23" t="inlineStr">
        <is>
          <t>active</t>
        </is>
      </c>
      <c r="I266" s="23" t="inlineStr">
        <is>
          <t>CNH - NEW HOLLAND</t>
        </is>
      </c>
      <c r="J266" s="23" t="inlineStr">
        <is>
          <t>TRATOR</t>
        </is>
      </c>
      <c r="K266" s="23" t="inlineStr">
        <is>
          <t>BOMBA PRINCIPAL E DIREÇÃO</t>
        </is>
      </c>
      <c r="L266" s="23" t="inlineStr">
        <is>
          <t>FONN600BB/81871528/82983657/R979036238</t>
        </is>
      </c>
      <c r="M266" s="31" t="n"/>
      <c r="N266" s="31" t="n">
        <v>10.75</v>
      </c>
      <c r="O266" s="31" t="n">
        <v>35</v>
      </c>
      <c r="P266" s="31" t="n">
        <v>31</v>
      </c>
      <c r="Q266" s="31" t="n">
        <v>20</v>
      </c>
      <c r="R266" s="34">
        <f>IFERROR(IF(AND(O266&gt;0,P266&gt;0,Q266&gt;0),(O266*P266*Q266)/6000,""),"")</f>
        <v/>
      </c>
      <c r="S266" s="34">
        <f>IFERROR(IF(AND(N266&gt;0,R266&gt;0),MAX(N266,R266),IF(N266&gt;0,N266,IF(R266&gt;0,R266,""))),"")</f>
        <v/>
      </c>
      <c r="T266" s="36" t="n">
        <v>100</v>
      </c>
      <c r="U266" s="23" t="inlineStr">
        <is>
          <t>fornecedor</t>
        </is>
      </c>
      <c r="V266" s="36" t="n">
        <v>2392.75</v>
      </c>
      <c r="W266" s="39" t="n">
        <v>0.2</v>
      </c>
      <c r="X266" s="41">
        <f>IFERROR(V266+T266,"")</f>
        <v/>
      </c>
      <c r="Y266" s="41">
        <f>IFERROR(IF(W266&lt;1,X266/(1-W266),""),"")</f>
        <v/>
      </c>
      <c r="Z266" s="43">
        <f>'01_CONFIG_GLOBAL'!$C$14</f>
        <v/>
      </c>
      <c r="AA266" s="41">
        <f>IFERROR(Y266*Z266,"")</f>
        <v/>
      </c>
      <c r="AB266" s="41">
        <f>IFERROR(IF(Z266&lt;1,Y266/(1-Z266),""),"")</f>
        <v/>
      </c>
      <c r="AC266" s="23" t="n"/>
      <c r="AD266" s="36" t="n"/>
      <c r="AE266" s="23" t="n"/>
      <c r="AF266" s="36" t="n"/>
      <c r="AG266" s="23" t="n"/>
      <c r="AH266" s="36" t="n"/>
      <c r="AI266" s="41">
        <f>IFERROR(AVERAGE(AD266,AF266,AH266),"")</f>
        <v/>
      </c>
      <c r="AJ266" s="29">
        <f>IFERROR(IF(AI266="","sem dados",IF(AB266&lt;AI266*0.95,"abaixo",IF(AB266&gt;AI266*1.05,"acima","em linha"))),"")</f>
        <v/>
      </c>
      <c r="AK266" s="23" t="inlineStr">
        <is>
          <t>sim</t>
        </is>
      </c>
      <c r="AL266" s="23" t="n"/>
      <c r="AM266" s="23" t="n"/>
      <c r="AN266" s="23" t="inlineStr">
        <is>
          <t>Fotos: assets/livenza_5.1301.0565008_p1.png</t>
        </is>
      </c>
      <c r="AO266" s="44">
        <f>A266</f>
        <v/>
      </c>
      <c r="AP266" s="44">
        <f>D266</f>
        <v/>
      </c>
      <c r="AQ266" s="28" t="inlineStr">
        <is>
          <t>0261_565008_Livenza_5_1301_0565066_att140_p3_foto_3d_ecommerce.png | 0261_565008_Livenza_5_1301_0565066_att140_p3_desenho_tec.png | 0261_565008_Livenza_5_1301_0565008_att141_p1_desenho_tec.png | livenza_5.1301.0565008_p1.png</t>
        </is>
      </c>
    </row>
    <row r="267" hidden="1" ht="15.75" customHeight="1" s="93">
      <c r="A267" s="23" t="inlineStr">
        <is>
          <t>5.1301.0565009.0</t>
        </is>
      </c>
      <c r="B267" s="23" t="inlineStr">
        <is>
          <t>565009</t>
        </is>
      </c>
      <c r="C267" s="29">
        <f>IFERROR(LOWER(SUBSTITUTE(SUBSTITUTE(SUBSTITUTE(SUBSTITUTE(D267," ","-"),"/","-"),".",""),",","")),"")</f>
        <v/>
      </c>
      <c r="D267" s="23" t="inlineStr">
        <is>
          <t>BOMBA HIDRÁULICA - APLICAÇÃO CNH A-009 (E6NN3K514EA - 83959533) GIRO I</t>
        </is>
      </c>
      <c r="E267" s="23" t="inlineStr">
        <is>
          <t>Bombas Hidráulicas</t>
        </is>
      </c>
      <c r="F267" s="23" t="inlineStr">
        <is>
          <t>SOHIPREN</t>
        </is>
      </c>
      <c r="G267" s="23" t="n"/>
      <c r="H267" s="23" t="inlineStr">
        <is>
          <t>draft</t>
        </is>
      </c>
      <c r="I267" s="23" t="inlineStr">
        <is>
          <t>CNH - NEW HOLLAND</t>
        </is>
      </c>
      <c r="J267" s="23" t="inlineStr">
        <is>
          <t>TRATOR</t>
        </is>
      </c>
      <c r="K267" s="23" t="inlineStr">
        <is>
          <t>BOMBA DE DIREÇÃO</t>
        </is>
      </c>
      <c r="L267" s="23" t="inlineStr">
        <is>
          <t>E6NN3K514EA/83959532/87759440</t>
        </is>
      </c>
      <c r="M267" s="31" t="n"/>
      <c r="N267" s="31" t="n"/>
      <c r="O267" s="31" t="n"/>
      <c r="P267" s="31" t="n"/>
      <c r="Q267" s="31" t="n"/>
      <c r="R267" s="34">
        <f>IFERROR(IF(AND(O267&gt;0,P267&gt;0,Q267&gt;0),(O267*P267*Q267)/6000,""),"")</f>
        <v/>
      </c>
      <c r="S267" s="34">
        <f>IFERROR(IF(AND(N267&gt;0,R267&gt;0),MAX(N267,R267),IF(N267&gt;0,N267,IF(R267&gt;0,R267,""))),"")</f>
        <v/>
      </c>
      <c r="T267" s="36" t="n"/>
      <c r="U267" s="38" t="inlineStr">
        <is>
          <t>FALTA</t>
        </is>
      </c>
      <c r="V267" s="36" t="n">
        <v>2815</v>
      </c>
      <c r="W267" s="39" t="n">
        <v>0.3</v>
      </c>
      <c r="X267" s="41">
        <f>IFERROR(V267+T267,"")</f>
        <v/>
      </c>
      <c r="Y267" s="41">
        <f>IFERROR(IF(W267&lt;1,X267/(1-W267),""),"")</f>
        <v/>
      </c>
      <c r="Z267" s="43">
        <f>'01_CONFIG_GLOBAL'!$C$14</f>
        <v/>
      </c>
      <c r="AA267" s="41">
        <f>IFERROR(Y267*Z267,"")</f>
        <v/>
      </c>
      <c r="AB267" s="41">
        <f>IFERROR(IF(Z267&lt;1,Y267/(1-Z267),""),"")</f>
        <v/>
      </c>
      <c r="AC267" s="23" t="n"/>
      <c r="AD267" s="36" t="n"/>
      <c r="AE267" s="23" t="n"/>
      <c r="AF267" s="36" t="n"/>
      <c r="AG267" s="23" t="n"/>
      <c r="AH267" s="36" t="n"/>
      <c r="AI267" s="41">
        <f>IFERROR(AVERAGE(AD267,AF267,AH267),"")</f>
        <v/>
      </c>
      <c r="AJ267" s="29">
        <f>IFERROR(IF(AI267="","sem dados",IF(AB267&lt;AI267*0.95,"abaixo",IF(AB267&gt;AI267*1.05,"acima","em linha"))),"")</f>
        <v/>
      </c>
      <c r="AK267" s="23" t="inlineStr">
        <is>
          <t>não</t>
        </is>
      </c>
      <c r="AL267" s="23" t="n"/>
      <c r="AM267" s="23" t="n"/>
      <c r="AN267" s="23" t="n"/>
      <c r="AO267" s="44">
        <f>A267</f>
        <v/>
      </c>
      <c r="AP267" s="44">
        <f>D267</f>
        <v/>
      </c>
    </row>
    <row r="268" hidden="1" ht="15.75" customHeight="1" s="93">
      <c r="A268" s="23" t="inlineStr">
        <is>
          <t>5.1301.0565005.0</t>
        </is>
      </c>
      <c r="B268" s="23" t="inlineStr">
        <is>
          <t>565005</t>
        </is>
      </c>
      <c r="C268" s="29">
        <f>IFERROR(LOWER(SUBSTITUTE(SUBSTITUTE(SUBSTITUTE(SUBSTITUTE(D268," ","-"),"/","-"),".",""),",","")),"")</f>
        <v/>
      </c>
      <c r="D268" s="23" t="inlineStr">
        <is>
          <t>BOMBA HIDRÁULICA - APLICAÇÃO CNH A-005 (E6NN3K514DA - 83959532) GIRO I</t>
        </is>
      </c>
      <c r="E268" s="23" t="inlineStr">
        <is>
          <t>Bombas Hidráulicas</t>
        </is>
      </c>
      <c r="F268" s="23" t="inlineStr">
        <is>
          <t>SOHIPREN</t>
        </is>
      </c>
      <c r="G268" s="23" t="n"/>
      <c r="H268" s="23" t="inlineStr">
        <is>
          <t>draft</t>
        </is>
      </c>
      <c r="I268" s="23" t="inlineStr">
        <is>
          <t>CNH - NEW HOLLAND</t>
        </is>
      </c>
      <c r="J268" s="23" t="inlineStr">
        <is>
          <t>TRATOR</t>
        </is>
      </c>
      <c r="K268" s="23" t="inlineStr">
        <is>
          <t>BOMBA DE DIREÇÃO</t>
        </is>
      </c>
      <c r="L268" s="23" t="inlineStr">
        <is>
          <t>E6NN3K514EA/83959532/87759440/9011107528</t>
        </is>
      </c>
      <c r="M268" s="31" t="n"/>
      <c r="N268" s="31" t="n"/>
      <c r="O268" s="31" t="n"/>
      <c r="P268" s="31" t="n"/>
      <c r="Q268" s="31" t="n"/>
      <c r="R268" s="34">
        <f>IFERROR(IF(AND(O268&gt;0,P268&gt;0,Q268&gt;0),(O268*P268*Q268)/6000,""),"")</f>
        <v/>
      </c>
      <c r="S268" s="34">
        <f>IFERROR(IF(AND(N268&gt;0,R268&gt;0),MAX(N268,R268),IF(N268&gt;0,N268,IF(R268&gt;0,R268,""))),"")</f>
        <v/>
      </c>
      <c r="T268" s="36" t="n"/>
      <c r="U268" s="38" t="inlineStr">
        <is>
          <t>FALTA</t>
        </is>
      </c>
      <c r="V268" s="36" t="n">
        <v>1865</v>
      </c>
      <c r="W268" s="39" t="n">
        <v>0.3</v>
      </c>
      <c r="X268" s="41">
        <f>IFERROR(V268+T268,"")</f>
        <v/>
      </c>
      <c r="Y268" s="41">
        <f>IFERROR(IF(W268&lt;1,X268/(1-W268),""),"")</f>
        <v/>
      </c>
      <c r="Z268" s="43">
        <f>'01_CONFIG_GLOBAL'!$C$14</f>
        <v/>
      </c>
      <c r="AA268" s="41">
        <f>IFERROR(Y268*Z268,"")</f>
        <v/>
      </c>
      <c r="AB268" s="41">
        <f>IFERROR(IF(Z268&lt;1,Y268/(1-Z268),""),"")</f>
        <v/>
      </c>
      <c r="AC268" s="23" t="n"/>
      <c r="AD268" s="36" t="n"/>
      <c r="AE268" s="23" t="n"/>
      <c r="AF268" s="36" t="n"/>
      <c r="AG268" s="23" t="n"/>
      <c r="AH268" s="36" t="n"/>
      <c r="AI268" s="41">
        <f>IFERROR(AVERAGE(AD268,AF268,AH268),"")</f>
        <v/>
      </c>
      <c r="AJ268" s="29">
        <f>IFERROR(IF(AI268="","sem dados",IF(AB268&lt;AI268*0.95,"abaixo",IF(AB268&gt;AI268*1.05,"acima","em linha"))),"")</f>
        <v/>
      </c>
      <c r="AK268" s="23" t="inlineStr">
        <is>
          <t>não</t>
        </is>
      </c>
      <c r="AL268" s="23" t="n"/>
      <c r="AM268" s="23" t="n"/>
      <c r="AN268" s="23" t="n"/>
      <c r="AO268" s="44">
        <f>A268</f>
        <v/>
      </c>
      <c r="AP268" s="44">
        <f>D268</f>
        <v/>
      </c>
    </row>
    <row r="269" ht="15.75" customHeight="1" s="93">
      <c r="A269" s="23" t="inlineStr">
        <is>
          <t>5.1301.0565017.0</t>
        </is>
      </c>
      <c r="B269" s="23" t="inlineStr">
        <is>
          <t>565017</t>
        </is>
      </c>
      <c r="C269" s="29">
        <f>IFERROR(LOWER(SUBSTITUTE(SUBSTITUTE(SUBSTITUTE(SUBSTITUTE(D269," ","-"),"/","-"),".",""),",","")),"")</f>
        <v/>
      </c>
      <c r="D269" s="50" t="inlineStr">
        <is>
          <t>Bomba Hidráulica Ford New Holland CNH A-017 - Série TS6000</t>
        </is>
      </c>
      <c r="E269" s="50" t="inlineStr">
        <is>
          <t>Bombas Hidráulicas</t>
        </is>
      </c>
      <c r="F269" s="23" t="inlineStr">
        <is>
          <t>SOHIPREN</t>
        </is>
      </c>
      <c r="G269" s="23" t="n"/>
      <c r="H269" s="23" t="inlineStr">
        <is>
          <t>active</t>
        </is>
      </c>
      <c r="I269" s="23" t="inlineStr">
        <is>
          <t>CNH - NEW HOLLAND</t>
        </is>
      </c>
      <c r="J269" s="23" t="inlineStr">
        <is>
          <t>TRATOR</t>
        </is>
      </c>
      <c r="K269" s="23" t="inlineStr">
        <is>
          <t>PRINCIPAL</t>
        </is>
      </c>
      <c r="L269" s="23" t="inlineStr">
        <is>
          <t>82988360/82983657/R979001425</t>
        </is>
      </c>
      <c r="M269" s="31" t="n"/>
      <c r="N269" s="31" t="n">
        <v>10.48</v>
      </c>
      <c r="O269" s="31" t="n">
        <v>35</v>
      </c>
      <c r="P269" s="31" t="n">
        <v>31</v>
      </c>
      <c r="Q269" s="31" t="n">
        <v>20</v>
      </c>
      <c r="R269" s="34">
        <f>IFERROR(IF(AND(O269&gt;0,P269&gt;0,Q269&gt;0),(O269*P269*Q269)/6000,""),"")</f>
        <v/>
      </c>
      <c r="S269" s="34">
        <f>IFERROR(IF(AND(N269&gt;0,R269&gt;0),MAX(N269,R269),IF(N269&gt;0,N269,IF(R269&gt;0,R269,""))),"")</f>
        <v/>
      </c>
      <c r="T269" s="36" t="n">
        <v>100</v>
      </c>
      <c r="U269" s="23" t="inlineStr">
        <is>
          <t>fornecedor</t>
        </is>
      </c>
      <c r="V269" s="36" t="n">
        <v>2392.75</v>
      </c>
      <c r="W269" s="39" t="n">
        <v>0.2</v>
      </c>
      <c r="X269" s="41">
        <f>IFERROR(V269+T269,"")</f>
        <v/>
      </c>
      <c r="Y269" s="41">
        <f>IFERROR(IF(W269&lt;1,X269/(1-W269),""),"")</f>
        <v/>
      </c>
      <c r="Z269" s="43">
        <f>'01_CONFIG_GLOBAL'!$C$14</f>
        <v/>
      </c>
      <c r="AA269" s="41">
        <f>IFERROR(Y269*Z269,"")</f>
        <v/>
      </c>
      <c r="AB269" s="41">
        <f>IFERROR(IF(Z269&lt;1,Y269/(1-Z269),""),"")</f>
        <v/>
      </c>
      <c r="AC269" s="23" t="n"/>
      <c r="AD269" s="36" t="n"/>
      <c r="AE269" s="23" t="n"/>
      <c r="AF269" s="36" t="n"/>
      <c r="AG269" s="23" t="n"/>
      <c r="AH269" s="36" t="n"/>
      <c r="AI269" s="41">
        <f>IFERROR(AVERAGE(AD269,AF269,AH269),"")</f>
        <v/>
      </c>
      <c r="AJ269" s="29">
        <f>IFERROR(IF(AI269="","sem dados",IF(AB269&lt;AI269*0.95,"abaixo",IF(AB269&gt;AI269*1.05,"acima","em linha"))),"")</f>
        <v/>
      </c>
      <c r="AK269" s="23" t="inlineStr">
        <is>
          <t>sim</t>
        </is>
      </c>
      <c r="AL269" s="23" t="n"/>
      <c r="AM269" s="23" t="n"/>
      <c r="AN269" s="23" t="inlineStr">
        <is>
          <t>Fotos: assets/livenza_5.1301.0565017_p1.png</t>
        </is>
      </c>
      <c r="AO269" s="44">
        <f>#REF!</f>
        <v/>
      </c>
      <c r="AP269" s="44">
        <f>D269</f>
        <v/>
      </c>
      <c r="AQ269" s="28" t="inlineStr">
        <is>
          <t>0264_565017_Livenza_5_1301_0565017_att145_p1_foto_3d_ecommerce.png | 0264_565017_Livenza_5_1301_0565017_att145_p1_desenho_tec.png | livenza_5.1301.0565017_p1.png</t>
        </is>
      </c>
    </row>
    <row r="270" hidden="1" ht="15.75" customHeight="1" s="93">
      <c r="A270" s="23" t="inlineStr">
        <is>
          <t>5.1301.0565019.0</t>
        </is>
      </c>
      <c r="B270" s="23" t="inlineStr">
        <is>
          <t>565019</t>
        </is>
      </c>
      <c r="C270" s="29">
        <f>IFERROR(LOWER(SUBSTITUTE(SUBSTITUTE(SUBSTITUTE(SUBSTITUTE(D270," ","-"),"/","-"),".",""),",","")),"")</f>
        <v/>
      </c>
      <c r="D270" s="23" t="inlineStr">
        <is>
          <t>BOMBA HIDRÁULICA - APLICAÇÃO CNH A-010 (E2NN600BA - 83945584) GIRO I</t>
        </is>
      </c>
      <c r="E270" s="23" t="inlineStr">
        <is>
          <t>Bombas Hidráulicas</t>
        </is>
      </c>
      <c r="F270" s="23" t="inlineStr">
        <is>
          <t>SOHIPREN</t>
        </is>
      </c>
      <c r="G270" s="23" t="n"/>
      <c r="H270" s="23" t="inlineStr">
        <is>
          <t>draft</t>
        </is>
      </c>
      <c r="I270" s="23" t="inlineStr">
        <is>
          <t>CNH - NEW HOLLAND</t>
        </is>
      </c>
      <c r="J270" s="23" t="inlineStr">
        <is>
          <t>TRATOR</t>
        </is>
      </c>
      <c r="K270" s="23" t="inlineStr">
        <is>
          <t>BOMBA PRINCIPAL</t>
        </is>
      </c>
      <c r="L270" s="23" t="inlineStr">
        <is>
          <t>E2NN600BA / 83945584</t>
        </is>
      </c>
      <c r="M270" s="31" t="n"/>
      <c r="N270" s="31" t="n"/>
      <c r="O270" s="31" t="n"/>
      <c r="P270" s="31" t="n"/>
      <c r="Q270" s="31" t="n"/>
      <c r="R270" s="34">
        <f>IFERROR(IF(AND(O270&gt;0,P270&gt;0,Q270&gt;0),(O270*P270*Q270)/6000,""),"")</f>
        <v/>
      </c>
      <c r="S270" s="34">
        <f>IFERROR(IF(AND(N270&gt;0,R270&gt;0),MAX(N270,R270),IF(N270&gt;0,N270,IF(R270&gt;0,R270,""))),"")</f>
        <v/>
      </c>
      <c r="T270" s="36" t="n"/>
      <c r="U270" s="38" t="inlineStr">
        <is>
          <t>FALTA</t>
        </is>
      </c>
      <c r="V270" s="36" t="n">
        <v>899.97</v>
      </c>
      <c r="W270" s="39" t="n">
        <v>0.3</v>
      </c>
      <c r="X270" s="41">
        <f>IFERROR(V270+T270,"")</f>
        <v/>
      </c>
      <c r="Y270" s="41">
        <f>IFERROR(IF(W270&lt;1,X270/(1-W270),""),"")</f>
        <v/>
      </c>
      <c r="Z270" s="43">
        <f>'01_CONFIG_GLOBAL'!$C$14</f>
        <v/>
      </c>
      <c r="AA270" s="41">
        <f>IFERROR(Y270*Z270,"")</f>
        <v/>
      </c>
      <c r="AB270" s="41">
        <f>IFERROR(IF(Z270&lt;1,Y270/(1-Z270),""),"")</f>
        <v/>
      </c>
      <c r="AC270" s="23" t="n"/>
      <c r="AD270" s="36" t="n"/>
      <c r="AE270" s="23" t="n"/>
      <c r="AF270" s="36" t="n"/>
      <c r="AG270" s="23" t="n"/>
      <c r="AH270" s="36" t="n"/>
      <c r="AI270" s="41">
        <f>IFERROR(AVERAGE(AD270,AF270,AH270),"")</f>
        <v/>
      </c>
      <c r="AJ270" s="29">
        <f>IFERROR(IF(AI270="","sem dados",IF(AB270&lt;AI270*0.95,"abaixo",IF(AB270&gt;AI270*1.05,"acima","em linha"))),"")</f>
        <v/>
      </c>
      <c r="AK270" s="23" t="inlineStr">
        <is>
          <t>não</t>
        </is>
      </c>
      <c r="AL270" s="23" t="n"/>
      <c r="AM270" s="23" t="n"/>
      <c r="AN270" s="23" t="n"/>
      <c r="AO270" s="44">
        <f>A270</f>
        <v/>
      </c>
      <c r="AP270" s="44">
        <f>D270</f>
        <v/>
      </c>
    </row>
    <row r="271" hidden="1" ht="15.75" customHeight="1" s="93">
      <c r="A271" s="23" t="inlineStr">
        <is>
          <t>5.1301.0565020.0</t>
        </is>
      </c>
      <c r="B271" s="23" t="inlineStr">
        <is>
          <t>565020</t>
        </is>
      </c>
      <c r="C271" s="29">
        <f>IFERROR(LOWER(SUBSTITUTE(SUBSTITUTE(SUBSTITUTE(SUBSTITUTE(D271," ","-"),"/","-"),".",""),",","")),"")</f>
        <v/>
      </c>
      <c r="D271" s="23" t="inlineStr">
        <is>
          <t>BOMBA HIDRÁULICA - APLICAÇÃO CNH A-011 (D8NN600FA - 83913537) GIRO I</t>
        </is>
      </c>
      <c r="E271" s="23" t="inlineStr">
        <is>
          <t>Bombas Hidráulicas</t>
        </is>
      </c>
      <c r="F271" s="23" t="inlineStr">
        <is>
          <t>SOHIPREN</t>
        </is>
      </c>
      <c r="G271" s="23" t="n"/>
      <c r="H271" s="23" t="inlineStr">
        <is>
          <t>draft</t>
        </is>
      </c>
      <c r="I271" s="23" t="inlineStr">
        <is>
          <t>CNH - NEW HOLLAND</t>
        </is>
      </c>
      <c r="J271" s="23" t="inlineStr">
        <is>
          <t>TRATOR</t>
        </is>
      </c>
      <c r="K271" s="23" t="n"/>
      <c r="L271" s="23" t="inlineStr">
        <is>
          <t>D8NN600FA / 83913537</t>
        </is>
      </c>
      <c r="M271" s="31" t="n"/>
      <c r="N271" s="31" t="n"/>
      <c r="O271" s="31" t="n"/>
      <c r="P271" s="31" t="n"/>
      <c r="Q271" s="31" t="n"/>
      <c r="R271" s="34">
        <f>IFERROR(IF(AND(O271&gt;0,P271&gt;0,Q271&gt;0),(O271*P271*Q271)/6000,""),"")</f>
        <v/>
      </c>
      <c r="S271" s="34">
        <f>IFERROR(IF(AND(N271&gt;0,R271&gt;0),MAX(N271,R271),IF(N271&gt;0,N271,IF(R271&gt;0,R271,""))),"")</f>
        <v/>
      </c>
      <c r="T271" s="36" t="n"/>
      <c r="U271" s="38" t="inlineStr">
        <is>
          <t>FALTA</t>
        </is>
      </c>
      <c r="V271" s="36" t="n">
        <v>1330</v>
      </c>
      <c r="W271" s="39" t="n">
        <v>0.3</v>
      </c>
      <c r="X271" s="41">
        <f>IFERROR(V271+T271,"")</f>
        <v/>
      </c>
      <c r="Y271" s="41">
        <f>IFERROR(IF(W271&lt;1,X271/(1-W271),""),"")</f>
        <v/>
      </c>
      <c r="Z271" s="43">
        <f>'01_CONFIG_GLOBAL'!$C$14</f>
        <v/>
      </c>
      <c r="AA271" s="41">
        <f>IFERROR(Y271*Z271,"")</f>
        <v/>
      </c>
      <c r="AB271" s="41">
        <f>IFERROR(IF(Z271&lt;1,Y271/(1-Z271),""),"")</f>
        <v/>
      </c>
      <c r="AC271" s="23" t="n"/>
      <c r="AD271" s="36" t="n"/>
      <c r="AE271" s="23" t="n"/>
      <c r="AF271" s="36" t="n"/>
      <c r="AG271" s="23" t="n"/>
      <c r="AH271" s="36" t="n"/>
      <c r="AI271" s="41">
        <f>IFERROR(AVERAGE(AD271,AF271,AH271),"")</f>
        <v/>
      </c>
      <c r="AJ271" s="29">
        <f>IFERROR(IF(AI271="","sem dados",IF(AB271&lt;AI271*0.95,"abaixo",IF(AB271&gt;AI271*1.05,"acima","em linha"))),"")</f>
        <v/>
      </c>
      <c r="AK271" s="23" t="inlineStr">
        <is>
          <t>não</t>
        </is>
      </c>
      <c r="AL271" s="23" t="n"/>
      <c r="AM271" s="23" t="n"/>
      <c r="AN271" s="23" t="n"/>
      <c r="AO271" s="44">
        <f>A271</f>
        <v/>
      </c>
      <c r="AP271" s="44">
        <f>D271</f>
        <v/>
      </c>
    </row>
    <row r="272" hidden="1" ht="15.75" customHeight="1" s="93">
      <c r="A272" s="23" t="inlineStr">
        <is>
          <t>5.1301.0565021.0</t>
        </is>
      </c>
      <c r="B272" s="23" t="inlineStr">
        <is>
          <t>565021</t>
        </is>
      </c>
      <c r="C272" s="29">
        <f>IFERROR(LOWER(SUBSTITUTE(SUBSTITUTE(SUBSTITUTE(SUBSTITUTE(D272," ","-"),"/","-"),".",""),",","")),"")</f>
        <v/>
      </c>
      <c r="D272" s="23" t="inlineStr">
        <is>
          <t>BOMBA HIDRÁULICA - APLICAÇÃO CNH A-021 (E0NN3K514AB - 83924998) GIRO I</t>
        </is>
      </c>
      <c r="E272" s="23" t="inlineStr">
        <is>
          <t>Bombas Hidráulicas</t>
        </is>
      </c>
      <c r="F272" s="23" t="inlineStr">
        <is>
          <t>SOHIPREN</t>
        </is>
      </c>
      <c r="G272" s="23" t="n"/>
      <c r="H272" s="23" t="inlineStr">
        <is>
          <t>draft</t>
        </is>
      </c>
      <c r="I272" s="23" t="inlineStr">
        <is>
          <t>CNH - NEW HOLLAND</t>
        </is>
      </c>
      <c r="J272" s="23" t="inlineStr">
        <is>
          <t>TRATOR</t>
        </is>
      </c>
      <c r="K272" s="23" t="inlineStr">
        <is>
          <t>BOMBA DE DIREÇÃO</t>
        </is>
      </c>
      <c r="L272" s="23" t="inlineStr">
        <is>
          <t>E0NN3K514AB - 83824998</t>
        </is>
      </c>
      <c r="M272" s="31" t="n"/>
      <c r="N272" s="31" t="n"/>
      <c r="O272" s="31" t="n"/>
      <c r="P272" s="31" t="n"/>
      <c r="Q272" s="31" t="n"/>
      <c r="R272" s="34">
        <f>IFERROR(IF(AND(O272&gt;0,P272&gt;0,Q272&gt;0),(O272*P272*Q272)/6000,""),"")</f>
        <v/>
      </c>
      <c r="S272" s="34">
        <f>IFERROR(IF(AND(N272&gt;0,R272&gt;0),MAX(N272,R272),IF(N272&gt;0,N272,IF(R272&gt;0,R272,""))),"")</f>
        <v/>
      </c>
      <c r="T272" s="36" t="n"/>
      <c r="U272" s="38" t="inlineStr">
        <is>
          <t>FALTA</t>
        </is>
      </c>
      <c r="V272" s="36" t="n">
        <v>1079.97</v>
      </c>
      <c r="W272" s="39" t="n">
        <v>0.3</v>
      </c>
      <c r="X272" s="41">
        <f>IFERROR(V272+T272,"")</f>
        <v/>
      </c>
      <c r="Y272" s="41">
        <f>IFERROR(IF(W272&lt;1,X272/(1-W272),""),"")</f>
        <v/>
      </c>
      <c r="Z272" s="43">
        <f>'01_CONFIG_GLOBAL'!$C$14</f>
        <v/>
      </c>
      <c r="AA272" s="41">
        <f>IFERROR(Y272*Z272,"")</f>
        <v/>
      </c>
      <c r="AB272" s="41">
        <f>IFERROR(IF(Z272&lt;1,Y272/(1-Z272),""),"")</f>
        <v/>
      </c>
      <c r="AC272" s="23" t="n"/>
      <c r="AD272" s="36" t="n"/>
      <c r="AE272" s="23" t="n"/>
      <c r="AF272" s="36" t="n"/>
      <c r="AG272" s="23" t="n"/>
      <c r="AH272" s="36" t="n"/>
      <c r="AI272" s="41">
        <f>IFERROR(AVERAGE(AD272,AF272,AH272),"")</f>
        <v/>
      </c>
      <c r="AJ272" s="29">
        <f>IFERROR(IF(AI272="","sem dados",IF(AB272&lt;AI272*0.95,"abaixo",IF(AB272&gt;AI272*1.05,"acima","em linha"))),"")</f>
        <v/>
      </c>
      <c r="AK272" s="23" t="inlineStr">
        <is>
          <t>não</t>
        </is>
      </c>
      <c r="AL272" s="23" t="n"/>
      <c r="AM272" s="23" t="n"/>
      <c r="AN272" s="23" t="n"/>
      <c r="AO272" s="44">
        <f>A272</f>
        <v/>
      </c>
      <c r="AP272" s="44">
        <f>D272</f>
        <v/>
      </c>
    </row>
    <row r="273" ht="15.75" customHeight="1" s="93">
      <c r="A273" s="23" t="inlineStr">
        <is>
          <t>5.1301.0565004.0</t>
        </is>
      </c>
      <c r="B273" s="23" t="inlineStr">
        <is>
          <t>565004</t>
        </is>
      </c>
      <c r="C273" s="29">
        <f>IFERROR(LOWER(SUBSTITUTE(SUBSTITUTE(SUBSTITUTE(SUBSTITUTE(A269," ","-"),"/","-"),".",""),",","")),"")</f>
        <v/>
      </c>
      <c r="D273" s="50" t="inlineStr">
        <is>
          <t>Bomba Hidráulica Ford New Holland CNH A-004 - 340/2910/3930/4630</t>
        </is>
      </c>
      <c r="E273" s="50" t="inlineStr">
        <is>
          <t>Bombas Hidráulicas</t>
        </is>
      </c>
      <c r="F273" s="23" t="inlineStr">
        <is>
          <t>SOHIPREN</t>
        </is>
      </c>
      <c r="G273" s="23" t="n"/>
      <c r="H273" s="23" t="inlineStr">
        <is>
          <t>active</t>
        </is>
      </c>
      <c r="I273" s="23" t="inlineStr">
        <is>
          <t>CNH - NEW HOLLAND</t>
        </is>
      </c>
      <c r="J273" s="23" t="inlineStr">
        <is>
          <t>TRATOR</t>
        </is>
      </c>
      <c r="K273" s="23" t="inlineStr">
        <is>
          <t>BOMBA PRINCIPAL</t>
        </is>
      </c>
      <c r="L273" s="23" t="inlineStr">
        <is>
          <t>D8NN600LB</t>
        </is>
      </c>
      <c r="M273" s="31" t="n"/>
      <c r="N273" s="31" t="n">
        <v>6.34</v>
      </c>
      <c r="O273" s="31" t="n">
        <v>35</v>
      </c>
      <c r="P273" s="31" t="n">
        <v>31</v>
      </c>
      <c r="Q273" s="31" t="n">
        <v>20</v>
      </c>
      <c r="R273" s="34">
        <f>IFERROR(IF(AND(O273&gt;0,P273&gt;0,Q273&gt;0),(O273*P273*Q273)/6000,""),"")</f>
        <v/>
      </c>
      <c r="S273" s="34">
        <f>IFERROR(IF(AND(N273&gt;0,R273&gt;0),MAX(N273,R273),IF(N273&gt;0,N273,IF(R273&gt;0,R273,""))),"")</f>
        <v/>
      </c>
      <c r="T273" s="36" t="n">
        <v>100</v>
      </c>
      <c r="U273" s="23" t="inlineStr">
        <is>
          <t>fornecedor</t>
        </is>
      </c>
      <c r="V273" s="36" t="n">
        <v>1585.25</v>
      </c>
      <c r="W273" s="39" t="n">
        <v>0.2</v>
      </c>
      <c r="X273" s="41">
        <f>IFERROR(V273+T273,"")</f>
        <v/>
      </c>
      <c r="Y273" s="41">
        <f>IFERROR(IF(W273&lt;1,X273/(1-W273),""),"")</f>
        <v/>
      </c>
      <c r="Z273" s="43">
        <f>'01_CONFIG_GLOBAL'!$C$14</f>
        <v/>
      </c>
      <c r="AA273" s="41">
        <f>IFERROR(Y273*Z273,"")</f>
        <v/>
      </c>
      <c r="AB273" s="41">
        <f>IFERROR(IF(Z273&lt;1,Y273/(1-Z273),""),"")</f>
        <v/>
      </c>
      <c r="AC273" s="23" t="n"/>
      <c r="AD273" s="36" t="n"/>
      <c r="AE273" s="23" t="n"/>
      <c r="AF273" s="36" t="n"/>
      <c r="AG273" s="23" t="n"/>
      <c r="AH273" s="36" t="n"/>
      <c r="AI273" s="41">
        <f>IFERROR(AVERAGE(AD273,AF273,AH273),"")</f>
        <v/>
      </c>
      <c r="AJ273" s="29">
        <f>IFERROR(IF(AI273="","sem dados",IF(AB273&lt;AI273*0.95,"abaixo",IF(AB273&gt;AI273*1.05,"acima","em linha"))),"")</f>
        <v/>
      </c>
      <c r="AK273" s="23" t="inlineStr">
        <is>
          <t>sim</t>
        </is>
      </c>
      <c r="AL273" s="23" t="n"/>
      <c r="AM273" s="23" t="n"/>
      <c r="AN273" s="23" t="inlineStr">
        <is>
          <t>Fotos: assets/livenza_5.1301.0565004-CT_REV._A_p1.png</t>
        </is>
      </c>
      <c r="AO273" s="44">
        <f>A273</f>
        <v/>
      </c>
      <c r="AP273" s="44">
        <f>A269</f>
        <v/>
      </c>
      <c r="AQ273" s="28" t="inlineStr">
        <is>
          <t>0268_565004_Livenza_5_1301_0565004-CT_A_att109_p1_foto_3d_ecommerce.png | 0268_565004_Livenza_5_1301_0565004-CT_A_att109_p1_desenho_tec.png | LIVENZA_5.1301.0565004_ecommerce.png</t>
        </is>
      </c>
    </row>
    <row r="274" ht="15.75" customHeight="1" s="93">
      <c r="A274" s="23" t="inlineStr">
        <is>
          <t>5.1301.0565001.0</t>
        </is>
      </c>
      <c r="B274" s="23" t="inlineStr">
        <is>
          <t>565001</t>
        </is>
      </c>
      <c r="C274" s="29">
        <f>IFERROR(LOWER(SUBSTITUTE(SUBSTITUTE(SUBSTITUTE(SUBSTITUTE(D274," ","-"),"/","-"),".",""),",","")),"")</f>
        <v/>
      </c>
      <c r="D274" s="50" t="inlineStr">
        <is>
          <t>Bomba Hidráulica Ford New Holland CNH A-001 - 5600/6600/7600/7700</t>
        </is>
      </c>
      <c r="E274" s="50" t="inlineStr">
        <is>
          <t>Bombas Hidráulicas</t>
        </is>
      </c>
      <c r="F274" s="23" t="inlineStr">
        <is>
          <t>SOHIPREN</t>
        </is>
      </c>
      <c r="G274" s="23" t="n"/>
      <c r="H274" s="23" t="inlineStr">
        <is>
          <t>active</t>
        </is>
      </c>
      <c r="I274" s="23" t="inlineStr">
        <is>
          <t>CNH - NEW HOLLAND</t>
        </is>
      </c>
      <c r="J274" s="23" t="inlineStr">
        <is>
          <t>TRATOR</t>
        </is>
      </c>
      <c r="K274" s="23" t="inlineStr">
        <is>
          <t>LEVANTE E TOMADA DE FORÇA</t>
        </is>
      </c>
      <c r="L274" s="23" t="inlineStr">
        <is>
          <t>D8NN600KB / 83936586</t>
        </is>
      </c>
      <c r="M274" s="31" t="n"/>
      <c r="N274" s="31" t="n">
        <v>7.56</v>
      </c>
      <c r="O274" s="31" t="n">
        <v>35</v>
      </c>
      <c r="P274" s="31" t="n">
        <v>31</v>
      </c>
      <c r="Q274" s="31" t="n">
        <v>20</v>
      </c>
      <c r="R274" s="34">
        <f>IFERROR(IF(AND(O274&gt;0,P274&gt;0,Q274&gt;0),(O274*P274*Q274)/6000,""),"")</f>
        <v/>
      </c>
      <c r="S274" s="34">
        <f>IFERROR(IF(AND(N274&gt;0,R274&gt;0),MAX(N274,R274),IF(N274&gt;0,N274,IF(R274&gt;0,R274,""))),"")</f>
        <v/>
      </c>
      <c r="T274" s="36" t="n">
        <v>100</v>
      </c>
      <c r="U274" s="23" t="inlineStr">
        <is>
          <t>fornecedor</t>
        </is>
      </c>
      <c r="V274" s="36" t="n">
        <v>1585.25</v>
      </c>
      <c r="W274" s="39" t="n">
        <v>0.2</v>
      </c>
      <c r="X274" s="41">
        <f>IFERROR(V274+T274,"")</f>
        <v/>
      </c>
      <c r="Y274" s="41">
        <f>IFERROR(IF(W274&lt;1,X274/(1-W274),""),"")</f>
        <v/>
      </c>
      <c r="Z274" s="43">
        <f>'01_CONFIG_GLOBAL'!$C$14</f>
        <v/>
      </c>
      <c r="AA274" s="41">
        <f>IFERROR(Y274*Z274,"")</f>
        <v/>
      </c>
      <c r="AB274" s="41">
        <f>IFERROR(IF(Z274&lt;1,Y274/(1-Z274),""),"")</f>
        <v/>
      </c>
      <c r="AC274" s="23" t="n"/>
      <c r="AD274" s="36" t="n"/>
      <c r="AE274" s="23" t="n"/>
      <c r="AF274" s="36" t="n"/>
      <c r="AG274" s="23" t="n"/>
      <c r="AH274" s="36" t="n"/>
      <c r="AI274" s="41">
        <f>IFERROR(AVERAGE(AD274,AF274,AH274),"")</f>
        <v/>
      </c>
      <c r="AJ274" s="29">
        <f>IFERROR(IF(AI274="","sem dados",IF(AB274&lt;AI274*0.95,"abaixo",IF(AB274&gt;AI274*1.05,"acima","em linha"))),"")</f>
        <v/>
      </c>
      <c r="AK274" s="23" t="inlineStr">
        <is>
          <t>sim</t>
        </is>
      </c>
      <c r="AL274" s="23" t="n"/>
      <c r="AM274" s="23" t="n"/>
      <c r="AN274" s="23" t="inlineStr">
        <is>
          <t>Fotos: assets/livenza_5.1301.0565001-CT_REV._0_p1.png</t>
        </is>
      </c>
      <c r="AO274" s="44">
        <f>A274</f>
        <v/>
      </c>
      <c r="AP274" s="44">
        <f>D274</f>
        <v/>
      </c>
      <c r="AQ274" s="28" t="inlineStr">
        <is>
          <t>0269_565001_Livenza_5_1301_0565001-CT_0_att108_p1_foto_3d_ecommerce.png | 0269_565001_Livenza_5_1301_0565001-CT_0_att108_p1_desenho_tec.png | livenza_5.1301.0565001-CT_REV._0_p1.png</t>
        </is>
      </c>
    </row>
    <row r="275" ht="15.75" customHeight="1" s="93">
      <c r="A275" s="23" t="inlineStr">
        <is>
          <t>5.1301.0565002.0</t>
        </is>
      </c>
      <c r="B275" s="23" t="inlineStr">
        <is>
          <t>565002</t>
        </is>
      </c>
      <c r="C275" s="29">
        <f>IFERROR(LOWER(SUBSTITUTE(SUBSTITUTE(SUBSTITUTE(SUBSTITUTE(D275," ","-"),"/","-"),".",""),",","")),"")</f>
        <v/>
      </c>
      <c r="D275" s="50" t="inlineStr">
        <is>
          <t>Bomba Hidráulica Principal Ford New Holland CNH A-002 - 5610/7610/7810</t>
        </is>
      </c>
      <c r="E275" s="50" t="inlineStr">
        <is>
          <t>Bombas Hidráulicas</t>
        </is>
      </c>
      <c r="F275" s="23" t="inlineStr">
        <is>
          <t>SOHIPREN</t>
        </is>
      </c>
      <c r="G275" s="23" t="n"/>
      <c r="H275" s="23" t="inlineStr">
        <is>
          <t>active</t>
        </is>
      </c>
      <c r="I275" s="23" t="inlineStr">
        <is>
          <t>CNH - NEW HOLLAND</t>
        </is>
      </c>
      <c r="J275" s="23" t="inlineStr">
        <is>
          <t>TRATOR</t>
        </is>
      </c>
      <c r="K275" s="23" t="inlineStr">
        <is>
          <t>PRINCIPAL</t>
        </is>
      </c>
      <c r="L275" s="23" t="inlineStr">
        <is>
          <t>E0NN600AC/F000510606/86112012001/90047542/83957379</t>
        </is>
      </c>
      <c r="M275" s="31" t="n"/>
      <c r="N275" s="31" t="n">
        <v>8.859999999999999</v>
      </c>
      <c r="O275" s="31" t="n">
        <v>35</v>
      </c>
      <c r="P275" s="31" t="n">
        <v>31</v>
      </c>
      <c r="Q275" s="31" t="n">
        <v>20</v>
      </c>
      <c r="R275" s="34">
        <f>IFERROR(IF(AND(O275&gt;0,P275&gt;0,Q275&gt;0),(O275*P275*Q275)/6000,""),"")</f>
        <v/>
      </c>
      <c r="S275" s="34">
        <f>IFERROR(IF(AND(N275&gt;0,R275&gt;0),MAX(N275,R275),IF(N275&gt;0,N275,IF(R275&gt;0,R275,""))),"")</f>
        <v/>
      </c>
      <c r="T275" s="36" t="n">
        <v>100</v>
      </c>
      <c r="U275" s="23" t="inlineStr">
        <is>
          <t>fornecedor</t>
        </is>
      </c>
      <c r="V275" s="36" t="n">
        <v>1585.25</v>
      </c>
      <c r="W275" s="39" t="n">
        <v>0.2</v>
      </c>
      <c r="X275" s="41">
        <f>IFERROR(V275+T275,"")</f>
        <v/>
      </c>
      <c r="Y275" s="41">
        <f>IFERROR(IF(W275&lt;1,X275/(1-W275),""),"")</f>
        <v/>
      </c>
      <c r="Z275" s="43">
        <f>'01_CONFIG_GLOBAL'!$C$14</f>
        <v/>
      </c>
      <c r="AA275" s="41">
        <f>IFERROR(Y275*Z275,"")</f>
        <v/>
      </c>
      <c r="AB275" s="41">
        <f>IFERROR(IF(Z275&lt;1,Y275/(1-Z275),""),"")</f>
        <v/>
      </c>
      <c r="AC275" s="23" t="n"/>
      <c r="AD275" s="36" t="n"/>
      <c r="AE275" s="23" t="n"/>
      <c r="AF275" s="36" t="n"/>
      <c r="AG275" s="23" t="n"/>
      <c r="AH275" s="36" t="n"/>
      <c r="AI275" s="41">
        <f>IFERROR(AVERAGE(AD275,AF275,AH275),"")</f>
        <v/>
      </c>
      <c r="AJ275" s="29">
        <f>IFERROR(IF(AI275="","sem dados",IF(AB275&lt;AI275*0.95,"abaixo",IF(AB275&gt;AI275*1.05,"acima","em linha"))),"")</f>
        <v/>
      </c>
      <c r="AK275" s="23" t="inlineStr">
        <is>
          <t>sim</t>
        </is>
      </c>
      <c r="AL275" s="23" t="n"/>
      <c r="AM275" s="23" t="n"/>
      <c r="AN275" s="23" t="inlineStr">
        <is>
          <t>Fotos: assets/livenza_5.1301.0565002-CT_REV._0_p1.png</t>
        </is>
      </c>
      <c r="AO275" s="44">
        <f>A275</f>
        <v/>
      </c>
      <c r="AP275" s="44">
        <f>D275</f>
        <v/>
      </c>
      <c r="AQ275" s="28" t="inlineStr">
        <is>
          <t>0270_565002_Dimensiones_5_1301_0565002-CT_0_att3_p1_foto_3d_ecommerce.png | 0270_565002_Dimensiones_5_1301_0565002-CT_0_att3_p1_desenho_tec.png | livenza_5.1301.0565002-CT_REV._0_p1.png</t>
        </is>
      </c>
    </row>
    <row r="276" hidden="1" ht="15.75" customHeight="1" s="93">
      <c r="A276" s="23" t="inlineStr">
        <is>
          <t>5.1301.0565003.0</t>
        </is>
      </c>
      <c r="B276" s="23" t="inlineStr">
        <is>
          <t>565003</t>
        </is>
      </c>
      <c r="C276" s="29">
        <f>IFERROR(LOWER(SUBSTITUTE(SUBSTITUTE(SUBSTITUTE(SUBSTITUTE(D276," ","-"),"/","-"),".",""),",","")),"")</f>
        <v/>
      </c>
      <c r="D276" s="23" t="inlineStr">
        <is>
          <t>BOMBA HIDRÁULICA - APLICAÇÃO CNH A-003 (DONN600G - 81823983) GIRO D</t>
        </is>
      </c>
      <c r="E276" s="23" t="inlineStr">
        <is>
          <t>Bombas Hidráulicas</t>
        </is>
      </c>
      <c r="F276" s="23" t="inlineStr">
        <is>
          <t>SOHIPREN</t>
        </is>
      </c>
      <c r="G276" s="23" t="n"/>
      <c r="H276" s="23" t="inlineStr">
        <is>
          <t>draft</t>
        </is>
      </c>
      <c r="I276" s="23" t="inlineStr">
        <is>
          <t>CNH - NEW HOLLAND</t>
        </is>
      </c>
      <c r="J276" s="23" t="inlineStr">
        <is>
          <t>TRATOR</t>
        </is>
      </c>
      <c r="K276" s="23" t="inlineStr">
        <is>
          <t>PRINCIPAL</t>
        </is>
      </c>
      <c r="L276" s="23" t="inlineStr">
        <is>
          <t>D0NN600G/81823983</t>
        </is>
      </c>
      <c r="M276" s="31" t="n"/>
      <c r="N276" s="31" t="n"/>
      <c r="O276" s="31" t="n"/>
      <c r="P276" s="31" t="n"/>
      <c r="Q276" s="31" t="n"/>
      <c r="R276" s="34">
        <f>IFERROR(IF(AND(O276&gt;0,P276&gt;0,Q276&gt;0),(O276*P276*Q276)/6000,""),"")</f>
        <v/>
      </c>
      <c r="S276" s="34">
        <f>IFERROR(IF(AND(N276&gt;0,R276&gt;0),MAX(N276,R276),IF(N276&gt;0,N276,IF(R276&gt;0,R276,""))),"")</f>
        <v/>
      </c>
      <c r="T276" s="36" t="n"/>
      <c r="U276" s="38" t="inlineStr">
        <is>
          <t>FALTA</t>
        </is>
      </c>
      <c r="V276" s="36" t="n">
        <v>1865</v>
      </c>
      <c r="W276" s="39" t="n">
        <v>0.3</v>
      </c>
      <c r="X276" s="41">
        <f>IFERROR(V276+T276,"")</f>
        <v/>
      </c>
      <c r="Y276" s="41">
        <f>IFERROR(IF(W276&lt;1,X276/(1-W276),""),"")</f>
        <v/>
      </c>
      <c r="Z276" s="43">
        <f>'01_CONFIG_GLOBAL'!$C$14</f>
        <v/>
      </c>
      <c r="AA276" s="41">
        <f>IFERROR(Y276*Z276,"")</f>
        <v/>
      </c>
      <c r="AB276" s="41">
        <f>IFERROR(IF(Z276&lt;1,Y276/(1-Z276),""),"")</f>
        <v/>
      </c>
      <c r="AC276" s="23" t="n"/>
      <c r="AD276" s="36" t="n"/>
      <c r="AE276" s="23" t="n"/>
      <c r="AF276" s="36" t="n"/>
      <c r="AG276" s="23" t="n"/>
      <c r="AH276" s="36" t="n"/>
      <c r="AI276" s="41">
        <f>IFERROR(AVERAGE(AD276,AF276,AH276),"")</f>
        <v/>
      </c>
      <c r="AJ276" s="29">
        <f>IFERROR(IF(AI276="","sem dados",IF(AB276&lt;AI276*0.95,"abaixo",IF(AB276&gt;AI276*1.05,"acima","em linha"))),"")</f>
        <v/>
      </c>
      <c r="AK276" s="23" t="inlineStr">
        <is>
          <t>não</t>
        </is>
      </c>
      <c r="AL276" s="23" t="n"/>
      <c r="AM276" s="23" t="n"/>
      <c r="AN276" s="23" t="n"/>
      <c r="AO276" s="44">
        <f>A276</f>
        <v/>
      </c>
      <c r="AP276" s="44">
        <f>D276</f>
        <v/>
      </c>
    </row>
    <row r="277" hidden="1" ht="15.75" customHeight="1" s="93">
      <c r="A277" s="23" t="inlineStr">
        <is>
          <t>5.1301.0565045.0</t>
        </is>
      </c>
      <c r="B277" s="23" t="inlineStr">
        <is>
          <t>565045</t>
        </is>
      </c>
      <c r="C277" s="29">
        <f>IFERROR(LOWER(SUBSTITUTE(SUBSTITUTE(SUBSTITUTE(SUBSTITUTE(D277," ","-"),"/","-"),".",""),",","")),"")</f>
        <v/>
      </c>
      <c r="D277" s="23" t="inlineStr">
        <is>
          <t>BOMBA HIDRÁULICA - APLICAÇÃO 19 E9.B2.A4.T - 175 BAR (84576795)</t>
        </is>
      </c>
      <c r="E277" s="23" t="inlineStr">
        <is>
          <t>Bombas Hidráulicas</t>
        </is>
      </c>
      <c r="F277" s="23" t="inlineStr">
        <is>
          <t>SOHIPREN</t>
        </is>
      </c>
      <c r="G277" s="23" t="n"/>
      <c r="H277" s="23" t="inlineStr">
        <is>
          <t>draft</t>
        </is>
      </c>
      <c r="I277" s="23" t="inlineStr">
        <is>
          <t>CNH - NEW HOLLAND</t>
        </is>
      </c>
      <c r="J277" s="23" t="inlineStr">
        <is>
          <t>TRATOR DE PNEUS</t>
        </is>
      </c>
      <c r="K277" s="23" t="inlineStr">
        <is>
          <t>DIREÇÃO</t>
        </is>
      </c>
      <c r="L277" s="23" t="inlineStr">
        <is>
          <t>84576795/R979036938/47567511</t>
        </is>
      </c>
      <c r="M277" s="31" t="n"/>
      <c r="N277" s="31" t="n"/>
      <c r="O277" s="31" t="n"/>
      <c r="P277" s="31" t="n"/>
      <c r="Q277" s="31" t="n"/>
      <c r="R277" s="34">
        <f>IFERROR(IF(AND(O277&gt;0,P277&gt;0,Q277&gt;0),(O277*P277*Q277)/6000,""),"")</f>
        <v/>
      </c>
      <c r="S277" s="34">
        <f>IFERROR(IF(AND(N277&gt;0,R277&gt;0),MAX(N277,R277),IF(N277&gt;0,N277,IF(R277&gt;0,R277,""))),"")</f>
        <v/>
      </c>
      <c r="T277" s="36" t="n"/>
      <c r="U277" s="38" t="inlineStr">
        <is>
          <t>FALTA</t>
        </is>
      </c>
      <c r="V277" s="36" t="n">
        <v>2995</v>
      </c>
      <c r="W277" s="39" t="n">
        <v>0.3</v>
      </c>
      <c r="X277" s="41">
        <f>IFERROR(V277+T277,"")</f>
        <v/>
      </c>
      <c r="Y277" s="41">
        <f>IFERROR(IF(W277&lt;1,X277/(1-W277),""),"")</f>
        <v/>
      </c>
      <c r="Z277" s="43">
        <f>'01_CONFIG_GLOBAL'!$C$14</f>
        <v/>
      </c>
      <c r="AA277" s="41">
        <f>IFERROR(Y277*Z277,"")</f>
        <v/>
      </c>
      <c r="AB277" s="41">
        <f>IFERROR(IF(Z277&lt;1,Y277/(1-Z277),""),"")</f>
        <v/>
      </c>
      <c r="AC277" s="23" t="n"/>
      <c r="AD277" s="36" t="n"/>
      <c r="AE277" s="23" t="n"/>
      <c r="AF277" s="36" t="n"/>
      <c r="AG277" s="23" t="n"/>
      <c r="AH277" s="36" t="n"/>
      <c r="AI277" s="41">
        <f>IFERROR(AVERAGE(AD277,AF277,AH277),"")</f>
        <v/>
      </c>
      <c r="AJ277" s="29">
        <f>IFERROR(IF(AI277="","sem dados",IF(AB277&lt;AI277*0.95,"abaixo",IF(AB277&gt;AI277*1.05,"acima","em linha"))),"")</f>
        <v/>
      </c>
      <c r="AK277" s="23" t="inlineStr">
        <is>
          <t>não</t>
        </is>
      </c>
      <c r="AL277" s="23" t="n"/>
      <c r="AM277" s="23" t="n"/>
      <c r="AN277" s="23" t="n"/>
      <c r="AO277" s="44">
        <f>A277</f>
        <v/>
      </c>
      <c r="AP277" s="44">
        <f>D277</f>
        <v/>
      </c>
    </row>
    <row r="278" ht="15.75" customHeight="1" s="93">
      <c r="A278" s="23" t="inlineStr">
        <is>
          <t>5.1301.0565035.0</t>
        </is>
      </c>
      <c r="B278" s="23" t="inlineStr">
        <is>
          <t>565035</t>
        </is>
      </c>
      <c r="C278" s="29">
        <f>IFERROR(LOWER(SUBSTITUTE(SUBSTITUTE(SUBSTITUTE(SUBSTITUTE(D278," ","-"),"/","-"),".",""),",","")),"")</f>
        <v/>
      </c>
      <c r="D278" s="50" t="inlineStr">
        <is>
          <t>Bomba Hidráulica New Holland CNH A-024 - Série T6</t>
        </is>
      </c>
      <c r="E278" s="50" t="inlineStr">
        <is>
          <t>Bombas Hidráulicas</t>
        </is>
      </c>
      <c r="F278" s="23" t="inlineStr">
        <is>
          <t>SOHIPREN</t>
        </is>
      </c>
      <c r="G278" s="23" t="n"/>
      <c r="H278" s="23" t="inlineStr">
        <is>
          <t>active</t>
        </is>
      </c>
      <c r="I278" s="23" t="inlineStr">
        <is>
          <t>CNH - NEW HOLLAND</t>
        </is>
      </c>
      <c r="J278" s="23" t="inlineStr">
        <is>
          <t>TRATOR DE PNEUS</t>
        </is>
      </c>
      <c r="K278" s="23" t="inlineStr">
        <is>
          <t>PRINCIPAL E DIREÇÃO</t>
        </is>
      </c>
      <c r="L278" s="23" t="inlineStr">
        <is>
          <t>73337533- 91902026-91902027</t>
        </is>
      </c>
      <c r="M278" s="31" t="n"/>
      <c r="N278" s="31" t="n">
        <v>10.81</v>
      </c>
      <c r="O278" s="31" t="n">
        <v>35</v>
      </c>
      <c r="P278" s="31" t="n">
        <v>31</v>
      </c>
      <c r="Q278" s="31" t="n">
        <v>20</v>
      </c>
      <c r="R278" s="34">
        <f>IFERROR(IF(AND(O278&gt;0,P278&gt;0,Q278&gt;0),(O278*P278*Q278)/6000,""),"")</f>
        <v/>
      </c>
      <c r="S278" s="34">
        <f>IFERROR(IF(AND(N278&gt;0,R278&gt;0),MAX(N278,R278),IF(N278&gt;0,N278,IF(R278&gt;0,R278,""))),"")</f>
        <v/>
      </c>
      <c r="T278" s="36" t="n">
        <v>100</v>
      </c>
      <c r="U278" s="23" t="inlineStr">
        <is>
          <t>fornecedor</t>
        </is>
      </c>
      <c r="V278" s="36" t="n">
        <v>2545.75</v>
      </c>
      <c r="W278" s="39" t="n">
        <v>0.2</v>
      </c>
      <c r="X278" s="41">
        <f>IFERROR(V278+T278,"")</f>
        <v/>
      </c>
      <c r="Y278" s="41">
        <f>IFERROR(IF(W278&lt;1,X278/(1-W278),""),"")</f>
        <v/>
      </c>
      <c r="Z278" s="43">
        <f>'01_CONFIG_GLOBAL'!$C$14</f>
        <v/>
      </c>
      <c r="AA278" s="41">
        <f>IFERROR(Y278*Z278,"")</f>
        <v/>
      </c>
      <c r="AB278" s="41">
        <f>IFERROR(IF(Z278&lt;1,Y278/(1-Z278),""),"")</f>
        <v/>
      </c>
      <c r="AC278" s="23" t="n"/>
      <c r="AD278" s="36" t="n"/>
      <c r="AE278" s="23" t="n"/>
      <c r="AF278" s="36" t="n"/>
      <c r="AG278" s="23" t="n"/>
      <c r="AH278" s="36" t="n"/>
      <c r="AI278" s="41">
        <f>IFERROR(AVERAGE(AD278,AF278,AH278),"")</f>
        <v/>
      </c>
      <c r="AJ278" s="29">
        <f>IFERROR(IF(AI278="","sem dados",IF(AB278&lt;AI278*0.95,"abaixo",IF(AB278&gt;AI278*1.05,"acima","em linha"))),"")</f>
        <v/>
      </c>
      <c r="AK278" s="23" t="inlineStr">
        <is>
          <t>sim</t>
        </is>
      </c>
      <c r="AL278" s="23" t="n"/>
      <c r="AM278" s="23" t="n"/>
      <c r="AN278" s="23" t="inlineStr">
        <is>
          <t>Fotos: assets/livenza_5.1301.0565035_p1.png</t>
        </is>
      </c>
      <c r="AO278" s="44">
        <f>A278</f>
        <v/>
      </c>
      <c r="AP278" s="44">
        <f>D278</f>
        <v/>
      </c>
      <c r="AQ278" s="28" t="inlineStr">
        <is>
          <t>0273_565035_Livenza_5_1301_0565035_2_att147_p1_foto_3d_ecommerce.png | 0273_565035_Livenza_5_1301_0565035_2_att147_p1_desenho_tec.png | livenza_5.1301.0565035_p1.png</t>
        </is>
      </c>
    </row>
    <row r="279" hidden="1" ht="15.75" customHeight="1" s="93">
      <c r="A279" s="23" t="inlineStr">
        <is>
          <t>5.1301.0565026.0</t>
        </is>
      </c>
      <c r="B279" s="23" t="inlineStr">
        <is>
          <t>565026</t>
        </is>
      </c>
      <c r="C279" s="29">
        <f>IFERROR(LOWER(SUBSTITUTE(SUBSTITUTE(SUBSTITUTE(SUBSTITUTE(D279," ","-"),"/","-"),".",""),",","")),"")</f>
        <v/>
      </c>
      <c r="D279" s="23" t="inlineStr">
        <is>
          <t>BOMBA HIDRÁULICA - APLICAÇÃO CNH A-013 (D2NN600B - 81826808) GIRO D</t>
        </is>
      </c>
      <c r="E279" s="23" t="inlineStr">
        <is>
          <t>Bombas Hidráulicas</t>
        </is>
      </c>
      <c r="F279" s="23" t="inlineStr">
        <is>
          <t>SOHIPREN</t>
        </is>
      </c>
      <c r="G279" s="23" t="n"/>
      <c r="H279" s="23" t="inlineStr">
        <is>
          <t>draft</t>
        </is>
      </c>
      <c r="I279" s="23" t="inlineStr">
        <is>
          <t>CNH - NEW HOLLAND</t>
        </is>
      </c>
      <c r="J279" s="23" t="inlineStr">
        <is>
          <t>TRATOR</t>
        </is>
      </c>
      <c r="K279" s="23" t="n"/>
      <c r="L279" s="23" t="inlineStr">
        <is>
          <t>D2NN600B - 81826808</t>
        </is>
      </c>
      <c r="M279" s="31" t="n"/>
      <c r="N279" s="31" t="n"/>
      <c r="O279" s="31" t="n"/>
      <c r="P279" s="31" t="n"/>
      <c r="Q279" s="31" t="n"/>
      <c r="R279" s="34">
        <f>IFERROR(IF(AND(O279&gt;0,P279&gt;0,Q279&gt;0),(O279*P279*Q279)/6000,""),"")</f>
        <v/>
      </c>
      <c r="S279" s="34">
        <f>IFERROR(IF(AND(N279&gt;0,R279&gt;0),MAX(N279,R279),IF(N279&gt;0,N279,IF(R279&gt;0,R279,""))),"")</f>
        <v/>
      </c>
      <c r="T279" s="36" t="n"/>
      <c r="U279" s="38" t="inlineStr">
        <is>
          <t>FALTA</t>
        </is>
      </c>
      <c r="V279" s="36" t="n">
        <v>809.97</v>
      </c>
      <c r="W279" s="39" t="n">
        <v>0.3</v>
      </c>
      <c r="X279" s="41">
        <f>IFERROR(V279+T279,"")</f>
        <v/>
      </c>
      <c r="Y279" s="41">
        <f>IFERROR(IF(W279&lt;1,X279/(1-W279),""),"")</f>
        <v/>
      </c>
      <c r="Z279" s="43">
        <f>'01_CONFIG_GLOBAL'!$C$14</f>
        <v/>
      </c>
      <c r="AA279" s="41">
        <f>IFERROR(Y279*Z279,"")</f>
        <v/>
      </c>
      <c r="AB279" s="41">
        <f>IFERROR(IF(Z279&lt;1,Y279/(1-Z279),""),"")</f>
        <v/>
      </c>
      <c r="AC279" s="23" t="n"/>
      <c r="AD279" s="36" t="n"/>
      <c r="AE279" s="23" t="n"/>
      <c r="AF279" s="36" t="n"/>
      <c r="AG279" s="23" t="n"/>
      <c r="AH279" s="36" t="n"/>
      <c r="AI279" s="41">
        <f>IFERROR(AVERAGE(AD279,AF279,AH279),"")</f>
        <v/>
      </c>
      <c r="AJ279" s="29">
        <f>IFERROR(IF(AI279="","sem dados",IF(AB279&lt;AI279*0.95,"abaixo",IF(AB279&gt;AI279*1.05,"acima","em linha"))),"")</f>
        <v/>
      </c>
      <c r="AK279" s="23" t="inlineStr">
        <is>
          <t>não</t>
        </is>
      </c>
      <c r="AL279" s="23" t="n"/>
      <c r="AM279" s="23" t="n"/>
      <c r="AN279" s="23" t="n"/>
      <c r="AO279" s="44">
        <f>A279</f>
        <v/>
      </c>
      <c r="AP279" s="44">
        <f>D279</f>
        <v/>
      </c>
    </row>
    <row r="280" hidden="1" ht="15.75" customHeight="1" s="93">
      <c r="A280" s="23" t="inlineStr">
        <is>
          <t>5.1301.0565025.0</t>
        </is>
      </c>
      <c r="B280" s="23" t="inlineStr">
        <is>
          <t>565025</t>
        </is>
      </c>
      <c r="C280" s="29">
        <f>IFERROR(LOWER(SUBSTITUTE(SUBSTITUTE(SUBSTITUTE(SUBSTITUTE(D280," ","-"),"/","-"),".",""),",","")),"")</f>
        <v/>
      </c>
      <c r="D280" s="23" t="inlineStr">
        <is>
          <t>BOMBA HIDRÁULICA - APLICAÇÃO CNH A-012 (E9NN600BC - 83987329) GIRO D</t>
        </is>
      </c>
      <c r="E280" s="23" t="inlineStr">
        <is>
          <t>Bombas Hidráulicas</t>
        </is>
      </c>
      <c r="F280" s="23" t="inlineStr">
        <is>
          <t>SOHIPREN</t>
        </is>
      </c>
      <c r="G280" s="23" t="n"/>
      <c r="H280" s="23" t="inlineStr">
        <is>
          <t>draft</t>
        </is>
      </c>
      <c r="I280" s="23" t="inlineStr">
        <is>
          <t>CNH - NEW HOLLAND</t>
        </is>
      </c>
      <c r="J280" s="23" t="inlineStr">
        <is>
          <t>TRATOR</t>
        </is>
      </c>
      <c r="K280" s="23" t="n"/>
      <c r="L280" s="23" t="inlineStr">
        <is>
          <t>D9NN600BC/83987329</t>
        </is>
      </c>
      <c r="M280" s="31" t="n"/>
      <c r="N280" s="31" t="n"/>
      <c r="O280" s="31" t="n"/>
      <c r="P280" s="31" t="n"/>
      <c r="Q280" s="31" t="n"/>
      <c r="R280" s="34">
        <f>IFERROR(IF(AND(O280&gt;0,P280&gt;0,Q280&gt;0),(O280*P280*Q280)/6000,""),"")</f>
        <v/>
      </c>
      <c r="S280" s="34">
        <f>IFERROR(IF(AND(N280&gt;0,R280&gt;0),MAX(N280,R280),IF(N280&gt;0,N280,IF(R280&gt;0,R280,""))),"")</f>
        <v/>
      </c>
      <c r="T280" s="36" t="n"/>
      <c r="U280" s="38" t="inlineStr">
        <is>
          <t>FALTA</t>
        </is>
      </c>
      <c r="V280" s="36" t="n">
        <v>809.97</v>
      </c>
      <c r="W280" s="39" t="n">
        <v>0.3</v>
      </c>
      <c r="X280" s="41">
        <f>IFERROR(V280+T280,"")</f>
        <v/>
      </c>
      <c r="Y280" s="41">
        <f>IFERROR(IF(W280&lt;1,X280/(1-W280),""),"")</f>
        <v/>
      </c>
      <c r="Z280" s="43">
        <f>'01_CONFIG_GLOBAL'!$C$14</f>
        <v/>
      </c>
      <c r="AA280" s="41">
        <f>IFERROR(Y280*Z280,"")</f>
        <v/>
      </c>
      <c r="AB280" s="41">
        <f>IFERROR(IF(Z280&lt;1,Y280/(1-Z280),""),"")</f>
        <v/>
      </c>
      <c r="AC280" s="23" t="n"/>
      <c r="AD280" s="36" t="n"/>
      <c r="AE280" s="23" t="n"/>
      <c r="AF280" s="36" t="n"/>
      <c r="AG280" s="23" t="n"/>
      <c r="AH280" s="36" t="n"/>
      <c r="AI280" s="41">
        <f>IFERROR(AVERAGE(AD280,AF280,AH280),"")</f>
        <v/>
      </c>
      <c r="AJ280" s="29">
        <f>IFERROR(IF(AI280="","sem dados",IF(AB280&lt;AI280*0.95,"abaixo",IF(AB280&gt;AI280*1.05,"acima","em linha"))),"")</f>
        <v/>
      </c>
      <c r="AK280" s="23" t="inlineStr">
        <is>
          <t>não</t>
        </is>
      </c>
      <c r="AL280" s="23" t="n"/>
      <c r="AM280" s="23" t="n"/>
      <c r="AN280" s="23" t="n"/>
      <c r="AO280" s="44">
        <f>A280</f>
        <v/>
      </c>
      <c r="AP280" s="44">
        <f>D280</f>
        <v/>
      </c>
    </row>
    <row r="281" ht="15.75" customHeight="1" s="93">
      <c r="A281" s="23" t="inlineStr">
        <is>
          <t>5.1301.0565029.0</t>
        </is>
      </c>
      <c r="B281" s="23" t="inlineStr">
        <is>
          <t>565029</t>
        </is>
      </c>
      <c r="C281" s="29">
        <f>IFERROR(LOWER(SUBSTITUTE(SUBSTITUTE(SUBSTITUTE(SUBSTITUTE(D281," ","-"),"/","-"),".",""),",","")),"")</f>
        <v/>
      </c>
      <c r="D281" s="50" t="inlineStr">
        <is>
          <t>Bomba Hidráulica New Holland TC57 - Colhedeira CNH A-020</t>
        </is>
      </c>
      <c r="E281" s="50" t="inlineStr">
        <is>
          <t>Bombas Hidráulicas</t>
        </is>
      </c>
      <c r="F281" s="23" t="inlineStr">
        <is>
          <t>SOHIPREN</t>
        </is>
      </c>
      <c r="G281" s="23" t="n"/>
      <c r="H281" s="23" t="inlineStr">
        <is>
          <t>active</t>
        </is>
      </c>
      <c r="I281" s="23" t="inlineStr">
        <is>
          <t>CNH - NEW HOLLAND</t>
        </is>
      </c>
      <c r="J281" s="23" t="inlineStr">
        <is>
          <t>COLHEDEIRA</t>
        </is>
      </c>
      <c r="K281" s="23" t="inlineStr">
        <is>
          <t>PRINCIPAL</t>
        </is>
      </c>
      <c r="L281" s="23" t="inlineStr">
        <is>
          <t>87605496/R979041034/90622702</t>
        </is>
      </c>
      <c r="M281" s="31" t="n"/>
      <c r="N281" s="31" t="n">
        <v>8.4</v>
      </c>
      <c r="O281" s="31" t="n">
        <v>28</v>
      </c>
      <c r="P281" s="31" t="n">
        <v>22</v>
      </c>
      <c r="Q281" s="31" t="n">
        <v>18</v>
      </c>
      <c r="R281" s="34">
        <f>IFERROR(IF(AND(O281&gt;0,P281&gt;0,Q281&gt;0),(O281*P281*Q281)/6000,""),"")</f>
        <v/>
      </c>
      <c r="S281" s="34">
        <f>IFERROR(IF(AND(N281&gt;0,R281&gt;0),MAX(N281,R281),IF(N281&gt;0,N281,IF(R281&gt;0,R281,""))),"")</f>
        <v/>
      </c>
      <c r="T281" s="36" t="n">
        <v>100</v>
      </c>
      <c r="U281" s="23" t="inlineStr">
        <is>
          <t>fornecedor</t>
        </is>
      </c>
      <c r="V281" s="36" t="n">
        <v>1687.25</v>
      </c>
      <c r="W281" s="39" t="n">
        <v>0.2</v>
      </c>
      <c r="X281" s="41">
        <f>IFERROR(V281+T281,"")</f>
        <v/>
      </c>
      <c r="Y281" s="41">
        <f>IFERROR(IF(W281&lt;1,X281/(1-W281),""),"")</f>
        <v/>
      </c>
      <c r="Z281" s="43">
        <f>'01_CONFIG_GLOBAL'!$C$14</f>
        <v/>
      </c>
      <c r="AA281" s="41">
        <f>IFERROR(Y281*Z281,"")</f>
        <v/>
      </c>
      <c r="AB281" s="41">
        <f>IFERROR(IF(Z281&lt;1,Y281/(1-Z281),""),"")</f>
        <v/>
      </c>
      <c r="AC281" s="23" t="n"/>
      <c r="AD281" s="36" t="n"/>
      <c r="AE281" s="23" t="n"/>
      <c r="AF281" s="36" t="n"/>
      <c r="AG281" s="23" t="n"/>
      <c r="AH281" s="36" t="n"/>
      <c r="AI281" s="41">
        <f>IFERROR(AVERAGE(AD281,AF281,AH281),"")</f>
        <v/>
      </c>
      <c r="AJ281" s="29">
        <f>IFERROR(IF(AI281="","sem dados",IF(AB281&lt;AI281*0.95,"abaixo",IF(AB281&gt;AI281*1.05,"acima","em linha"))),"")</f>
        <v/>
      </c>
      <c r="AK281" s="23" t="inlineStr">
        <is>
          <t>sim</t>
        </is>
      </c>
      <c r="AL281" s="23" t="n"/>
      <c r="AM281" s="23" t="n"/>
      <c r="AN281" s="23" t="n"/>
      <c r="AO281" s="44">
        <f>A281</f>
        <v/>
      </c>
      <c r="AP281" s="44">
        <f>D281</f>
        <v/>
      </c>
      <c r="AQ281" s="28" t="inlineStr">
        <is>
          <t>LIVENZA_5.1301.0565029_ecommerce.png</t>
        </is>
      </c>
    </row>
    <row r="282" hidden="1" ht="15.75" customHeight="1" s="93">
      <c r="A282" s="23" t="inlineStr">
        <is>
          <t>5.5211.L010120.0</t>
        </is>
      </c>
      <c r="B282" s="23" t="inlineStr">
        <is>
          <t>L01012</t>
        </is>
      </c>
      <c r="C282" s="29">
        <f>IFERROR(LOWER(SUBSTITUTE(SUBSTITUTE(SUBSTITUTE(SUBSTITUTE(D282," ","-"),"/","-"),".",""),",","")),"")</f>
        <v/>
      </c>
      <c r="D282" s="23" t="inlineStr">
        <is>
          <t>MUI BO 26 B100.C.C111.BL- 160 BAR</t>
        </is>
      </c>
      <c r="E282" s="23" t="n"/>
      <c r="F282" s="23" t="inlineStr">
        <is>
          <t>SOHIPREN</t>
        </is>
      </c>
      <c r="G282" s="23" t="n"/>
      <c r="H282" s="23" t="inlineStr">
        <is>
          <t>draft</t>
        </is>
      </c>
      <c r="I282" s="23" t="inlineStr">
        <is>
          <t>CNH - NEW HOLLAND</t>
        </is>
      </c>
      <c r="J282" s="23" t="inlineStr">
        <is>
          <t>MOTONIVELADORA</t>
        </is>
      </c>
      <c r="K282" s="23" t="inlineStr">
        <is>
          <t>MOTOR DO VENTILADOR</t>
        </is>
      </c>
      <c r="L282" s="23" t="inlineStr">
        <is>
          <t>73162805-12141027006</t>
        </is>
      </c>
      <c r="M282" s="31" t="n"/>
      <c r="N282" s="31" t="n"/>
      <c r="O282" s="31" t="n"/>
      <c r="P282" s="31" t="n"/>
      <c r="Q282" s="31" t="n"/>
      <c r="R282" s="34">
        <f>IFERROR(IF(AND(O282&gt;0,P282&gt;0,Q282&gt;0),(O282*P282*Q282)/6000,""),"")</f>
        <v/>
      </c>
      <c r="S282" s="34">
        <f>IFERROR(IF(AND(N282&gt;0,R282&gt;0),MAX(N282,R282),IF(N282&gt;0,N282,IF(R282&gt;0,R282,""))),"")</f>
        <v/>
      </c>
      <c r="T282" s="36" t="n"/>
      <c r="U282" s="38" t="inlineStr">
        <is>
          <t>FALTA</t>
        </is>
      </c>
      <c r="V282" s="36" t="n">
        <v>975</v>
      </c>
      <c r="W282" s="39" t="n">
        <v>0.3</v>
      </c>
      <c r="X282" s="41">
        <f>IFERROR(V282+T282,"")</f>
        <v/>
      </c>
      <c r="Y282" s="41">
        <f>IFERROR(IF(W282&lt;1,X282/(1-W282),""),"")</f>
        <v/>
      </c>
      <c r="Z282" s="43">
        <f>'01_CONFIG_GLOBAL'!$C$14</f>
        <v/>
      </c>
      <c r="AA282" s="41">
        <f>IFERROR(Y282*Z282,"")</f>
        <v/>
      </c>
      <c r="AB282" s="41">
        <f>IFERROR(IF(Z282&lt;1,Y282/(1-Z282),""),"")</f>
        <v/>
      </c>
      <c r="AC282" s="23" t="n"/>
      <c r="AD282" s="36" t="n"/>
      <c r="AE282" s="23" t="n"/>
      <c r="AF282" s="36" t="n"/>
      <c r="AG282" s="23" t="n"/>
      <c r="AH282" s="36" t="n"/>
      <c r="AI282" s="41">
        <f>IFERROR(AVERAGE(AD282,AF282,AH282),"")</f>
        <v/>
      </c>
      <c r="AJ282" s="29">
        <f>IFERROR(IF(AI282="","sem dados",IF(AB282&lt;AI282*0.95,"abaixo",IF(AB282&gt;AI282*1.05,"acima","em linha"))),"")</f>
        <v/>
      </c>
      <c r="AK282" s="23" t="inlineStr">
        <is>
          <t>não</t>
        </is>
      </c>
      <c r="AL282" s="23" t="n"/>
      <c r="AM282" s="23" t="n"/>
      <c r="AN282" s="23" t="n"/>
      <c r="AO282" s="44">
        <f>A282</f>
        <v/>
      </c>
      <c r="AP282" s="44">
        <f>D282</f>
        <v/>
      </c>
    </row>
    <row r="283" hidden="1" ht="15.75" customHeight="1" s="93">
      <c r="A283" s="23" t="inlineStr">
        <is>
          <t>5.0220.L026823.0</t>
        </is>
      </c>
      <c r="B283" s="23" t="inlineStr">
        <is>
          <t>L026823</t>
        </is>
      </c>
      <c r="C283" s="29">
        <f>IFERROR(LOWER(SUBSTITUTE(SUBSTITUTE(SUBSTITUTE(SUBSTITUTE(D283," ","-"),"/","-"),".",""),",","")),"")</f>
        <v/>
      </c>
      <c r="D283" s="23" t="inlineStr">
        <is>
          <t>BOMBA HIDRÁULICA - APLICAÇÃO 19 E19.C22.A/19.A.L</t>
        </is>
      </c>
      <c r="E283" s="23" t="inlineStr">
        <is>
          <t>Bombas Hidráulicas</t>
        </is>
      </c>
      <c r="F283" s="23" t="inlineStr">
        <is>
          <t>SOHIPREN</t>
        </is>
      </c>
      <c r="G283" s="23" t="n"/>
      <c r="H283" s="23" t="inlineStr">
        <is>
          <t>draft</t>
        </is>
      </c>
      <c r="I283" s="23" t="inlineStr">
        <is>
          <t>CNH - NEW HOLLAND</t>
        </is>
      </c>
      <c r="J283" s="23" t="inlineStr">
        <is>
          <t>MOTONIVELADORA</t>
        </is>
      </c>
      <c r="K283" s="23" t="n"/>
      <c r="L283" s="23" t="inlineStr">
        <is>
          <t>R979031227/75251955</t>
        </is>
      </c>
      <c r="M283" s="31" t="n"/>
      <c r="N283" s="31" t="n"/>
      <c r="O283" s="31" t="n"/>
      <c r="P283" s="31" t="n"/>
      <c r="Q283" s="31" t="n"/>
      <c r="R283" s="34">
        <f>IFERROR(IF(AND(O283&gt;0,P283&gt;0,Q283&gt;0),(O283*P283*Q283)/6000,""),"")</f>
        <v/>
      </c>
      <c r="S283" s="34">
        <f>IFERROR(IF(AND(N283&gt;0,R283&gt;0),MAX(N283,R283),IF(N283&gt;0,N283,IF(R283&gt;0,R283,""))),"")</f>
        <v/>
      </c>
      <c r="T283" s="36" t="n"/>
      <c r="U283" s="38" t="inlineStr">
        <is>
          <t>FALTA</t>
        </is>
      </c>
      <c r="V283" s="36" t="n">
        <v>1120</v>
      </c>
      <c r="W283" s="39" t="n">
        <v>0.3</v>
      </c>
      <c r="X283" s="41">
        <f>IFERROR(V283+T283,"")</f>
        <v/>
      </c>
      <c r="Y283" s="41">
        <f>IFERROR(IF(W283&lt;1,X283/(1-W283),""),"")</f>
        <v/>
      </c>
      <c r="Z283" s="43">
        <f>'01_CONFIG_GLOBAL'!$C$14</f>
        <v/>
      </c>
      <c r="AA283" s="41">
        <f>IFERROR(Y283*Z283,"")</f>
        <v/>
      </c>
      <c r="AB283" s="41">
        <f>IFERROR(IF(Z283&lt;1,Y283/(1-Z283),""),"")</f>
        <v/>
      </c>
      <c r="AC283" s="23" t="n"/>
      <c r="AD283" s="36" t="n"/>
      <c r="AE283" s="23" t="n"/>
      <c r="AF283" s="36" t="n"/>
      <c r="AG283" s="23" t="n"/>
      <c r="AH283" s="36" t="n"/>
      <c r="AI283" s="41">
        <f>IFERROR(AVERAGE(AD283,AF283,AH283),"")</f>
        <v/>
      </c>
      <c r="AJ283" s="29">
        <f>IFERROR(IF(AI283="","sem dados",IF(AB283&lt;AI283*0.95,"abaixo",IF(AB283&gt;AI283*1.05,"acima","em linha"))),"")</f>
        <v/>
      </c>
      <c r="AK283" s="23" t="inlineStr">
        <is>
          <t>não</t>
        </is>
      </c>
      <c r="AL283" s="23" t="n"/>
      <c r="AM283" s="23" t="n"/>
      <c r="AN283" s="23" t="n"/>
      <c r="AO283" s="44">
        <f>A283</f>
        <v/>
      </c>
      <c r="AP283" s="44">
        <f>D283</f>
        <v/>
      </c>
    </row>
    <row r="284" ht="15.75" customHeight="1" s="93">
      <c r="A284" s="23" t="inlineStr">
        <is>
          <t>5.0210.L026250.0</t>
        </is>
      </c>
      <c r="B284" s="23" t="inlineStr">
        <is>
          <t>L026250</t>
        </is>
      </c>
      <c r="C284" s="29">
        <f>IFERROR(LOWER(SUBSTITUTE(SUBSTITUTE(SUBSTITUTE(SUBSTITUTE(D284," ","-"),"/","-"),".",""),",","")),"")</f>
        <v/>
      </c>
      <c r="D284" s="50" t="inlineStr">
        <is>
          <t>Bomba Hidráulica 16 Direção e Transmissão - Trator New Holland (B15.B14.A14.D5)</t>
        </is>
      </c>
      <c r="E284" s="50" t="inlineStr">
        <is>
          <t>Bombas Hidráulicas</t>
        </is>
      </c>
      <c r="F284" s="23" t="inlineStr">
        <is>
          <t>SOHIPREN</t>
        </is>
      </c>
      <c r="G284" s="23" t="n"/>
      <c r="H284" s="23" t="inlineStr">
        <is>
          <t>active</t>
        </is>
      </c>
      <c r="I284" s="23" t="inlineStr">
        <is>
          <t>CNH - NEW HOLLAND</t>
        </is>
      </c>
      <c r="J284" s="23" t="inlineStr">
        <is>
          <t>TRATOR</t>
        </is>
      </c>
      <c r="K284" s="23" t="inlineStr">
        <is>
          <t>BOMBA DE DIREÇÃO E TRANSMISSÃO</t>
        </is>
      </c>
      <c r="L284" s="23" t="inlineStr">
        <is>
          <t>82991208/5167397/5180277-1</t>
        </is>
      </c>
      <c r="M284" s="31" t="n"/>
      <c r="N284" s="31" t="n">
        <v>5.06</v>
      </c>
      <c r="O284" s="31" t="n">
        <v>17</v>
      </c>
      <c r="P284" s="31" t="n">
        <v>13</v>
      </c>
      <c r="Q284" s="31" t="n">
        <v>13.5</v>
      </c>
      <c r="R284" s="34">
        <f>IFERROR(IF(AND(O284&gt;0,P284&gt;0,Q284&gt;0),(O284*P284*Q284)/6000,""),"")</f>
        <v/>
      </c>
      <c r="S284" s="34">
        <f>IFERROR(IF(AND(N284&gt;0,R284&gt;0),MAX(N284,R284),IF(N284&gt;0,N284,IF(R284&gt;0,R284,""))),"")</f>
        <v/>
      </c>
      <c r="T284" s="36" t="n">
        <v>100</v>
      </c>
      <c r="U284" s="23" t="inlineStr">
        <is>
          <t>fornecedor</t>
        </is>
      </c>
      <c r="V284" s="36" t="n">
        <v>786.25</v>
      </c>
      <c r="W284" s="39" t="n">
        <v>0.2</v>
      </c>
      <c r="X284" s="41">
        <f>IFERROR(V284+T284,"")</f>
        <v/>
      </c>
      <c r="Y284" s="41">
        <f>IFERROR(IF(W284&lt;1,X284/(1-W284),""),"")</f>
        <v/>
      </c>
      <c r="Z284" s="43">
        <f>'01_CONFIG_GLOBAL'!$C$14</f>
        <v/>
      </c>
      <c r="AA284" s="41">
        <f>IFERROR(Y284*Z284,"")</f>
        <v/>
      </c>
      <c r="AB284" s="41">
        <f>IFERROR(IF(Z284&lt;1,Y284/(1-Z284),""),"")</f>
        <v/>
      </c>
      <c r="AC284" s="23" t="n"/>
      <c r="AD284" s="36" t="n"/>
      <c r="AE284" s="23" t="n"/>
      <c r="AF284" s="36" t="n"/>
      <c r="AG284" s="23" t="n"/>
      <c r="AH284" s="36" t="n"/>
      <c r="AI284" s="41">
        <f>IFERROR(AVERAGE(AD284,AF284,AH284),"")</f>
        <v/>
      </c>
      <c r="AJ284" s="29">
        <f>IFERROR(IF(AI284="","sem dados",IF(AB284&lt;AI284*0.95,"abaixo",IF(AB284&gt;AI284*1.05,"acima","em linha"))),"")</f>
        <v/>
      </c>
      <c r="AK284" s="23" t="inlineStr">
        <is>
          <t>sim</t>
        </is>
      </c>
      <c r="AL284" s="23" t="n"/>
      <c r="AM284" s="23" t="n"/>
      <c r="AN284" s="23" t="n"/>
      <c r="AO284" s="44">
        <f>A284</f>
        <v/>
      </c>
      <c r="AP284" s="44">
        <f>D284</f>
        <v/>
      </c>
      <c r="AQ284" s="28" t="inlineStr">
        <is>
          <t>LIVENZA_5.0210.L026250.0_ecommerce.png</t>
        </is>
      </c>
    </row>
    <row r="285" ht="15.75" customHeight="1" s="93">
      <c r="A285" s="23" t="inlineStr">
        <is>
          <t>5.0209.L026780.0</t>
        </is>
      </c>
      <c r="B285" s="23" t="inlineStr">
        <is>
          <t>L026780</t>
        </is>
      </c>
      <c r="C285" s="29">
        <f>IFERROR(LOWER(SUBSTITUTE(SUBSTITUTE(SUBSTITUTE(SUBSTITUTE(D285," ","-"),"/","-"),".",""),",","")),"")</f>
        <v/>
      </c>
      <c r="D285" s="50" t="inlineStr">
        <is>
          <t>Bomba Hidráulica 19 Direção e Transmissão - Trator New Holland (B15.B14.B19.D5)</t>
        </is>
      </c>
      <c r="E285" s="50" t="inlineStr">
        <is>
          <t>Bombas Hidráulicas</t>
        </is>
      </c>
      <c r="F285" s="23" t="inlineStr">
        <is>
          <t>SOHIPREN</t>
        </is>
      </c>
      <c r="G285" s="23" t="n"/>
      <c r="H285" s="23" t="inlineStr">
        <is>
          <t>active</t>
        </is>
      </c>
      <c r="I285" s="23" t="inlineStr">
        <is>
          <t>CNH - NEW HOLLAND</t>
        </is>
      </c>
      <c r="J285" s="23" t="inlineStr">
        <is>
          <t>TRATOR</t>
        </is>
      </c>
      <c r="K285" s="23" t="inlineStr">
        <is>
          <t>DIREÇÃO E TRANSMISSÃO</t>
        </is>
      </c>
      <c r="L285" s="23" t="inlineStr">
        <is>
          <t>F000510604-82991208/5167397/5180277-1</t>
        </is>
      </c>
      <c r="M285" s="31" t="n"/>
      <c r="N285" s="31" t="n">
        <v>6</v>
      </c>
      <c r="O285" s="31" t="n">
        <v>17</v>
      </c>
      <c r="P285" s="31" t="n">
        <v>13</v>
      </c>
      <c r="Q285" s="31" t="n">
        <v>13.5</v>
      </c>
      <c r="R285" s="34">
        <f>IFERROR(IF(AND(O285&gt;0,P285&gt;0,Q285&gt;0),(O285*P285*Q285)/6000,""),"")</f>
        <v/>
      </c>
      <c r="S285" s="34">
        <f>IFERROR(IF(AND(N285&gt;0,R285&gt;0),MAX(N285,R285),IF(N285&gt;0,N285,IF(R285&gt;0,R285,""))),"")</f>
        <v/>
      </c>
      <c r="T285" s="36" t="n">
        <v>100</v>
      </c>
      <c r="U285" s="23" t="inlineStr">
        <is>
          <t>fornecedor</t>
        </is>
      </c>
      <c r="V285" s="36" t="n">
        <v>760.75</v>
      </c>
      <c r="W285" s="39" t="n">
        <v>0.2</v>
      </c>
      <c r="X285" s="41">
        <f>IFERROR(V285+T285,"")</f>
        <v/>
      </c>
      <c r="Y285" s="41">
        <f>IFERROR(IF(W285&lt;1,X285/(1-W285),""),"")</f>
        <v/>
      </c>
      <c r="Z285" s="43">
        <f>'01_CONFIG_GLOBAL'!$C$14</f>
        <v/>
      </c>
      <c r="AA285" s="41">
        <f>IFERROR(Y285*Z285,"")</f>
        <v/>
      </c>
      <c r="AB285" s="41">
        <f>IFERROR(IF(Z285&lt;1,Y285/(1-Z285),""),"")</f>
        <v/>
      </c>
      <c r="AC285" s="23" t="n"/>
      <c r="AD285" s="36" t="n"/>
      <c r="AE285" s="23" t="n"/>
      <c r="AF285" s="36" t="n"/>
      <c r="AG285" s="23" t="n"/>
      <c r="AH285" s="36" t="n"/>
      <c r="AI285" s="41">
        <f>IFERROR(AVERAGE(AD285,AF285,AH285),"")</f>
        <v/>
      </c>
      <c r="AJ285" s="29">
        <f>IFERROR(IF(AI285="","sem dados",IF(AB285&lt;AI285*0.95,"abaixo",IF(AB285&gt;AI285*1.05,"acima","em linha"))),"")</f>
        <v/>
      </c>
      <c r="AK285" s="23" t="inlineStr">
        <is>
          <t>sim</t>
        </is>
      </c>
      <c r="AL285" s="23" t="n"/>
      <c r="AM285" s="23" t="n"/>
      <c r="AN285" s="23" t="n"/>
      <c r="AO285" s="44">
        <f>A285</f>
        <v/>
      </c>
      <c r="AP285" s="44">
        <f>D285</f>
        <v/>
      </c>
      <c r="AQ285" s="28" t="inlineStr">
        <is>
          <t>bomba_generica.png (genérica)</t>
        </is>
      </c>
    </row>
    <row r="286" hidden="1" ht="15.75" customHeight="1" s="93">
      <c r="A286" s="23" t="inlineStr">
        <is>
          <t>5.1301.L026719.0</t>
        </is>
      </c>
      <c r="B286" s="23" t="inlineStr">
        <is>
          <t>L026719</t>
        </is>
      </c>
      <c r="C286" s="29">
        <f>IFERROR(LOWER(SUBSTITUTE(SUBSTITUTE(SUBSTITUTE(SUBSTITUTE(D286," ","-"),"/","-"),".",""),",","")),"")</f>
        <v/>
      </c>
      <c r="D286" s="23" t="inlineStr">
        <is>
          <t>BOMBA TRASEIRA CNH A017</t>
        </is>
      </c>
      <c r="E286" s="23" t="inlineStr">
        <is>
          <t>Bombas Hidráulicas</t>
        </is>
      </c>
      <c r="F286" s="23" t="inlineStr">
        <is>
          <t>SOHIPREN</t>
        </is>
      </c>
      <c r="G286" s="23" t="n"/>
      <c r="H286" s="23" t="inlineStr">
        <is>
          <t>draft</t>
        </is>
      </c>
      <c r="I286" s="23" t="inlineStr">
        <is>
          <t>CNH - NEW HOLLAND</t>
        </is>
      </c>
      <c r="J286" s="23" t="inlineStr">
        <is>
          <t>TRATOR</t>
        </is>
      </c>
      <c r="K286" s="23" t="inlineStr">
        <is>
          <t>REPUESTO</t>
        </is>
      </c>
      <c r="L286" s="23" t="inlineStr">
        <is>
          <t>82988360</t>
        </is>
      </c>
      <c r="M286" s="31" t="n"/>
      <c r="N286" s="31" t="n"/>
      <c r="O286" s="31" t="n"/>
      <c r="P286" s="31" t="n"/>
      <c r="Q286" s="31" t="n"/>
      <c r="R286" s="34">
        <f>IFERROR(IF(AND(O286&gt;0,P286&gt;0,Q286&gt;0),(O286*P286*Q286)/6000,""),"")</f>
        <v/>
      </c>
      <c r="S286" s="34">
        <f>IFERROR(IF(AND(N286&gt;0,R286&gt;0),MAX(N286,R286),IF(N286&gt;0,N286,IF(R286&gt;0,R286,""))),"")</f>
        <v/>
      </c>
      <c r="T286" s="36" t="n"/>
      <c r="U286" s="38" t="inlineStr">
        <is>
          <t>FALTA</t>
        </is>
      </c>
      <c r="V286" s="36" t="n">
        <v>2010</v>
      </c>
      <c r="W286" s="39" t="n">
        <v>0.3</v>
      </c>
      <c r="X286" s="41">
        <f>IFERROR(V286+T286,"")</f>
        <v/>
      </c>
      <c r="Y286" s="41">
        <f>IFERROR(IF(W286&lt;1,X286/(1-W286),""),"")</f>
        <v/>
      </c>
      <c r="Z286" s="43">
        <f>'01_CONFIG_GLOBAL'!$C$14</f>
        <v/>
      </c>
      <c r="AA286" s="41">
        <f>IFERROR(Y286*Z286,"")</f>
        <v/>
      </c>
      <c r="AB286" s="41">
        <f>IFERROR(IF(Z286&lt;1,Y286/(1-Z286),""),"")</f>
        <v/>
      </c>
      <c r="AC286" s="23" t="n"/>
      <c r="AD286" s="36" t="n"/>
      <c r="AE286" s="23" t="n"/>
      <c r="AF286" s="36" t="n"/>
      <c r="AG286" s="23" t="n"/>
      <c r="AH286" s="36" t="n"/>
      <c r="AI286" s="41">
        <f>IFERROR(AVERAGE(AD286,AF286,AH286),"")</f>
        <v/>
      </c>
      <c r="AJ286" s="29">
        <f>IFERROR(IF(AI286="","sem dados",IF(AB286&lt;AI286*0.95,"abaixo",IF(AB286&gt;AI286*1.05,"acima","em linha"))),"")</f>
        <v/>
      </c>
      <c r="AK286" s="23" t="inlineStr">
        <is>
          <t>não</t>
        </is>
      </c>
      <c r="AL286" s="23" t="n"/>
      <c r="AM286" s="23" t="n"/>
      <c r="AN286" s="23" t="n"/>
      <c r="AO286" s="44">
        <f>A286</f>
        <v/>
      </c>
      <c r="AP286" s="44">
        <f>D286</f>
        <v/>
      </c>
    </row>
    <row r="287" hidden="1" ht="15.75" customHeight="1" s="93">
      <c r="A287" s="23" t="inlineStr">
        <is>
          <t>5.0210.L025216.0</t>
        </is>
      </c>
      <c r="B287" s="23" t="inlineStr">
        <is>
          <t>L025216</t>
        </is>
      </c>
      <c r="C287" s="29">
        <f>IFERROR(LOWER(SUBSTITUTE(SUBSTITUTE(SUBSTITUTE(SUBSTITUTE(D287," ","-"),"/","-"),".",""),",","")),"")</f>
        <v/>
      </c>
      <c r="D287" s="23" t="inlineStr">
        <is>
          <t>BOD 22,5 B.B.A111.L</t>
        </is>
      </c>
      <c r="E287" s="23" t="inlineStr">
        <is>
          <t>Bombas Hidráulicas</t>
        </is>
      </c>
      <c r="F287" s="23" t="inlineStr">
        <is>
          <t>SOHIPREN</t>
        </is>
      </c>
      <c r="G287" s="23" t="n"/>
      <c r="H287" s="23" t="inlineStr">
        <is>
          <t>draft</t>
        </is>
      </c>
      <c r="I287" s="23" t="inlineStr">
        <is>
          <t>CNH - NEW HOLLAND</t>
        </is>
      </c>
      <c r="J287" s="23" t="inlineStr">
        <is>
          <t>TRATOR</t>
        </is>
      </c>
      <c r="K287" s="23" t="inlineStr">
        <is>
          <t>LEVANTE-ACION.LUBRIFICAÇÃO</t>
        </is>
      </c>
      <c r="L287" s="23" t="inlineStr">
        <is>
          <t>87382691-84597380-R979106150/11101022203</t>
        </is>
      </c>
      <c r="M287" s="31" t="n"/>
      <c r="N287" s="31" t="n"/>
      <c r="O287" s="31" t="n"/>
      <c r="P287" s="31" t="n"/>
      <c r="Q287" s="31" t="n"/>
      <c r="R287" s="34">
        <f>IFERROR(IF(AND(O287&gt;0,P287&gt;0,Q287&gt;0),(O287*P287*Q287)/6000,""),"")</f>
        <v/>
      </c>
      <c r="S287" s="34">
        <f>IFERROR(IF(AND(N287&gt;0,R287&gt;0),MAX(N287,R287),IF(N287&gt;0,N287,IF(R287&gt;0,R287,""))),"")</f>
        <v/>
      </c>
      <c r="T287" s="36" t="n"/>
      <c r="U287" s="38" t="inlineStr">
        <is>
          <t>FALTA</t>
        </is>
      </c>
      <c r="V287" s="36" t="n">
        <v>550</v>
      </c>
      <c r="W287" s="39" t="n">
        <v>0.3</v>
      </c>
      <c r="X287" s="41">
        <f>IFERROR(V287+T287,"")</f>
        <v/>
      </c>
      <c r="Y287" s="41">
        <f>IFERROR(IF(W287&lt;1,X287/(1-W287),""),"")</f>
        <v/>
      </c>
      <c r="Z287" s="43">
        <f>'01_CONFIG_GLOBAL'!$C$14</f>
        <v/>
      </c>
      <c r="AA287" s="41">
        <f>IFERROR(Y287*Z287,"")</f>
        <v/>
      </c>
      <c r="AB287" s="41">
        <f>IFERROR(IF(Z287&lt;1,Y287/(1-Z287),""),"")</f>
        <v/>
      </c>
      <c r="AC287" s="23" t="n"/>
      <c r="AD287" s="36" t="n"/>
      <c r="AE287" s="23" t="n"/>
      <c r="AF287" s="36" t="n"/>
      <c r="AG287" s="23" t="n"/>
      <c r="AH287" s="36" t="n"/>
      <c r="AI287" s="41">
        <f>IFERROR(AVERAGE(AD287,AF287,AH287),"")</f>
        <v/>
      </c>
      <c r="AJ287" s="29">
        <f>IFERROR(IF(AI287="","sem dados",IF(AB287&lt;AI287*0.95,"abaixo",IF(AB287&gt;AI287*1.05,"acima","em linha"))),"")</f>
        <v/>
      </c>
      <c r="AK287" s="23" t="inlineStr">
        <is>
          <t>não</t>
        </is>
      </c>
      <c r="AL287" s="23" t="n"/>
      <c r="AM287" s="23" t="n"/>
      <c r="AN287" s="23" t="n"/>
      <c r="AO287" s="44">
        <f>A287</f>
        <v/>
      </c>
      <c r="AP287" s="44">
        <f>D287</f>
        <v/>
      </c>
    </row>
    <row r="288" hidden="1" ht="15.75" customHeight="1" s="93">
      <c r="A288" s="23" t="inlineStr">
        <is>
          <t>5.0220.L025217.0</t>
        </is>
      </c>
      <c r="B288" s="23" t="inlineStr">
        <is>
          <t>L025217</t>
        </is>
      </c>
      <c r="C288" s="29">
        <f>IFERROR(LOWER(SUBSTITUTE(SUBSTITUTE(SUBSTITUTE(SUBSTITUTE(D288," ","-"),"/","-"),".",""),",","")),"")</f>
        <v/>
      </c>
      <c r="D288" s="23" t="inlineStr">
        <is>
          <t>BOMBA HIDRÁULICA - APLICAÇÃO 22,5 B.B.A125/22,5.A125.L (S/F051667)</t>
        </is>
      </c>
      <c r="E288" s="23" t="inlineStr">
        <is>
          <t>Bombas Hidráulicas</t>
        </is>
      </c>
      <c r="F288" s="23" t="inlineStr">
        <is>
          <t>SOHIPREN</t>
        </is>
      </c>
      <c r="G288" s="23" t="n"/>
      <c r="H288" s="23" t="inlineStr">
        <is>
          <t>draft</t>
        </is>
      </c>
      <c r="I288" s="23" t="inlineStr">
        <is>
          <t>CNH - NEW HOLLAND</t>
        </is>
      </c>
      <c r="J288" s="23" t="inlineStr">
        <is>
          <t>TRATOR</t>
        </is>
      </c>
      <c r="K288" s="23" t="inlineStr">
        <is>
          <t>PRINCIPAL E DIREÇÃO</t>
        </is>
      </c>
      <c r="L288" s="23" t="inlineStr">
        <is>
          <t>87494923- R979013181</t>
        </is>
      </c>
      <c r="M288" s="31" t="n"/>
      <c r="N288" s="31" t="n"/>
      <c r="O288" s="31" t="n"/>
      <c r="P288" s="31" t="n"/>
      <c r="Q288" s="31" t="n"/>
      <c r="R288" s="34">
        <f>IFERROR(IF(AND(O288&gt;0,P288&gt;0,Q288&gt;0),(O288*P288*Q288)/6000,""),"")</f>
        <v/>
      </c>
      <c r="S288" s="34">
        <f>IFERROR(IF(AND(N288&gt;0,R288&gt;0),MAX(N288,R288),IF(N288&gt;0,N288,IF(R288&gt;0,R288,""))),"")</f>
        <v/>
      </c>
      <c r="T288" s="36" t="n"/>
      <c r="U288" s="38" t="inlineStr">
        <is>
          <t>FALTA</t>
        </is>
      </c>
      <c r="V288" s="36" t="n">
        <v>1034</v>
      </c>
      <c r="W288" s="39" t="n">
        <v>0.3</v>
      </c>
      <c r="X288" s="41">
        <f>IFERROR(V288+T288,"")</f>
        <v/>
      </c>
      <c r="Y288" s="41">
        <f>IFERROR(IF(W288&lt;1,X288/(1-W288),""),"")</f>
        <v/>
      </c>
      <c r="Z288" s="43">
        <f>'01_CONFIG_GLOBAL'!$C$14</f>
        <v/>
      </c>
      <c r="AA288" s="41">
        <f>IFERROR(Y288*Z288,"")</f>
        <v/>
      </c>
      <c r="AB288" s="41">
        <f>IFERROR(IF(Z288&lt;1,Y288/(1-Z288),""),"")</f>
        <v/>
      </c>
      <c r="AC288" s="23" t="n"/>
      <c r="AD288" s="36" t="n"/>
      <c r="AE288" s="23" t="n"/>
      <c r="AF288" s="36" t="n"/>
      <c r="AG288" s="23" t="n"/>
      <c r="AH288" s="36" t="n"/>
      <c r="AI288" s="41">
        <f>IFERROR(AVERAGE(AD288,AF288,AH288),"")</f>
        <v/>
      </c>
      <c r="AJ288" s="29">
        <f>IFERROR(IF(AI288="","sem dados",IF(AB288&lt;AI288*0.95,"abaixo",IF(AB288&gt;AI288*1.05,"acima","em linha"))),"")</f>
        <v/>
      </c>
      <c r="AK288" s="23" t="inlineStr">
        <is>
          <t>não</t>
        </is>
      </c>
      <c r="AL288" s="23" t="n"/>
      <c r="AM288" s="23" t="n"/>
      <c r="AN288" s="23" t="n"/>
      <c r="AO288" s="44">
        <f>A288</f>
        <v/>
      </c>
      <c r="AP288" s="44">
        <f>D288</f>
        <v/>
      </c>
    </row>
    <row r="289" hidden="1" ht="15.75" customHeight="1" s="93">
      <c r="A289" s="23" t="inlineStr">
        <is>
          <t>5.0220.0547250.0</t>
        </is>
      </c>
      <c r="B289" s="23" t="inlineStr">
        <is>
          <t>547250</t>
        </is>
      </c>
      <c r="C289" s="29">
        <f>IFERROR(LOWER(SUBSTITUTE(SUBSTITUTE(SUBSTITUTE(SUBSTITUTE(D289," ","-"),"/","-"),".",""),",","")),"")</f>
        <v/>
      </c>
      <c r="D289" s="23" t="inlineStr">
        <is>
          <t>BOMBA HIDRÁULICA - APLICAÇÃO 19 B19.C15.A/8 A.L</t>
        </is>
      </c>
      <c r="E289" s="23" t="inlineStr">
        <is>
          <t>Bombas Hidráulicas</t>
        </is>
      </c>
      <c r="F289" s="23" t="inlineStr">
        <is>
          <t>SOHIPREN</t>
        </is>
      </c>
      <c r="G289" s="23" t="n"/>
      <c r="H289" s="23" t="inlineStr">
        <is>
          <t>draft</t>
        </is>
      </c>
      <c r="I289" s="23" t="inlineStr">
        <is>
          <t>CNH - NEW HOLLAND</t>
        </is>
      </c>
      <c r="J289" s="23" t="inlineStr">
        <is>
          <t>COLHEITADEIRA</t>
        </is>
      </c>
      <c r="K289" s="23" t="inlineStr">
        <is>
          <t>CONTROLE REMOTO E DIR</t>
        </is>
      </c>
      <c r="L289" s="23" t="inlineStr">
        <is>
          <t>84997030/84997096/F000510600</t>
        </is>
      </c>
      <c r="M289" s="31" t="n"/>
      <c r="N289" s="31" t="n"/>
      <c r="O289" s="31" t="n"/>
      <c r="P289" s="31" t="n"/>
      <c r="Q289" s="31" t="n"/>
      <c r="R289" s="34">
        <f>IFERROR(IF(AND(O289&gt;0,P289&gt;0,Q289&gt;0),(O289*P289*Q289)/6000,""),"")</f>
        <v/>
      </c>
      <c r="S289" s="34">
        <f>IFERROR(IF(AND(N289&gt;0,R289&gt;0),MAX(N289,R289),IF(N289&gt;0,N289,IF(R289&gt;0,R289,""))),"")</f>
        <v/>
      </c>
      <c r="T289" s="36" t="n"/>
      <c r="U289" s="38" t="inlineStr">
        <is>
          <t>FALTA</t>
        </is>
      </c>
      <c r="V289" s="36" t="n">
        <v>1300</v>
      </c>
      <c r="W289" s="39" t="n">
        <v>0.3</v>
      </c>
      <c r="X289" s="41">
        <f>IFERROR(V289+T289,"")</f>
        <v/>
      </c>
      <c r="Y289" s="41">
        <f>IFERROR(IF(W289&lt;1,X289/(1-W289),""),"")</f>
        <v/>
      </c>
      <c r="Z289" s="43">
        <f>'01_CONFIG_GLOBAL'!$C$14</f>
        <v/>
      </c>
      <c r="AA289" s="41">
        <f>IFERROR(Y289*Z289,"")</f>
        <v/>
      </c>
      <c r="AB289" s="41">
        <f>IFERROR(IF(Z289&lt;1,Y289/(1-Z289),""),"")</f>
        <v/>
      </c>
      <c r="AC289" s="23" t="n"/>
      <c r="AD289" s="36" t="n"/>
      <c r="AE289" s="23" t="n"/>
      <c r="AF289" s="36" t="n"/>
      <c r="AG289" s="23" t="n"/>
      <c r="AH289" s="36" t="n"/>
      <c r="AI289" s="41">
        <f>IFERROR(AVERAGE(AD289,AF289,AH289),"")</f>
        <v/>
      </c>
      <c r="AJ289" s="29">
        <f>IFERROR(IF(AI289="","sem dados",IF(AB289&lt;AI289*0.95,"abaixo",IF(AB289&gt;AI289*1.05,"acima","em linha"))),"")</f>
        <v/>
      </c>
      <c r="AK289" s="23" t="inlineStr">
        <is>
          <t>não</t>
        </is>
      </c>
      <c r="AL289" s="23" t="n"/>
      <c r="AM289" s="23" t="n"/>
      <c r="AN289" s="23" t="n"/>
      <c r="AO289" s="44">
        <f>A289</f>
        <v/>
      </c>
      <c r="AP289" s="44">
        <f>D289</f>
        <v/>
      </c>
    </row>
    <row r="290" hidden="1" ht="15.75" customHeight="1" s="93">
      <c r="A290" s="23" t="inlineStr">
        <is>
          <t>5.0220.0547249.0</t>
        </is>
      </c>
      <c r="B290" s="23" t="inlineStr">
        <is>
          <t>547249</t>
        </is>
      </c>
      <c r="C290" s="29">
        <f>IFERROR(LOWER(SUBSTITUTE(SUBSTITUTE(SUBSTITUTE(SUBSTITUTE(D290," ","-"),"/","-"),".",""),",","")),"")</f>
        <v/>
      </c>
      <c r="D290" s="23" t="inlineStr">
        <is>
          <t>BOMBA HIDRÁULICA - APLICAÇÃO 16 B19.C15.A/5,5 A.L</t>
        </is>
      </c>
      <c r="E290" s="23" t="inlineStr">
        <is>
          <t>Bombas Hidráulicas</t>
        </is>
      </c>
      <c r="F290" s="23" t="inlineStr">
        <is>
          <t>SOHIPREN</t>
        </is>
      </c>
      <c r="G290" s="23" t="n"/>
      <c r="H290" s="23" t="inlineStr">
        <is>
          <t>draft</t>
        </is>
      </c>
      <c r="I290" s="23" t="inlineStr">
        <is>
          <t>CNH - NEW HOLLAND</t>
        </is>
      </c>
      <c r="J290" s="23" t="inlineStr">
        <is>
          <t>COLHEITADEIRA</t>
        </is>
      </c>
      <c r="K290" s="23" t="inlineStr">
        <is>
          <t>BOMBA DE DIREÇÃO</t>
        </is>
      </c>
      <c r="L290" s="23" t="inlineStr">
        <is>
          <t>756730 ANT/84991166 NOVO - 9510080643</t>
        </is>
      </c>
      <c r="M290" s="31" t="n"/>
      <c r="N290" s="31" t="n"/>
      <c r="O290" s="31" t="n"/>
      <c r="P290" s="31" t="n"/>
      <c r="Q290" s="31" t="n"/>
      <c r="R290" s="34">
        <f>IFERROR(IF(AND(O290&gt;0,P290&gt;0,Q290&gt;0),(O290*P290*Q290)/6000,""),"")</f>
        <v/>
      </c>
      <c r="S290" s="34">
        <f>IFERROR(IF(AND(N290&gt;0,R290&gt;0),MAX(N290,R290),IF(N290&gt;0,N290,IF(R290&gt;0,R290,""))),"")</f>
        <v/>
      </c>
      <c r="T290" s="36" t="n"/>
      <c r="U290" s="38" t="inlineStr">
        <is>
          <t>FALTA</t>
        </is>
      </c>
      <c r="V290" s="36" t="n">
        <v>1173</v>
      </c>
      <c r="W290" s="39" t="n">
        <v>0.3</v>
      </c>
      <c r="X290" s="41">
        <f>IFERROR(V290+T290,"")</f>
        <v/>
      </c>
      <c r="Y290" s="41">
        <f>IFERROR(IF(W290&lt;1,X290/(1-W290),""),"")</f>
        <v/>
      </c>
      <c r="Z290" s="43">
        <f>'01_CONFIG_GLOBAL'!$C$14</f>
        <v/>
      </c>
      <c r="AA290" s="41">
        <f>IFERROR(Y290*Z290,"")</f>
        <v/>
      </c>
      <c r="AB290" s="41">
        <f>IFERROR(IF(Z290&lt;1,Y290/(1-Z290),""),"")</f>
        <v/>
      </c>
      <c r="AC290" s="23" t="n"/>
      <c r="AD290" s="36" t="n"/>
      <c r="AE290" s="23" t="n"/>
      <c r="AF290" s="36" t="n"/>
      <c r="AG290" s="23" t="n"/>
      <c r="AH290" s="36" t="n"/>
      <c r="AI290" s="41">
        <f>IFERROR(AVERAGE(AD290,AF290,AH290),"")</f>
        <v/>
      </c>
      <c r="AJ290" s="29">
        <f>IFERROR(IF(AI290="","sem dados",IF(AB290&lt;AI290*0.95,"abaixo",IF(AB290&gt;AI290*1.05,"acima","em linha"))),"")</f>
        <v/>
      </c>
      <c r="AK290" s="23" t="inlineStr">
        <is>
          <t>não</t>
        </is>
      </c>
      <c r="AL290" s="23" t="n"/>
      <c r="AM290" s="23" t="n"/>
      <c r="AN290" s="23" t="n"/>
      <c r="AO290" s="44">
        <f>A290</f>
        <v/>
      </c>
      <c r="AP290" s="44">
        <f>D290</f>
        <v/>
      </c>
    </row>
    <row r="291" hidden="1" ht="15.75" customHeight="1" s="93">
      <c r="A291" s="23" t="inlineStr">
        <is>
          <t>5.0220.0547218.0</t>
        </is>
      </c>
      <c r="B291" s="23" t="inlineStr">
        <is>
          <t>547218</t>
        </is>
      </c>
      <c r="C291" s="29">
        <f>IFERROR(LOWER(SUBSTITUTE(SUBSTITUTE(SUBSTITUTE(SUBSTITUTE(D291," ","-"),"/","-"),".",""),",","")),"")</f>
        <v/>
      </c>
      <c r="D291" s="23" t="inlineStr">
        <is>
          <t>BOD 11 B11.P1.A42/5,5 A2.L1 (PLACA H15)</t>
        </is>
      </c>
      <c r="E291" s="23" t="inlineStr">
        <is>
          <t>Bombas Hidráulicas</t>
        </is>
      </c>
      <c r="F291" s="23" t="inlineStr">
        <is>
          <t>SOHIPREN</t>
        </is>
      </c>
      <c r="G291" s="23" t="n"/>
      <c r="H291" s="23" t="inlineStr">
        <is>
          <t>draft</t>
        </is>
      </c>
      <c r="I291" s="23" t="inlineStr">
        <is>
          <t>CNH - NEW HOLLAND</t>
        </is>
      </c>
      <c r="J291" s="23" t="inlineStr">
        <is>
          <t>COLHEDEIRA</t>
        </is>
      </c>
      <c r="K291" s="23" t="inlineStr">
        <is>
          <t>PRINCIPAL</t>
        </is>
      </c>
      <c r="L291" s="23" t="inlineStr">
        <is>
          <t>821560N</t>
        </is>
      </c>
      <c r="M291" s="31" t="n"/>
      <c r="N291" s="31" t="n"/>
      <c r="O291" s="31" t="n"/>
      <c r="P291" s="31" t="n"/>
      <c r="Q291" s="31" t="n"/>
      <c r="R291" s="34">
        <f>IFERROR(IF(AND(O291&gt;0,P291&gt;0,Q291&gt;0),(O291*P291*Q291)/6000,""),"")</f>
        <v/>
      </c>
      <c r="S291" s="34">
        <f>IFERROR(IF(AND(N291&gt;0,R291&gt;0),MAX(N291,R291),IF(N291&gt;0,N291,IF(R291&gt;0,R291,""))),"")</f>
        <v/>
      </c>
      <c r="T291" s="36" t="n"/>
      <c r="U291" s="38" t="inlineStr">
        <is>
          <t>FALTA</t>
        </is>
      </c>
      <c r="V291" s="36" t="n">
        <v>1775</v>
      </c>
      <c r="W291" s="39" t="n">
        <v>0.3</v>
      </c>
      <c r="X291" s="41">
        <f>IFERROR(V291+T291,"")</f>
        <v/>
      </c>
      <c r="Y291" s="41">
        <f>IFERROR(IF(W291&lt;1,X291/(1-W291),""),"")</f>
        <v/>
      </c>
      <c r="Z291" s="43">
        <f>'01_CONFIG_GLOBAL'!$C$14</f>
        <v/>
      </c>
      <c r="AA291" s="41">
        <f>IFERROR(Y291*Z291,"")</f>
        <v/>
      </c>
      <c r="AB291" s="41">
        <f>IFERROR(IF(Z291&lt;1,Y291/(1-Z291),""),"")</f>
        <v/>
      </c>
      <c r="AC291" s="23" t="n"/>
      <c r="AD291" s="36" t="n"/>
      <c r="AE291" s="23" t="n"/>
      <c r="AF291" s="36" t="n"/>
      <c r="AG291" s="23" t="n"/>
      <c r="AH291" s="36" t="n"/>
      <c r="AI291" s="41">
        <f>IFERROR(AVERAGE(AD291,AF291,AH291),"")</f>
        <v/>
      </c>
      <c r="AJ291" s="29">
        <f>IFERROR(IF(AI291="","sem dados",IF(AB291&lt;AI291*0.95,"abaixo",IF(AB291&gt;AI291*1.05,"acima","em linha"))),"")</f>
        <v/>
      </c>
      <c r="AK291" s="23" t="inlineStr">
        <is>
          <t>não</t>
        </is>
      </c>
      <c r="AL291" s="23" t="n"/>
      <c r="AM291" s="23" t="n"/>
      <c r="AN291" s="23" t="n"/>
      <c r="AO291" s="44">
        <f>A291</f>
        <v/>
      </c>
      <c r="AP291" s="44">
        <f>D291</f>
        <v/>
      </c>
    </row>
    <row r="292" hidden="1" ht="15.75" customHeight="1" s="93">
      <c r="A292" s="23" t="inlineStr">
        <is>
          <t>5.0210.0547449.0</t>
        </is>
      </c>
      <c r="B292" s="23" t="inlineStr">
        <is>
          <t>547449</t>
        </is>
      </c>
      <c r="C292" s="29">
        <f>IFERROR(LOWER(SUBSTITUTE(SUBSTITUTE(SUBSTITUTE(SUBSTITUTE(D292," ","-"),"/","-"),".",""),",","")),"")</f>
        <v/>
      </c>
      <c r="D292" s="23" t="inlineStr">
        <is>
          <t>BOMBA HIDRÁULICA - APLICAÇÃO 22,5 B15.B14.A14.D5  24-150 BAR</t>
        </is>
      </c>
      <c r="E292" s="23" t="inlineStr">
        <is>
          <t>Bombas Hidráulicas</t>
        </is>
      </c>
      <c r="F292" s="23" t="inlineStr">
        <is>
          <t>SOHIPREN</t>
        </is>
      </c>
      <c r="G292" s="23" t="n"/>
      <c r="H292" s="23" t="inlineStr">
        <is>
          <t>draft</t>
        </is>
      </c>
      <c r="I292" s="23" t="inlineStr">
        <is>
          <t>CNH - NEW HOLLAND</t>
        </is>
      </c>
      <c r="J292" s="23" t="inlineStr">
        <is>
          <t>TRATOR</t>
        </is>
      </c>
      <c r="K292" s="23" t="inlineStr">
        <is>
          <t>BOMBA DE DIREÇÃO E TRANSMISSÃO</t>
        </is>
      </c>
      <c r="L292" s="23" t="inlineStr">
        <is>
          <t>revisando código original</t>
        </is>
      </c>
      <c r="M292" s="31" t="n"/>
      <c r="N292" s="31" t="n"/>
      <c r="O292" s="31" t="n"/>
      <c r="P292" s="31" t="n"/>
      <c r="Q292" s="31" t="n"/>
      <c r="R292" s="34">
        <f>IFERROR(IF(AND(O292&gt;0,P292&gt;0,Q292&gt;0),(O292*P292*Q292)/6000,""),"")</f>
        <v/>
      </c>
      <c r="S292" s="34">
        <f>IFERROR(IF(AND(N292&gt;0,R292&gt;0),MAX(N292,R292),IF(N292&gt;0,N292,IF(R292&gt;0,R292,""))),"")</f>
        <v/>
      </c>
      <c r="T292" s="36" t="n"/>
      <c r="U292" s="38" t="inlineStr">
        <is>
          <t>FALTA</t>
        </is>
      </c>
      <c r="V292" s="36" t="n">
        <v>520</v>
      </c>
      <c r="W292" s="39" t="n">
        <v>0.3</v>
      </c>
      <c r="X292" s="41">
        <f>IFERROR(V292+T292,"")</f>
        <v/>
      </c>
      <c r="Y292" s="41">
        <f>IFERROR(IF(W292&lt;1,X292/(1-W292),""),"")</f>
        <v/>
      </c>
      <c r="Z292" s="43">
        <f>'01_CONFIG_GLOBAL'!$C$14</f>
        <v/>
      </c>
      <c r="AA292" s="41">
        <f>IFERROR(Y292*Z292,"")</f>
        <v/>
      </c>
      <c r="AB292" s="41">
        <f>IFERROR(IF(Z292&lt;1,Y292/(1-Z292),""),"")</f>
        <v/>
      </c>
      <c r="AC292" s="23" t="n"/>
      <c r="AD292" s="36" t="n"/>
      <c r="AE292" s="23" t="n"/>
      <c r="AF292" s="36" t="n"/>
      <c r="AG292" s="23" t="n"/>
      <c r="AH292" s="36" t="n"/>
      <c r="AI292" s="41">
        <f>IFERROR(AVERAGE(AD292,AF292,AH292),"")</f>
        <v/>
      </c>
      <c r="AJ292" s="29">
        <f>IFERROR(IF(AI292="","sem dados",IF(AB292&lt;AI292*0.95,"abaixo",IF(AB292&gt;AI292*1.05,"acima","em linha"))),"")</f>
        <v/>
      </c>
      <c r="AK292" s="23" t="inlineStr">
        <is>
          <t>não</t>
        </is>
      </c>
      <c r="AL292" s="23" t="n"/>
      <c r="AM292" s="23" t="n"/>
      <c r="AN292" s="23" t="n"/>
      <c r="AO292" s="44">
        <f>A292</f>
        <v/>
      </c>
      <c r="AP292" s="44">
        <f>D292</f>
        <v/>
      </c>
    </row>
    <row r="293" hidden="1" ht="15.75" customHeight="1" s="93">
      <c r="A293" s="23" t="inlineStr">
        <is>
          <t>5.0235.0547401.0</t>
        </is>
      </c>
      <c r="B293" s="23" t="inlineStr">
        <is>
          <t>547401</t>
        </is>
      </c>
      <c r="C293" s="29">
        <f>IFERROR(LOWER(SUBSTITUTE(SUBSTITUTE(SUBSTITUTE(SUBSTITUTE(D293," ","-"),"/","-"),".",""),",","")),"")</f>
        <v/>
      </c>
      <c r="D293" s="23" t="inlineStr">
        <is>
          <t>KIT.BO.11.A.A</t>
        </is>
      </c>
      <c r="E293" s="23" t="n"/>
      <c r="F293" s="23" t="inlineStr">
        <is>
          <t>SOHIPREN</t>
        </is>
      </c>
      <c r="G293" s="23" t="n"/>
      <c r="H293" s="23" t="inlineStr">
        <is>
          <t>draft</t>
        </is>
      </c>
      <c r="I293" s="23" t="inlineStr">
        <is>
          <t>CNH - NEW HOLLAND</t>
        </is>
      </c>
      <c r="J293" s="23" t="inlineStr">
        <is>
          <t>COLHEDEIRA CNH</t>
        </is>
      </c>
      <c r="K293" s="23" t="n"/>
      <c r="L293" s="23" t="n"/>
      <c r="M293" s="31" t="n"/>
      <c r="N293" s="31" t="n"/>
      <c r="O293" s="31" t="n"/>
      <c r="P293" s="31" t="n"/>
      <c r="Q293" s="31" t="n"/>
      <c r="R293" s="34">
        <f>IFERROR(IF(AND(O293&gt;0,P293&gt;0,Q293&gt;0),(O293*P293*Q293)/6000,""),"")</f>
        <v/>
      </c>
      <c r="S293" s="34">
        <f>IFERROR(IF(AND(N293&gt;0,R293&gt;0),MAX(N293,R293),IF(N293&gt;0,N293,IF(R293&gt;0,R293,""))),"")</f>
        <v/>
      </c>
      <c r="T293" s="36" t="n"/>
      <c r="U293" s="38" t="inlineStr">
        <is>
          <t>FALTA</t>
        </is>
      </c>
      <c r="V293" s="36" t="n">
        <v>565</v>
      </c>
      <c r="W293" s="39" t="n">
        <v>0.3</v>
      </c>
      <c r="X293" s="41">
        <f>IFERROR(V293+T293,"")</f>
        <v/>
      </c>
      <c r="Y293" s="41">
        <f>IFERROR(IF(W293&lt;1,X293/(1-W293),""),"")</f>
        <v/>
      </c>
      <c r="Z293" s="43">
        <f>'01_CONFIG_GLOBAL'!$C$14</f>
        <v/>
      </c>
      <c r="AA293" s="41">
        <f>IFERROR(Y293*Z293,"")</f>
        <v/>
      </c>
      <c r="AB293" s="41">
        <f>IFERROR(IF(Z293&lt;1,Y293/(1-Z293),""),"")</f>
        <v/>
      </c>
      <c r="AC293" s="23" t="n"/>
      <c r="AD293" s="36" t="n"/>
      <c r="AE293" s="23" t="n"/>
      <c r="AF293" s="36" t="n"/>
      <c r="AG293" s="23" t="n"/>
      <c r="AH293" s="36" t="n"/>
      <c r="AI293" s="41">
        <f>IFERROR(AVERAGE(AD293,AF293,AH293),"")</f>
        <v/>
      </c>
      <c r="AJ293" s="29">
        <f>IFERROR(IF(AI293="","sem dados",IF(AB293&lt;AI293*0.95,"abaixo",IF(AB293&gt;AI293*1.05,"acima","em linha"))),"")</f>
        <v/>
      </c>
      <c r="AK293" s="23" t="inlineStr">
        <is>
          <t>não</t>
        </is>
      </c>
      <c r="AL293" s="23" t="n"/>
      <c r="AM293" s="23" t="n"/>
      <c r="AN293" s="23" t="n"/>
      <c r="AO293" s="44">
        <f>A293</f>
        <v/>
      </c>
      <c r="AP293" s="44">
        <f>D293</f>
        <v/>
      </c>
    </row>
    <row r="294" hidden="1" ht="15.75" customHeight="1" s="93">
      <c r="A294" s="23" t="inlineStr">
        <is>
          <t>5.0235.0547402.0</t>
        </is>
      </c>
      <c r="B294" s="23" t="inlineStr">
        <is>
          <t>547402</t>
        </is>
      </c>
      <c r="C294" s="29">
        <f>IFERROR(LOWER(SUBSTITUTE(SUBSTITUTE(SUBSTITUTE(SUBSTITUTE(D294," ","-"),"/","-"),".",""),",","")),"")</f>
        <v/>
      </c>
      <c r="D294" s="23" t="inlineStr">
        <is>
          <t>KIT.BO.11.B1.A1</t>
        </is>
      </c>
      <c r="E294" s="23" t="n"/>
      <c r="F294" s="23" t="inlineStr">
        <is>
          <t>SOHIPREN</t>
        </is>
      </c>
      <c r="G294" s="23" t="n"/>
      <c r="H294" s="23" t="inlineStr">
        <is>
          <t>draft</t>
        </is>
      </c>
      <c r="I294" s="23" t="inlineStr">
        <is>
          <t>CNH - NEW HOLLAND</t>
        </is>
      </c>
      <c r="J294" s="23" t="inlineStr">
        <is>
          <t>COLHEDEIRA CNH</t>
        </is>
      </c>
      <c r="K294" s="23" t="n"/>
      <c r="L294" s="23" t="n"/>
      <c r="M294" s="31" t="n"/>
      <c r="N294" s="31" t="n"/>
      <c r="O294" s="31" t="n"/>
      <c r="P294" s="31" t="n"/>
      <c r="Q294" s="31" t="n"/>
      <c r="R294" s="34">
        <f>IFERROR(IF(AND(O294&gt;0,P294&gt;0,Q294&gt;0),(O294*P294*Q294)/6000,""),"")</f>
        <v/>
      </c>
      <c r="S294" s="34">
        <f>IFERROR(IF(AND(N294&gt;0,R294&gt;0),MAX(N294,R294),IF(N294&gt;0,N294,IF(R294&gt;0,R294,""))),"")</f>
        <v/>
      </c>
      <c r="T294" s="36" t="n"/>
      <c r="U294" s="38" t="inlineStr">
        <is>
          <t>FALTA</t>
        </is>
      </c>
      <c r="V294" s="36" t="n">
        <v>545</v>
      </c>
      <c r="W294" s="39" t="n">
        <v>0.3</v>
      </c>
      <c r="X294" s="41">
        <f>IFERROR(V294+T294,"")</f>
        <v/>
      </c>
      <c r="Y294" s="41">
        <f>IFERROR(IF(W294&lt;1,X294/(1-W294),""),"")</f>
        <v/>
      </c>
      <c r="Z294" s="43">
        <f>'01_CONFIG_GLOBAL'!$C$14</f>
        <v/>
      </c>
      <c r="AA294" s="41">
        <f>IFERROR(Y294*Z294,"")</f>
        <v/>
      </c>
      <c r="AB294" s="41">
        <f>IFERROR(IF(Z294&lt;1,Y294/(1-Z294),""),"")</f>
        <v/>
      </c>
      <c r="AC294" s="23" t="n"/>
      <c r="AD294" s="36" t="n"/>
      <c r="AE294" s="23" t="n"/>
      <c r="AF294" s="36" t="n"/>
      <c r="AG294" s="23" t="n"/>
      <c r="AH294" s="36" t="n"/>
      <c r="AI294" s="41">
        <f>IFERROR(AVERAGE(AD294,AF294,AH294),"")</f>
        <v/>
      </c>
      <c r="AJ294" s="29">
        <f>IFERROR(IF(AI294="","sem dados",IF(AB294&lt;AI294*0.95,"abaixo",IF(AB294&gt;AI294*1.05,"acima","em linha"))),"")</f>
        <v/>
      </c>
      <c r="AK294" s="23" t="inlineStr">
        <is>
          <t>não</t>
        </is>
      </c>
      <c r="AL294" s="23" t="n"/>
      <c r="AM294" s="23" t="n"/>
      <c r="AN294" s="23" t="n"/>
      <c r="AO294" s="44">
        <f>A294</f>
        <v/>
      </c>
      <c r="AP294" s="44">
        <f>D294</f>
        <v/>
      </c>
    </row>
    <row r="295" hidden="1" ht="15.75" customHeight="1" s="93">
      <c r="A295" s="23" t="inlineStr">
        <is>
          <t>5.0206.0543323.0</t>
        </is>
      </c>
      <c r="B295" s="23" t="inlineStr">
        <is>
          <t>543323</t>
        </is>
      </c>
      <c r="C295" s="29">
        <f>IFERROR(LOWER(SUBSTITUTE(SUBSTITUTE(SUBSTITUTE(SUBSTITUTE(D295," ","-"),"/","-"),".",""),",","")),"")</f>
        <v/>
      </c>
      <c r="D295" s="23" t="inlineStr">
        <is>
          <t>BOD 11 B14.B14.B12.L</t>
        </is>
      </c>
      <c r="E295" s="23" t="inlineStr">
        <is>
          <t>Bombas Hidráulicas</t>
        </is>
      </c>
      <c r="F295" s="23" t="inlineStr">
        <is>
          <t>SOHIPREN</t>
        </is>
      </c>
      <c r="G295" s="23" t="n"/>
      <c r="H295" s="23" t="inlineStr">
        <is>
          <t>draft</t>
        </is>
      </c>
      <c r="I295" s="23" t="inlineStr">
        <is>
          <t>CNH - NEW HOLLAND</t>
        </is>
      </c>
      <c r="J295" s="23" t="inlineStr">
        <is>
          <t>TRATOR 3435/3935/4135</t>
        </is>
      </c>
      <c r="K295" s="23" t="inlineStr">
        <is>
          <t>SISTEMA EXTERNO</t>
        </is>
      </c>
      <c r="L295" s="23" t="inlineStr">
        <is>
          <t>5179724</t>
        </is>
      </c>
      <c r="M295" s="31" t="n"/>
      <c r="N295" s="31" t="n"/>
      <c r="O295" s="31" t="n"/>
      <c r="P295" s="31" t="n"/>
      <c r="Q295" s="31" t="n"/>
      <c r="R295" s="34">
        <f>IFERROR(IF(AND(O295&gt;0,P295&gt;0,Q295&gt;0),(O295*P295*Q295)/6000,""),"")</f>
        <v/>
      </c>
      <c r="S295" s="34">
        <f>IFERROR(IF(AND(N295&gt;0,R295&gt;0),MAX(N295,R295),IF(N295&gt;0,N295,IF(R295&gt;0,R295,""))),"")</f>
        <v/>
      </c>
      <c r="T295" s="36" t="n"/>
      <c r="U295" s="38" t="inlineStr">
        <is>
          <t>FALTA</t>
        </is>
      </c>
      <c r="V295" s="36" t="n">
        <v>1225</v>
      </c>
      <c r="W295" s="39" t="n">
        <v>0.3</v>
      </c>
      <c r="X295" s="41">
        <f>IFERROR(V295+T295,"")</f>
        <v/>
      </c>
      <c r="Y295" s="41">
        <f>IFERROR(IF(W295&lt;1,X295/(1-W295),""),"")</f>
        <v/>
      </c>
      <c r="Z295" s="43">
        <f>'01_CONFIG_GLOBAL'!$C$14</f>
        <v/>
      </c>
      <c r="AA295" s="41">
        <f>IFERROR(Y295*Z295,"")</f>
        <v/>
      </c>
      <c r="AB295" s="41">
        <f>IFERROR(IF(Z295&lt;1,Y295/(1-Z295),""),"")</f>
        <v/>
      </c>
      <c r="AC295" s="23" t="n"/>
      <c r="AD295" s="36" t="n"/>
      <c r="AE295" s="23" t="n"/>
      <c r="AF295" s="36" t="n"/>
      <c r="AG295" s="23" t="n"/>
      <c r="AH295" s="36" t="n"/>
      <c r="AI295" s="41">
        <f>IFERROR(AVERAGE(AD295,AF295,AH295),"")</f>
        <v/>
      </c>
      <c r="AJ295" s="29">
        <f>IFERROR(IF(AI295="","sem dados",IF(AB295&lt;AI295*0.95,"abaixo",IF(AB295&gt;AI295*1.05,"acima","em linha"))),"")</f>
        <v/>
      </c>
      <c r="AK295" s="23" t="inlineStr">
        <is>
          <t>não</t>
        </is>
      </c>
      <c r="AL295" s="23" t="n"/>
      <c r="AM295" s="23" t="n"/>
      <c r="AN295" s="23" t="n"/>
      <c r="AO295" s="44">
        <f>A295</f>
        <v/>
      </c>
      <c r="AP295" s="44">
        <f>D295</f>
        <v/>
      </c>
    </row>
    <row r="296" hidden="1" ht="15.75" customHeight="1" s="93">
      <c r="A296" s="23" t="inlineStr">
        <is>
          <t>5.0207.0544017.0</t>
        </is>
      </c>
      <c r="B296" s="23" t="inlineStr">
        <is>
          <t>544017</t>
        </is>
      </c>
      <c r="C296" s="29">
        <f>IFERROR(LOWER(SUBSTITUTE(SUBSTITUTE(SUBSTITUTE(SUBSTITUTE(D296," ","-"),"/","-"),".",""),",","")),"")</f>
        <v/>
      </c>
      <c r="D296" s="23" t="inlineStr">
        <is>
          <t>BOMBA HIDRÁULICA - APLICAÇÃO 14 B.B.B7.L</t>
        </is>
      </c>
      <c r="E296" s="23" t="inlineStr">
        <is>
          <t>Bombas Hidráulicas</t>
        </is>
      </c>
      <c r="F296" s="23" t="inlineStr">
        <is>
          <t>SOHIPREN</t>
        </is>
      </c>
      <c r="G296" s="23" t="n"/>
      <c r="H296" s="23" t="inlineStr">
        <is>
          <t>draft</t>
        </is>
      </c>
      <c r="I296" s="23" t="inlineStr">
        <is>
          <t>CNH - NEW HOLLAND</t>
        </is>
      </c>
      <c r="J296" s="23" t="inlineStr">
        <is>
          <t>TRATOR</t>
        </is>
      </c>
      <c r="K296" s="23" t="inlineStr">
        <is>
          <t>PRINCIPAL</t>
        </is>
      </c>
      <c r="L296" s="23" t="inlineStr">
        <is>
          <t>5129483/8280127/5179719/1390068/5120849/8282339</t>
        </is>
      </c>
      <c r="M296" s="31" t="n"/>
      <c r="N296" s="31" t="n"/>
      <c r="O296" s="31" t="n"/>
      <c r="P296" s="31" t="n"/>
      <c r="Q296" s="31" t="n"/>
      <c r="R296" s="34">
        <f>IFERROR(IF(AND(O296&gt;0,P296&gt;0,Q296&gt;0),(O296*P296*Q296)/6000,""),"")</f>
        <v/>
      </c>
      <c r="S296" s="34">
        <f>IFERROR(IF(AND(N296&gt;0,R296&gt;0),MAX(N296,R296),IF(N296&gt;0,N296,IF(R296&gt;0,R296,""))),"")</f>
        <v/>
      </c>
      <c r="T296" s="36" t="n"/>
      <c r="U296" s="38" t="inlineStr">
        <is>
          <t>FALTA</t>
        </is>
      </c>
      <c r="V296" s="36" t="n">
        <v>665</v>
      </c>
      <c r="W296" s="39" t="n">
        <v>0.3</v>
      </c>
      <c r="X296" s="41">
        <f>IFERROR(V296+T296,"")</f>
        <v/>
      </c>
      <c r="Y296" s="41">
        <f>IFERROR(IF(W296&lt;1,X296/(1-W296),""),"")</f>
        <v/>
      </c>
      <c r="Z296" s="43">
        <f>'01_CONFIG_GLOBAL'!$C$14</f>
        <v/>
      </c>
      <c r="AA296" s="41">
        <f>IFERROR(Y296*Z296,"")</f>
        <v/>
      </c>
      <c r="AB296" s="41">
        <f>IFERROR(IF(Z296&lt;1,Y296/(1-Z296),""),"")</f>
        <v/>
      </c>
      <c r="AC296" s="23" t="n"/>
      <c r="AD296" s="36" t="n"/>
      <c r="AE296" s="23" t="n"/>
      <c r="AF296" s="36" t="n"/>
      <c r="AG296" s="23" t="n"/>
      <c r="AH296" s="36" t="n"/>
      <c r="AI296" s="41">
        <f>IFERROR(AVERAGE(AD296,AF296,AH296),"")</f>
        <v/>
      </c>
      <c r="AJ296" s="29">
        <f>IFERROR(IF(AI296="","sem dados",IF(AB296&lt;AI296*0.95,"abaixo",IF(AB296&gt;AI296*1.05,"acima","em linha"))),"")</f>
        <v/>
      </c>
      <c r="AK296" s="23" t="inlineStr">
        <is>
          <t>não</t>
        </is>
      </c>
      <c r="AL296" s="23" t="n"/>
      <c r="AM296" s="23" t="n"/>
      <c r="AN296" s="23" t="n"/>
      <c r="AO296" s="44">
        <f>A296</f>
        <v/>
      </c>
      <c r="AP296" s="44">
        <f>D296</f>
        <v/>
      </c>
    </row>
    <row r="297" hidden="1" ht="15.75" customHeight="1" s="93">
      <c r="A297" s="23" t="inlineStr">
        <is>
          <t>5.0207.0544049.0</t>
        </is>
      </c>
      <c r="B297" s="23" t="inlineStr">
        <is>
          <t>544049</t>
        </is>
      </c>
      <c r="C297" s="29">
        <f>IFERROR(LOWER(SUBSTITUTE(SUBSTITUTE(SUBSTITUTE(SUBSTITUTE(D297," ","-"),"/","-"),".",""),",","")),"")</f>
        <v/>
      </c>
      <c r="D297" s="23" t="inlineStr">
        <is>
          <t>BOD 14 B.B.B7.L</t>
        </is>
      </c>
      <c r="E297" s="23" t="inlineStr">
        <is>
          <t>Bombas Hidráulicas</t>
        </is>
      </c>
      <c r="F297" s="23" t="inlineStr">
        <is>
          <t>SOHIPREN</t>
        </is>
      </c>
      <c r="G297" s="23" t="n"/>
      <c r="H297" s="23" t="inlineStr">
        <is>
          <t>draft</t>
        </is>
      </c>
      <c r="I297" s="23" t="inlineStr">
        <is>
          <t>CNH - NEW HOLLAND</t>
        </is>
      </c>
      <c r="J297" s="23" t="inlineStr">
        <is>
          <t>TRATOR</t>
        </is>
      </c>
      <c r="K297" s="23" t="inlineStr">
        <is>
          <t>TRANSMISSÃO</t>
        </is>
      </c>
      <c r="L297" s="23" t="inlineStr">
        <is>
          <t>82991204-F000510503-4179728/51294868282886</t>
        </is>
      </c>
      <c r="M297" s="31" t="n"/>
      <c r="N297" s="31" t="n"/>
      <c r="O297" s="31" t="n"/>
      <c r="P297" s="31" t="n"/>
      <c r="Q297" s="31" t="n"/>
      <c r="R297" s="34">
        <f>IFERROR(IF(AND(O297&gt;0,P297&gt;0,Q297&gt;0),(O297*P297*Q297)/6000,""),"")</f>
        <v/>
      </c>
      <c r="S297" s="34">
        <f>IFERROR(IF(AND(N297&gt;0,R297&gt;0),MAX(N297,R297),IF(N297&gt;0,N297,IF(R297&gt;0,R297,""))),"")</f>
        <v/>
      </c>
      <c r="T297" s="36" t="n"/>
      <c r="U297" s="38" t="inlineStr">
        <is>
          <t>FALTA</t>
        </is>
      </c>
      <c r="V297" s="36" t="n">
        <v>777.78</v>
      </c>
      <c r="W297" s="39" t="n">
        <v>0.3</v>
      </c>
      <c r="X297" s="41">
        <f>IFERROR(V297+T297,"")</f>
        <v/>
      </c>
      <c r="Y297" s="41">
        <f>IFERROR(IF(W297&lt;1,X297/(1-W297),""),"")</f>
        <v/>
      </c>
      <c r="Z297" s="43">
        <f>'01_CONFIG_GLOBAL'!$C$14</f>
        <v/>
      </c>
      <c r="AA297" s="41">
        <f>IFERROR(Y297*Z297,"")</f>
        <v/>
      </c>
      <c r="AB297" s="41">
        <f>IFERROR(IF(Z297&lt;1,Y297/(1-Z297),""),"")</f>
        <v/>
      </c>
      <c r="AC297" s="23" t="n"/>
      <c r="AD297" s="36" t="n"/>
      <c r="AE297" s="23" t="n"/>
      <c r="AF297" s="36" t="n"/>
      <c r="AG297" s="23" t="n"/>
      <c r="AH297" s="36" t="n"/>
      <c r="AI297" s="41">
        <f>IFERROR(AVERAGE(AD297,AF297,AH297),"")</f>
        <v/>
      </c>
      <c r="AJ297" s="29">
        <f>IFERROR(IF(AI297="","sem dados",IF(AB297&lt;AI297*0.95,"abaixo",IF(AB297&gt;AI297*1.05,"acima","em linha"))),"")</f>
        <v/>
      </c>
      <c r="AK297" s="23" t="inlineStr">
        <is>
          <t>não</t>
        </is>
      </c>
      <c r="AL297" s="23" t="n"/>
      <c r="AM297" s="23" t="n"/>
      <c r="AN297" s="23" t="n"/>
      <c r="AO297" s="44">
        <f>A297</f>
        <v/>
      </c>
      <c r="AP297" s="44">
        <f>D297</f>
        <v/>
      </c>
    </row>
    <row r="298" hidden="1" ht="15.75" customHeight="1" s="93">
      <c r="A298" s="23" t="inlineStr">
        <is>
          <t>5.0206.0543209.0</t>
        </is>
      </c>
      <c r="B298" s="23" t="inlineStr">
        <is>
          <t>543209</t>
        </is>
      </c>
      <c r="C298" s="29">
        <f>IFERROR(LOWER(SUBSTITUTE(SUBSTITUTE(SUBSTITUTE(SUBSTITUTE(D298," ","-"),"/","-"),".",""),",","")),"")</f>
        <v/>
      </c>
      <c r="D298" s="23" t="inlineStr">
        <is>
          <t>BOMBA HIDRÁULICA - APLICAÇÃO 11 F4.A2.A42.L</t>
        </is>
      </c>
      <c r="E298" s="23" t="inlineStr">
        <is>
          <t>Bombas Hidráulicas</t>
        </is>
      </c>
      <c r="F298" s="23" t="inlineStr">
        <is>
          <t>SOHIPREN</t>
        </is>
      </c>
      <c r="G298" s="23" t="n"/>
      <c r="H298" s="23" t="inlineStr">
        <is>
          <t>draft</t>
        </is>
      </c>
      <c r="I298" s="23" t="inlineStr">
        <is>
          <t>CNH - NEW HOLLAND</t>
        </is>
      </c>
      <c r="J298" s="23" t="inlineStr">
        <is>
          <t>COLHEITADEIRA CLAYSON</t>
        </is>
      </c>
      <c r="K298" s="23" t="inlineStr">
        <is>
          <t>PRINCIPAL</t>
        </is>
      </c>
      <c r="L298" s="23" t="inlineStr">
        <is>
          <t>465388</t>
        </is>
      </c>
      <c r="M298" s="31" t="n"/>
      <c r="N298" s="31" t="n"/>
      <c r="O298" s="31" t="n"/>
      <c r="P298" s="31" t="n"/>
      <c r="Q298" s="31" t="n"/>
      <c r="R298" s="34">
        <f>IFERROR(IF(AND(O298&gt;0,P298&gt;0,Q298&gt;0),(O298*P298*Q298)/6000,""),"")</f>
        <v/>
      </c>
      <c r="S298" s="34">
        <f>IFERROR(IF(AND(N298&gt;0,R298&gt;0),MAX(N298,R298),IF(N298&gt;0,N298,IF(R298&gt;0,R298,""))),"")</f>
        <v/>
      </c>
      <c r="T298" s="36" t="n"/>
      <c r="U298" s="38" t="inlineStr">
        <is>
          <t>FALTA</t>
        </is>
      </c>
      <c r="V298" s="36" t="n">
        <v>620</v>
      </c>
      <c r="W298" s="39" t="n">
        <v>0.3</v>
      </c>
      <c r="X298" s="41">
        <f>IFERROR(V298+T298,"")</f>
        <v/>
      </c>
      <c r="Y298" s="41">
        <f>IFERROR(IF(W298&lt;1,X298/(1-W298),""),"")</f>
        <v/>
      </c>
      <c r="Z298" s="43">
        <f>'01_CONFIG_GLOBAL'!$C$14</f>
        <v/>
      </c>
      <c r="AA298" s="41">
        <f>IFERROR(Y298*Z298,"")</f>
        <v/>
      </c>
      <c r="AB298" s="41">
        <f>IFERROR(IF(Z298&lt;1,Y298/(1-Z298),""),"")</f>
        <v/>
      </c>
      <c r="AC298" s="23" t="n"/>
      <c r="AD298" s="36" t="n"/>
      <c r="AE298" s="23" t="n"/>
      <c r="AF298" s="36" t="n"/>
      <c r="AG298" s="23" t="n"/>
      <c r="AH298" s="36" t="n"/>
      <c r="AI298" s="41">
        <f>IFERROR(AVERAGE(AD298,AF298,AH298),"")</f>
        <v/>
      </c>
      <c r="AJ298" s="29">
        <f>IFERROR(IF(AI298="","sem dados",IF(AB298&lt;AI298*0.95,"abaixo",IF(AB298&gt;AI298*1.05,"acima","em linha"))),"")</f>
        <v/>
      </c>
      <c r="AK298" s="23" t="inlineStr">
        <is>
          <t>não</t>
        </is>
      </c>
      <c r="AL298" s="23" t="n"/>
      <c r="AM298" s="23" t="n"/>
      <c r="AN298" s="23" t="n"/>
      <c r="AO298" s="44">
        <f>A298</f>
        <v/>
      </c>
      <c r="AP298" s="44">
        <f>D298</f>
        <v/>
      </c>
    </row>
    <row r="299" hidden="1" ht="15.75" customHeight="1" s="93">
      <c r="A299" s="23" t="inlineStr">
        <is>
          <t>5.0206.0543206.0</t>
        </is>
      </c>
      <c r="B299" s="23" t="inlineStr">
        <is>
          <t>543206</t>
        </is>
      </c>
      <c r="C299" s="29">
        <f>IFERROR(LOWER(SUBSTITUTE(SUBSTITUTE(SUBSTITUTE(SUBSTITUTE(D299," ","-"),"/","-"),".",""),",","")),"")</f>
        <v/>
      </c>
      <c r="D299" s="23" t="inlineStr">
        <is>
          <t>BOMBA HIDRÁULICA - APLICAÇÃO 11 B2.P4.A14.D5  9-110+10 BAR</t>
        </is>
      </c>
      <c r="E299" s="23" t="inlineStr">
        <is>
          <t>Bombas Hidráulicas</t>
        </is>
      </c>
      <c r="F299" s="23" t="inlineStr">
        <is>
          <t>SOHIPREN</t>
        </is>
      </c>
      <c r="G299" s="23" t="n"/>
      <c r="H299" s="23" t="inlineStr">
        <is>
          <t>draft</t>
        </is>
      </c>
      <c r="I299" s="23" t="inlineStr">
        <is>
          <t>CNH - NEW HOLLAND</t>
        </is>
      </c>
      <c r="J299" s="23" t="inlineStr">
        <is>
          <t>COLHEITADEIRA</t>
        </is>
      </c>
      <c r="K299" s="23" t="inlineStr">
        <is>
          <t>PRINCIPAL</t>
        </is>
      </c>
      <c r="L299" s="23" t="inlineStr">
        <is>
          <t>468451</t>
        </is>
      </c>
      <c r="M299" s="31" t="n"/>
      <c r="N299" s="31" t="n"/>
      <c r="O299" s="31" t="n"/>
      <c r="P299" s="31" t="n"/>
      <c r="Q299" s="31" t="n"/>
      <c r="R299" s="34">
        <f>IFERROR(IF(AND(O299&gt;0,P299&gt;0,Q299&gt;0),(O299*P299*Q299)/6000,""),"")</f>
        <v/>
      </c>
      <c r="S299" s="34">
        <f>IFERROR(IF(AND(N299&gt;0,R299&gt;0),MAX(N299,R299),IF(N299&gt;0,N299,IF(R299&gt;0,R299,""))),"")</f>
        <v/>
      </c>
      <c r="T299" s="36" t="n"/>
      <c r="U299" s="38" t="inlineStr">
        <is>
          <t>FALTA</t>
        </is>
      </c>
      <c r="V299" s="36" t="n">
        <v>550</v>
      </c>
      <c r="W299" s="39" t="n">
        <v>0.3</v>
      </c>
      <c r="X299" s="41">
        <f>IFERROR(V299+T299,"")</f>
        <v/>
      </c>
      <c r="Y299" s="41">
        <f>IFERROR(IF(W299&lt;1,X299/(1-W299),""),"")</f>
        <v/>
      </c>
      <c r="Z299" s="43">
        <f>'01_CONFIG_GLOBAL'!$C$14</f>
        <v/>
      </c>
      <c r="AA299" s="41">
        <f>IFERROR(Y299*Z299,"")</f>
        <v/>
      </c>
      <c r="AB299" s="41">
        <f>IFERROR(IF(Z299&lt;1,Y299/(1-Z299),""),"")</f>
        <v/>
      </c>
      <c r="AC299" s="23" t="n"/>
      <c r="AD299" s="36" t="n"/>
      <c r="AE299" s="23" t="n"/>
      <c r="AF299" s="36" t="n"/>
      <c r="AG299" s="23" t="n"/>
      <c r="AH299" s="36" t="n"/>
      <c r="AI299" s="41">
        <f>IFERROR(AVERAGE(AD299,AF299,AH299),"")</f>
        <v/>
      </c>
      <c r="AJ299" s="29">
        <f>IFERROR(IF(AI299="","sem dados",IF(AB299&lt;AI299*0.95,"abaixo",IF(AB299&gt;AI299*1.05,"acima","em linha"))),"")</f>
        <v/>
      </c>
      <c r="AK299" s="23" t="inlineStr">
        <is>
          <t>não</t>
        </is>
      </c>
      <c r="AL299" s="23" t="n"/>
      <c r="AM299" s="23" t="n"/>
      <c r="AN299" s="23" t="n"/>
      <c r="AO299" s="44">
        <f>A299</f>
        <v/>
      </c>
      <c r="AP299" s="44">
        <f>D299</f>
        <v/>
      </c>
    </row>
    <row r="300" hidden="1" ht="15.75" customHeight="1" s="93">
      <c r="A300" s="23" t="inlineStr">
        <is>
          <t>5.0209.0545666.0</t>
        </is>
      </c>
      <c r="B300" s="23" t="inlineStr">
        <is>
          <t>545666</t>
        </is>
      </c>
      <c r="C300" s="29">
        <f>IFERROR(LOWER(SUBSTITUTE(SUBSTITUTE(SUBSTITUTE(SUBSTITUTE(D300," ","-"),"/","-"),".",""),",","")),"")</f>
        <v/>
      </c>
      <c r="D300" s="23" t="inlineStr">
        <is>
          <t>BOD 19 B.B.B7.L</t>
        </is>
      </c>
      <c r="E300" s="23" t="inlineStr">
        <is>
          <t>Bombas Hidráulicas</t>
        </is>
      </c>
      <c r="F300" s="23" t="inlineStr">
        <is>
          <t>SOHIPREN</t>
        </is>
      </c>
      <c r="G300" s="23" t="n"/>
      <c r="H300" s="23" t="inlineStr">
        <is>
          <t>draft</t>
        </is>
      </c>
      <c r="I300" s="23" t="inlineStr">
        <is>
          <t>CNH - NEW HOLLAND</t>
        </is>
      </c>
      <c r="J300" s="23" t="inlineStr">
        <is>
          <t>TRATOR</t>
        </is>
      </c>
      <c r="K300" s="23" t="inlineStr">
        <is>
          <t>HIDRAULICO</t>
        </is>
      </c>
      <c r="L300" s="23" t="inlineStr">
        <is>
          <t>F000510603/82991189/11101019018/99061005/051062506</t>
        </is>
      </c>
      <c r="M300" s="31" t="n"/>
      <c r="N300" s="31" t="n"/>
      <c r="O300" s="31" t="n"/>
      <c r="P300" s="31" t="n"/>
      <c r="Q300" s="31" t="n"/>
      <c r="R300" s="34">
        <f>IFERROR(IF(AND(O300&gt;0,P300&gt;0,Q300&gt;0),(O300*P300*Q300)/6000,""),"")</f>
        <v/>
      </c>
      <c r="S300" s="34">
        <f>IFERROR(IF(AND(N300&gt;0,R300&gt;0),MAX(N300,R300),IF(N300&gt;0,N300,IF(R300&gt;0,R300,""))),"")</f>
        <v/>
      </c>
      <c r="T300" s="36" t="n"/>
      <c r="U300" s="38" t="inlineStr">
        <is>
          <t>FALTA</t>
        </is>
      </c>
      <c r="V300" s="36" t="n">
        <v>665</v>
      </c>
      <c r="W300" s="39" t="n">
        <v>0.3</v>
      </c>
      <c r="X300" s="41">
        <f>IFERROR(V300+T300,"")</f>
        <v/>
      </c>
      <c r="Y300" s="41">
        <f>IFERROR(IF(W300&lt;1,X300/(1-W300),""),"")</f>
        <v/>
      </c>
      <c r="Z300" s="43">
        <f>'01_CONFIG_GLOBAL'!$C$14</f>
        <v/>
      </c>
      <c r="AA300" s="41">
        <f>IFERROR(Y300*Z300,"")</f>
        <v/>
      </c>
      <c r="AB300" s="41">
        <f>IFERROR(IF(Z300&lt;1,Y300/(1-Z300),""),"")</f>
        <v/>
      </c>
      <c r="AC300" s="23" t="n"/>
      <c r="AD300" s="36" t="n"/>
      <c r="AE300" s="23" t="n"/>
      <c r="AF300" s="36" t="n"/>
      <c r="AG300" s="23" t="n"/>
      <c r="AH300" s="36" t="n"/>
      <c r="AI300" s="41">
        <f>IFERROR(AVERAGE(AD300,AF300,AH300),"")</f>
        <v/>
      </c>
      <c r="AJ300" s="29">
        <f>IFERROR(IF(AI300="","sem dados",IF(AB300&lt;AI300*0.95,"abaixo",IF(AB300&gt;AI300*1.05,"acima","em linha"))),"")</f>
        <v/>
      </c>
      <c r="AK300" s="23" t="inlineStr">
        <is>
          <t>não</t>
        </is>
      </c>
      <c r="AL300" s="23" t="n"/>
      <c r="AM300" s="23" t="n"/>
      <c r="AN300" s="23" t="n"/>
      <c r="AO300" s="44">
        <f>A300</f>
        <v/>
      </c>
      <c r="AP300" s="44">
        <f>D300</f>
        <v/>
      </c>
    </row>
    <row r="301" hidden="1" ht="15.75" customHeight="1" s="93">
      <c r="A301" s="23" t="inlineStr">
        <is>
          <t>5.0209.0545663.0</t>
        </is>
      </c>
      <c r="B301" s="23" t="inlineStr">
        <is>
          <t>545663</t>
        </is>
      </c>
      <c r="C301" s="29">
        <f>IFERROR(LOWER(SUBSTITUTE(SUBSTITUTE(SUBSTITUTE(SUBSTITUTE(D301," ","-"),"/","-"),".",""),",","")),"")</f>
        <v/>
      </c>
      <c r="D301" s="23" t="inlineStr">
        <is>
          <t>BOMBA HIDRÁULICA - APLICAÇÃO 19 B.B.B7.L</t>
        </is>
      </c>
      <c r="E301" s="23" t="inlineStr">
        <is>
          <t>Bombas Hidráulicas</t>
        </is>
      </c>
      <c r="F301" s="23" t="inlineStr">
        <is>
          <t>SOHIPREN</t>
        </is>
      </c>
      <c r="G301" s="23" t="n"/>
      <c r="H301" s="23" t="inlineStr">
        <is>
          <t>draft</t>
        </is>
      </c>
      <c r="I301" s="23" t="inlineStr">
        <is>
          <t>CNH - NEW HOLLAND</t>
        </is>
      </c>
      <c r="J301" s="23" t="inlineStr">
        <is>
          <t>TRATOR</t>
        </is>
      </c>
      <c r="K301" s="23" t="inlineStr">
        <is>
          <t>PRINCIPAL</t>
        </is>
      </c>
      <c r="L301" s="23" t="inlineStr">
        <is>
          <t>82827044/5179714/0510625362/F000510605</t>
        </is>
      </c>
      <c r="M301" s="31" t="n"/>
      <c r="N301" s="31" t="n"/>
      <c r="O301" s="31" t="n"/>
      <c r="P301" s="31" t="n"/>
      <c r="Q301" s="31" t="n"/>
      <c r="R301" s="34">
        <f>IFERROR(IF(AND(O301&gt;0,P301&gt;0,Q301&gt;0),(O301*P301*Q301)/6000,""),"")</f>
        <v/>
      </c>
      <c r="S301" s="34">
        <f>IFERROR(IF(AND(N301&gt;0,R301&gt;0),MAX(N301,R301),IF(N301&gt;0,N301,IF(R301&gt;0,R301,""))),"")</f>
        <v/>
      </c>
      <c r="T301" s="36" t="n"/>
      <c r="U301" s="38" t="inlineStr">
        <is>
          <t>FALTA</t>
        </is>
      </c>
      <c r="V301" s="36" t="n">
        <v>825</v>
      </c>
      <c r="W301" s="39" t="n">
        <v>0.3</v>
      </c>
      <c r="X301" s="41">
        <f>IFERROR(V301+T301,"")</f>
        <v/>
      </c>
      <c r="Y301" s="41">
        <f>IFERROR(IF(W301&lt;1,X301/(1-W301),""),"")</f>
        <v/>
      </c>
      <c r="Z301" s="43">
        <f>'01_CONFIG_GLOBAL'!$C$14</f>
        <v/>
      </c>
      <c r="AA301" s="41">
        <f>IFERROR(Y301*Z301,"")</f>
        <v/>
      </c>
      <c r="AB301" s="41">
        <f>IFERROR(IF(Z301&lt;1,Y301/(1-Z301),""),"")</f>
        <v/>
      </c>
      <c r="AC301" s="23" t="n"/>
      <c r="AD301" s="36" t="n"/>
      <c r="AE301" s="23" t="n"/>
      <c r="AF301" s="36" t="n"/>
      <c r="AG301" s="23" t="n"/>
      <c r="AH301" s="36" t="n"/>
      <c r="AI301" s="41">
        <f>IFERROR(AVERAGE(AD301,AF301,AH301),"")</f>
        <v/>
      </c>
      <c r="AJ301" s="29">
        <f>IFERROR(IF(AI301="","sem dados",IF(AB301&lt;AI301*0.95,"abaixo",IF(AB301&gt;AI301*1.05,"acima","em linha"))),"")</f>
        <v/>
      </c>
      <c r="AK301" s="23" t="inlineStr">
        <is>
          <t>não</t>
        </is>
      </c>
      <c r="AL301" s="23" t="n"/>
      <c r="AM301" s="23" t="n"/>
      <c r="AN301" s="23" t="n"/>
      <c r="AO301" s="44">
        <f>A301</f>
        <v/>
      </c>
      <c r="AP301" s="44">
        <f>D301</f>
        <v/>
      </c>
    </row>
    <row r="302" hidden="1" ht="15.75" customHeight="1" s="93">
      <c r="A302" s="23" t="inlineStr">
        <is>
          <t>5.0209.0545603.0</t>
        </is>
      </c>
      <c r="B302" s="23" t="inlineStr">
        <is>
          <t>545603</t>
        </is>
      </c>
      <c r="C302" s="29">
        <f>IFERROR(LOWER(SUBSTITUTE(SUBSTITUTE(SUBSTITUTE(SUBSTITUTE(D302," ","-"),"/","-"),".",""),",","")),"")</f>
        <v/>
      </c>
      <c r="D302" s="23" t="inlineStr">
        <is>
          <t>BOMBA HIDRÁULICA - APLICAÇÃO 19 B.B.B.L</t>
        </is>
      </c>
      <c r="E302" s="23" t="inlineStr">
        <is>
          <t>Bombas Hidráulicas</t>
        </is>
      </c>
      <c r="F302" s="23" t="inlineStr">
        <is>
          <t>SOHIPREN</t>
        </is>
      </c>
      <c r="G302" s="23" t="n"/>
      <c r="H302" s="23" t="inlineStr">
        <is>
          <t>draft</t>
        </is>
      </c>
      <c r="I302" s="23" t="inlineStr">
        <is>
          <t>CNH - NEW HOLLAND</t>
        </is>
      </c>
      <c r="J302" s="23" t="inlineStr">
        <is>
          <t>TRATOR FORD</t>
        </is>
      </c>
      <c r="K302" s="23" t="inlineStr">
        <is>
          <t>BOMBA DO LEVANTE</t>
        </is>
      </c>
      <c r="L302" s="23" t="inlineStr">
        <is>
          <t>9577898</t>
        </is>
      </c>
      <c r="M302" s="31" t="n"/>
      <c r="N302" s="31" t="n"/>
      <c r="O302" s="31" t="n"/>
      <c r="P302" s="31" t="n"/>
      <c r="Q302" s="31" t="n"/>
      <c r="R302" s="34">
        <f>IFERROR(IF(AND(O302&gt;0,P302&gt;0,Q302&gt;0),(O302*P302*Q302)/6000,""),"")</f>
        <v/>
      </c>
      <c r="S302" s="34">
        <f>IFERROR(IF(AND(N302&gt;0,R302&gt;0),MAX(N302,R302),IF(N302&gt;0,N302,IF(R302&gt;0,R302,""))),"")</f>
        <v/>
      </c>
      <c r="T302" s="36" t="n"/>
      <c r="U302" s="38" t="inlineStr">
        <is>
          <t>FALTA</t>
        </is>
      </c>
      <c r="V302" s="36" t="n">
        <v>550</v>
      </c>
      <c r="W302" s="39" t="n">
        <v>0.3</v>
      </c>
      <c r="X302" s="41">
        <f>IFERROR(V302+T302,"")</f>
        <v/>
      </c>
      <c r="Y302" s="41">
        <f>IFERROR(IF(W302&lt;1,X302/(1-W302),""),"")</f>
        <v/>
      </c>
      <c r="Z302" s="43">
        <f>'01_CONFIG_GLOBAL'!$C$14</f>
        <v/>
      </c>
      <c r="AA302" s="41">
        <f>IFERROR(Y302*Z302,"")</f>
        <v/>
      </c>
      <c r="AB302" s="41">
        <f>IFERROR(IF(Z302&lt;1,Y302/(1-Z302),""),"")</f>
        <v/>
      </c>
      <c r="AC302" s="23" t="n"/>
      <c r="AD302" s="36" t="n"/>
      <c r="AE302" s="23" t="n"/>
      <c r="AF302" s="36" t="n"/>
      <c r="AG302" s="23" t="n"/>
      <c r="AH302" s="36" t="n"/>
      <c r="AI302" s="41">
        <f>IFERROR(AVERAGE(AD302,AF302,AH302),"")</f>
        <v/>
      </c>
      <c r="AJ302" s="29">
        <f>IFERROR(IF(AI302="","sem dados",IF(AB302&lt;AI302*0.95,"abaixo",IF(AB302&gt;AI302*1.05,"acima","em linha"))),"")</f>
        <v/>
      </c>
      <c r="AK302" s="23" t="inlineStr">
        <is>
          <t>não</t>
        </is>
      </c>
      <c r="AL302" s="23" t="n"/>
      <c r="AM302" s="23" t="n"/>
      <c r="AN302" s="23" t="n"/>
      <c r="AO302" s="44">
        <f>A302</f>
        <v/>
      </c>
      <c r="AP302" s="44">
        <f>D302</f>
        <v/>
      </c>
    </row>
    <row r="303" hidden="1" ht="15.75" customHeight="1" s="93">
      <c r="A303" s="23" t="inlineStr">
        <is>
          <t>5.0208.0544886.0</t>
        </is>
      </c>
      <c r="B303" s="23" t="inlineStr">
        <is>
          <t>544886</t>
        </is>
      </c>
      <c r="C303" s="29">
        <f>IFERROR(LOWER(SUBSTITUTE(SUBSTITUTE(SUBSTITUTE(SUBSTITUTE(D303," ","-"),"/","-"),".",""),",","")),"")</f>
        <v/>
      </c>
      <c r="D303" s="23" t="inlineStr">
        <is>
          <t>BOMBA HIDRÁULICA - APLICAÇÃO 16 B1.P1.A4.L</t>
        </is>
      </c>
      <c r="E303" s="23" t="inlineStr">
        <is>
          <t>Bombas Hidráulicas</t>
        </is>
      </c>
      <c r="F303" s="23" t="inlineStr">
        <is>
          <t>SOHIPREN</t>
        </is>
      </c>
      <c r="G303" s="23" t="n"/>
      <c r="H303" s="23" t="inlineStr">
        <is>
          <t>draft</t>
        </is>
      </c>
      <c r="I303" s="23" t="inlineStr">
        <is>
          <t>CNH - NEW HOLLAND</t>
        </is>
      </c>
      <c r="J303" s="23" t="inlineStr">
        <is>
          <t>COLHEITAIDRA</t>
        </is>
      </c>
      <c r="K303" s="23" t="n"/>
      <c r="L303" s="23" t="inlineStr">
        <is>
          <t>823802T1-0510625315-11111016015-9016101315</t>
        </is>
      </c>
      <c r="M303" s="31" t="n"/>
      <c r="N303" s="31" t="n"/>
      <c r="O303" s="31" t="n"/>
      <c r="P303" s="31" t="n"/>
      <c r="Q303" s="31" t="n"/>
      <c r="R303" s="34">
        <f>IFERROR(IF(AND(O303&gt;0,P303&gt;0,Q303&gt;0),(O303*P303*Q303)/6000,""),"")</f>
        <v/>
      </c>
      <c r="S303" s="34">
        <f>IFERROR(IF(AND(N303&gt;0,R303&gt;0),MAX(N303,R303),IF(N303&gt;0,N303,IF(R303&gt;0,R303,""))),"")</f>
        <v/>
      </c>
      <c r="T303" s="36" t="n"/>
      <c r="U303" s="38" t="inlineStr">
        <is>
          <t>FALTA</t>
        </is>
      </c>
      <c r="V303" s="36" t="n">
        <v>517</v>
      </c>
      <c r="W303" s="39" t="n">
        <v>0.3</v>
      </c>
      <c r="X303" s="41">
        <f>IFERROR(V303+T303,"")</f>
        <v/>
      </c>
      <c r="Y303" s="41">
        <f>IFERROR(IF(W303&lt;1,X303/(1-W303),""),"")</f>
        <v/>
      </c>
      <c r="Z303" s="43">
        <f>'01_CONFIG_GLOBAL'!$C$14</f>
        <v/>
      </c>
      <c r="AA303" s="41">
        <f>IFERROR(Y303*Z303,"")</f>
        <v/>
      </c>
      <c r="AB303" s="41">
        <f>IFERROR(IF(Z303&lt;1,Y303/(1-Z303),""),"")</f>
        <v/>
      </c>
      <c r="AC303" s="23" t="n"/>
      <c r="AD303" s="36" t="n"/>
      <c r="AE303" s="23" t="n"/>
      <c r="AF303" s="36" t="n"/>
      <c r="AG303" s="23" t="n"/>
      <c r="AH303" s="36" t="n"/>
      <c r="AI303" s="41">
        <f>IFERROR(AVERAGE(AD303,AF303,AH303),"")</f>
        <v/>
      </c>
      <c r="AJ303" s="29">
        <f>IFERROR(IF(AI303="","sem dados",IF(AB303&lt;AI303*0.95,"abaixo",IF(AB303&gt;AI303*1.05,"acima","em linha"))),"")</f>
        <v/>
      </c>
      <c r="AK303" s="23" t="inlineStr">
        <is>
          <t>não</t>
        </is>
      </c>
      <c r="AL303" s="23" t="n"/>
      <c r="AM303" s="23" t="n"/>
      <c r="AN303" s="23" t="n"/>
      <c r="AO303" s="44">
        <f>A303</f>
        <v/>
      </c>
      <c r="AP303" s="44">
        <f>D303</f>
        <v/>
      </c>
    </row>
    <row r="304" hidden="1" ht="15.75" customHeight="1" s="93">
      <c r="A304" s="23" t="inlineStr">
        <is>
          <t>5.0208.0544932.0</t>
        </is>
      </c>
      <c r="B304" s="23" t="inlineStr">
        <is>
          <t>544932</t>
        </is>
      </c>
      <c r="C304" s="29">
        <f>IFERROR(LOWER(SUBSTITUTE(SUBSTITUTE(SUBSTITUTE(SUBSTITUTE(D304," ","-"),"/","-"),".",""),",","")),"")</f>
        <v/>
      </c>
      <c r="D304" s="23" t="inlineStr">
        <is>
          <t>BOMBA HIDRÁULICA - APLICAÇÃO 16 E9.B2.B2.L</t>
        </is>
      </c>
      <c r="E304" s="23" t="inlineStr">
        <is>
          <t>Bombas Hidráulicas</t>
        </is>
      </c>
      <c r="F304" s="23" t="inlineStr">
        <is>
          <t>SOHIPREN</t>
        </is>
      </c>
      <c r="G304" s="23" t="n"/>
      <c r="H304" s="23" t="inlineStr">
        <is>
          <t>draft</t>
        </is>
      </c>
      <c r="I304" s="23" t="inlineStr">
        <is>
          <t>CNH - NEW HOLLAND - CASE</t>
        </is>
      </c>
      <c r="J304" s="23" t="inlineStr">
        <is>
          <t>TRATOR DE PNEUS</t>
        </is>
      </c>
      <c r="K304" s="23" t="inlineStr">
        <is>
          <t>AUXILIAR</t>
        </is>
      </c>
      <c r="L304" s="23" t="inlineStr">
        <is>
          <t>73335602</t>
        </is>
      </c>
      <c r="M304" s="31" t="n"/>
      <c r="N304" s="31" t="n"/>
      <c r="O304" s="31" t="n"/>
      <c r="P304" s="31" t="n"/>
      <c r="Q304" s="31" t="n"/>
      <c r="R304" s="34">
        <f>IFERROR(IF(AND(O304&gt;0,P304&gt;0,Q304&gt;0),(O304*P304*Q304)/6000,""),"")</f>
        <v/>
      </c>
      <c r="S304" s="34">
        <f>IFERROR(IF(AND(N304&gt;0,R304&gt;0),MAX(N304,R304),IF(N304&gt;0,N304,IF(R304&gt;0,R304,""))),"")</f>
        <v/>
      </c>
      <c r="T304" s="36" t="n"/>
      <c r="U304" s="38" t="inlineStr">
        <is>
          <t>FALTA</t>
        </is>
      </c>
      <c r="V304" s="36" t="n">
        <v>605</v>
      </c>
      <c r="W304" s="39" t="n">
        <v>0.3</v>
      </c>
      <c r="X304" s="41">
        <f>IFERROR(V304+T304,"")</f>
        <v/>
      </c>
      <c r="Y304" s="41">
        <f>IFERROR(IF(W304&lt;1,X304/(1-W304),""),"")</f>
        <v/>
      </c>
      <c r="Z304" s="43">
        <f>'01_CONFIG_GLOBAL'!$C$14</f>
        <v/>
      </c>
      <c r="AA304" s="41">
        <f>IFERROR(Y304*Z304,"")</f>
        <v/>
      </c>
      <c r="AB304" s="41">
        <f>IFERROR(IF(Z304&lt;1,Y304/(1-Z304),""),"")</f>
        <v/>
      </c>
      <c r="AC304" s="23" t="n"/>
      <c r="AD304" s="36" t="n"/>
      <c r="AE304" s="23" t="n"/>
      <c r="AF304" s="36" t="n"/>
      <c r="AG304" s="23" t="n"/>
      <c r="AH304" s="36" t="n"/>
      <c r="AI304" s="41">
        <f>IFERROR(AVERAGE(AD304,AF304,AH304),"")</f>
        <v/>
      </c>
      <c r="AJ304" s="29">
        <f>IFERROR(IF(AI304="","sem dados",IF(AB304&lt;AI304*0.95,"abaixo",IF(AB304&gt;AI304*1.05,"acima","em linha"))),"")</f>
        <v/>
      </c>
      <c r="AK304" s="23" t="inlineStr">
        <is>
          <t>não</t>
        </is>
      </c>
      <c r="AL304" s="23" t="n"/>
      <c r="AM304" s="23" t="n"/>
      <c r="AN304" s="23" t="n"/>
      <c r="AO304" s="44">
        <f>A304</f>
        <v/>
      </c>
      <c r="AP304" s="44">
        <f>D304</f>
        <v/>
      </c>
    </row>
    <row r="305" hidden="1" ht="15.75" customHeight="1" s="93">
      <c r="A305" s="23" t="inlineStr">
        <is>
          <t>5.0202.L025885.0</t>
        </is>
      </c>
      <c r="B305" s="23" t="inlineStr">
        <is>
          <t>L025885</t>
        </is>
      </c>
      <c r="C305" s="29">
        <f>IFERROR(LOWER(SUBSTITUTE(SUBSTITUTE(SUBSTITUTE(SUBSTITUTE(D305," ","-"),"/","-"),".",""),",","")),"")</f>
        <v/>
      </c>
      <c r="D305" s="23" t="inlineStr">
        <is>
          <t>BOD 4 B.C.G3.L</t>
        </is>
      </c>
      <c r="E305" s="23" t="inlineStr">
        <is>
          <t>Bombas Hidráulicas</t>
        </is>
      </c>
      <c r="F305" s="23" t="inlineStr">
        <is>
          <t>SOHIPREN</t>
        </is>
      </c>
      <c r="G305" s="23" t="n"/>
      <c r="H305" s="23" t="inlineStr">
        <is>
          <t>draft</t>
        </is>
      </c>
      <c r="I305" s="23" t="inlineStr">
        <is>
          <t>CRYSBA</t>
        </is>
      </c>
      <c r="J305" s="23" t="inlineStr">
        <is>
          <t>CARREGADOR FRONTAL</t>
        </is>
      </c>
      <c r="K305" s="23" t="inlineStr">
        <is>
          <t>SISTEMA FREIO</t>
        </is>
      </c>
      <c r="L305" s="23" t="n"/>
      <c r="M305" s="31" t="n"/>
      <c r="N305" s="31" t="n"/>
      <c r="O305" s="31" t="n"/>
      <c r="P305" s="31" t="n"/>
      <c r="Q305" s="31" t="n"/>
      <c r="R305" s="34">
        <f>IFERROR(IF(AND(O305&gt;0,P305&gt;0,Q305&gt;0),(O305*P305*Q305)/6000,""),"")</f>
        <v/>
      </c>
      <c r="S305" s="34">
        <f>IFERROR(IF(AND(N305&gt;0,R305&gt;0),MAX(N305,R305),IF(N305&gt;0,N305,IF(R305&gt;0,R305,""))),"")</f>
        <v/>
      </c>
      <c r="T305" s="36" t="n"/>
      <c r="U305" s="38" t="inlineStr">
        <is>
          <t>FALTA</t>
        </is>
      </c>
      <c r="V305" s="36" t="n">
        <v>1045</v>
      </c>
      <c r="W305" s="39" t="n">
        <v>0.3</v>
      </c>
      <c r="X305" s="41">
        <f>IFERROR(V305+T305,"")</f>
        <v/>
      </c>
      <c r="Y305" s="41">
        <f>IFERROR(IF(W305&lt;1,X305/(1-W305),""),"")</f>
        <v/>
      </c>
      <c r="Z305" s="43">
        <f>'01_CONFIG_GLOBAL'!$C$14</f>
        <v/>
      </c>
      <c r="AA305" s="41">
        <f>IFERROR(Y305*Z305,"")</f>
        <v/>
      </c>
      <c r="AB305" s="41">
        <f>IFERROR(IF(Z305&lt;1,Y305/(1-Z305),""),"")</f>
        <v/>
      </c>
      <c r="AC305" s="23" t="n"/>
      <c r="AD305" s="36" t="n"/>
      <c r="AE305" s="23" t="n"/>
      <c r="AF305" s="36" t="n"/>
      <c r="AG305" s="23" t="n"/>
      <c r="AH305" s="36" t="n"/>
      <c r="AI305" s="41">
        <f>IFERROR(AVERAGE(AD305,AF305,AH305),"")</f>
        <v/>
      </c>
      <c r="AJ305" s="29">
        <f>IFERROR(IF(AI305="","sem dados",IF(AB305&lt;AI305*0.95,"abaixo",IF(AB305&gt;AI305*1.05,"acima","em linha"))),"")</f>
        <v/>
      </c>
      <c r="AK305" s="23" t="inlineStr">
        <is>
          <t>não</t>
        </is>
      </c>
      <c r="AL305" s="23" t="n"/>
      <c r="AM305" s="23" t="n"/>
      <c r="AN305" s="23" t="n"/>
      <c r="AO305" s="44">
        <f>A305</f>
        <v/>
      </c>
      <c r="AP305" s="44">
        <f>D305</f>
        <v/>
      </c>
    </row>
    <row r="306" hidden="1" ht="15.75" customHeight="1" s="93">
      <c r="A306" s="23" t="inlineStr">
        <is>
          <t>5.0202.0540003.0</t>
        </is>
      </c>
      <c r="B306" s="23" t="inlineStr">
        <is>
          <t>540003</t>
        </is>
      </c>
      <c r="C306" s="29">
        <f>IFERROR(LOWER(SUBSTITUTE(SUBSTITUTE(SUBSTITUTE(SUBSTITUTE(D306," ","-"),"/","-"),".",""),",","")),"")</f>
        <v/>
      </c>
      <c r="D306" s="23" t="inlineStr">
        <is>
          <t>BOD 4 B.C1.B.T  -40 BAR</t>
        </is>
      </c>
      <c r="E306" s="23" t="inlineStr">
        <is>
          <t>Bombas Hidráulicas</t>
        </is>
      </c>
      <c r="F306" s="23" t="inlineStr">
        <is>
          <t>SOHIPREN</t>
        </is>
      </c>
      <c r="G306" s="23" t="n"/>
      <c r="H306" s="23" t="inlineStr">
        <is>
          <t>draft</t>
        </is>
      </c>
      <c r="I306" s="23" t="inlineStr">
        <is>
          <t>CRYSBA</t>
        </is>
      </c>
      <c r="J306" s="23" t="inlineStr">
        <is>
          <t>CARREGADOR FRONTAL</t>
        </is>
      </c>
      <c r="K306" s="23" t="inlineStr">
        <is>
          <t>SISTEMA FREIO</t>
        </is>
      </c>
      <c r="L306" s="23" t="n"/>
      <c r="M306" s="31" t="n"/>
      <c r="N306" s="31" t="n"/>
      <c r="O306" s="31" t="n"/>
      <c r="P306" s="31" t="n"/>
      <c r="Q306" s="31" t="n"/>
      <c r="R306" s="34">
        <f>IFERROR(IF(AND(O306&gt;0,P306&gt;0,Q306&gt;0),(O306*P306*Q306)/6000,""),"")</f>
        <v/>
      </c>
      <c r="S306" s="34">
        <f>IFERROR(IF(AND(N306&gt;0,R306&gt;0),MAX(N306,R306),IF(N306&gt;0,N306,IF(R306&gt;0,R306,""))),"")</f>
        <v/>
      </c>
      <c r="T306" s="36" t="n"/>
      <c r="U306" s="38" t="inlineStr">
        <is>
          <t>FALTA</t>
        </is>
      </c>
      <c r="V306" s="36" t="n">
        <v>517</v>
      </c>
      <c r="W306" s="39" t="n">
        <v>0.3</v>
      </c>
      <c r="X306" s="41">
        <f>IFERROR(V306+T306,"")</f>
        <v/>
      </c>
      <c r="Y306" s="41">
        <f>IFERROR(IF(W306&lt;1,X306/(1-W306),""),"")</f>
        <v/>
      </c>
      <c r="Z306" s="43">
        <f>'01_CONFIG_GLOBAL'!$C$14</f>
        <v/>
      </c>
      <c r="AA306" s="41">
        <f>IFERROR(Y306*Z306,"")</f>
        <v/>
      </c>
      <c r="AB306" s="41">
        <f>IFERROR(IF(Z306&lt;1,Y306/(1-Z306),""),"")</f>
        <v/>
      </c>
      <c r="AC306" s="23" t="n"/>
      <c r="AD306" s="36" t="n"/>
      <c r="AE306" s="23" t="n"/>
      <c r="AF306" s="36" t="n"/>
      <c r="AG306" s="23" t="n"/>
      <c r="AH306" s="36" t="n"/>
      <c r="AI306" s="41">
        <f>IFERROR(AVERAGE(AD306,AF306,AH306),"")</f>
        <v/>
      </c>
      <c r="AJ306" s="29">
        <f>IFERROR(IF(AI306="","sem dados",IF(AB306&lt;AI306*0.95,"abaixo",IF(AB306&gt;AI306*1.05,"acima","em linha"))),"")</f>
        <v/>
      </c>
      <c r="AK306" s="23" t="inlineStr">
        <is>
          <t>não</t>
        </is>
      </c>
      <c r="AL306" s="23" t="n"/>
      <c r="AM306" s="23" t="n"/>
      <c r="AN306" s="23" t="n"/>
      <c r="AO306" s="44">
        <f>A306</f>
        <v/>
      </c>
      <c r="AP306" s="44">
        <f>D306</f>
        <v/>
      </c>
    </row>
    <row r="307" hidden="1" ht="15.75" customHeight="1" s="93">
      <c r="A307" s="23" t="inlineStr">
        <is>
          <t>5.0521.0506203.0</t>
        </is>
      </c>
      <c r="B307" s="23" t="inlineStr">
        <is>
          <t>506203</t>
        </is>
      </c>
      <c r="C307" s="29">
        <f>IFERROR(LOWER(SUBSTITUTE(SUBSTITUTE(SUBSTITUTE(SUBSTITUTE(D307," ","-"),"/","-"),".",""),",","")),"")</f>
        <v/>
      </c>
      <c r="D307" s="23" t="inlineStr">
        <is>
          <t>MC1 60 421.1.22.91/22,5 A1.C3  25-100 BAR</t>
        </is>
      </c>
      <c r="E307" s="23" t="n"/>
      <c r="F307" s="23" t="inlineStr">
        <is>
          <t>SOHIPREN</t>
        </is>
      </c>
      <c r="G307" s="23" t="n"/>
      <c r="H307" s="23" t="inlineStr">
        <is>
          <t>draft</t>
        </is>
      </c>
      <c r="I307" s="23" t="inlineStr">
        <is>
          <t>CRYSBA</t>
        </is>
      </c>
      <c r="J307" s="23" t="inlineStr">
        <is>
          <t>CARREGADOR FRONTAL</t>
        </is>
      </c>
      <c r="K307" s="23" t="inlineStr">
        <is>
          <t>DIREÇÃO</t>
        </is>
      </c>
      <c r="L307" s="23" t="n"/>
      <c r="M307" s="31" t="n"/>
      <c r="N307" s="31" t="n"/>
      <c r="O307" s="31" t="n"/>
      <c r="P307" s="31" t="n"/>
      <c r="Q307" s="31" t="n"/>
      <c r="R307" s="34">
        <f>IFERROR(IF(AND(O307&gt;0,P307&gt;0,Q307&gt;0),(O307*P307*Q307)/6000,""),"")</f>
        <v/>
      </c>
      <c r="S307" s="34">
        <f>IFERROR(IF(AND(N307&gt;0,R307&gt;0),MAX(N307,R307),IF(N307&gt;0,N307,IF(R307&gt;0,R307,""))),"")</f>
        <v/>
      </c>
      <c r="T307" s="36" t="n"/>
      <c r="U307" s="38" t="inlineStr">
        <is>
          <t>FALTA</t>
        </is>
      </c>
      <c r="V307" s="36" t="n">
        <v>1650</v>
      </c>
      <c r="W307" s="39" t="n">
        <v>0.3</v>
      </c>
      <c r="X307" s="41">
        <f>IFERROR(V307+T307,"")</f>
        <v/>
      </c>
      <c r="Y307" s="41">
        <f>IFERROR(IF(W307&lt;1,X307/(1-W307),""),"")</f>
        <v/>
      </c>
      <c r="Z307" s="43">
        <f>'01_CONFIG_GLOBAL'!$C$14</f>
        <v/>
      </c>
      <c r="AA307" s="41">
        <f>IFERROR(Y307*Z307,"")</f>
        <v/>
      </c>
      <c r="AB307" s="41">
        <f>IFERROR(IF(Z307&lt;1,Y307/(1-Z307),""),"")</f>
        <v/>
      </c>
      <c r="AC307" s="23" t="n"/>
      <c r="AD307" s="36" t="n"/>
      <c r="AE307" s="23" t="n"/>
      <c r="AF307" s="36" t="n"/>
      <c r="AG307" s="23" t="n"/>
      <c r="AH307" s="36" t="n"/>
      <c r="AI307" s="41">
        <f>IFERROR(AVERAGE(AD307,AF307,AH307),"")</f>
        <v/>
      </c>
      <c r="AJ307" s="29">
        <f>IFERROR(IF(AI307="","sem dados",IF(AB307&lt;AI307*0.95,"abaixo",IF(AB307&gt;AI307*1.05,"acima","em linha"))),"")</f>
        <v/>
      </c>
      <c r="AK307" s="23" t="inlineStr">
        <is>
          <t>não</t>
        </is>
      </c>
      <c r="AL307" s="23" t="n"/>
      <c r="AM307" s="23" t="n"/>
      <c r="AN307" s="23" t="n"/>
      <c r="AO307" s="44">
        <f>A307</f>
        <v/>
      </c>
      <c r="AP307" s="44">
        <f>D307</f>
        <v/>
      </c>
    </row>
    <row r="308" hidden="1" ht="15.75" customHeight="1" s="93">
      <c r="A308" s="23" t="inlineStr">
        <is>
          <t>5.0206.0543230.0</t>
        </is>
      </c>
      <c r="B308" s="23" t="inlineStr">
        <is>
          <t>543230</t>
        </is>
      </c>
      <c r="C308" s="29">
        <f>IFERROR(LOWER(SUBSTITUTE(SUBSTITUTE(SUBSTITUTE(SUBSTITUTE(D308," ","-"),"/","-"),".",""),",","")),"")</f>
        <v/>
      </c>
      <c r="D308" s="23" t="inlineStr">
        <is>
          <t>BOD 11 B.C1.B.T  -70 BAR</t>
        </is>
      </c>
      <c r="E308" s="23" t="inlineStr">
        <is>
          <t>Bombas Hidráulicas</t>
        </is>
      </c>
      <c r="F308" s="23" t="inlineStr">
        <is>
          <t>SOHIPREN</t>
        </is>
      </c>
      <c r="G308" s="23" t="n"/>
      <c r="H308" s="23" t="inlineStr">
        <is>
          <t>draft</t>
        </is>
      </c>
      <c r="I308" s="23" t="inlineStr">
        <is>
          <t>CRYSBA</t>
        </is>
      </c>
      <c r="J308" s="23" t="inlineStr">
        <is>
          <t>CARREGADOR FRONTAL</t>
        </is>
      </c>
      <c r="K308" s="23" t="inlineStr">
        <is>
          <t>DIREÇÃO</t>
        </is>
      </c>
      <c r="L308" s="23" t="n"/>
      <c r="M308" s="31" t="n"/>
      <c r="N308" s="31" t="n"/>
      <c r="O308" s="31" t="n"/>
      <c r="P308" s="31" t="n"/>
      <c r="Q308" s="31" t="n"/>
      <c r="R308" s="34">
        <f>IFERROR(IF(AND(O308&gt;0,P308&gt;0,Q308&gt;0),(O308*P308*Q308)/6000,""),"")</f>
        <v/>
      </c>
      <c r="S308" s="34">
        <f>IFERROR(IF(AND(N308&gt;0,R308&gt;0),MAX(N308,R308),IF(N308&gt;0,N308,IF(R308&gt;0,R308,""))),"")</f>
        <v/>
      </c>
      <c r="T308" s="36" t="n"/>
      <c r="U308" s="38" t="inlineStr">
        <is>
          <t>FALTA</t>
        </is>
      </c>
      <c r="V308" s="36" t="n">
        <v>605</v>
      </c>
      <c r="W308" s="39" t="n">
        <v>0.3</v>
      </c>
      <c r="X308" s="41">
        <f>IFERROR(V308+T308,"")</f>
        <v/>
      </c>
      <c r="Y308" s="41">
        <f>IFERROR(IF(W308&lt;1,X308/(1-W308),""),"")</f>
        <v/>
      </c>
      <c r="Z308" s="43">
        <f>'01_CONFIG_GLOBAL'!$C$14</f>
        <v/>
      </c>
      <c r="AA308" s="41">
        <f>IFERROR(Y308*Z308,"")</f>
        <v/>
      </c>
      <c r="AB308" s="41">
        <f>IFERROR(IF(Z308&lt;1,Y308/(1-Z308),""),"")</f>
        <v/>
      </c>
      <c r="AC308" s="23" t="n"/>
      <c r="AD308" s="36" t="n"/>
      <c r="AE308" s="23" t="n"/>
      <c r="AF308" s="36" t="n"/>
      <c r="AG308" s="23" t="n"/>
      <c r="AH308" s="36" t="n"/>
      <c r="AI308" s="41">
        <f>IFERROR(AVERAGE(AD308,AF308,AH308),"")</f>
        <v/>
      </c>
      <c r="AJ308" s="29">
        <f>IFERROR(IF(AI308="","sem dados",IF(AB308&lt;AI308*0.95,"abaixo",IF(AB308&gt;AI308*1.05,"acima","em linha"))),"")</f>
        <v/>
      </c>
      <c r="AK308" s="23" t="inlineStr">
        <is>
          <t>não</t>
        </is>
      </c>
      <c r="AL308" s="23" t="n"/>
      <c r="AM308" s="23" t="n"/>
      <c r="AN308" s="23" t="n"/>
      <c r="AO308" s="44">
        <f>A308</f>
        <v/>
      </c>
      <c r="AP308" s="44">
        <f>D308</f>
        <v/>
      </c>
    </row>
    <row r="309" hidden="1" ht="15.75" customHeight="1" s="93">
      <c r="A309" s="23" t="inlineStr">
        <is>
          <t>5.0300.0544010.0</t>
        </is>
      </c>
      <c r="B309" s="23" t="inlineStr">
        <is>
          <t>544010</t>
        </is>
      </c>
      <c r="C309" s="29">
        <f>IFERROR(LOWER(SUBSTITUTE(SUBSTITUTE(SUBSTITUTE(SUBSTITUTE(D309," ","-"),"/","-"),".",""),",","")),"")</f>
        <v/>
      </c>
      <c r="D309" s="23" t="inlineStr">
        <is>
          <t>BOD 14 C19.C7.C40.L</t>
        </is>
      </c>
      <c r="E309" s="23" t="inlineStr">
        <is>
          <t>Bombas Hidráulicas</t>
        </is>
      </c>
      <c r="F309" s="23" t="inlineStr">
        <is>
          <t>SOHIPREN</t>
        </is>
      </c>
      <c r="G309" s="23" t="n"/>
      <c r="H309" s="23" t="inlineStr">
        <is>
          <t>draft</t>
        </is>
      </c>
      <c r="I309" s="23" t="inlineStr">
        <is>
          <t>CRYSBA</t>
        </is>
      </c>
      <c r="J309" s="23" t="inlineStr">
        <is>
          <t>CARREGADOR FRONTAL</t>
        </is>
      </c>
      <c r="K309" s="23" t="inlineStr">
        <is>
          <t>PRINCIPAL</t>
        </is>
      </c>
      <c r="L309" s="23" t="n"/>
      <c r="M309" s="31" t="n"/>
      <c r="N309" s="31" t="n"/>
      <c r="O309" s="31" t="n"/>
      <c r="P309" s="31" t="n"/>
      <c r="Q309" s="31" t="n"/>
      <c r="R309" s="34">
        <f>IFERROR(IF(AND(O309&gt;0,P309&gt;0,Q309&gt;0),(O309*P309*Q309)/6000,""),"")</f>
        <v/>
      </c>
      <c r="S309" s="34">
        <f>IFERROR(IF(AND(N309&gt;0,R309&gt;0),MAX(N309,R309),IF(N309&gt;0,N309,IF(R309&gt;0,R309,""))),"")</f>
        <v/>
      </c>
      <c r="T309" s="36" t="n"/>
      <c r="U309" s="38" t="inlineStr">
        <is>
          <t>FALTA</t>
        </is>
      </c>
      <c r="V309" s="36" t="n">
        <v>698</v>
      </c>
      <c r="W309" s="39" t="n">
        <v>0.3</v>
      </c>
      <c r="X309" s="41">
        <f>IFERROR(V309+T309,"")</f>
        <v/>
      </c>
      <c r="Y309" s="41">
        <f>IFERROR(IF(W309&lt;1,X309/(1-W309),""),"")</f>
        <v/>
      </c>
      <c r="Z309" s="43">
        <f>'01_CONFIG_GLOBAL'!$C$14</f>
        <v/>
      </c>
      <c r="AA309" s="41">
        <f>IFERROR(Y309*Z309,"")</f>
        <v/>
      </c>
      <c r="AB309" s="41">
        <f>IFERROR(IF(Z309&lt;1,Y309/(1-Z309),""),"")</f>
        <v/>
      </c>
      <c r="AC309" s="23" t="n"/>
      <c r="AD309" s="36" t="n"/>
      <c r="AE309" s="23" t="n"/>
      <c r="AF309" s="36" t="n"/>
      <c r="AG309" s="23" t="n"/>
      <c r="AH309" s="36" t="n"/>
      <c r="AI309" s="41">
        <f>IFERROR(AVERAGE(AD309,AF309,AH309),"")</f>
        <v/>
      </c>
      <c r="AJ309" s="29">
        <f>IFERROR(IF(AI309="","sem dados",IF(AB309&lt;AI309*0.95,"abaixo",IF(AB309&gt;AI309*1.05,"acima","em linha"))),"")</f>
        <v/>
      </c>
      <c r="AK309" s="23" t="inlineStr">
        <is>
          <t>não</t>
        </is>
      </c>
      <c r="AL309" s="23" t="n"/>
      <c r="AM309" s="23" t="n"/>
      <c r="AN309" s="23" t="n"/>
      <c r="AO309" s="44">
        <f>A309</f>
        <v/>
      </c>
      <c r="AP309" s="44">
        <f>D309</f>
        <v/>
      </c>
    </row>
    <row r="310" hidden="1" ht="15.75" customHeight="1" s="93">
      <c r="A310" s="23" t="inlineStr">
        <is>
          <t>5.0220.L027127.0</t>
        </is>
      </c>
      <c r="B310" s="23" t="inlineStr">
        <is>
          <t>L027127</t>
        </is>
      </c>
      <c r="C310" s="29">
        <f>IFERROR(LOWER(SUBSTITUTE(SUBSTITUTE(SUBSTITUTE(SUBSTITUTE(D310," ","-"),"/","-"),".",""),",","")),"")</f>
        <v/>
      </c>
      <c r="D310" s="23" t="inlineStr">
        <is>
          <t>BOD 14 E18.P1.G3/11.G3.L</t>
        </is>
      </c>
      <c r="E310" s="23" t="inlineStr">
        <is>
          <t>Bombas Hidráulicas</t>
        </is>
      </c>
      <c r="F310" s="23" t="inlineStr">
        <is>
          <t>SOHIPREN</t>
        </is>
      </c>
      <c r="G310" s="23" t="n"/>
      <c r="H310" s="23" t="inlineStr">
        <is>
          <t>draft</t>
        </is>
      </c>
      <c r="I310" s="23" t="inlineStr">
        <is>
          <t>DANA (OT)</t>
        </is>
      </c>
      <c r="J310" s="23" t="n"/>
      <c r="K310" s="23" t="inlineStr">
        <is>
          <t>PRINCPIAL</t>
        </is>
      </c>
      <c r="L310" s="23" t="inlineStr">
        <is>
          <t>PS2207309D</t>
        </is>
      </c>
      <c r="M310" s="31" t="n"/>
      <c r="N310" s="31" t="n"/>
      <c r="O310" s="31" t="n"/>
      <c r="P310" s="31" t="n"/>
      <c r="Q310" s="31" t="n"/>
      <c r="R310" s="34">
        <f>IFERROR(IF(AND(O310&gt;0,P310&gt;0,Q310&gt;0),(O310*P310*Q310)/6000,""),"")</f>
        <v/>
      </c>
      <c r="S310" s="34">
        <f>IFERROR(IF(AND(N310&gt;0,R310&gt;0),MAX(N310,R310),IF(N310&gt;0,N310,IF(R310&gt;0,R310,""))),"")</f>
        <v/>
      </c>
      <c r="T310" s="36" t="n"/>
      <c r="U310" s="38" t="inlineStr">
        <is>
          <t>FALTA</t>
        </is>
      </c>
      <c r="V310" s="36" t="n">
        <v>1365</v>
      </c>
      <c r="W310" s="39" t="n">
        <v>0.3</v>
      </c>
      <c r="X310" s="41">
        <f>IFERROR(V310+T310,"")</f>
        <v/>
      </c>
      <c r="Y310" s="41">
        <f>IFERROR(IF(W310&lt;1,X310/(1-W310),""),"")</f>
        <v/>
      </c>
      <c r="Z310" s="43">
        <f>'01_CONFIG_GLOBAL'!$C$14</f>
        <v/>
      </c>
      <c r="AA310" s="41">
        <f>IFERROR(Y310*Z310,"")</f>
        <v/>
      </c>
      <c r="AB310" s="41">
        <f>IFERROR(IF(Z310&lt;1,Y310/(1-Z310),""),"")</f>
        <v/>
      </c>
      <c r="AC310" s="23" t="n"/>
      <c r="AD310" s="36" t="n"/>
      <c r="AE310" s="23" t="n"/>
      <c r="AF310" s="36" t="n"/>
      <c r="AG310" s="23" t="n"/>
      <c r="AH310" s="36" t="n"/>
      <c r="AI310" s="41">
        <f>IFERROR(AVERAGE(AD310,AF310,AH310),"")</f>
        <v/>
      </c>
      <c r="AJ310" s="29">
        <f>IFERROR(IF(AI310="","sem dados",IF(AB310&lt;AI310*0.95,"abaixo",IF(AB310&gt;AI310*1.05,"acima","em linha"))),"")</f>
        <v/>
      </c>
      <c r="AK310" s="23" t="inlineStr">
        <is>
          <t>não</t>
        </is>
      </c>
      <c r="AL310" s="23" t="n"/>
      <c r="AM310" s="23" t="n"/>
      <c r="AN310" s="23" t="n"/>
      <c r="AO310" s="44">
        <f>A310</f>
        <v/>
      </c>
      <c r="AP310" s="44">
        <f>D310</f>
        <v/>
      </c>
    </row>
    <row r="311" hidden="1" ht="15.75" customHeight="1" s="93">
      <c r="A311" s="23" t="inlineStr">
        <is>
          <t>5.1621.0670051.1</t>
        </is>
      </c>
      <c r="B311" s="23" t="inlineStr">
        <is>
          <t>670051</t>
        </is>
      </c>
      <c r="C311" s="29">
        <f>IFERROR(LOWER(SUBSTITUTE(SUBSTITUTE(SUBSTITUTE(SUBSTITUTE(D311," ","-"),"/","-"),".",""),",","")),"")</f>
        <v/>
      </c>
      <c r="D311" s="23" t="inlineStr">
        <is>
          <t>MLS 80 E201.B302.P201</t>
        </is>
      </c>
      <c r="E311" s="23" t="n"/>
      <c r="F311" s="23" t="inlineStr">
        <is>
          <t>SOHIPREN</t>
        </is>
      </c>
      <c r="G311" s="23" t="n"/>
      <c r="H311" s="23" t="inlineStr">
        <is>
          <t>draft</t>
        </is>
      </c>
      <c r="I311" s="23" t="inlineStr">
        <is>
          <t>DANFOSS</t>
        </is>
      </c>
      <c r="J311" s="23" t="n"/>
      <c r="K311" s="23" t="n"/>
      <c r="L311" s="23" t="inlineStr">
        <is>
          <t>151F2413</t>
        </is>
      </c>
      <c r="M311" s="31" t="n"/>
      <c r="N311" s="31" t="n"/>
      <c r="O311" s="31" t="n"/>
      <c r="P311" s="31" t="n"/>
      <c r="Q311" s="31" t="n"/>
      <c r="R311" s="34">
        <f>IFERROR(IF(AND(O311&gt;0,P311&gt;0,Q311&gt;0),(O311*P311*Q311)/6000,""),"")</f>
        <v/>
      </c>
      <c r="S311" s="34">
        <f>IFERROR(IF(AND(N311&gt;0,R311&gt;0),MAX(N311,R311),IF(N311&gt;0,N311,IF(R311&gt;0,R311,""))),"")</f>
        <v/>
      </c>
      <c r="T311" s="36" t="n"/>
      <c r="U311" s="38" t="inlineStr">
        <is>
          <t>FALTA</t>
        </is>
      </c>
      <c r="V311" s="36" t="n">
        <v>1666</v>
      </c>
      <c r="W311" s="39" t="n">
        <v>0.3</v>
      </c>
      <c r="X311" s="41">
        <f>IFERROR(V311+T311,"")</f>
        <v/>
      </c>
      <c r="Y311" s="41">
        <f>IFERROR(IF(W311&lt;1,X311/(1-W311),""),"")</f>
        <v/>
      </c>
      <c r="Z311" s="43">
        <f>'01_CONFIG_GLOBAL'!$C$14</f>
        <v/>
      </c>
      <c r="AA311" s="41">
        <f>IFERROR(Y311*Z311,"")</f>
        <v/>
      </c>
      <c r="AB311" s="41">
        <f>IFERROR(IF(Z311&lt;1,Y311/(1-Z311),""),"")</f>
        <v/>
      </c>
      <c r="AC311" s="23" t="n"/>
      <c r="AD311" s="36" t="n"/>
      <c r="AE311" s="23" t="n"/>
      <c r="AF311" s="36" t="n"/>
      <c r="AG311" s="23" t="n"/>
      <c r="AH311" s="36" t="n"/>
      <c r="AI311" s="41">
        <f>IFERROR(AVERAGE(AD311,AF311,AH311),"")</f>
        <v/>
      </c>
      <c r="AJ311" s="29">
        <f>IFERROR(IF(AI311="","sem dados",IF(AB311&lt;AI311*0.95,"abaixo",IF(AB311&gt;AI311*1.05,"acima","em linha"))),"")</f>
        <v/>
      </c>
      <c r="AK311" s="23" t="inlineStr">
        <is>
          <t>não</t>
        </is>
      </c>
      <c r="AL311" s="23" t="n"/>
      <c r="AM311" s="23" t="n"/>
      <c r="AN311" s="23" t="n"/>
      <c r="AO311" s="44">
        <f>A311</f>
        <v/>
      </c>
      <c r="AP311" s="44">
        <f>D311</f>
        <v/>
      </c>
    </row>
    <row r="312" hidden="1" ht="15.75" customHeight="1" s="93">
      <c r="A312" s="23" t="inlineStr">
        <is>
          <t>2.0410.L081784.0</t>
        </is>
      </c>
      <c r="B312" s="23" t="inlineStr">
        <is>
          <t>L081784</t>
        </is>
      </c>
      <c r="C312" s="29">
        <f>IFERROR(LOWER(SUBSTITUTE(SUBSTITUTE(SUBSTITUTE(SUBSTITUTE(D312," ","-"),"/","-"),".",""),",","")),"")</f>
        <v/>
      </c>
      <c r="D312" s="23" t="inlineStr">
        <is>
          <t>VALVULA CROSSOVER CP200-7-B-0-E-XXX-LBRV2-10-30/0180</t>
        </is>
      </c>
      <c r="E312" s="23" t="n"/>
      <c r="F312" s="23" t="inlineStr">
        <is>
          <t>SOHIPREN</t>
        </is>
      </c>
      <c r="G312" s="23" t="n"/>
      <c r="H312" s="23" t="inlineStr">
        <is>
          <t>draft</t>
        </is>
      </c>
      <c r="I312" s="23" t="inlineStr">
        <is>
          <t>DANFOSS</t>
        </is>
      </c>
      <c r="J312" s="23" t="inlineStr">
        <is>
          <t>BLOCO MANIFOLD</t>
        </is>
      </c>
      <c r="K312" s="23" t="inlineStr">
        <is>
          <t>ALIVIO</t>
        </is>
      </c>
      <c r="L312" s="23" t="inlineStr">
        <is>
          <t>131947000-CP200-7-B-0-E-C-XXX</t>
        </is>
      </c>
      <c r="M312" s="31" t="n"/>
      <c r="N312" s="31" t="n"/>
      <c r="O312" s="31" t="n"/>
      <c r="P312" s="31" t="n"/>
      <c r="Q312" s="31" t="n"/>
      <c r="R312" s="34">
        <f>IFERROR(IF(AND(O312&gt;0,P312&gt;0,Q312&gt;0),(O312*P312*Q312)/6000,""),"")</f>
        <v/>
      </c>
      <c r="S312" s="34">
        <f>IFERROR(IF(AND(N312&gt;0,R312&gt;0),MAX(N312,R312),IF(N312&gt;0,N312,IF(R312&gt;0,R312,""))),"")</f>
        <v/>
      </c>
      <c r="T312" s="36" t="n"/>
      <c r="U312" s="38" t="inlineStr">
        <is>
          <t>FALTA</t>
        </is>
      </c>
      <c r="V312" s="36" t="n">
        <v>148.5</v>
      </c>
      <c r="W312" s="39" t="n">
        <v>0.3</v>
      </c>
      <c r="X312" s="41">
        <f>IFERROR(V312+T312,"")</f>
        <v/>
      </c>
      <c r="Y312" s="41">
        <f>IFERROR(IF(W312&lt;1,X312/(1-W312),""),"")</f>
        <v/>
      </c>
      <c r="Z312" s="43">
        <f>'01_CONFIG_GLOBAL'!$C$14</f>
        <v/>
      </c>
      <c r="AA312" s="41">
        <f>IFERROR(Y312*Z312,"")</f>
        <v/>
      </c>
      <c r="AB312" s="41">
        <f>IFERROR(IF(Z312&lt;1,Y312/(1-Z312),""),"")</f>
        <v/>
      </c>
      <c r="AC312" s="23" t="n"/>
      <c r="AD312" s="36" t="n"/>
      <c r="AE312" s="23" t="n"/>
      <c r="AF312" s="36" t="n"/>
      <c r="AG312" s="23" t="n"/>
      <c r="AH312" s="36" t="n"/>
      <c r="AI312" s="41">
        <f>IFERROR(AVERAGE(AD312,AF312,AH312),"")</f>
        <v/>
      </c>
      <c r="AJ312" s="29">
        <f>IFERROR(IF(AI312="","sem dados",IF(AB312&lt;AI312*0.95,"abaixo",IF(AB312&gt;AI312*1.05,"acima","em linha"))),"")</f>
        <v/>
      </c>
      <c r="AK312" s="23" t="inlineStr">
        <is>
          <t>não</t>
        </is>
      </c>
      <c r="AL312" s="23" t="n"/>
      <c r="AM312" s="23" t="n"/>
      <c r="AN312" s="23" t="n"/>
      <c r="AO312" s="44">
        <f>A312</f>
        <v/>
      </c>
      <c r="AP312" s="44">
        <f>D312</f>
        <v/>
      </c>
    </row>
    <row r="313" hidden="1" ht="15.75" customHeight="1" s="93">
      <c r="A313" s="23" t="inlineStr">
        <is>
          <t>2.0410.L081893.0</t>
        </is>
      </c>
      <c r="B313" s="23" t="inlineStr">
        <is>
          <t>L081893</t>
        </is>
      </c>
      <c r="C313" s="29">
        <f>IFERROR(LOWER(SUBSTITUTE(SUBSTITUTE(SUBSTITUTE(SUBSTITUTE(D313," ","-"),"/","-"),".",""),",","")),"")</f>
        <v/>
      </c>
      <c r="D313" s="23" t="inlineStr">
        <is>
          <t>VALVULA PFC12-PC-65-00-00-SPS-B-00</t>
        </is>
      </c>
      <c r="E313" s="23" t="n"/>
      <c r="F313" s="23" t="inlineStr">
        <is>
          <t>SOHIPREN</t>
        </is>
      </c>
      <c r="G313" s="23" t="n"/>
      <c r="H313" s="23" t="inlineStr">
        <is>
          <t>draft</t>
        </is>
      </c>
      <c r="I313" s="23" t="inlineStr">
        <is>
          <t>DANFOSS</t>
        </is>
      </c>
      <c r="J313" s="23" t="inlineStr">
        <is>
          <t>BLOCO MANIFOLD</t>
        </is>
      </c>
      <c r="K313" s="23" t="inlineStr">
        <is>
          <t>ALIVIO</t>
        </is>
      </c>
      <c r="L313" s="23" t="inlineStr">
        <is>
          <t>131947000-CP200-7-B-0-E-C-XXX</t>
        </is>
      </c>
      <c r="M313" s="31" t="n"/>
      <c r="N313" s="31" t="n"/>
      <c r="O313" s="31" t="n"/>
      <c r="P313" s="31" t="n"/>
      <c r="Q313" s="31" t="n"/>
      <c r="R313" s="34">
        <f>IFERROR(IF(AND(O313&gt;0,P313&gt;0,Q313&gt;0),(O313*P313*Q313)/6000,""),"")</f>
        <v/>
      </c>
      <c r="S313" s="34">
        <f>IFERROR(IF(AND(N313&gt;0,R313&gt;0),MAX(N313,R313),IF(N313&gt;0,N313,IF(R313&gt;0,R313,""))),"")</f>
        <v/>
      </c>
      <c r="T313" s="36" t="n"/>
      <c r="U313" s="38" t="inlineStr">
        <is>
          <t>FALTA</t>
        </is>
      </c>
      <c r="V313" s="36" t="n">
        <v>310</v>
      </c>
      <c r="W313" s="39" t="n">
        <v>0.3</v>
      </c>
      <c r="X313" s="41">
        <f>IFERROR(V313+T313,"")</f>
        <v/>
      </c>
      <c r="Y313" s="41">
        <f>IFERROR(IF(W313&lt;1,X313/(1-W313),""),"")</f>
        <v/>
      </c>
      <c r="Z313" s="43">
        <f>'01_CONFIG_GLOBAL'!$C$14</f>
        <v/>
      </c>
      <c r="AA313" s="41">
        <f>IFERROR(Y313*Z313,"")</f>
        <v/>
      </c>
      <c r="AB313" s="41">
        <f>IFERROR(IF(Z313&lt;1,Y313/(1-Z313),""),"")</f>
        <v/>
      </c>
      <c r="AC313" s="23" t="n"/>
      <c r="AD313" s="36" t="n"/>
      <c r="AE313" s="23" t="n"/>
      <c r="AF313" s="36" t="n"/>
      <c r="AG313" s="23" t="n"/>
      <c r="AH313" s="36" t="n"/>
      <c r="AI313" s="41">
        <f>IFERROR(AVERAGE(AD313,AF313,AH313),"")</f>
        <v/>
      </c>
      <c r="AJ313" s="29">
        <f>IFERROR(IF(AI313="","sem dados",IF(AB313&lt;AI313*0.95,"abaixo",IF(AB313&gt;AI313*1.05,"acima","em linha"))),"")</f>
        <v/>
      </c>
      <c r="AK313" s="23" t="inlineStr">
        <is>
          <t>não</t>
        </is>
      </c>
      <c r="AL313" s="23" t="n"/>
      <c r="AM313" s="23" t="n"/>
      <c r="AN313" s="23" t="n"/>
      <c r="AO313" s="44">
        <f>A313</f>
        <v/>
      </c>
      <c r="AP313" s="44">
        <f>D313</f>
        <v/>
      </c>
    </row>
    <row r="314" hidden="1" ht="15.75" customHeight="1" s="93">
      <c r="A314" s="23" t="inlineStr">
        <is>
          <t>2.0410.L081894.0</t>
        </is>
      </c>
      <c r="B314" s="23" t="inlineStr">
        <is>
          <t>L081894</t>
        </is>
      </c>
      <c r="C314" s="29">
        <f>IFERROR(LOWER(SUBSTITUTE(SUBSTITUTE(SUBSTITUTE(SUBSTITUTE(D314," ","-"),"/","-"),".",""),",","")),"")</f>
        <v/>
      </c>
      <c r="D314" s="23" t="inlineStr">
        <is>
          <t>BOBINA D14-12D-1,8A-DE</t>
        </is>
      </c>
      <c r="E314" s="23" t="n"/>
      <c r="F314" s="23" t="inlineStr">
        <is>
          <t>SOHIPREN</t>
        </is>
      </c>
      <c r="G314" s="23" t="n"/>
      <c r="H314" s="23" t="inlineStr">
        <is>
          <t>draft</t>
        </is>
      </c>
      <c r="I314" s="23" t="inlineStr">
        <is>
          <t>DANFOSS</t>
        </is>
      </c>
      <c r="J314" s="23" t="inlineStr">
        <is>
          <t>BLOCO MANIFOLD</t>
        </is>
      </c>
      <c r="K314" s="23" t="inlineStr">
        <is>
          <t>ALIVIO</t>
        </is>
      </c>
      <c r="L314" s="23" t="inlineStr">
        <is>
          <t>131947000-CP200-7-B-0-E-C-XXX</t>
        </is>
      </c>
      <c r="M314" s="31" t="n"/>
      <c r="N314" s="31" t="n"/>
      <c r="O314" s="31" t="n"/>
      <c r="P314" s="31" t="n"/>
      <c r="Q314" s="31" t="n"/>
      <c r="R314" s="34">
        <f>IFERROR(IF(AND(O314&gt;0,P314&gt;0,Q314&gt;0),(O314*P314*Q314)/6000,""),"")</f>
        <v/>
      </c>
      <c r="S314" s="34">
        <f>IFERROR(IF(AND(N314&gt;0,R314&gt;0),MAX(N314,R314),IF(N314&gt;0,N314,IF(R314&gt;0,R314,""))),"")</f>
        <v/>
      </c>
      <c r="T314" s="36" t="n"/>
      <c r="U314" s="38" t="inlineStr">
        <is>
          <t>FALTA</t>
        </is>
      </c>
      <c r="V314" s="36" t="n">
        <v>310</v>
      </c>
      <c r="W314" s="39" t="n">
        <v>0.3</v>
      </c>
      <c r="X314" s="41">
        <f>IFERROR(V314+T314,"")</f>
        <v/>
      </c>
      <c r="Y314" s="41">
        <f>IFERROR(IF(W314&lt;1,X314/(1-W314),""),"")</f>
        <v/>
      </c>
      <c r="Z314" s="43">
        <f>'01_CONFIG_GLOBAL'!$C$14</f>
        <v/>
      </c>
      <c r="AA314" s="41">
        <f>IFERROR(Y314*Z314,"")</f>
        <v/>
      </c>
      <c r="AB314" s="41">
        <f>IFERROR(IF(Z314&lt;1,Y314/(1-Z314),""),"")</f>
        <v/>
      </c>
      <c r="AC314" s="23" t="n"/>
      <c r="AD314" s="36" t="n"/>
      <c r="AE314" s="23" t="n"/>
      <c r="AF314" s="36" t="n"/>
      <c r="AG314" s="23" t="n"/>
      <c r="AH314" s="36" t="n"/>
      <c r="AI314" s="41">
        <f>IFERROR(AVERAGE(AD314,AF314,AH314),"")</f>
        <v/>
      </c>
      <c r="AJ314" s="29">
        <f>IFERROR(IF(AI314="","sem dados",IF(AB314&lt;AI314*0.95,"abaixo",IF(AB314&gt;AI314*1.05,"acima","em linha"))),"")</f>
        <v/>
      </c>
      <c r="AK314" s="23" t="inlineStr">
        <is>
          <t>não</t>
        </is>
      </c>
      <c r="AL314" s="23" t="n"/>
      <c r="AM314" s="23" t="n"/>
      <c r="AN314" s="23" t="n"/>
      <c r="AO314" s="44">
        <f>A314</f>
        <v/>
      </c>
      <c r="AP314" s="44">
        <f>D314</f>
        <v/>
      </c>
    </row>
    <row r="315" hidden="1" ht="15.75" customHeight="1" s="93">
      <c r="A315" s="23" t="inlineStr">
        <is>
          <t>2.0410.L081895.0</t>
        </is>
      </c>
      <c r="B315" s="23" t="inlineStr">
        <is>
          <t>L081895</t>
        </is>
      </c>
      <c r="C315" s="29">
        <f>IFERROR(LOWER(SUBSTITUTE(SUBSTITUTE(SUBSTITUTE(SUBSTITUTE(D315," ","-"),"/","-"),".",""),",","")),"")</f>
        <v/>
      </c>
      <c r="D315" s="23" t="inlineStr">
        <is>
          <t>VALVULA CP210-2-B-0-E-D-XXX</t>
        </is>
      </c>
      <c r="E315" s="23" t="n"/>
      <c r="F315" s="23" t="inlineStr">
        <is>
          <t>SOHIPREN</t>
        </is>
      </c>
      <c r="G315" s="23" t="n"/>
      <c r="H315" s="23" t="inlineStr">
        <is>
          <t>draft</t>
        </is>
      </c>
      <c r="I315" s="23" t="inlineStr">
        <is>
          <t>DANFOSS</t>
        </is>
      </c>
      <c r="J315" s="23" t="inlineStr">
        <is>
          <t>BLOCO MANIFOLD</t>
        </is>
      </c>
      <c r="K315" s="23" t="inlineStr">
        <is>
          <t>ALIVIO</t>
        </is>
      </c>
      <c r="L315" s="23" t="inlineStr">
        <is>
          <t>131947000-CP200-7-B-0-E-C-XXX</t>
        </is>
      </c>
      <c r="M315" s="31" t="n"/>
      <c r="N315" s="31" t="n"/>
      <c r="O315" s="31" t="n"/>
      <c r="P315" s="31" t="n"/>
      <c r="Q315" s="31" t="n"/>
      <c r="R315" s="34">
        <f>IFERROR(IF(AND(O315&gt;0,P315&gt;0,Q315&gt;0),(O315*P315*Q315)/6000,""),"")</f>
        <v/>
      </c>
      <c r="S315" s="34">
        <f>IFERROR(IF(AND(N315&gt;0,R315&gt;0),MAX(N315,R315),IF(N315&gt;0,N315,IF(R315&gt;0,R315,""))),"")</f>
        <v/>
      </c>
      <c r="T315" s="36" t="n"/>
      <c r="U315" s="38" t="inlineStr">
        <is>
          <t>FALTA</t>
        </is>
      </c>
      <c r="V315" s="36" t="n">
        <v>310</v>
      </c>
      <c r="W315" s="39" t="n">
        <v>0.3</v>
      </c>
      <c r="X315" s="41">
        <f>IFERROR(V315+T315,"")</f>
        <v/>
      </c>
      <c r="Y315" s="41">
        <f>IFERROR(IF(W315&lt;1,X315/(1-W315),""),"")</f>
        <v/>
      </c>
      <c r="Z315" s="43">
        <f>'01_CONFIG_GLOBAL'!$C$14</f>
        <v/>
      </c>
      <c r="AA315" s="41">
        <f>IFERROR(Y315*Z315,"")</f>
        <v/>
      </c>
      <c r="AB315" s="41">
        <f>IFERROR(IF(Z315&lt;1,Y315/(1-Z315),""),"")</f>
        <v/>
      </c>
      <c r="AC315" s="23" t="n"/>
      <c r="AD315" s="36" t="n"/>
      <c r="AE315" s="23" t="n"/>
      <c r="AF315" s="36" t="n"/>
      <c r="AG315" s="23" t="n"/>
      <c r="AH315" s="36" t="n"/>
      <c r="AI315" s="41">
        <f>IFERROR(AVERAGE(AD315,AF315,AH315),"")</f>
        <v/>
      </c>
      <c r="AJ315" s="29">
        <f>IFERROR(IF(AI315="","sem dados",IF(AB315&lt;AI315*0.95,"abaixo",IF(AB315&gt;AI315*1.05,"acima","em linha"))),"")</f>
        <v/>
      </c>
      <c r="AK315" s="23" t="inlineStr">
        <is>
          <t>não</t>
        </is>
      </c>
      <c r="AL315" s="23" t="n"/>
      <c r="AM315" s="23" t="n"/>
      <c r="AN315" s="23" t="n"/>
      <c r="AO315" s="44">
        <f>A315</f>
        <v/>
      </c>
      <c r="AP315" s="44">
        <f>D315</f>
        <v/>
      </c>
    </row>
    <row r="316" hidden="1" ht="15.75" customHeight="1" s="93">
      <c r="A316" s="23" t="inlineStr">
        <is>
          <t>2.0410.L081896.0</t>
        </is>
      </c>
      <c r="B316" s="23" t="inlineStr">
        <is>
          <t>L081896</t>
        </is>
      </c>
      <c r="C316" s="29">
        <f>IFERROR(LOWER(SUBSTITUTE(SUBSTITUTE(SUBSTITUTE(SUBSTITUTE(D316," ","-"),"/","-"),".",""),",","")),"")</f>
        <v/>
      </c>
      <c r="D316" s="23" t="inlineStr">
        <is>
          <t>EMBOLO EEP10S</t>
        </is>
      </c>
      <c r="E316" s="23" t="n"/>
      <c r="F316" s="23" t="inlineStr">
        <is>
          <t>SOHIPREN</t>
        </is>
      </c>
      <c r="G316" s="23" t="n"/>
      <c r="H316" s="23" t="inlineStr">
        <is>
          <t>draft</t>
        </is>
      </c>
      <c r="I316" s="23" t="inlineStr">
        <is>
          <t>DANFOSS</t>
        </is>
      </c>
      <c r="J316" s="23" t="inlineStr">
        <is>
          <t>BLOCO MANIFOLD</t>
        </is>
      </c>
      <c r="K316" s="23" t="inlineStr">
        <is>
          <t>ALIVIO</t>
        </is>
      </c>
      <c r="L316" s="23" t="inlineStr">
        <is>
          <t>131947000-CP200-7-B-0-E-C-XXX</t>
        </is>
      </c>
      <c r="M316" s="31" t="n"/>
      <c r="N316" s="31" t="n"/>
      <c r="O316" s="31" t="n"/>
      <c r="P316" s="31" t="n"/>
      <c r="Q316" s="31" t="n"/>
      <c r="R316" s="34">
        <f>IFERROR(IF(AND(O316&gt;0,P316&gt;0,Q316&gt;0),(O316*P316*Q316)/6000,""),"")</f>
        <v/>
      </c>
      <c r="S316" s="34">
        <f>IFERROR(IF(AND(N316&gt;0,R316&gt;0),MAX(N316,R316),IF(N316&gt;0,N316,IF(R316&gt;0,R316,""))),"")</f>
        <v/>
      </c>
      <c r="T316" s="36" t="n"/>
      <c r="U316" s="38" t="inlineStr">
        <is>
          <t>FALTA</t>
        </is>
      </c>
      <c r="V316" s="36" t="n">
        <v>310</v>
      </c>
      <c r="W316" s="39" t="n">
        <v>0.3</v>
      </c>
      <c r="X316" s="41">
        <f>IFERROR(V316+T316,"")</f>
        <v/>
      </c>
      <c r="Y316" s="41">
        <f>IFERROR(IF(W316&lt;1,X316/(1-W316),""),"")</f>
        <v/>
      </c>
      <c r="Z316" s="43">
        <f>'01_CONFIG_GLOBAL'!$C$14</f>
        <v/>
      </c>
      <c r="AA316" s="41">
        <f>IFERROR(Y316*Z316,"")</f>
        <v/>
      </c>
      <c r="AB316" s="41">
        <f>IFERROR(IF(Z316&lt;1,Y316/(1-Z316),""),"")</f>
        <v/>
      </c>
      <c r="AC316" s="23" t="n"/>
      <c r="AD316" s="36" t="n"/>
      <c r="AE316" s="23" t="n"/>
      <c r="AF316" s="36" t="n"/>
      <c r="AG316" s="23" t="n"/>
      <c r="AH316" s="36" t="n"/>
      <c r="AI316" s="41">
        <f>IFERROR(AVERAGE(AD316,AF316,AH316),"")</f>
        <v/>
      </c>
      <c r="AJ316" s="29">
        <f>IFERROR(IF(AI316="","sem dados",IF(AB316&lt;AI316*0.95,"abaixo",IF(AB316&gt;AI316*1.05,"acima","em linha"))),"")</f>
        <v/>
      </c>
      <c r="AK316" s="23" t="inlineStr">
        <is>
          <t>não</t>
        </is>
      </c>
      <c r="AL316" s="23" t="n"/>
      <c r="AM316" s="23" t="n"/>
      <c r="AN316" s="23" t="n"/>
      <c r="AO316" s="44">
        <f>A316</f>
        <v/>
      </c>
      <c r="AP316" s="44">
        <f>D316</f>
        <v/>
      </c>
    </row>
    <row r="317" hidden="1" ht="15.75" customHeight="1" s="93">
      <c r="A317" s="23" t="inlineStr">
        <is>
          <t>5.0220.0548865.0</t>
        </is>
      </c>
      <c r="B317" s="23" t="inlineStr">
        <is>
          <t>548865</t>
        </is>
      </c>
      <c r="C317" s="29">
        <f>IFERROR(LOWER(SUBSTITUTE(SUBSTITUTE(SUBSTITUTE(SUBSTITUTE(D317," ","-"),"/","-"),".",""),",","")),"")</f>
        <v/>
      </c>
      <c r="D317" s="23" t="inlineStr">
        <is>
          <t>BOMBA HIDRÁULICA - APLICAÇÃO 19 B9.B4.A10/16 A7.D7  19-90 BAR</t>
        </is>
      </c>
      <c r="E317" s="23" t="inlineStr">
        <is>
          <t>Bombas Hidráulicas</t>
        </is>
      </c>
      <c r="F317" s="23" t="inlineStr">
        <is>
          <t>SOHIPREN</t>
        </is>
      </c>
      <c r="G317" s="23" t="n"/>
      <c r="H317" s="23" t="inlineStr">
        <is>
          <t>draft</t>
        </is>
      </c>
      <c r="I317" s="23" t="inlineStr">
        <is>
          <t>DEUTZ TRATORES</t>
        </is>
      </c>
      <c r="J317" s="23" t="n"/>
      <c r="K317" s="23" t="n"/>
      <c r="L317" s="23" t="n"/>
      <c r="M317" s="31" t="n"/>
      <c r="N317" s="31" t="n"/>
      <c r="O317" s="31" t="n"/>
      <c r="P317" s="31" t="n"/>
      <c r="Q317" s="31" t="n"/>
      <c r="R317" s="34">
        <f>IFERROR(IF(AND(O317&gt;0,P317&gt;0,Q317&gt;0),(O317*P317*Q317)/6000,""),"")</f>
        <v/>
      </c>
      <c r="S317" s="34">
        <f>IFERROR(IF(AND(N317&gt;0,R317&gt;0),MAX(N317,R317),IF(N317&gt;0,N317,IF(R317&gt;0,R317,""))),"")</f>
        <v/>
      </c>
      <c r="T317" s="36" t="n"/>
      <c r="U317" s="38" t="inlineStr">
        <is>
          <t>FALTA</t>
        </is>
      </c>
      <c r="V317" s="36" t="n">
        <v>1034</v>
      </c>
      <c r="W317" s="39" t="n">
        <v>0.3</v>
      </c>
      <c r="X317" s="41">
        <f>IFERROR(V317+T317,"")</f>
        <v/>
      </c>
      <c r="Y317" s="41">
        <f>IFERROR(IF(W317&lt;1,X317/(1-W317),""),"")</f>
        <v/>
      </c>
      <c r="Z317" s="43">
        <f>'01_CONFIG_GLOBAL'!$C$14</f>
        <v/>
      </c>
      <c r="AA317" s="41">
        <f>IFERROR(Y317*Z317,"")</f>
        <v/>
      </c>
      <c r="AB317" s="41">
        <f>IFERROR(IF(Z317&lt;1,Y317/(1-Z317),""),"")</f>
        <v/>
      </c>
      <c r="AC317" s="23" t="n"/>
      <c r="AD317" s="36" t="n"/>
      <c r="AE317" s="23" t="n"/>
      <c r="AF317" s="36" t="n"/>
      <c r="AG317" s="23" t="n"/>
      <c r="AH317" s="36" t="n"/>
      <c r="AI317" s="41">
        <f>IFERROR(AVERAGE(AD317,AF317,AH317),"")</f>
        <v/>
      </c>
      <c r="AJ317" s="29">
        <f>IFERROR(IF(AI317="","sem dados",IF(AB317&lt;AI317*0.95,"abaixo",IF(AB317&gt;AI317*1.05,"acima","em linha"))),"")</f>
        <v/>
      </c>
      <c r="AK317" s="23" t="inlineStr">
        <is>
          <t>não</t>
        </is>
      </c>
      <c r="AL317" s="23" t="n"/>
      <c r="AM317" s="23" t="n"/>
      <c r="AN317" s="23" t="n"/>
      <c r="AO317" s="44">
        <f>A317</f>
        <v/>
      </c>
      <c r="AP317" s="44">
        <f>D317</f>
        <v/>
      </c>
    </row>
    <row r="318" hidden="1" ht="15.75" customHeight="1" s="93">
      <c r="A318" s="23" t="inlineStr">
        <is>
          <t>5.0220.0548822.0</t>
        </is>
      </c>
      <c r="B318" s="23" t="inlineStr">
        <is>
          <t>548822</t>
        </is>
      </c>
      <c r="C318" s="29">
        <f>IFERROR(LOWER(SUBSTITUTE(SUBSTITUTE(SUBSTITUTE(SUBSTITUTE(D318," ","-"),"/","-"),".",""),",","")),"")</f>
        <v/>
      </c>
      <c r="D318" s="23" t="inlineStr">
        <is>
          <t>BOMBA HIDRÁULICA - APLICAÇÃO 19 E9.B10.A4/11 A4.L (PLACA H15)</t>
        </is>
      </c>
      <c r="E318" s="23" t="inlineStr">
        <is>
          <t>Bombas Hidráulicas</t>
        </is>
      </c>
      <c r="F318" s="23" t="inlineStr">
        <is>
          <t>SOHIPREN</t>
        </is>
      </c>
      <c r="G318" s="23" t="n"/>
      <c r="H318" s="23" t="inlineStr">
        <is>
          <t>draft</t>
        </is>
      </c>
      <c r="I318" s="23" t="inlineStr">
        <is>
          <t>DEUTZ TRATORES</t>
        </is>
      </c>
      <c r="J318" s="23" t="n"/>
      <c r="K318" s="23" t="n"/>
      <c r="L318" s="23" t="n"/>
      <c r="M318" s="31" t="n"/>
      <c r="N318" s="31" t="n"/>
      <c r="O318" s="31" t="n"/>
      <c r="P318" s="31" t="n"/>
      <c r="Q318" s="31" t="n"/>
      <c r="R318" s="34">
        <f>IFERROR(IF(AND(O318&gt;0,P318&gt;0,Q318&gt;0),(O318*P318*Q318)/6000,""),"")</f>
        <v/>
      </c>
      <c r="S318" s="34">
        <f>IFERROR(IF(AND(N318&gt;0,R318&gt;0),MAX(N318,R318),IF(N318&gt;0,N318,IF(R318&gt;0,R318,""))),"")</f>
        <v/>
      </c>
      <c r="T318" s="36" t="n"/>
      <c r="U318" s="38" t="inlineStr">
        <is>
          <t>FALTA</t>
        </is>
      </c>
      <c r="V318" s="36" t="n">
        <v>924</v>
      </c>
      <c r="W318" s="39" t="n">
        <v>0.3</v>
      </c>
      <c r="X318" s="41">
        <f>IFERROR(V318+T318,"")</f>
        <v/>
      </c>
      <c r="Y318" s="41">
        <f>IFERROR(IF(W318&lt;1,X318/(1-W318),""),"")</f>
        <v/>
      </c>
      <c r="Z318" s="43">
        <f>'01_CONFIG_GLOBAL'!$C$14</f>
        <v/>
      </c>
      <c r="AA318" s="41">
        <f>IFERROR(Y318*Z318,"")</f>
        <v/>
      </c>
      <c r="AB318" s="41">
        <f>IFERROR(IF(Z318&lt;1,Y318/(1-Z318),""),"")</f>
        <v/>
      </c>
      <c r="AC318" s="23" t="n"/>
      <c r="AD318" s="36" t="n"/>
      <c r="AE318" s="23" t="n"/>
      <c r="AF318" s="36" t="n"/>
      <c r="AG318" s="23" t="n"/>
      <c r="AH318" s="36" t="n"/>
      <c r="AI318" s="41">
        <f>IFERROR(AVERAGE(AD318,AF318,AH318),"")</f>
        <v/>
      </c>
      <c r="AJ318" s="29">
        <f>IFERROR(IF(AI318="","sem dados",IF(AB318&lt;AI318*0.95,"abaixo",IF(AB318&gt;AI318*1.05,"acima","em linha"))),"")</f>
        <v/>
      </c>
      <c r="AK318" s="23" t="inlineStr">
        <is>
          <t>não</t>
        </is>
      </c>
      <c r="AL318" s="23" t="n"/>
      <c r="AM318" s="23" t="n"/>
      <c r="AN318" s="23" t="n"/>
      <c r="AO318" s="44">
        <f>A318</f>
        <v/>
      </c>
      <c r="AP318" s="44">
        <f>D318</f>
        <v/>
      </c>
    </row>
    <row r="319" hidden="1" ht="15.75" customHeight="1" s="93">
      <c r="A319" s="23" t="inlineStr">
        <is>
          <t>5.0220.0547234.0</t>
        </is>
      </c>
      <c r="B319" s="23" t="inlineStr">
        <is>
          <t>547234</t>
        </is>
      </c>
      <c r="C319" s="29">
        <f>IFERROR(LOWER(SUBSTITUTE(SUBSTITUTE(SUBSTITUTE(SUBSTITUTE(D319," ","-"),"/","-"),".",""),",","")),"")</f>
        <v/>
      </c>
      <c r="D319" s="23" t="inlineStr">
        <is>
          <t>BOMBA HIDRÁULICA - APLICAÇÃO 16 B9.B4.A2/22,5 A7.D4  16-70 BAR</t>
        </is>
      </c>
      <c r="E319" s="23" t="inlineStr">
        <is>
          <t>Bombas Hidráulicas</t>
        </is>
      </c>
      <c r="F319" s="23" t="inlineStr">
        <is>
          <t>SOHIPREN</t>
        </is>
      </c>
      <c r="G319" s="23" t="n"/>
      <c r="H319" s="23" t="inlineStr">
        <is>
          <t>draft</t>
        </is>
      </c>
      <c r="I319" s="23" t="inlineStr">
        <is>
          <t>DEUTZ TRATORES</t>
        </is>
      </c>
      <c r="J319" s="23" t="inlineStr">
        <is>
          <t>TRATOR</t>
        </is>
      </c>
      <c r="K319" s="23" t="inlineStr">
        <is>
          <t>PRINCIPAL</t>
        </is>
      </c>
      <c r="L319" s="23" t="inlineStr">
        <is>
          <t>01176451/04345372/01175999/04311478</t>
        </is>
      </c>
      <c r="M319" s="31" t="n"/>
      <c r="N319" s="31" t="n"/>
      <c r="O319" s="31" t="n"/>
      <c r="P319" s="31" t="n"/>
      <c r="Q319" s="31" t="n"/>
      <c r="R319" s="34">
        <f>IFERROR(IF(AND(O319&gt;0,P319&gt;0,Q319&gt;0),(O319*P319*Q319)/6000,""),"")</f>
        <v/>
      </c>
      <c r="S319" s="34">
        <f>IFERROR(IF(AND(N319&gt;0,R319&gt;0),MAX(N319,R319),IF(N319&gt;0,N319,IF(R319&gt;0,R319,""))),"")</f>
        <v/>
      </c>
      <c r="T319" s="36" t="n"/>
      <c r="U319" s="38" t="inlineStr">
        <is>
          <t>FALTA</t>
        </is>
      </c>
      <c r="V319" s="36" t="n">
        <v>1615</v>
      </c>
      <c r="W319" s="39" t="n">
        <v>0.3</v>
      </c>
      <c r="X319" s="41">
        <f>IFERROR(V319+T319,"")</f>
        <v/>
      </c>
      <c r="Y319" s="41">
        <f>IFERROR(IF(W319&lt;1,X319/(1-W319),""),"")</f>
        <v/>
      </c>
      <c r="Z319" s="43">
        <f>'01_CONFIG_GLOBAL'!$C$14</f>
        <v/>
      </c>
      <c r="AA319" s="41">
        <f>IFERROR(Y319*Z319,"")</f>
        <v/>
      </c>
      <c r="AB319" s="41">
        <f>IFERROR(IF(Z319&lt;1,Y319/(1-Z319),""),"")</f>
        <v/>
      </c>
      <c r="AC319" s="23" t="n"/>
      <c r="AD319" s="36" t="n"/>
      <c r="AE319" s="23" t="n"/>
      <c r="AF319" s="36" t="n"/>
      <c r="AG319" s="23" t="n"/>
      <c r="AH319" s="36" t="n"/>
      <c r="AI319" s="41">
        <f>IFERROR(AVERAGE(AD319,AF319,AH319),"")</f>
        <v/>
      </c>
      <c r="AJ319" s="29">
        <f>IFERROR(IF(AI319="","sem dados",IF(AB319&lt;AI319*0.95,"abaixo",IF(AB319&gt;AI319*1.05,"acima","em linha"))),"")</f>
        <v/>
      </c>
      <c r="AK319" s="23" t="inlineStr">
        <is>
          <t>não</t>
        </is>
      </c>
      <c r="AL319" s="23" t="n"/>
      <c r="AM319" s="23" t="n"/>
      <c r="AN319" s="23" t="n"/>
      <c r="AO319" s="44">
        <f>A319</f>
        <v/>
      </c>
      <c r="AP319" s="44">
        <f>D319</f>
        <v/>
      </c>
    </row>
    <row r="320" hidden="1" ht="15.75" customHeight="1" s="93">
      <c r="A320" s="23" t="inlineStr">
        <is>
          <t>5.0220.0547211.0</t>
        </is>
      </c>
      <c r="B320" s="23" t="inlineStr">
        <is>
          <t>547211</t>
        </is>
      </c>
      <c r="C320" s="29">
        <f>IFERROR(LOWER(SUBSTITUTE(SUBSTITUTE(SUBSTITUTE(SUBSTITUTE(D320," ","-"),"/","-"),".",""),",","")),"")</f>
        <v/>
      </c>
      <c r="D320" s="23" t="inlineStr">
        <is>
          <t>BOMBA HIDRÁULICA - APLICAÇÃO 16 B9.B4.A42/11 A42.L1 (PLACA H15)</t>
        </is>
      </c>
      <c r="E320" s="23" t="inlineStr">
        <is>
          <t>Bombas Hidráulicas</t>
        </is>
      </c>
      <c r="F320" s="23" t="inlineStr">
        <is>
          <t>SOHIPREN</t>
        </is>
      </c>
      <c r="G320" s="23" t="n"/>
      <c r="H320" s="23" t="inlineStr">
        <is>
          <t>draft</t>
        </is>
      </c>
      <c r="I320" s="23" t="inlineStr">
        <is>
          <t>DEUTZ TRATORES</t>
        </is>
      </c>
      <c r="J320" s="23" t="inlineStr">
        <is>
          <t>TRATOR</t>
        </is>
      </c>
      <c r="K320" s="23" t="inlineStr">
        <is>
          <t>PRINCIPAL</t>
        </is>
      </c>
      <c r="L320" s="23" t="n"/>
      <c r="M320" s="31" t="n"/>
      <c r="N320" s="31" t="n"/>
      <c r="O320" s="31" t="n"/>
      <c r="P320" s="31" t="n"/>
      <c r="Q320" s="31" t="n"/>
      <c r="R320" s="34">
        <f>IFERROR(IF(AND(O320&gt;0,P320&gt;0,Q320&gt;0),(O320*P320*Q320)/6000,""),"")</f>
        <v/>
      </c>
      <c r="S320" s="34">
        <f>IFERROR(IF(AND(N320&gt;0,R320&gt;0),MAX(N320,R320),IF(N320&gt;0,N320,IF(R320&gt;0,R320,""))),"")</f>
        <v/>
      </c>
      <c r="T320" s="36" t="n"/>
      <c r="U320" s="38" t="inlineStr">
        <is>
          <t>FALTA</t>
        </is>
      </c>
      <c r="V320" s="36" t="n">
        <v>1885</v>
      </c>
      <c r="W320" s="39" t="n">
        <v>0.3</v>
      </c>
      <c r="X320" s="41">
        <f>IFERROR(V320+T320,"")</f>
        <v/>
      </c>
      <c r="Y320" s="41">
        <f>IFERROR(IF(W320&lt;1,X320/(1-W320),""),"")</f>
        <v/>
      </c>
      <c r="Z320" s="43">
        <f>'01_CONFIG_GLOBAL'!$C$14</f>
        <v/>
      </c>
      <c r="AA320" s="41">
        <f>IFERROR(Y320*Z320,"")</f>
        <v/>
      </c>
      <c r="AB320" s="41">
        <f>IFERROR(IF(Z320&lt;1,Y320/(1-Z320),""),"")</f>
        <v/>
      </c>
      <c r="AC320" s="23" t="n"/>
      <c r="AD320" s="36" t="n"/>
      <c r="AE320" s="23" t="n"/>
      <c r="AF320" s="36" t="n"/>
      <c r="AG320" s="23" t="n"/>
      <c r="AH320" s="36" t="n"/>
      <c r="AI320" s="41">
        <f>IFERROR(AVERAGE(AD320,AF320,AH320),"")</f>
        <v/>
      </c>
      <c r="AJ320" s="29">
        <f>IFERROR(IF(AI320="","sem dados",IF(AB320&lt;AI320*0.95,"abaixo",IF(AB320&gt;AI320*1.05,"acima","em linha"))),"")</f>
        <v/>
      </c>
      <c r="AK320" s="23" t="inlineStr">
        <is>
          <t>não</t>
        </is>
      </c>
      <c r="AL320" s="23" t="n"/>
      <c r="AM320" s="23" t="n"/>
      <c r="AN320" s="23" t="n"/>
      <c r="AO320" s="44">
        <f>A320</f>
        <v/>
      </c>
      <c r="AP320" s="44">
        <f>D320</f>
        <v/>
      </c>
    </row>
    <row r="321" hidden="1" ht="15.75" customHeight="1" s="93">
      <c r="A321" s="23" t="inlineStr">
        <is>
          <t>5.0220.0547810.0</t>
        </is>
      </c>
      <c r="B321" s="23" t="inlineStr">
        <is>
          <t>547810</t>
        </is>
      </c>
      <c r="C321" s="29">
        <f>IFERROR(LOWER(SUBSTITUTE(SUBSTITUTE(SUBSTITUTE(SUBSTITUTE(D321," ","-"),"/","-"),".",""),",","")),"")</f>
        <v/>
      </c>
      <c r="D321" s="23" t="inlineStr">
        <is>
          <t>BOMBA HIDRÁULICA - APLICAÇÃO 22,5 E16.B19.A8/14 A42.L1 (PLACA H15)</t>
        </is>
      </c>
      <c r="E321" s="23" t="inlineStr">
        <is>
          <t>Bombas Hidráulicas</t>
        </is>
      </c>
      <c r="F321" s="23" t="inlineStr">
        <is>
          <t>SOHIPREN</t>
        </is>
      </c>
      <c r="G321" s="23" t="n"/>
      <c r="H321" s="23" t="inlineStr">
        <is>
          <t>draft</t>
        </is>
      </c>
      <c r="I321" s="23" t="inlineStr">
        <is>
          <t>DEUTZ TRATORES</t>
        </is>
      </c>
      <c r="J321" s="23" t="n"/>
      <c r="K321" s="23" t="n"/>
      <c r="L321" s="23" t="n"/>
      <c r="M321" s="31" t="n"/>
      <c r="N321" s="31" t="n"/>
      <c r="O321" s="31" t="n"/>
      <c r="P321" s="31" t="n"/>
      <c r="Q321" s="31" t="n"/>
      <c r="R321" s="34">
        <f>IFERROR(IF(AND(O321&gt;0,P321&gt;0,Q321&gt;0),(O321*P321*Q321)/6000,""),"")</f>
        <v/>
      </c>
      <c r="S321" s="34">
        <f>IFERROR(IF(AND(N321&gt;0,R321&gt;0),MAX(N321,R321),IF(N321&gt;0,N321,IF(R321&gt;0,R321,""))),"")</f>
        <v/>
      </c>
      <c r="T321" s="36" t="n"/>
      <c r="U321" s="38" t="inlineStr">
        <is>
          <t>FALTA</t>
        </is>
      </c>
      <c r="V321" s="36" t="n">
        <v>1210</v>
      </c>
      <c r="W321" s="39" t="n">
        <v>0.3</v>
      </c>
      <c r="X321" s="41">
        <f>IFERROR(V321+T321,"")</f>
        <v/>
      </c>
      <c r="Y321" s="41">
        <f>IFERROR(IF(W321&lt;1,X321/(1-W321),""),"")</f>
        <v/>
      </c>
      <c r="Z321" s="43">
        <f>'01_CONFIG_GLOBAL'!$C$14</f>
        <v/>
      </c>
      <c r="AA321" s="41">
        <f>IFERROR(Y321*Z321,"")</f>
        <v/>
      </c>
      <c r="AB321" s="41">
        <f>IFERROR(IF(Z321&lt;1,Y321/(1-Z321),""),"")</f>
        <v/>
      </c>
      <c r="AC321" s="23" t="n"/>
      <c r="AD321" s="36" t="n"/>
      <c r="AE321" s="23" t="n"/>
      <c r="AF321" s="36" t="n"/>
      <c r="AG321" s="23" t="n"/>
      <c r="AH321" s="36" t="n"/>
      <c r="AI321" s="41">
        <f>IFERROR(AVERAGE(AD321,AF321,AH321),"")</f>
        <v/>
      </c>
      <c r="AJ321" s="29">
        <f>IFERROR(IF(AI321="","sem dados",IF(AB321&lt;AI321*0.95,"abaixo",IF(AB321&gt;AI321*1.05,"acima","em linha"))),"")</f>
        <v/>
      </c>
      <c r="AK321" s="23" t="inlineStr">
        <is>
          <t>não</t>
        </is>
      </c>
      <c r="AL321" s="23" t="n"/>
      <c r="AM321" s="23" t="n"/>
      <c r="AN321" s="23" t="n"/>
      <c r="AO321" s="44">
        <f>A321</f>
        <v/>
      </c>
      <c r="AP321" s="44">
        <f>D321</f>
        <v/>
      </c>
    </row>
    <row r="322" hidden="1" ht="15.75" customHeight="1" s="93">
      <c r="A322" s="23" t="inlineStr">
        <is>
          <t>5.0206.0543232.0</t>
        </is>
      </c>
      <c r="B322" s="23" t="inlineStr">
        <is>
          <t>543232</t>
        </is>
      </c>
      <c r="C322" s="29">
        <f>IFERROR(LOWER(SUBSTITUTE(SUBSTITUTE(SUBSTITUTE(SUBSTITUTE(D322," ","-"),"/","-"),".",""),",","")),"")</f>
        <v/>
      </c>
      <c r="D322" s="23" t="inlineStr">
        <is>
          <t>BOMBA HIDRÁULICA - APLICAÇÃO 11 B1.B10.B1.D  14-70 BAR</t>
        </is>
      </c>
      <c r="E322" s="23" t="inlineStr">
        <is>
          <t>Bombas Hidráulicas</t>
        </is>
      </c>
      <c r="F322" s="23" t="inlineStr">
        <is>
          <t>SOHIPREN</t>
        </is>
      </c>
      <c r="G322" s="23" t="n"/>
      <c r="H322" s="23" t="inlineStr">
        <is>
          <t>draft</t>
        </is>
      </c>
      <c r="I322" s="23" t="inlineStr">
        <is>
          <t>DEUTZ TRATORES</t>
        </is>
      </c>
      <c r="J322" s="23" t="inlineStr">
        <is>
          <t>TRATOR</t>
        </is>
      </c>
      <c r="K322" s="23" t="inlineStr">
        <is>
          <t>PRINCIPAL</t>
        </is>
      </c>
      <c r="L322" s="23" t="n"/>
      <c r="M322" s="31" t="n"/>
      <c r="N322" s="31" t="n"/>
      <c r="O322" s="31" t="n"/>
      <c r="P322" s="31" t="n"/>
      <c r="Q322" s="31" t="n"/>
      <c r="R322" s="34">
        <f>IFERROR(IF(AND(O322&gt;0,P322&gt;0,Q322&gt;0),(O322*P322*Q322)/6000,""),"")</f>
        <v/>
      </c>
      <c r="S322" s="34">
        <f>IFERROR(IF(AND(N322&gt;0,R322&gt;0),MAX(N322,R322),IF(N322&gt;0,N322,IF(R322&gt;0,R322,""))),"")</f>
        <v/>
      </c>
      <c r="T322" s="36" t="n"/>
      <c r="U322" s="38" t="inlineStr">
        <is>
          <t>FALTA</t>
        </is>
      </c>
      <c r="V322" s="36" t="n">
        <v>605</v>
      </c>
      <c r="W322" s="39" t="n">
        <v>0.3</v>
      </c>
      <c r="X322" s="41">
        <f>IFERROR(V322+T322,"")</f>
        <v/>
      </c>
      <c r="Y322" s="41">
        <f>IFERROR(IF(W322&lt;1,X322/(1-W322),""),"")</f>
        <v/>
      </c>
      <c r="Z322" s="43">
        <f>'01_CONFIG_GLOBAL'!$C$14</f>
        <v/>
      </c>
      <c r="AA322" s="41">
        <f>IFERROR(Y322*Z322,"")</f>
        <v/>
      </c>
      <c r="AB322" s="41">
        <f>IFERROR(IF(Z322&lt;1,Y322/(1-Z322),""),"")</f>
        <v/>
      </c>
      <c r="AC322" s="23" t="n"/>
      <c r="AD322" s="36" t="n"/>
      <c r="AE322" s="23" t="n"/>
      <c r="AF322" s="36" t="n"/>
      <c r="AG322" s="23" t="n"/>
      <c r="AH322" s="36" t="n"/>
      <c r="AI322" s="41">
        <f>IFERROR(AVERAGE(AD322,AF322,AH322),"")</f>
        <v/>
      </c>
      <c r="AJ322" s="29">
        <f>IFERROR(IF(AI322="","sem dados",IF(AB322&lt;AI322*0.95,"abaixo",IF(AB322&gt;AI322*1.05,"acima","em linha"))),"")</f>
        <v/>
      </c>
      <c r="AK322" s="23" t="inlineStr">
        <is>
          <t>não</t>
        </is>
      </c>
      <c r="AL322" s="23" t="n"/>
      <c r="AM322" s="23" t="n"/>
      <c r="AN322" s="23" t="n"/>
      <c r="AO322" s="44">
        <f>A322</f>
        <v/>
      </c>
      <c r="AP322" s="44">
        <f>D322</f>
        <v/>
      </c>
    </row>
    <row r="323" hidden="1" ht="15.75" customHeight="1" s="93">
      <c r="A323" s="23" t="inlineStr">
        <is>
          <t>5.0206.0543211.0</t>
        </is>
      </c>
      <c r="B323" s="23" t="inlineStr">
        <is>
          <t>543211</t>
        </is>
      </c>
      <c r="C323" s="29">
        <f>IFERROR(LOWER(SUBSTITUTE(SUBSTITUTE(SUBSTITUTE(SUBSTITUTE(D323," ","-"),"/","-"),".",""),",","")),"")</f>
        <v/>
      </c>
      <c r="D323" s="23" t="inlineStr">
        <is>
          <t>BOD 11 B1.B1.A2.L1</t>
        </is>
      </c>
      <c r="E323" s="23" t="inlineStr">
        <is>
          <t>Bombas Hidráulicas</t>
        </is>
      </c>
      <c r="F323" s="23" t="inlineStr">
        <is>
          <t>SOHIPREN</t>
        </is>
      </c>
      <c r="G323" s="23" t="n"/>
      <c r="H323" s="23" t="inlineStr">
        <is>
          <t>draft</t>
        </is>
      </c>
      <c r="I323" s="23" t="inlineStr">
        <is>
          <t>DEUTZ TRATORES</t>
        </is>
      </c>
      <c r="J323" s="23" t="inlineStr">
        <is>
          <t>TRATOR</t>
        </is>
      </c>
      <c r="K323" s="23" t="inlineStr">
        <is>
          <t>3º PONTO</t>
        </is>
      </c>
      <c r="L323" s="23" t="n"/>
      <c r="M323" s="31" t="n"/>
      <c r="N323" s="31" t="n"/>
      <c r="O323" s="31" t="n"/>
      <c r="P323" s="31" t="n"/>
      <c r="Q323" s="31" t="n"/>
      <c r="R323" s="34">
        <f>IFERROR(IF(AND(O323&gt;0,P323&gt;0,Q323&gt;0),(O323*P323*Q323)/6000,""),"")</f>
        <v/>
      </c>
      <c r="S323" s="34">
        <f>IFERROR(IF(AND(N323&gt;0,R323&gt;0),MAX(N323,R323),IF(N323&gt;0,N323,IF(R323&gt;0,R323,""))),"")</f>
        <v/>
      </c>
      <c r="T323" s="36" t="n"/>
      <c r="U323" s="38" t="inlineStr">
        <is>
          <t>FALTA</t>
        </is>
      </c>
      <c r="V323" s="36" t="n">
        <v>915</v>
      </c>
      <c r="W323" s="39" t="n">
        <v>0.3</v>
      </c>
      <c r="X323" s="41">
        <f>IFERROR(V323+T323,"")</f>
        <v/>
      </c>
      <c r="Y323" s="41">
        <f>IFERROR(IF(W323&lt;1,X323/(1-W323),""),"")</f>
        <v/>
      </c>
      <c r="Z323" s="43">
        <f>'01_CONFIG_GLOBAL'!$C$14</f>
        <v/>
      </c>
      <c r="AA323" s="41">
        <f>IFERROR(Y323*Z323,"")</f>
        <v/>
      </c>
      <c r="AB323" s="41">
        <f>IFERROR(IF(Z323&lt;1,Y323/(1-Z323),""),"")</f>
        <v/>
      </c>
      <c r="AC323" s="23" t="n"/>
      <c r="AD323" s="36" t="n"/>
      <c r="AE323" s="23" t="n"/>
      <c r="AF323" s="36" t="n"/>
      <c r="AG323" s="23" t="n"/>
      <c r="AH323" s="36" t="n"/>
      <c r="AI323" s="41">
        <f>IFERROR(AVERAGE(AD323,AF323,AH323),"")</f>
        <v/>
      </c>
      <c r="AJ323" s="29">
        <f>IFERROR(IF(AI323="","sem dados",IF(AB323&lt;AI323*0.95,"abaixo",IF(AB323&gt;AI323*1.05,"acima","em linha"))),"")</f>
        <v/>
      </c>
      <c r="AK323" s="23" t="inlineStr">
        <is>
          <t>não</t>
        </is>
      </c>
      <c r="AL323" s="23" t="n"/>
      <c r="AM323" s="23" t="n"/>
      <c r="AN323" s="23" t="n"/>
      <c r="AO323" s="44">
        <f>A323</f>
        <v/>
      </c>
      <c r="AP323" s="44">
        <f>D323</f>
        <v/>
      </c>
    </row>
    <row r="324" hidden="1" ht="15.75" customHeight="1" s="93">
      <c r="A324" s="23" t="inlineStr">
        <is>
          <t>5.0210.0546405.0</t>
        </is>
      </c>
      <c r="B324" s="23" t="inlineStr">
        <is>
          <t>546405</t>
        </is>
      </c>
      <c r="C324" s="29">
        <f>IFERROR(LOWER(SUBSTITUTE(SUBSTITUTE(SUBSTITUTE(SUBSTITUTE(D324," ","-"),"/","-"),".",""),",","")),"")</f>
        <v/>
      </c>
      <c r="D324" s="23" t="inlineStr">
        <is>
          <t>BOMBA HIDRÁULICA - APLICAÇÃO 22,5 B1.B10.A7.D4  10-70 BAR</t>
        </is>
      </c>
      <c r="E324" s="23" t="inlineStr">
        <is>
          <t>Bombas Hidráulicas</t>
        </is>
      </c>
      <c r="F324" s="23" t="inlineStr">
        <is>
          <t>SOHIPREN</t>
        </is>
      </c>
      <c r="G324" s="23" t="n"/>
      <c r="H324" s="23" t="inlineStr">
        <is>
          <t>draft</t>
        </is>
      </c>
      <c r="I324" s="23" t="inlineStr">
        <is>
          <t>DEUTZ TRATORES</t>
        </is>
      </c>
      <c r="J324" s="23" t="inlineStr">
        <is>
          <t>TRATOR</t>
        </is>
      </c>
      <c r="K324" s="23" t="inlineStr">
        <is>
          <t>DIR E CONTROLE REMOTO</t>
        </is>
      </c>
      <c r="L324" s="23" t="n"/>
      <c r="M324" s="31" t="n"/>
      <c r="N324" s="31" t="n"/>
      <c r="O324" s="31" t="n"/>
      <c r="P324" s="31" t="n"/>
      <c r="Q324" s="31" t="n"/>
      <c r="R324" s="34">
        <f>IFERROR(IF(AND(O324&gt;0,P324&gt;0,Q324&gt;0),(O324*P324*Q324)/6000,""),"")</f>
        <v/>
      </c>
      <c r="S324" s="34">
        <f>IFERROR(IF(AND(N324&gt;0,R324&gt;0),MAX(N324,R324),IF(N324&gt;0,N324,IF(R324&gt;0,R324,""))),"")</f>
        <v/>
      </c>
      <c r="T324" s="36" t="n"/>
      <c r="U324" s="38" t="inlineStr">
        <is>
          <t>FALTA</t>
        </is>
      </c>
      <c r="V324" s="36" t="n">
        <v>517</v>
      </c>
      <c r="W324" s="39" t="n">
        <v>0.3</v>
      </c>
      <c r="X324" s="41">
        <f>IFERROR(V324+T324,"")</f>
        <v/>
      </c>
      <c r="Y324" s="41">
        <f>IFERROR(IF(W324&lt;1,X324/(1-W324),""),"")</f>
        <v/>
      </c>
      <c r="Z324" s="43">
        <f>'01_CONFIG_GLOBAL'!$C$14</f>
        <v/>
      </c>
      <c r="AA324" s="41">
        <f>IFERROR(Y324*Z324,"")</f>
        <v/>
      </c>
      <c r="AB324" s="41">
        <f>IFERROR(IF(Z324&lt;1,Y324/(1-Z324),""),"")</f>
        <v/>
      </c>
      <c r="AC324" s="23" t="n"/>
      <c r="AD324" s="36" t="n"/>
      <c r="AE324" s="23" t="n"/>
      <c r="AF324" s="36" t="n"/>
      <c r="AG324" s="23" t="n"/>
      <c r="AH324" s="36" t="n"/>
      <c r="AI324" s="41">
        <f>IFERROR(AVERAGE(AD324,AF324,AH324),"")</f>
        <v/>
      </c>
      <c r="AJ324" s="29">
        <f>IFERROR(IF(AI324="","sem dados",IF(AB324&lt;AI324*0.95,"abaixo",IF(AB324&gt;AI324*1.05,"acima","em linha"))),"")</f>
        <v/>
      </c>
      <c r="AK324" s="23" t="inlineStr">
        <is>
          <t>não</t>
        </is>
      </c>
      <c r="AL324" s="23" t="n"/>
      <c r="AM324" s="23" t="n"/>
      <c r="AN324" s="23" t="n"/>
      <c r="AO324" s="44">
        <f>A324</f>
        <v/>
      </c>
      <c r="AP324" s="44">
        <f>D324</f>
        <v/>
      </c>
    </row>
    <row r="325" hidden="1" ht="15.75" customHeight="1" s="93">
      <c r="A325" s="23" t="inlineStr">
        <is>
          <t>5.0210.0546407.0</t>
        </is>
      </c>
      <c r="B325" s="23" t="inlineStr">
        <is>
          <t>546407</t>
        </is>
      </c>
      <c r="C325" s="29">
        <f>IFERROR(LOWER(SUBSTITUTE(SUBSTITUTE(SUBSTITUTE(SUBSTITUTE(D325," ","-"),"/","-"),".",""),",","")),"")</f>
        <v/>
      </c>
      <c r="D325" s="23" t="inlineStr">
        <is>
          <t>BOMBA HIDRÁULICA - APLICAÇÃO 22,5 B.C1.A1.D  10-70 BAR</t>
        </is>
      </c>
      <c r="E325" s="23" t="inlineStr">
        <is>
          <t>Bombas Hidráulicas</t>
        </is>
      </c>
      <c r="F325" s="23" t="inlineStr">
        <is>
          <t>SOHIPREN</t>
        </is>
      </c>
      <c r="G325" s="23" t="n"/>
      <c r="H325" s="23" t="inlineStr">
        <is>
          <t>draft</t>
        </is>
      </c>
      <c r="I325" s="23" t="inlineStr">
        <is>
          <t>DEUTZ TRATORES</t>
        </is>
      </c>
      <c r="J325" s="23" t="inlineStr">
        <is>
          <t>TRATOR</t>
        </is>
      </c>
      <c r="K325" s="23" t="inlineStr">
        <is>
          <t>CONTROLE REMOTO</t>
        </is>
      </c>
      <c r="L325" s="23" t="n"/>
      <c r="M325" s="31" t="n"/>
      <c r="N325" s="31" t="n"/>
      <c r="O325" s="31" t="n"/>
      <c r="P325" s="31" t="n"/>
      <c r="Q325" s="31" t="n"/>
      <c r="R325" s="34">
        <f>IFERROR(IF(AND(O325&gt;0,P325&gt;0,Q325&gt;0),(O325*P325*Q325)/6000,""),"")</f>
        <v/>
      </c>
      <c r="S325" s="34">
        <f>IFERROR(IF(AND(N325&gt;0,R325&gt;0),MAX(N325,R325),IF(N325&gt;0,N325,IF(R325&gt;0,R325,""))),"")</f>
        <v/>
      </c>
      <c r="T325" s="36" t="n"/>
      <c r="U325" s="38" t="inlineStr">
        <is>
          <t>FALTA</t>
        </is>
      </c>
      <c r="V325" s="36" t="n">
        <v>517</v>
      </c>
      <c r="W325" s="39" t="n">
        <v>0.3</v>
      </c>
      <c r="X325" s="41">
        <f>IFERROR(V325+T325,"")</f>
        <v/>
      </c>
      <c r="Y325" s="41">
        <f>IFERROR(IF(W325&lt;1,X325/(1-W325),""),"")</f>
        <v/>
      </c>
      <c r="Z325" s="43">
        <f>'01_CONFIG_GLOBAL'!$C$14</f>
        <v/>
      </c>
      <c r="AA325" s="41">
        <f>IFERROR(Y325*Z325,"")</f>
        <v/>
      </c>
      <c r="AB325" s="41">
        <f>IFERROR(IF(Z325&lt;1,Y325/(1-Z325),""),"")</f>
        <v/>
      </c>
      <c r="AC325" s="23" t="n"/>
      <c r="AD325" s="36" t="n"/>
      <c r="AE325" s="23" t="n"/>
      <c r="AF325" s="36" t="n"/>
      <c r="AG325" s="23" t="n"/>
      <c r="AH325" s="36" t="n"/>
      <c r="AI325" s="41">
        <f>IFERROR(AVERAGE(AD325,AF325,AH325),"")</f>
        <v/>
      </c>
      <c r="AJ325" s="29">
        <f>IFERROR(IF(AI325="","sem dados",IF(AB325&lt;AI325*0.95,"abaixo",IF(AB325&gt;AI325*1.05,"acima","em linha"))),"")</f>
        <v/>
      </c>
      <c r="AK325" s="23" t="inlineStr">
        <is>
          <t>não</t>
        </is>
      </c>
      <c r="AL325" s="23" t="n"/>
      <c r="AM325" s="23" t="n"/>
      <c r="AN325" s="23" t="n"/>
      <c r="AO325" s="44">
        <f>A325</f>
        <v/>
      </c>
      <c r="AP325" s="44">
        <f>D325</f>
        <v/>
      </c>
    </row>
    <row r="326" hidden="1" ht="15.75" customHeight="1" s="93">
      <c r="A326" s="23" t="inlineStr">
        <is>
          <t>5.0210.0546408.0</t>
        </is>
      </c>
      <c r="B326" s="23" t="inlineStr">
        <is>
          <t>546408</t>
        </is>
      </c>
      <c r="C326" s="29">
        <f>IFERROR(LOWER(SUBSTITUTE(SUBSTITUTE(SUBSTITUTE(SUBSTITUTE(D326," ","-"),"/","-"),".",""),",","")),"")</f>
        <v/>
      </c>
      <c r="D326" s="23" t="inlineStr">
        <is>
          <t>BOD 22,5 B1.B1.A2.L1</t>
        </is>
      </c>
      <c r="E326" s="23" t="inlineStr">
        <is>
          <t>Bombas Hidráulicas</t>
        </is>
      </c>
      <c r="F326" s="23" t="inlineStr">
        <is>
          <t>SOHIPREN</t>
        </is>
      </c>
      <c r="G326" s="23" t="n"/>
      <c r="H326" s="23" t="inlineStr">
        <is>
          <t>draft</t>
        </is>
      </c>
      <c r="I326" s="23" t="inlineStr">
        <is>
          <t>DEUTZ TRATORES</t>
        </is>
      </c>
      <c r="J326" s="23" t="inlineStr">
        <is>
          <t>TRATOR</t>
        </is>
      </c>
      <c r="K326" s="23" t="inlineStr">
        <is>
          <t>PRINCIPAL</t>
        </is>
      </c>
      <c r="L326" s="23" t="n"/>
      <c r="M326" s="31" t="n"/>
      <c r="N326" s="31" t="n"/>
      <c r="O326" s="31" t="n"/>
      <c r="P326" s="31" t="n"/>
      <c r="Q326" s="31" t="n"/>
      <c r="R326" s="34">
        <f>IFERROR(IF(AND(O326&gt;0,P326&gt;0,Q326&gt;0),(O326*P326*Q326)/6000,""),"")</f>
        <v/>
      </c>
      <c r="S326" s="34">
        <f>IFERROR(IF(AND(N326&gt;0,R326&gt;0),MAX(N326,R326),IF(N326&gt;0,N326,IF(R326&gt;0,R326,""))),"")</f>
        <v/>
      </c>
      <c r="T326" s="36" t="n"/>
      <c r="U326" s="38" t="inlineStr">
        <is>
          <t>FALTA</t>
        </is>
      </c>
      <c r="V326" s="36" t="n">
        <v>517</v>
      </c>
      <c r="W326" s="39" t="n">
        <v>0.3</v>
      </c>
      <c r="X326" s="41">
        <f>IFERROR(V326+T326,"")</f>
        <v/>
      </c>
      <c r="Y326" s="41">
        <f>IFERROR(IF(W326&lt;1,X326/(1-W326),""),"")</f>
        <v/>
      </c>
      <c r="Z326" s="43">
        <f>'01_CONFIG_GLOBAL'!$C$14</f>
        <v/>
      </c>
      <c r="AA326" s="41">
        <f>IFERROR(Y326*Z326,"")</f>
        <v/>
      </c>
      <c r="AB326" s="41">
        <f>IFERROR(IF(Z326&lt;1,Y326/(1-Z326),""),"")</f>
        <v/>
      </c>
      <c r="AC326" s="23" t="n"/>
      <c r="AD326" s="36" t="n"/>
      <c r="AE326" s="23" t="n"/>
      <c r="AF326" s="36" t="n"/>
      <c r="AG326" s="23" t="n"/>
      <c r="AH326" s="36" t="n"/>
      <c r="AI326" s="41">
        <f>IFERROR(AVERAGE(AD326,AF326,AH326),"")</f>
        <v/>
      </c>
      <c r="AJ326" s="29">
        <f>IFERROR(IF(AI326="","sem dados",IF(AB326&lt;AI326*0.95,"abaixo",IF(AB326&gt;AI326*1.05,"acima","em linha"))),"")</f>
        <v/>
      </c>
      <c r="AK326" s="23" t="inlineStr">
        <is>
          <t>não</t>
        </is>
      </c>
      <c r="AL326" s="23" t="n"/>
      <c r="AM326" s="23" t="n"/>
      <c r="AN326" s="23" t="n"/>
      <c r="AO326" s="44">
        <f>A326</f>
        <v/>
      </c>
      <c r="AP326" s="44">
        <f>D326</f>
        <v/>
      </c>
    </row>
    <row r="327" hidden="1" ht="15.75" customHeight="1" s="93">
      <c r="A327" s="23" t="inlineStr">
        <is>
          <t>5.0208.0544836.0</t>
        </is>
      </c>
      <c r="B327" s="23" t="inlineStr">
        <is>
          <t>544836</t>
        </is>
      </c>
      <c r="C327" s="29">
        <f>IFERROR(LOWER(SUBSTITUTE(SUBSTITUTE(SUBSTITUTE(SUBSTITUTE(D327," ","-"),"/","-"),".",""),",","")),"")</f>
        <v/>
      </c>
      <c r="D327" s="23" t="inlineStr">
        <is>
          <t>BOD 16 B1.B1.A22.T1  -120 BAR</t>
        </is>
      </c>
      <c r="E327" s="23" t="inlineStr">
        <is>
          <t>Bombas Hidráulicas</t>
        </is>
      </c>
      <c r="F327" s="23" t="inlineStr">
        <is>
          <t>SOHIPREN</t>
        </is>
      </c>
      <c r="G327" s="23" t="n"/>
      <c r="H327" s="23" t="inlineStr">
        <is>
          <t>draft</t>
        </is>
      </c>
      <c r="I327" s="23" t="inlineStr">
        <is>
          <t>DEUTZ TRATORES</t>
        </is>
      </c>
      <c r="J327" s="23" t="inlineStr">
        <is>
          <t>TRATOR</t>
        </is>
      </c>
      <c r="K327" s="23" t="inlineStr">
        <is>
          <t>CONTROLE REMOTO</t>
        </is>
      </c>
      <c r="L327" s="23" t="n"/>
      <c r="M327" s="31" t="n"/>
      <c r="N327" s="31" t="n"/>
      <c r="O327" s="31" t="n"/>
      <c r="P327" s="31" t="n"/>
      <c r="Q327" s="31" t="n"/>
      <c r="R327" s="34">
        <f>IFERROR(IF(AND(O327&gt;0,P327&gt;0,Q327&gt;0),(O327*P327*Q327)/6000,""),"")</f>
        <v/>
      </c>
      <c r="S327" s="34">
        <f>IFERROR(IF(AND(N327&gt;0,R327&gt;0),MAX(N327,R327),IF(N327&gt;0,N327,IF(R327&gt;0,R327,""))),"")</f>
        <v/>
      </c>
      <c r="T327" s="36" t="n"/>
      <c r="U327" s="38" t="inlineStr">
        <is>
          <t>FALTA</t>
        </is>
      </c>
      <c r="V327" s="36" t="n">
        <v>665</v>
      </c>
      <c r="W327" s="39" t="n">
        <v>0.3</v>
      </c>
      <c r="X327" s="41">
        <f>IFERROR(V327+T327,"")</f>
        <v/>
      </c>
      <c r="Y327" s="41">
        <f>IFERROR(IF(W327&lt;1,X327/(1-W327),""),"")</f>
        <v/>
      </c>
      <c r="Z327" s="43">
        <f>'01_CONFIG_GLOBAL'!$C$14</f>
        <v/>
      </c>
      <c r="AA327" s="41">
        <f>IFERROR(Y327*Z327,"")</f>
        <v/>
      </c>
      <c r="AB327" s="41">
        <f>IFERROR(IF(Z327&lt;1,Y327/(1-Z327),""),"")</f>
        <v/>
      </c>
      <c r="AC327" s="23" t="n"/>
      <c r="AD327" s="36" t="n"/>
      <c r="AE327" s="23" t="n"/>
      <c r="AF327" s="36" t="n"/>
      <c r="AG327" s="23" t="n"/>
      <c r="AH327" s="36" t="n"/>
      <c r="AI327" s="41">
        <f>IFERROR(AVERAGE(AD327,AF327,AH327),"")</f>
        <v/>
      </c>
      <c r="AJ327" s="29">
        <f>IFERROR(IF(AI327="","sem dados",IF(AB327&lt;AI327*0.95,"abaixo",IF(AB327&gt;AI327*1.05,"acima","em linha"))),"")</f>
        <v/>
      </c>
      <c r="AK327" s="23" t="inlineStr">
        <is>
          <t>não</t>
        </is>
      </c>
      <c r="AL327" s="23" t="n"/>
      <c r="AM327" s="23" t="n"/>
      <c r="AN327" s="23" t="n"/>
      <c r="AO327" s="44">
        <f>A327</f>
        <v/>
      </c>
      <c r="AP327" s="44">
        <f>D327</f>
        <v/>
      </c>
    </row>
    <row r="328" hidden="1" ht="15.75" customHeight="1" s="93">
      <c r="A328" s="23" t="inlineStr">
        <is>
          <t>5.0208.0544837.0</t>
        </is>
      </c>
      <c r="B328" s="23" t="inlineStr">
        <is>
          <t>544837</t>
        </is>
      </c>
      <c r="C328" s="29">
        <f>IFERROR(LOWER(SUBSTITUTE(SUBSTITUTE(SUBSTITUTE(SUBSTITUTE(D328," ","-"),"/","-"),".",""),",","")),"")</f>
        <v/>
      </c>
      <c r="D328" s="23" t="inlineStr">
        <is>
          <t>BOD 16 B1.B1.A22.T1  -70 BAR</t>
        </is>
      </c>
      <c r="E328" s="23" t="inlineStr">
        <is>
          <t>Bombas Hidráulicas</t>
        </is>
      </c>
      <c r="F328" s="23" t="inlineStr">
        <is>
          <t>SOHIPREN</t>
        </is>
      </c>
      <c r="G328" s="23" t="n"/>
      <c r="H328" s="23" t="inlineStr">
        <is>
          <t>draft</t>
        </is>
      </c>
      <c r="I328" s="23" t="inlineStr">
        <is>
          <t>DEUTZ TRATORES</t>
        </is>
      </c>
      <c r="J328" s="23" t="inlineStr">
        <is>
          <t>TRATOR</t>
        </is>
      </c>
      <c r="K328" s="23" t="inlineStr">
        <is>
          <t>DIREÇÃO</t>
        </is>
      </c>
      <c r="L328" s="23" t="n"/>
      <c r="M328" s="31" t="n"/>
      <c r="N328" s="31" t="n"/>
      <c r="O328" s="31" t="n"/>
      <c r="P328" s="31" t="n"/>
      <c r="Q328" s="31" t="n"/>
      <c r="R328" s="34">
        <f>IFERROR(IF(AND(O328&gt;0,P328&gt;0,Q328&gt;0),(O328*P328*Q328)/6000,""),"")</f>
        <v/>
      </c>
      <c r="S328" s="34">
        <f>IFERROR(IF(AND(N328&gt;0,R328&gt;0),MAX(N328,R328),IF(N328&gt;0,N328,IF(R328&gt;0,R328,""))),"")</f>
        <v/>
      </c>
      <c r="T328" s="36" t="n"/>
      <c r="U328" s="38" t="inlineStr">
        <is>
          <t>FALTA</t>
        </is>
      </c>
      <c r="V328" s="36" t="n">
        <v>665</v>
      </c>
      <c r="W328" s="39" t="n">
        <v>0.3</v>
      </c>
      <c r="X328" s="41">
        <f>IFERROR(V328+T328,"")</f>
        <v/>
      </c>
      <c r="Y328" s="41">
        <f>IFERROR(IF(W328&lt;1,X328/(1-W328),""),"")</f>
        <v/>
      </c>
      <c r="Z328" s="43">
        <f>'01_CONFIG_GLOBAL'!$C$14</f>
        <v/>
      </c>
      <c r="AA328" s="41">
        <f>IFERROR(Y328*Z328,"")</f>
        <v/>
      </c>
      <c r="AB328" s="41">
        <f>IFERROR(IF(Z328&lt;1,Y328/(1-Z328),""),"")</f>
        <v/>
      </c>
      <c r="AC328" s="23" t="n"/>
      <c r="AD328" s="36" t="n"/>
      <c r="AE328" s="23" t="n"/>
      <c r="AF328" s="36" t="n"/>
      <c r="AG328" s="23" t="n"/>
      <c r="AH328" s="36" t="n"/>
      <c r="AI328" s="41">
        <f>IFERROR(AVERAGE(AD328,AF328,AH328),"")</f>
        <v/>
      </c>
      <c r="AJ328" s="29">
        <f>IFERROR(IF(AI328="","sem dados",IF(AB328&lt;AI328*0.95,"abaixo",IF(AB328&gt;AI328*1.05,"acima","em linha"))),"")</f>
        <v/>
      </c>
      <c r="AK328" s="23" t="inlineStr">
        <is>
          <t>não</t>
        </is>
      </c>
      <c r="AL328" s="23" t="n"/>
      <c r="AM328" s="23" t="n"/>
      <c r="AN328" s="23" t="n"/>
      <c r="AO328" s="44">
        <f>A328</f>
        <v/>
      </c>
      <c r="AP328" s="44">
        <f>D328</f>
        <v/>
      </c>
    </row>
    <row r="329" hidden="1" ht="15.75" customHeight="1" s="93">
      <c r="A329" s="23" t="inlineStr">
        <is>
          <t>5.0208.0544833.0</t>
        </is>
      </c>
      <c r="B329" s="23" t="inlineStr">
        <is>
          <t>544833</t>
        </is>
      </c>
      <c r="C329" s="29">
        <f>IFERROR(LOWER(SUBSTITUTE(SUBSTITUTE(SUBSTITUTE(SUBSTITUTE(D329," ","-"),"/","-"),".",""),",","")),"")</f>
        <v/>
      </c>
      <c r="D329" s="23" t="inlineStr">
        <is>
          <t>BOMBA HIDRÁULICA - APLICAÇÃO 16 B1.B10.A.T  -80 BAR</t>
        </is>
      </c>
      <c r="E329" s="23" t="inlineStr">
        <is>
          <t>Bombas Hidráulicas</t>
        </is>
      </c>
      <c r="F329" s="23" t="inlineStr">
        <is>
          <t>SOHIPREN</t>
        </is>
      </c>
      <c r="G329" s="23" t="n"/>
      <c r="H329" s="23" t="inlineStr">
        <is>
          <t>draft</t>
        </is>
      </c>
      <c r="I329" s="23" t="inlineStr">
        <is>
          <t>DEUTZ TRATORES</t>
        </is>
      </c>
      <c r="J329" s="23" t="inlineStr">
        <is>
          <t>TRATOR</t>
        </is>
      </c>
      <c r="K329" s="23" t="inlineStr">
        <is>
          <t>DIREÇÃO</t>
        </is>
      </c>
      <c r="L329" s="23" t="n"/>
      <c r="M329" s="31" t="n"/>
      <c r="N329" s="31" t="n"/>
      <c r="O329" s="31" t="n"/>
      <c r="P329" s="31" t="n"/>
      <c r="Q329" s="31" t="n"/>
      <c r="R329" s="34">
        <f>IFERROR(IF(AND(O329&gt;0,P329&gt;0,Q329&gt;0),(O329*P329*Q329)/6000,""),"")</f>
        <v/>
      </c>
      <c r="S329" s="34">
        <f>IFERROR(IF(AND(N329&gt;0,R329&gt;0),MAX(N329,R329),IF(N329&gt;0,N329,IF(R329&gt;0,R329,""))),"")</f>
        <v/>
      </c>
      <c r="T329" s="36" t="n"/>
      <c r="U329" s="38" t="inlineStr">
        <is>
          <t>FALTA</t>
        </is>
      </c>
      <c r="V329" s="36" t="n">
        <v>665</v>
      </c>
      <c r="W329" s="39" t="n">
        <v>0.3</v>
      </c>
      <c r="X329" s="41">
        <f>IFERROR(V329+T329,"")</f>
        <v/>
      </c>
      <c r="Y329" s="41">
        <f>IFERROR(IF(W329&lt;1,X329/(1-W329),""),"")</f>
        <v/>
      </c>
      <c r="Z329" s="43">
        <f>'01_CONFIG_GLOBAL'!$C$14</f>
        <v/>
      </c>
      <c r="AA329" s="41">
        <f>IFERROR(Y329*Z329,"")</f>
        <v/>
      </c>
      <c r="AB329" s="41">
        <f>IFERROR(IF(Z329&lt;1,Y329/(1-Z329),""),"")</f>
        <v/>
      </c>
      <c r="AC329" s="23" t="n"/>
      <c r="AD329" s="36" t="n"/>
      <c r="AE329" s="23" t="n"/>
      <c r="AF329" s="36" t="n"/>
      <c r="AG329" s="23" t="n"/>
      <c r="AH329" s="36" t="n"/>
      <c r="AI329" s="41">
        <f>IFERROR(AVERAGE(AD329,AF329,AH329),"")</f>
        <v/>
      </c>
      <c r="AJ329" s="29">
        <f>IFERROR(IF(AI329="","sem dados",IF(AB329&lt;AI329*0.95,"abaixo",IF(AB329&gt;AI329*1.05,"acima","em linha"))),"")</f>
        <v/>
      </c>
      <c r="AK329" s="23" t="inlineStr">
        <is>
          <t>não</t>
        </is>
      </c>
      <c r="AL329" s="23" t="n"/>
      <c r="AM329" s="23" t="n"/>
      <c r="AN329" s="23" t="n"/>
      <c r="AO329" s="44">
        <f>A329</f>
        <v/>
      </c>
      <c r="AP329" s="44">
        <f>D329</f>
        <v/>
      </c>
    </row>
    <row r="330" hidden="1" ht="15.75" customHeight="1" s="93">
      <c r="A330" s="23" t="inlineStr">
        <is>
          <t>5.0208.0544812.0</t>
        </is>
      </c>
      <c r="B330" s="23" t="inlineStr">
        <is>
          <t>544812</t>
        </is>
      </c>
      <c r="C330" s="29">
        <f>IFERROR(LOWER(SUBSTITUTE(SUBSTITUTE(SUBSTITUTE(SUBSTITUTE(D330," ","-"),"/","-"),".",""),",","")),"")</f>
        <v/>
      </c>
      <c r="D330" s="23" t="inlineStr">
        <is>
          <t>BOD 16 B1.B1.A2.L1</t>
        </is>
      </c>
      <c r="E330" s="23" t="inlineStr">
        <is>
          <t>Bombas Hidráulicas</t>
        </is>
      </c>
      <c r="F330" s="23" t="inlineStr">
        <is>
          <t>SOHIPREN</t>
        </is>
      </c>
      <c r="G330" s="23" t="n"/>
      <c r="H330" s="23" t="inlineStr">
        <is>
          <t>draft</t>
        </is>
      </c>
      <c r="I330" s="23" t="inlineStr">
        <is>
          <t>DEUTZ TRATORES</t>
        </is>
      </c>
      <c r="J330" s="23" t="inlineStr">
        <is>
          <t>TRATOR</t>
        </is>
      </c>
      <c r="K330" s="23" t="inlineStr">
        <is>
          <t>DIREÇÃO</t>
        </is>
      </c>
      <c r="L330" s="23" t="n"/>
      <c r="M330" s="31" t="n"/>
      <c r="N330" s="31" t="n"/>
      <c r="O330" s="31" t="n"/>
      <c r="P330" s="31" t="n"/>
      <c r="Q330" s="31" t="n"/>
      <c r="R330" s="34">
        <f>IFERROR(IF(AND(O330&gt;0,P330&gt;0,Q330&gt;0),(O330*P330*Q330)/6000,""),"")</f>
        <v/>
      </c>
      <c r="S330" s="34">
        <f>IFERROR(IF(AND(N330&gt;0,R330&gt;0),MAX(N330,R330),IF(N330&gt;0,N330,IF(R330&gt;0,R330,""))),"")</f>
        <v/>
      </c>
      <c r="T330" s="36" t="n"/>
      <c r="U330" s="38" t="inlineStr">
        <is>
          <t>FALTA</t>
        </is>
      </c>
      <c r="V330" s="36" t="n">
        <v>960</v>
      </c>
      <c r="W330" s="39" t="n">
        <v>0.3</v>
      </c>
      <c r="X330" s="41">
        <f>IFERROR(V330+T330,"")</f>
        <v/>
      </c>
      <c r="Y330" s="41">
        <f>IFERROR(IF(W330&lt;1,X330/(1-W330),""),"")</f>
        <v/>
      </c>
      <c r="Z330" s="43">
        <f>'01_CONFIG_GLOBAL'!$C$14</f>
        <v/>
      </c>
      <c r="AA330" s="41">
        <f>IFERROR(Y330*Z330,"")</f>
        <v/>
      </c>
      <c r="AB330" s="41">
        <f>IFERROR(IF(Z330&lt;1,Y330/(1-Z330),""),"")</f>
        <v/>
      </c>
      <c r="AC330" s="23" t="n"/>
      <c r="AD330" s="36" t="n"/>
      <c r="AE330" s="23" t="n"/>
      <c r="AF330" s="36" t="n"/>
      <c r="AG330" s="23" t="n"/>
      <c r="AH330" s="36" t="n"/>
      <c r="AI330" s="41">
        <f>IFERROR(AVERAGE(AD330,AF330,AH330),"")</f>
        <v/>
      </c>
      <c r="AJ330" s="29">
        <f>IFERROR(IF(AI330="","sem dados",IF(AB330&lt;AI330*0.95,"abaixo",IF(AB330&gt;AI330*1.05,"acima","em linha"))),"")</f>
        <v/>
      </c>
      <c r="AK330" s="23" t="inlineStr">
        <is>
          <t>não</t>
        </is>
      </c>
      <c r="AL330" s="23" t="n"/>
      <c r="AM330" s="23" t="n"/>
      <c r="AN330" s="23" t="n"/>
      <c r="AO330" s="44">
        <f>A330</f>
        <v/>
      </c>
      <c r="AP330" s="44">
        <f>D330</f>
        <v/>
      </c>
    </row>
    <row r="331" hidden="1" ht="15.75" customHeight="1" s="93">
      <c r="A331" s="23" t="inlineStr">
        <is>
          <t>5.0208.0544803.0</t>
        </is>
      </c>
      <c r="B331" s="23" t="inlineStr">
        <is>
          <t>544803</t>
        </is>
      </c>
      <c r="C331" s="29">
        <f>IFERROR(LOWER(SUBSTITUTE(SUBSTITUTE(SUBSTITUTE(SUBSTITUTE(D331," ","-"),"/","-"),".",""),",","")),"")</f>
        <v/>
      </c>
      <c r="D331" s="23" t="inlineStr">
        <is>
          <t>BOD 16 B.C1.B.L</t>
        </is>
      </c>
      <c r="E331" s="23" t="inlineStr">
        <is>
          <t>Bombas Hidráulicas</t>
        </is>
      </c>
      <c r="F331" s="23" t="inlineStr">
        <is>
          <t>SOHIPREN</t>
        </is>
      </c>
      <c r="G331" s="23" t="n"/>
      <c r="H331" s="23" t="inlineStr">
        <is>
          <t>draft</t>
        </is>
      </c>
      <c r="I331" s="23" t="inlineStr">
        <is>
          <t>DEUTZ TRATORES</t>
        </is>
      </c>
      <c r="J331" s="23" t="inlineStr">
        <is>
          <t>TRATOR</t>
        </is>
      </c>
      <c r="K331" s="23" t="inlineStr">
        <is>
          <t>CONTROLE REMOTO</t>
        </is>
      </c>
      <c r="L331" s="23" t="n"/>
      <c r="M331" s="31" t="n"/>
      <c r="N331" s="31" t="n"/>
      <c r="O331" s="31" t="n"/>
      <c r="P331" s="31" t="n"/>
      <c r="Q331" s="31" t="n"/>
      <c r="R331" s="34">
        <f>IFERROR(IF(AND(O331&gt;0,P331&gt;0,Q331&gt;0),(O331*P331*Q331)/6000,""),"")</f>
        <v/>
      </c>
      <c r="S331" s="34">
        <f>IFERROR(IF(AND(N331&gt;0,R331&gt;0),MAX(N331,R331),IF(N331&gt;0,N331,IF(R331&gt;0,R331,""))),"")</f>
        <v/>
      </c>
      <c r="T331" s="36" t="n"/>
      <c r="U331" s="38" t="inlineStr">
        <is>
          <t>FALTA</t>
        </is>
      </c>
      <c r="V331" s="36" t="n">
        <v>605</v>
      </c>
      <c r="W331" s="39" t="n">
        <v>0.3</v>
      </c>
      <c r="X331" s="41">
        <f>IFERROR(V331+T331,"")</f>
        <v/>
      </c>
      <c r="Y331" s="41">
        <f>IFERROR(IF(W331&lt;1,X331/(1-W331),""),"")</f>
        <v/>
      </c>
      <c r="Z331" s="43">
        <f>'01_CONFIG_GLOBAL'!$C$14</f>
        <v/>
      </c>
      <c r="AA331" s="41">
        <f>IFERROR(Y331*Z331,"")</f>
        <v/>
      </c>
      <c r="AB331" s="41">
        <f>IFERROR(IF(Z331&lt;1,Y331/(1-Z331),""),"")</f>
        <v/>
      </c>
      <c r="AC331" s="23" t="n"/>
      <c r="AD331" s="36" t="n"/>
      <c r="AE331" s="23" t="n"/>
      <c r="AF331" s="36" t="n"/>
      <c r="AG331" s="23" t="n"/>
      <c r="AH331" s="36" t="n"/>
      <c r="AI331" s="41">
        <f>IFERROR(AVERAGE(AD331,AF331,AH331),"")</f>
        <v/>
      </c>
      <c r="AJ331" s="29">
        <f>IFERROR(IF(AI331="","sem dados",IF(AB331&lt;AI331*0.95,"abaixo",IF(AB331&gt;AI331*1.05,"acima","em linha"))),"")</f>
        <v/>
      </c>
      <c r="AK331" s="23" t="inlineStr">
        <is>
          <t>não</t>
        </is>
      </c>
      <c r="AL331" s="23" t="n"/>
      <c r="AM331" s="23" t="n"/>
      <c r="AN331" s="23" t="n"/>
      <c r="AO331" s="44">
        <f>A331</f>
        <v/>
      </c>
      <c r="AP331" s="44">
        <f>D331</f>
        <v/>
      </c>
    </row>
    <row r="332" hidden="1" ht="15.75" customHeight="1" s="93">
      <c r="A332" s="23" t="inlineStr">
        <is>
          <t>5.0209.0545605.0</t>
        </is>
      </c>
      <c r="B332" s="23" t="inlineStr">
        <is>
          <t>545605</t>
        </is>
      </c>
      <c r="C332" s="29">
        <f>IFERROR(LOWER(SUBSTITUTE(SUBSTITUTE(SUBSTITUTE(SUBSTITUTE(D332," ","-"),"/","-"),".",""),",","")),"")</f>
        <v/>
      </c>
      <c r="D332" s="23" t="inlineStr">
        <is>
          <t>BOMBA HIDRÁULICA - APLICAÇÃO 19 B1.B10.A7.D4  10-100 BAR</t>
        </is>
      </c>
      <c r="E332" s="23" t="inlineStr">
        <is>
          <t>Bombas Hidráulicas</t>
        </is>
      </c>
      <c r="F332" s="23" t="inlineStr">
        <is>
          <t>SOHIPREN</t>
        </is>
      </c>
      <c r="G332" s="23" t="n"/>
      <c r="H332" s="23" t="inlineStr">
        <is>
          <t>draft</t>
        </is>
      </c>
      <c r="I332" s="23" t="inlineStr">
        <is>
          <t>DEUTZ TRATORES</t>
        </is>
      </c>
      <c r="J332" s="23" t="inlineStr">
        <is>
          <t>TRATOR</t>
        </is>
      </c>
      <c r="K332" s="23" t="inlineStr">
        <is>
          <t>PRINCIPAL</t>
        </is>
      </c>
      <c r="L332" s="23" t="n"/>
      <c r="M332" s="31" t="n"/>
      <c r="N332" s="31" t="n"/>
      <c r="O332" s="31" t="n"/>
      <c r="P332" s="31" t="n"/>
      <c r="Q332" s="31" t="n"/>
      <c r="R332" s="34">
        <f>IFERROR(IF(AND(O332&gt;0,P332&gt;0,Q332&gt;0),(O332*P332*Q332)/6000,""),"")</f>
        <v/>
      </c>
      <c r="S332" s="34">
        <f>IFERROR(IF(AND(N332&gt;0,R332&gt;0),MAX(N332,R332),IF(N332&gt;0,N332,IF(R332&gt;0,R332,""))),"")</f>
        <v/>
      </c>
      <c r="T332" s="36" t="n"/>
      <c r="U332" s="38" t="inlineStr">
        <is>
          <t>FALTA</t>
        </is>
      </c>
      <c r="V332" s="36" t="n">
        <v>605</v>
      </c>
      <c r="W332" s="39" t="n">
        <v>0.3</v>
      </c>
      <c r="X332" s="41">
        <f>IFERROR(V332+T332,"")</f>
        <v/>
      </c>
      <c r="Y332" s="41">
        <f>IFERROR(IF(W332&lt;1,X332/(1-W332),""),"")</f>
        <v/>
      </c>
      <c r="Z332" s="43">
        <f>'01_CONFIG_GLOBAL'!$C$14</f>
        <v/>
      </c>
      <c r="AA332" s="41">
        <f>IFERROR(Y332*Z332,"")</f>
        <v/>
      </c>
      <c r="AB332" s="41">
        <f>IFERROR(IF(Z332&lt;1,Y332/(1-Z332),""),"")</f>
        <v/>
      </c>
      <c r="AC332" s="23" t="n"/>
      <c r="AD332" s="36" t="n"/>
      <c r="AE332" s="23" t="n"/>
      <c r="AF332" s="36" t="n"/>
      <c r="AG332" s="23" t="n"/>
      <c r="AH332" s="36" t="n"/>
      <c r="AI332" s="41">
        <f>IFERROR(AVERAGE(AD332,AF332,AH332),"")</f>
        <v/>
      </c>
      <c r="AJ332" s="29">
        <f>IFERROR(IF(AI332="","sem dados",IF(AB332&lt;AI332*0.95,"abaixo",IF(AB332&gt;AI332*1.05,"acima","em linha"))),"")</f>
        <v/>
      </c>
      <c r="AK332" s="23" t="inlineStr">
        <is>
          <t>não</t>
        </is>
      </c>
      <c r="AL332" s="23" t="n"/>
      <c r="AM332" s="23" t="n"/>
      <c r="AN332" s="23" t="n"/>
      <c r="AO332" s="44">
        <f>A332</f>
        <v/>
      </c>
      <c r="AP332" s="44">
        <f>D332</f>
        <v/>
      </c>
    </row>
    <row r="333" hidden="1" ht="15.75" customHeight="1" s="93">
      <c r="A333" s="23" t="inlineStr">
        <is>
          <t>5.0209.0545608.0</t>
        </is>
      </c>
      <c r="B333" s="23" t="inlineStr">
        <is>
          <t>545608</t>
        </is>
      </c>
      <c r="C333" s="29">
        <f>IFERROR(LOWER(SUBSTITUTE(SUBSTITUTE(SUBSTITUTE(SUBSTITUTE(D333," ","-"),"/","-"),".",""),",","")),"")</f>
        <v/>
      </c>
      <c r="D333" s="23" t="inlineStr">
        <is>
          <t>BOD 19 B1.B1.A2.L1</t>
        </is>
      </c>
      <c r="E333" s="23" t="inlineStr">
        <is>
          <t>Bombas Hidráulicas</t>
        </is>
      </c>
      <c r="F333" s="23" t="inlineStr">
        <is>
          <t>SOHIPREN</t>
        </is>
      </c>
      <c r="G333" s="23" t="n"/>
      <c r="H333" s="23" t="inlineStr">
        <is>
          <t>draft</t>
        </is>
      </c>
      <c r="I333" s="23" t="inlineStr">
        <is>
          <t>DEUTZ TRATORES</t>
        </is>
      </c>
      <c r="J333" s="23" t="inlineStr">
        <is>
          <t>TRATOR</t>
        </is>
      </c>
      <c r="K333" s="23" t="inlineStr">
        <is>
          <t>CONTROLE REMOTO</t>
        </is>
      </c>
      <c r="L333" s="23" t="n"/>
      <c r="M333" s="31" t="n"/>
      <c r="N333" s="31" t="n"/>
      <c r="O333" s="31" t="n"/>
      <c r="P333" s="31" t="n"/>
      <c r="Q333" s="31" t="n"/>
      <c r="R333" s="34">
        <f>IFERROR(IF(AND(O333&gt;0,P333&gt;0,Q333&gt;0),(O333*P333*Q333)/6000,""),"")</f>
        <v/>
      </c>
      <c r="S333" s="34">
        <f>IFERROR(IF(AND(N333&gt;0,R333&gt;0),MAX(N333,R333),IF(N333&gt;0,N333,IF(R333&gt;0,R333,""))),"")</f>
        <v/>
      </c>
      <c r="T333" s="36" t="n"/>
      <c r="U333" s="38" t="inlineStr">
        <is>
          <t>FALTA</t>
        </is>
      </c>
      <c r="V333" s="36" t="n">
        <v>925</v>
      </c>
      <c r="W333" s="39" t="n">
        <v>0.3</v>
      </c>
      <c r="X333" s="41">
        <f>IFERROR(V333+T333,"")</f>
        <v/>
      </c>
      <c r="Y333" s="41">
        <f>IFERROR(IF(W333&lt;1,X333/(1-W333),""),"")</f>
        <v/>
      </c>
      <c r="Z333" s="43">
        <f>'01_CONFIG_GLOBAL'!$C$14</f>
        <v/>
      </c>
      <c r="AA333" s="41">
        <f>IFERROR(Y333*Z333,"")</f>
        <v/>
      </c>
      <c r="AB333" s="41">
        <f>IFERROR(IF(Z333&lt;1,Y333/(1-Z333),""),"")</f>
        <v/>
      </c>
      <c r="AC333" s="23" t="n"/>
      <c r="AD333" s="36" t="n"/>
      <c r="AE333" s="23" t="n"/>
      <c r="AF333" s="36" t="n"/>
      <c r="AG333" s="23" t="n"/>
      <c r="AH333" s="36" t="n"/>
      <c r="AI333" s="41">
        <f>IFERROR(AVERAGE(AD333,AF333,AH333),"")</f>
        <v/>
      </c>
      <c r="AJ333" s="29">
        <f>IFERROR(IF(AI333="","sem dados",IF(AB333&lt;AI333*0.95,"abaixo",IF(AB333&gt;AI333*1.05,"acima","em linha"))),"")</f>
        <v/>
      </c>
      <c r="AK333" s="23" t="inlineStr">
        <is>
          <t>não</t>
        </is>
      </c>
      <c r="AL333" s="23" t="n"/>
      <c r="AM333" s="23" t="n"/>
      <c r="AN333" s="23" t="n"/>
      <c r="AO333" s="44">
        <f>A333</f>
        <v/>
      </c>
      <c r="AP333" s="44">
        <f>D333</f>
        <v/>
      </c>
    </row>
    <row r="334" hidden="1" ht="15.75" customHeight="1" s="93">
      <c r="A334" s="23" t="inlineStr">
        <is>
          <t>0.2207.L081548.1</t>
        </is>
      </c>
      <c r="B334" s="23" t="inlineStr">
        <is>
          <t>L081548</t>
        </is>
      </c>
      <c r="C334" s="29">
        <f>IFERROR(LOWER(SUBSTITUTE(SUBSTITUTE(SUBSTITUTE(SUBSTITUTE(D334," ","-"),"/","-"),".",""),",","")),"")</f>
        <v/>
      </c>
      <c r="D334" s="23" t="inlineStr">
        <is>
          <t>BOMBA DE ENGRENAGENS P/ PTO 540 RPM - 125CC</t>
        </is>
      </c>
      <c r="E334" s="23" t="inlineStr">
        <is>
          <t>Bombas Hidráulicas</t>
        </is>
      </c>
      <c r="F334" s="23" t="inlineStr">
        <is>
          <t>SOHIPREN</t>
        </is>
      </c>
      <c r="G334" s="23" t="n"/>
      <c r="H334" s="23" t="inlineStr">
        <is>
          <t>draft</t>
        </is>
      </c>
      <c r="I334" s="23" t="inlineStr">
        <is>
          <t>DIVERSAS</t>
        </is>
      </c>
      <c r="J334" s="23" t="inlineStr">
        <is>
          <t>TRATOR</t>
        </is>
      </c>
      <c r="K334" s="23" t="inlineStr">
        <is>
          <t>PRINCIPAL</t>
        </is>
      </c>
      <c r="L334" s="23" t="inlineStr">
        <is>
          <t>80111125001</t>
        </is>
      </c>
      <c r="M334" s="31" t="n"/>
      <c r="N334" s="31" t="n"/>
      <c r="O334" s="31" t="n"/>
      <c r="P334" s="31" t="n"/>
      <c r="Q334" s="31" t="n"/>
      <c r="R334" s="34">
        <f>IFERROR(IF(AND(O334&gt;0,P334&gt;0,Q334&gt;0),(O334*P334*Q334)/6000,""),"")</f>
        <v/>
      </c>
      <c r="S334" s="34">
        <f>IFERROR(IF(AND(N334&gt;0,R334&gt;0),MAX(N334,R334),IF(N334&gt;0,N334,IF(R334&gt;0,R334,""))),"")</f>
        <v/>
      </c>
      <c r="T334" s="36" t="n"/>
      <c r="U334" s="38" t="inlineStr">
        <is>
          <t>FALTA</t>
        </is>
      </c>
      <c r="V334" s="36" t="n">
        <v>53.91</v>
      </c>
      <c r="W334" s="39" t="n">
        <v>0.3</v>
      </c>
      <c r="X334" s="41">
        <f>IFERROR(V334+T334,"")</f>
        <v/>
      </c>
      <c r="Y334" s="41">
        <f>IFERROR(IF(W334&lt;1,X334/(1-W334),""),"")</f>
        <v/>
      </c>
      <c r="Z334" s="43">
        <f>'01_CONFIG_GLOBAL'!$C$14</f>
        <v/>
      </c>
      <c r="AA334" s="41">
        <f>IFERROR(Y334*Z334,"")</f>
        <v/>
      </c>
      <c r="AB334" s="41">
        <f>IFERROR(IF(Z334&lt;1,Y334/(1-Z334),""),"")</f>
        <v/>
      </c>
      <c r="AC334" s="23" t="n"/>
      <c r="AD334" s="36" t="n"/>
      <c r="AE334" s="23" t="n"/>
      <c r="AF334" s="36" t="n"/>
      <c r="AG334" s="23" t="n"/>
      <c r="AH334" s="36" t="n"/>
      <c r="AI334" s="41">
        <f>IFERROR(AVERAGE(AD334,AF334,AH334),"")</f>
        <v/>
      </c>
      <c r="AJ334" s="29">
        <f>IFERROR(IF(AI334="","sem dados",IF(AB334&lt;AI334*0.95,"abaixo",IF(AB334&gt;AI334*1.05,"acima","em linha"))),"")</f>
        <v/>
      </c>
      <c r="AK334" s="23" t="inlineStr">
        <is>
          <t>não</t>
        </is>
      </c>
      <c r="AL334" s="23" t="n"/>
      <c r="AM334" s="23" t="n"/>
      <c r="AN334" s="23" t="n"/>
      <c r="AO334" s="44">
        <f>A334</f>
        <v/>
      </c>
      <c r="AP334" s="44">
        <f>D334</f>
        <v/>
      </c>
    </row>
    <row r="335" hidden="1" ht="15.75" customHeight="1" s="93">
      <c r="A335" s="23" t="inlineStr">
        <is>
          <t>6.0460.L082345.0</t>
        </is>
      </c>
      <c r="B335" s="23" t="inlineStr">
        <is>
          <t>L082345</t>
        </is>
      </c>
      <c r="C335" s="29">
        <f>IFERROR(LOWER(SUBSTITUTE(SUBSTITUTE(SUBSTITUTE(SUBSTITUTE(D335," ","-"),"/","-"),".",""),",","")),"")</f>
        <v/>
      </c>
      <c r="D335" s="23" t="inlineStr">
        <is>
          <t>TN6 (4DWG6-E60/DC12NZ5L-HZTQ)</t>
        </is>
      </c>
      <c r="E335" s="23" t="n"/>
      <c r="F335" s="23" t="inlineStr">
        <is>
          <t>SOHIPREN</t>
        </is>
      </c>
      <c r="G335" s="23" t="n"/>
      <c r="H335" s="23" t="inlineStr">
        <is>
          <t>draft</t>
        </is>
      </c>
      <c r="I335" s="23" t="inlineStr">
        <is>
          <t>DIVERSON</t>
        </is>
      </c>
      <c r="J335" s="23" t="n"/>
      <c r="K335" s="23" t="n"/>
      <c r="L335" s="23" t="inlineStr">
        <is>
          <t>V4WE6E6X/EG12NZ5L/4DWG6-E60/DC12NZ5L-HZTQ-CP02333</t>
        </is>
      </c>
      <c r="M335" s="31" t="n"/>
      <c r="N335" s="31" t="n"/>
      <c r="O335" s="31" t="n"/>
      <c r="P335" s="31" t="n"/>
      <c r="Q335" s="31" t="n"/>
      <c r="R335" s="34">
        <f>IFERROR(IF(AND(O335&gt;0,P335&gt;0,Q335&gt;0),(O335*P335*Q335)/6000,""),"")</f>
        <v/>
      </c>
      <c r="S335" s="34">
        <f>IFERROR(IF(AND(N335&gt;0,R335&gt;0),MAX(N335,R335),IF(N335&gt;0,N335,IF(R335&gt;0,R335,""))),"")</f>
        <v/>
      </c>
      <c r="T335" s="36" t="n"/>
      <c r="U335" s="38" t="inlineStr">
        <is>
          <t>FALTA</t>
        </is>
      </c>
      <c r="V335" s="36" t="n">
        <v>55</v>
      </c>
      <c r="W335" s="39" t="n">
        <v>0.3</v>
      </c>
      <c r="X335" s="41">
        <f>IFERROR(V335+T335,"")</f>
        <v/>
      </c>
      <c r="Y335" s="41">
        <f>IFERROR(IF(W335&lt;1,X335/(1-W335),""),"")</f>
        <v/>
      </c>
      <c r="Z335" s="43">
        <f>'01_CONFIG_GLOBAL'!$C$14</f>
        <v/>
      </c>
      <c r="AA335" s="41">
        <f>IFERROR(Y335*Z335,"")</f>
        <v/>
      </c>
      <c r="AB335" s="41">
        <f>IFERROR(IF(Z335&lt;1,Y335/(1-Z335),""),"")</f>
        <v/>
      </c>
      <c r="AC335" s="23" t="n"/>
      <c r="AD335" s="36" t="n"/>
      <c r="AE335" s="23" t="n"/>
      <c r="AF335" s="36" t="n"/>
      <c r="AG335" s="23" t="n"/>
      <c r="AH335" s="36" t="n"/>
      <c r="AI335" s="41">
        <f>IFERROR(AVERAGE(AD335,AF335,AH335),"")</f>
        <v/>
      </c>
      <c r="AJ335" s="29">
        <f>IFERROR(IF(AI335="","sem dados",IF(AB335&lt;AI335*0.95,"abaixo",IF(AB335&gt;AI335*1.05,"acima","em linha"))),"")</f>
        <v/>
      </c>
      <c r="AK335" s="23" t="inlineStr">
        <is>
          <t>não</t>
        </is>
      </c>
      <c r="AL335" s="23" t="n"/>
      <c r="AM335" s="23" t="n"/>
      <c r="AN335" s="23" t="n"/>
      <c r="AO335" s="44">
        <f>A335</f>
        <v/>
      </c>
      <c r="AP335" s="44">
        <f>D335</f>
        <v/>
      </c>
    </row>
    <row r="336" hidden="1" ht="15.75" customHeight="1" s="93">
      <c r="A336" s="23" t="inlineStr">
        <is>
          <t>2.5004.L080760.0</t>
        </is>
      </c>
      <c r="B336" s="23" t="inlineStr">
        <is>
          <t>L080760</t>
        </is>
      </c>
      <c r="C336" s="29">
        <f>IFERROR(LOWER(SUBSTITUTE(SUBSTITUTE(SUBSTITUTE(SUBSTITUTE(D336," ","-"),"/","-"),".",""),",","")),"")</f>
        <v/>
      </c>
      <c r="D336" s="23" t="inlineStr">
        <is>
          <t>VALVULA AGULHA UNIDIRECIONAL - 3/8" BSP</t>
        </is>
      </c>
      <c r="E336" s="23" t="n"/>
      <c r="F336" s="23" t="inlineStr">
        <is>
          <t>SOHIPREN</t>
        </is>
      </c>
      <c r="G336" s="23" t="n"/>
      <c r="H336" s="23" t="inlineStr">
        <is>
          <t>draft</t>
        </is>
      </c>
      <c r="I336" s="23" t="inlineStr">
        <is>
          <t>DIVERSOS</t>
        </is>
      </c>
      <c r="J336" s="23" t="inlineStr">
        <is>
          <t>DIVERSOS</t>
        </is>
      </c>
      <c r="K336" s="23" t="inlineStr">
        <is>
          <t>REGULADORA DE VAZÃO</t>
        </is>
      </c>
      <c r="L336" s="23" t="inlineStr">
        <is>
          <t>FRV10-1-10</t>
        </is>
      </c>
      <c r="M336" s="31" t="n"/>
      <c r="N336" s="31" t="n"/>
      <c r="O336" s="31" t="n"/>
      <c r="P336" s="31" t="n"/>
      <c r="Q336" s="31" t="n"/>
      <c r="R336" s="34">
        <f>IFERROR(IF(AND(O336&gt;0,P336&gt;0,Q336&gt;0),(O336*P336*Q336)/6000,""),"")</f>
        <v/>
      </c>
      <c r="S336" s="34">
        <f>IFERROR(IF(AND(N336&gt;0,R336&gt;0),MAX(N336,R336),IF(N336&gt;0,N336,IF(R336&gt;0,R336,""))),"")</f>
        <v/>
      </c>
      <c r="T336" s="36" t="n"/>
      <c r="U336" s="38" t="inlineStr">
        <is>
          <t>FALTA</t>
        </is>
      </c>
      <c r="V336" s="36" t="n">
        <v>136.56</v>
      </c>
      <c r="W336" s="39" t="n">
        <v>0.3</v>
      </c>
      <c r="X336" s="41">
        <f>IFERROR(V336+T336,"")</f>
        <v/>
      </c>
      <c r="Y336" s="41">
        <f>IFERROR(IF(W336&lt;1,X336/(1-W336),""),"")</f>
        <v/>
      </c>
      <c r="Z336" s="43">
        <f>'01_CONFIG_GLOBAL'!$C$14</f>
        <v/>
      </c>
      <c r="AA336" s="41">
        <f>IFERROR(Y336*Z336,"")</f>
        <v/>
      </c>
      <c r="AB336" s="41">
        <f>IFERROR(IF(Z336&lt;1,Y336/(1-Z336),""),"")</f>
        <v/>
      </c>
      <c r="AC336" s="23" t="n"/>
      <c r="AD336" s="36" t="n"/>
      <c r="AE336" s="23" t="n"/>
      <c r="AF336" s="36" t="n"/>
      <c r="AG336" s="23" t="n"/>
      <c r="AH336" s="36" t="n"/>
      <c r="AI336" s="41">
        <f>IFERROR(AVERAGE(AD336,AF336,AH336),"")</f>
        <v/>
      </c>
      <c r="AJ336" s="29">
        <f>IFERROR(IF(AI336="","sem dados",IF(AB336&lt;AI336*0.95,"abaixo",IF(AB336&gt;AI336*1.05,"acima","em linha"))),"")</f>
        <v/>
      </c>
      <c r="AK336" s="23" t="inlineStr">
        <is>
          <t>não</t>
        </is>
      </c>
      <c r="AL336" s="23" t="n"/>
      <c r="AM336" s="23" t="n"/>
      <c r="AN336" s="23" t="n"/>
      <c r="AO336" s="44">
        <f>A336</f>
        <v/>
      </c>
      <c r="AP336" s="44">
        <f>D336</f>
        <v/>
      </c>
    </row>
    <row r="337" hidden="1" ht="15.75" customHeight="1" s="93">
      <c r="A337" s="23" t="inlineStr">
        <is>
          <t>2.0605.L080848.0</t>
        </is>
      </c>
      <c r="B337" s="23" t="inlineStr">
        <is>
          <t>L080848</t>
        </is>
      </c>
      <c r="C337" s="29">
        <f>IFERROR(LOWER(SUBSTITUTE(SUBSTITUTE(SUBSTITUTE(SUBSTITUTE(D337," ","-"),"/","-"),".",""),",","")),"")</f>
        <v/>
      </c>
      <c r="D337" s="23" t="inlineStr">
        <is>
          <t>BLOCO USINADO BLSHP-00047</t>
        </is>
      </c>
      <c r="E337" s="23" t="n"/>
      <c r="F337" s="23" t="inlineStr">
        <is>
          <t>SOHIPREN</t>
        </is>
      </c>
      <c r="G337" s="23" t="n"/>
      <c r="H337" s="23" t="inlineStr">
        <is>
          <t>draft</t>
        </is>
      </c>
      <c r="I337" s="23" t="inlineStr">
        <is>
          <t>DIVERSOS</t>
        </is>
      </c>
      <c r="J337" s="23" t="inlineStr">
        <is>
          <t>MOTOR ORBITAL MLP/MLR</t>
        </is>
      </c>
      <c r="K337" s="23" t="inlineStr">
        <is>
          <t>ANTI CAVITAÇÃO</t>
        </is>
      </c>
      <c r="L337" s="23" t="n"/>
      <c r="M337" s="31" t="n"/>
      <c r="N337" s="31" t="n"/>
      <c r="O337" s="31" t="n"/>
      <c r="P337" s="31" t="n"/>
      <c r="Q337" s="31" t="n"/>
      <c r="R337" s="34">
        <f>IFERROR(IF(AND(O337&gt;0,P337&gt;0,Q337&gt;0),(O337*P337*Q337)/6000,""),"")</f>
        <v/>
      </c>
      <c r="S337" s="34">
        <f>IFERROR(IF(AND(N337&gt;0,R337&gt;0),MAX(N337,R337),IF(N337&gt;0,N337,IF(R337&gt;0,R337,""))),"")</f>
        <v/>
      </c>
      <c r="T337" s="36" t="n"/>
      <c r="U337" s="38" t="inlineStr">
        <is>
          <t>FALTA</t>
        </is>
      </c>
      <c r="V337" s="36" t="n">
        <v>1600</v>
      </c>
      <c r="W337" s="39" t="n">
        <v>0.3</v>
      </c>
      <c r="X337" s="41">
        <f>IFERROR(V337+T337,"")</f>
        <v/>
      </c>
      <c r="Y337" s="41">
        <f>IFERROR(IF(W337&lt;1,X337/(1-W337),""),"")</f>
        <v/>
      </c>
      <c r="Z337" s="43">
        <f>'01_CONFIG_GLOBAL'!$C$14</f>
        <v/>
      </c>
      <c r="AA337" s="41">
        <f>IFERROR(Y337*Z337,"")</f>
        <v/>
      </c>
      <c r="AB337" s="41">
        <f>IFERROR(IF(Z337&lt;1,Y337/(1-Z337),""),"")</f>
        <v/>
      </c>
      <c r="AC337" s="23" t="n"/>
      <c r="AD337" s="36" t="n"/>
      <c r="AE337" s="23" t="n"/>
      <c r="AF337" s="36" t="n"/>
      <c r="AG337" s="23" t="n"/>
      <c r="AH337" s="36" t="n"/>
      <c r="AI337" s="41">
        <f>IFERROR(AVERAGE(AD337,AF337,AH337),"")</f>
        <v/>
      </c>
      <c r="AJ337" s="29">
        <f>IFERROR(IF(AI337="","sem dados",IF(AB337&lt;AI337*0.95,"abaixo",IF(AB337&gt;AI337*1.05,"acima","em linha"))),"")</f>
        <v/>
      </c>
      <c r="AK337" s="23" t="inlineStr">
        <is>
          <t>não</t>
        </is>
      </c>
      <c r="AL337" s="23" t="n"/>
      <c r="AM337" s="23" t="n"/>
      <c r="AN337" s="23" t="n"/>
      <c r="AO337" s="44">
        <f>A337</f>
        <v/>
      </c>
      <c r="AP337" s="44">
        <f>D337</f>
        <v/>
      </c>
    </row>
    <row r="338" hidden="1" ht="15.75" customHeight="1" s="93">
      <c r="A338" s="23" t="inlineStr">
        <is>
          <t>2.0605.L080848.1</t>
        </is>
      </c>
      <c r="B338" s="23" t="inlineStr">
        <is>
          <t>L080848.1</t>
        </is>
      </c>
      <c r="C338" s="29">
        <f>IFERROR(LOWER(SUBSTITUTE(SUBSTITUTE(SUBSTITUTE(SUBSTITUTE(D338," ","-"),"/","-"),".",""),",","")),"")</f>
        <v/>
      </c>
      <c r="D338" s="23" t="inlineStr">
        <is>
          <t>CPO.VALVULA ANTI CAVITACAO MOTOR OMP (CORTADO)</t>
        </is>
      </c>
      <c r="E338" s="23" t="n"/>
      <c r="F338" s="23" t="inlineStr">
        <is>
          <t>SOHIPREN</t>
        </is>
      </c>
      <c r="G338" s="23" t="n"/>
      <c r="H338" s="23" t="inlineStr">
        <is>
          <t>draft</t>
        </is>
      </c>
      <c r="I338" s="23" t="inlineStr">
        <is>
          <t>DIVERSOS</t>
        </is>
      </c>
      <c r="J338" s="23" t="inlineStr">
        <is>
          <t>MOTOR ORBITAL MLP/MLR</t>
        </is>
      </c>
      <c r="K338" s="23" t="inlineStr">
        <is>
          <t>ANTI CAVITAÇÃO</t>
        </is>
      </c>
      <c r="L338" s="23" t="n"/>
      <c r="M338" s="31" t="n"/>
      <c r="N338" s="31" t="n"/>
      <c r="O338" s="31" t="n"/>
      <c r="P338" s="31" t="n"/>
      <c r="Q338" s="31" t="n"/>
      <c r="R338" s="34">
        <f>IFERROR(IF(AND(O338&gt;0,P338&gt;0,Q338&gt;0),(O338*P338*Q338)/6000,""),"")</f>
        <v/>
      </c>
      <c r="S338" s="34">
        <f>IFERROR(IF(AND(N338&gt;0,R338&gt;0),MAX(N338,R338),IF(N338&gt;0,N338,IF(R338&gt;0,R338,""))),"")</f>
        <v/>
      </c>
      <c r="T338" s="36" t="n"/>
      <c r="U338" s="38" t="inlineStr">
        <is>
          <t>FALTA</t>
        </is>
      </c>
      <c r="V338" s="36" t="n">
        <v>1600</v>
      </c>
      <c r="W338" s="39" t="n">
        <v>0.3</v>
      </c>
      <c r="X338" s="41">
        <f>IFERROR(V338+T338,"")</f>
        <v/>
      </c>
      <c r="Y338" s="41">
        <f>IFERROR(IF(W338&lt;1,X338/(1-W338),""),"")</f>
        <v/>
      </c>
      <c r="Z338" s="43">
        <f>'01_CONFIG_GLOBAL'!$C$14</f>
        <v/>
      </c>
      <c r="AA338" s="41">
        <f>IFERROR(Y338*Z338,"")</f>
        <v/>
      </c>
      <c r="AB338" s="41">
        <f>IFERROR(IF(Z338&lt;1,Y338/(1-Z338),""),"")</f>
        <v/>
      </c>
      <c r="AC338" s="23" t="n"/>
      <c r="AD338" s="36" t="n"/>
      <c r="AE338" s="23" t="n"/>
      <c r="AF338" s="36" t="n"/>
      <c r="AG338" s="23" t="n"/>
      <c r="AH338" s="36" t="n"/>
      <c r="AI338" s="41">
        <f>IFERROR(AVERAGE(AD338,AF338,AH338),"")</f>
        <v/>
      </c>
      <c r="AJ338" s="29">
        <f>IFERROR(IF(AI338="","sem dados",IF(AB338&lt;AI338*0.95,"abaixo",IF(AB338&gt;AI338*1.05,"acima","em linha"))),"")</f>
        <v/>
      </c>
      <c r="AK338" s="23" t="inlineStr">
        <is>
          <t>não</t>
        </is>
      </c>
      <c r="AL338" s="23" t="n"/>
      <c r="AM338" s="23" t="n"/>
      <c r="AN338" s="23" t="n"/>
      <c r="AO338" s="44">
        <f>A338</f>
        <v/>
      </c>
      <c r="AP338" s="44">
        <f>D338</f>
        <v/>
      </c>
    </row>
    <row r="339" hidden="1" ht="15.75" customHeight="1" s="93">
      <c r="A339" s="23" t="inlineStr">
        <is>
          <t>6.5061.L082498.0</t>
        </is>
      </c>
      <c r="B339" s="23" t="inlineStr">
        <is>
          <t>L082498</t>
        </is>
      </c>
      <c r="C339" s="29">
        <f>IFERROR(LOWER(SUBSTITUTE(SUBSTITUTE(SUBSTITUTE(SUBSTITUTE(D339," ","-"),"/","-"),".",""),",","")),"")</f>
        <v/>
      </c>
      <c r="D339" s="23" t="inlineStr">
        <is>
          <t>KIT RADIO CONTROLE ACTUS MULTIFUNÇÕES</t>
        </is>
      </c>
      <c r="E339" s="23" t="n"/>
      <c r="F339" s="23" t="inlineStr">
        <is>
          <t>SOHIPREN</t>
        </is>
      </c>
      <c r="G339" s="23" t="n"/>
      <c r="H339" s="23" t="inlineStr">
        <is>
          <t>draft</t>
        </is>
      </c>
      <c r="I339" s="23" t="inlineStr">
        <is>
          <t>DIVERSOS</t>
        </is>
      </c>
      <c r="J339" s="23" t="inlineStr">
        <is>
          <t>GUINDASTES</t>
        </is>
      </c>
      <c r="K339" s="23" t="inlineStr">
        <is>
          <t>RADIO CONTROLE</t>
        </is>
      </c>
      <c r="L339" s="23" t="n"/>
      <c r="M339" s="31" t="n"/>
      <c r="N339" s="31" t="n"/>
      <c r="O339" s="31" t="n"/>
      <c r="P339" s="31" t="n"/>
      <c r="Q339" s="31" t="n"/>
      <c r="R339" s="34">
        <f>IFERROR(IF(AND(O339&gt;0,P339&gt;0,Q339&gt;0),(O339*P339*Q339)/6000,""),"")</f>
        <v/>
      </c>
      <c r="S339" s="34">
        <f>IFERROR(IF(AND(N339&gt;0,R339&gt;0),MAX(N339,R339),IF(N339&gt;0,N339,IF(R339&gt;0,R339,""))),"")</f>
        <v/>
      </c>
      <c r="T339" s="36" t="n"/>
      <c r="U339" s="38" t="inlineStr">
        <is>
          <t>FALTA</t>
        </is>
      </c>
      <c r="V339" s="36" t="n">
        <v>1430</v>
      </c>
      <c r="W339" s="39" t="n">
        <v>0.3</v>
      </c>
      <c r="X339" s="41">
        <f>IFERROR(V339+T339,"")</f>
        <v/>
      </c>
      <c r="Y339" s="41">
        <f>IFERROR(IF(W339&lt;1,X339/(1-W339),""),"")</f>
        <v/>
      </c>
      <c r="Z339" s="43">
        <f>'01_CONFIG_GLOBAL'!$C$14</f>
        <v/>
      </c>
      <c r="AA339" s="41">
        <f>IFERROR(Y339*Z339,"")</f>
        <v/>
      </c>
      <c r="AB339" s="41">
        <f>IFERROR(IF(Z339&lt;1,Y339/(1-Z339),""),"")</f>
        <v/>
      </c>
      <c r="AC339" s="23" t="n"/>
      <c r="AD339" s="36" t="n"/>
      <c r="AE339" s="23" t="n"/>
      <c r="AF339" s="36" t="n"/>
      <c r="AG339" s="23" t="n"/>
      <c r="AH339" s="36" t="n"/>
      <c r="AI339" s="41">
        <f>IFERROR(AVERAGE(AD339,AF339,AH339),"")</f>
        <v/>
      </c>
      <c r="AJ339" s="29">
        <f>IFERROR(IF(AI339="","sem dados",IF(AB339&lt;AI339*0.95,"abaixo",IF(AB339&gt;AI339*1.05,"acima","em linha"))),"")</f>
        <v/>
      </c>
      <c r="AK339" s="23" t="inlineStr">
        <is>
          <t>não</t>
        </is>
      </c>
      <c r="AL339" s="23" t="n"/>
      <c r="AM339" s="23" t="n"/>
      <c r="AN339" s="23" t="n"/>
      <c r="AO339" s="44">
        <f>A339</f>
        <v/>
      </c>
      <c r="AP339" s="44">
        <f>D339</f>
        <v/>
      </c>
    </row>
    <row r="340" hidden="1" ht="15.75" customHeight="1" s="93">
      <c r="A340" s="23" t="inlineStr">
        <is>
          <t>6.0460.L082489.0</t>
        </is>
      </c>
      <c r="B340" s="23" t="inlineStr">
        <is>
          <t>L082489</t>
        </is>
      </c>
      <c r="C340" s="29">
        <f>IFERROR(LOWER(SUBSTITUTE(SUBSTITUTE(SUBSTITUTE(SUBSTITUTE(D340," ","-"),"/","-"),".",""),",","")),"")</f>
        <v/>
      </c>
      <c r="D340" s="23" t="inlineStr">
        <is>
          <t>BLSHP-00060</t>
        </is>
      </c>
      <c r="E340" s="23" t="n"/>
      <c r="F340" s="23" t="inlineStr">
        <is>
          <t>SOHIPREN</t>
        </is>
      </c>
      <c r="G340" s="23" t="n"/>
      <c r="H340" s="23" t="inlineStr">
        <is>
          <t>draft</t>
        </is>
      </c>
      <c r="I340" s="23" t="inlineStr">
        <is>
          <t>DIVERSOS</t>
        </is>
      </c>
      <c r="J340" s="23" t="inlineStr">
        <is>
          <t>CONTROLE DE FLUXO PARA MOTORES</t>
        </is>
      </c>
      <c r="K340" s="23" t="inlineStr">
        <is>
          <t>REGULADOR DE VAZÃO COMPENSADO</t>
        </is>
      </c>
      <c r="L340" s="23" t="n"/>
      <c r="M340" s="31" t="n"/>
      <c r="N340" s="31" t="n"/>
      <c r="O340" s="31" t="n"/>
      <c r="P340" s="31" t="n"/>
      <c r="Q340" s="31" t="n"/>
      <c r="R340" s="34">
        <f>IFERROR(IF(AND(O340&gt;0,P340&gt;0,Q340&gt;0),(O340*P340*Q340)/6000,""),"")</f>
        <v/>
      </c>
      <c r="S340" s="34">
        <f>IFERROR(IF(AND(N340&gt;0,R340&gt;0),MAX(N340,R340),IF(N340&gt;0,N340,IF(R340&gt;0,R340,""))),"")</f>
        <v/>
      </c>
      <c r="T340" s="36" t="n"/>
      <c r="U340" s="38" t="inlineStr">
        <is>
          <t>FALTA</t>
        </is>
      </c>
      <c r="V340" s="36" t="n">
        <v>1695</v>
      </c>
      <c r="W340" s="39" t="n">
        <v>0.3</v>
      </c>
      <c r="X340" s="41">
        <f>IFERROR(V340+T340,"")</f>
        <v/>
      </c>
      <c r="Y340" s="41">
        <f>IFERROR(IF(W340&lt;1,X340/(1-W340),""),"")</f>
        <v/>
      </c>
      <c r="Z340" s="43">
        <f>'01_CONFIG_GLOBAL'!$C$14</f>
        <v/>
      </c>
      <c r="AA340" s="41">
        <f>IFERROR(Y340*Z340,"")</f>
        <v/>
      </c>
      <c r="AB340" s="41">
        <f>IFERROR(IF(Z340&lt;1,Y340/(1-Z340),""),"")</f>
        <v/>
      </c>
      <c r="AC340" s="23" t="n"/>
      <c r="AD340" s="36" t="n"/>
      <c r="AE340" s="23" t="n"/>
      <c r="AF340" s="36" t="n"/>
      <c r="AG340" s="23" t="n"/>
      <c r="AH340" s="36" t="n"/>
      <c r="AI340" s="41">
        <f>IFERROR(AVERAGE(AD340,AF340,AH340),"")</f>
        <v/>
      </c>
      <c r="AJ340" s="29">
        <f>IFERROR(IF(AI340="","sem dados",IF(AB340&lt;AI340*0.95,"abaixo",IF(AB340&gt;AI340*1.05,"acima","em linha"))),"")</f>
        <v/>
      </c>
      <c r="AK340" s="23" t="inlineStr">
        <is>
          <t>não</t>
        </is>
      </c>
      <c r="AL340" s="23" t="n"/>
      <c r="AM340" s="23" t="n"/>
      <c r="AN340" s="23" t="n"/>
      <c r="AO340" s="44">
        <f>A340</f>
        <v/>
      </c>
      <c r="AP340" s="44">
        <f>D340</f>
        <v/>
      </c>
    </row>
    <row r="341" hidden="1" ht="15.75" customHeight="1" s="93">
      <c r="A341" s="23" t="inlineStr">
        <is>
          <t>6.0460.L082348.0</t>
        </is>
      </c>
      <c r="B341" s="23" t="inlineStr">
        <is>
          <t>L082348</t>
        </is>
      </c>
      <c r="C341" s="29">
        <f>IFERROR(LOWER(SUBSTITUTE(SUBSTITUTE(SUBSTITUTE(SUBSTITUTE(D341," ","-"),"/","-"),".",""),",","")),"")</f>
        <v/>
      </c>
      <c r="D341" s="23" t="inlineStr">
        <is>
          <t>TN6 (4DWG6-J60/DC12NZ5L-HZTQ)</t>
        </is>
      </c>
      <c r="E341" s="23" t="n"/>
      <c r="F341" s="23" t="inlineStr">
        <is>
          <t>SOHIPREN</t>
        </is>
      </c>
      <c r="G341" s="23" t="n"/>
      <c r="H341" s="23" t="inlineStr">
        <is>
          <t>draft</t>
        </is>
      </c>
      <c r="I341" s="23" t="inlineStr">
        <is>
          <t>DIVERSOS</t>
        </is>
      </c>
      <c r="J341" s="23" t="n"/>
      <c r="K341" s="23" t="n"/>
      <c r="L341" s="23" t="inlineStr">
        <is>
          <t>V4WE6J6X/EG12NZ5L- 4DWG6-J60/DC12NZ5L-HZTQ-CP02335</t>
        </is>
      </c>
      <c r="M341" s="31" t="n"/>
      <c r="N341" s="31" t="n"/>
      <c r="O341" s="31" t="n"/>
      <c r="P341" s="31" t="n"/>
      <c r="Q341" s="31" t="n"/>
      <c r="R341" s="34">
        <f>IFERROR(IF(AND(O341&gt;0,P341&gt;0,Q341&gt;0),(O341*P341*Q341)/6000,""),"")</f>
        <v/>
      </c>
      <c r="S341" s="34">
        <f>IFERROR(IF(AND(N341&gt;0,R341&gt;0),MAX(N341,R341),IF(N341&gt;0,N341,IF(R341&gt;0,R341,""))),"")</f>
        <v/>
      </c>
      <c r="T341" s="36" t="n"/>
      <c r="U341" s="38" t="inlineStr">
        <is>
          <t>FALTA</t>
        </is>
      </c>
      <c r="V341" s="36" t="n">
        <v>310</v>
      </c>
      <c r="W341" s="39" t="n">
        <v>0.3</v>
      </c>
      <c r="X341" s="41">
        <f>IFERROR(V341+T341,"")</f>
        <v/>
      </c>
      <c r="Y341" s="41">
        <f>IFERROR(IF(W341&lt;1,X341/(1-W341),""),"")</f>
        <v/>
      </c>
      <c r="Z341" s="43">
        <f>'01_CONFIG_GLOBAL'!$C$14</f>
        <v/>
      </c>
      <c r="AA341" s="41">
        <f>IFERROR(Y341*Z341,"")</f>
        <v/>
      </c>
      <c r="AB341" s="41">
        <f>IFERROR(IF(Z341&lt;1,Y341/(1-Z341),""),"")</f>
        <v/>
      </c>
      <c r="AC341" s="23" t="n"/>
      <c r="AD341" s="36" t="n"/>
      <c r="AE341" s="23" t="n"/>
      <c r="AF341" s="36" t="n"/>
      <c r="AG341" s="23" t="n"/>
      <c r="AH341" s="36" t="n"/>
      <c r="AI341" s="41">
        <f>IFERROR(AVERAGE(AD341,AF341,AH341),"")</f>
        <v/>
      </c>
      <c r="AJ341" s="29">
        <f>IFERROR(IF(AI341="","sem dados",IF(AB341&lt;AI341*0.95,"abaixo",IF(AB341&gt;AI341*1.05,"acima","em linha"))),"")</f>
        <v/>
      </c>
      <c r="AK341" s="23" t="inlineStr">
        <is>
          <t>não</t>
        </is>
      </c>
      <c r="AL341" s="23" t="n"/>
      <c r="AM341" s="23" t="n"/>
      <c r="AN341" s="23" t="n"/>
      <c r="AO341" s="44">
        <f>A341</f>
        <v/>
      </c>
      <c r="AP341" s="44">
        <f>D341</f>
        <v/>
      </c>
    </row>
    <row r="342" hidden="1" ht="15.75" customHeight="1" s="93">
      <c r="A342" s="23" t="inlineStr">
        <is>
          <t>5.1301.L026769.0</t>
        </is>
      </c>
      <c r="B342" s="23" t="inlineStr">
        <is>
          <t>L026769</t>
        </is>
      </c>
      <c r="C342" s="29">
        <f>IFERROR(LOWER(SUBSTITUTE(SUBSTITUTE(SUBSTITUTE(SUBSTITUTE(D342," ","-"),"/","-"),".",""),",","")),"")</f>
        <v/>
      </c>
      <c r="D342" s="23" t="inlineStr">
        <is>
          <t>BOMBA PISTOES LVZ 20TH56/LE81N</t>
        </is>
      </c>
      <c r="E342" s="23" t="inlineStr">
        <is>
          <t>Bombas Hidráulicas</t>
        </is>
      </c>
      <c r="F342" s="23" t="inlineStr">
        <is>
          <t>SOHIPREN</t>
        </is>
      </c>
      <c r="G342" s="23" t="n"/>
      <c r="H342" s="23" t="inlineStr">
        <is>
          <t>draft</t>
        </is>
      </c>
      <c r="I342" s="23" t="inlineStr">
        <is>
          <t>DIVERSOS</t>
        </is>
      </c>
      <c r="J342" s="23" t="n"/>
      <c r="K342" s="23" t="n"/>
      <c r="L342" s="23" t="inlineStr">
        <is>
          <t>PBF20TH56/LE81T/VH-ISO-AP-56L</t>
        </is>
      </c>
      <c r="M342" s="31" t="n"/>
      <c r="N342" s="31" t="n"/>
      <c r="O342" s="31" t="n"/>
      <c r="P342" s="31" t="n"/>
      <c r="Q342" s="31" t="n"/>
      <c r="R342" s="34">
        <f>IFERROR(IF(AND(O342&gt;0,P342&gt;0,Q342&gt;0),(O342*P342*Q342)/6000,""),"")</f>
        <v/>
      </c>
      <c r="S342" s="34">
        <f>IFERROR(IF(AND(N342&gt;0,R342&gt;0),MAX(N342,R342),IF(N342&gt;0,N342,IF(R342&gt;0,R342,""))),"")</f>
        <v/>
      </c>
      <c r="T342" s="36" t="n"/>
      <c r="U342" s="38" t="inlineStr">
        <is>
          <t>FALTA</t>
        </is>
      </c>
      <c r="V342" s="36" t="n">
        <v>450</v>
      </c>
      <c r="W342" s="39" t="n">
        <v>0.3</v>
      </c>
      <c r="X342" s="41">
        <f>IFERROR(V342+T342,"")</f>
        <v/>
      </c>
      <c r="Y342" s="41">
        <f>IFERROR(IF(W342&lt;1,X342/(1-W342),""),"")</f>
        <v/>
      </c>
      <c r="Z342" s="43">
        <f>'01_CONFIG_GLOBAL'!$C$14</f>
        <v/>
      </c>
      <c r="AA342" s="41">
        <f>IFERROR(Y342*Z342,"")</f>
        <v/>
      </c>
      <c r="AB342" s="41">
        <f>IFERROR(IF(Z342&lt;1,Y342/(1-Z342),""),"")</f>
        <v/>
      </c>
      <c r="AC342" s="23" t="n"/>
      <c r="AD342" s="36" t="n"/>
      <c r="AE342" s="23" t="n"/>
      <c r="AF342" s="36" t="n"/>
      <c r="AG342" s="23" t="n"/>
      <c r="AH342" s="36" t="n"/>
      <c r="AI342" s="41">
        <f>IFERROR(AVERAGE(AD342,AF342,AH342),"")</f>
        <v/>
      </c>
      <c r="AJ342" s="29">
        <f>IFERROR(IF(AI342="","sem dados",IF(AB342&lt;AI342*0.95,"abaixo",IF(AB342&gt;AI342*1.05,"acima","em linha"))),"")</f>
        <v/>
      </c>
      <c r="AK342" s="23" t="inlineStr">
        <is>
          <t>não</t>
        </is>
      </c>
      <c r="AL342" s="23" t="n"/>
      <c r="AM342" s="23" t="n"/>
      <c r="AN342" s="23" t="n"/>
      <c r="AO342" s="44">
        <f>A342</f>
        <v/>
      </c>
      <c r="AP342" s="44">
        <f>D342</f>
        <v/>
      </c>
    </row>
    <row r="343" hidden="1" ht="15.75" customHeight="1" s="93">
      <c r="A343" s="23" t="inlineStr">
        <is>
          <t>5.1301.L026769.1</t>
        </is>
      </c>
      <c r="B343" s="23" t="inlineStr">
        <is>
          <t>L026769.1</t>
        </is>
      </c>
      <c r="C343" s="29">
        <f>IFERROR(LOWER(SUBSTITUTE(SUBSTITUTE(SUBSTITUTE(SUBSTITUTE(D343," ","-"),"/","-"),".",""),",","")),"")</f>
        <v/>
      </c>
      <c r="D343" s="23" t="inlineStr">
        <is>
          <t>BOMBA PISTOES LVZ 20TH56/LE81N</t>
        </is>
      </c>
      <c r="E343" s="23" t="inlineStr">
        <is>
          <t>Bombas Hidráulicas</t>
        </is>
      </c>
      <c r="F343" s="23" t="inlineStr">
        <is>
          <t>SOHIPREN</t>
        </is>
      </c>
      <c r="G343" s="23" t="n"/>
      <c r="H343" s="23" t="inlineStr">
        <is>
          <t>draft</t>
        </is>
      </c>
      <c r="I343" s="23" t="inlineStr">
        <is>
          <t>DIVERSOS</t>
        </is>
      </c>
      <c r="J343" s="23" t="n"/>
      <c r="K343" s="23" t="n"/>
      <c r="L343" s="23" t="inlineStr">
        <is>
          <t>PBF20TH56/LE81T</t>
        </is>
      </c>
      <c r="M343" s="31" t="n"/>
      <c r="N343" s="31" t="n"/>
      <c r="O343" s="31" t="n"/>
      <c r="P343" s="31" t="n"/>
      <c r="Q343" s="31" t="n"/>
      <c r="R343" s="34">
        <f>IFERROR(IF(AND(O343&gt;0,P343&gt;0,Q343&gt;0),(O343*P343*Q343)/6000,""),"")</f>
        <v/>
      </c>
      <c r="S343" s="34">
        <f>IFERROR(IF(AND(N343&gt;0,R343&gt;0),MAX(N343,R343),IF(N343&gt;0,N343,IF(R343&gt;0,R343,""))),"")</f>
        <v/>
      </c>
      <c r="T343" s="36" t="n"/>
      <c r="U343" s="38" t="inlineStr">
        <is>
          <t>FALTA</t>
        </is>
      </c>
      <c r="V343" s="36" t="n">
        <v>5270</v>
      </c>
      <c r="W343" s="39" t="n">
        <v>0.3</v>
      </c>
      <c r="X343" s="41">
        <f>IFERROR(V343+T343,"")</f>
        <v/>
      </c>
      <c r="Y343" s="41">
        <f>IFERROR(IF(W343&lt;1,X343/(1-W343),""),"")</f>
        <v/>
      </c>
      <c r="Z343" s="43">
        <f>'01_CONFIG_GLOBAL'!$C$14</f>
        <v/>
      </c>
      <c r="AA343" s="41">
        <f>IFERROR(Y343*Z343,"")</f>
        <v/>
      </c>
      <c r="AB343" s="41">
        <f>IFERROR(IF(Z343&lt;1,Y343/(1-Z343),""),"")</f>
        <v/>
      </c>
      <c r="AC343" s="23" t="n"/>
      <c r="AD343" s="36" t="n"/>
      <c r="AE343" s="23" t="n"/>
      <c r="AF343" s="36" t="n"/>
      <c r="AG343" s="23" t="n"/>
      <c r="AH343" s="36" t="n"/>
      <c r="AI343" s="41">
        <f>IFERROR(AVERAGE(AD343,AF343,AH343),"")</f>
        <v/>
      </c>
      <c r="AJ343" s="29">
        <f>IFERROR(IF(AI343="","sem dados",IF(AB343&lt;AI343*0.95,"abaixo",IF(AB343&gt;AI343*1.05,"acima","em linha"))),"")</f>
        <v/>
      </c>
      <c r="AK343" s="23" t="inlineStr">
        <is>
          <t>não</t>
        </is>
      </c>
      <c r="AL343" s="23" t="n"/>
      <c r="AM343" s="23" t="n"/>
      <c r="AN343" s="23" t="n"/>
      <c r="AO343" s="44">
        <f>A343</f>
        <v/>
      </c>
      <c r="AP343" s="44">
        <f>D343</f>
        <v/>
      </c>
    </row>
    <row r="344" hidden="1" ht="15.75" customHeight="1" s="93">
      <c r="A344" s="23" t="inlineStr">
        <is>
          <t>5.0209.0546511.0</t>
        </is>
      </c>
      <c r="B344" s="23" t="inlineStr">
        <is>
          <t>546511</t>
        </is>
      </c>
      <c r="C344" s="29">
        <f>IFERROR(LOWER(SUBSTITUTE(SUBSTITUTE(SUBSTITUTE(SUBSTITUTE(D344," ","-"),"/","-"),".",""),",","")),"")</f>
        <v/>
      </c>
      <c r="D344" s="23" t="inlineStr">
        <is>
          <t>BOMBA HIDRÁULICA - APLICAÇÃO 19 B1.B10.A.L</t>
        </is>
      </c>
      <c r="E344" s="23" t="inlineStr">
        <is>
          <t>Bombas Hidráulicas</t>
        </is>
      </c>
      <c r="F344" s="23" t="inlineStr">
        <is>
          <t>SOHIPREN</t>
        </is>
      </c>
      <c r="G344" s="23" t="n"/>
      <c r="H344" s="23" t="inlineStr">
        <is>
          <t>draft</t>
        </is>
      </c>
      <c r="I344" s="23" t="inlineStr">
        <is>
          <t>DIVERSOS</t>
        </is>
      </c>
      <c r="J344" s="23" t="n"/>
      <c r="K344" s="23" t="n"/>
      <c r="L344" s="23" t="inlineStr">
        <is>
          <t>R979011930</t>
        </is>
      </c>
      <c r="M344" s="31" t="n"/>
      <c r="N344" s="31" t="n"/>
      <c r="O344" s="31" t="n"/>
      <c r="P344" s="31" t="n"/>
      <c r="Q344" s="31" t="n"/>
      <c r="R344" s="34">
        <f>IFERROR(IF(AND(O344&gt;0,P344&gt;0,Q344&gt;0),(O344*P344*Q344)/6000,""),"")</f>
        <v/>
      </c>
      <c r="S344" s="34">
        <f>IFERROR(IF(AND(N344&gt;0,R344&gt;0),MAX(N344,R344),IF(N344&gt;0,N344,IF(R344&gt;0,R344,""))),"")</f>
        <v/>
      </c>
      <c r="T344" s="36" t="n"/>
      <c r="U344" s="38" t="inlineStr">
        <is>
          <t>FALTA</t>
        </is>
      </c>
      <c r="V344" s="36" t="n">
        <v>610</v>
      </c>
      <c r="W344" s="39" t="n">
        <v>0.3</v>
      </c>
      <c r="X344" s="41">
        <f>IFERROR(V344+T344,"")</f>
        <v/>
      </c>
      <c r="Y344" s="41">
        <f>IFERROR(IF(W344&lt;1,X344/(1-W344),""),"")</f>
        <v/>
      </c>
      <c r="Z344" s="43">
        <f>'01_CONFIG_GLOBAL'!$C$14</f>
        <v/>
      </c>
      <c r="AA344" s="41">
        <f>IFERROR(Y344*Z344,"")</f>
        <v/>
      </c>
      <c r="AB344" s="41">
        <f>IFERROR(IF(Z344&lt;1,Y344/(1-Z344),""),"")</f>
        <v/>
      </c>
      <c r="AC344" s="23" t="n"/>
      <c r="AD344" s="36" t="n"/>
      <c r="AE344" s="23" t="n"/>
      <c r="AF344" s="36" t="n"/>
      <c r="AG344" s="23" t="n"/>
      <c r="AH344" s="36" t="n"/>
      <c r="AI344" s="41">
        <f>IFERROR(AVERAGE(AD344,AF344,AH344),"")</f>
        <v/>
      </c>
      <c r="AJ344" s="29">
        <f>IFERROR(IF(AI344="","sem dados",IF(AB344&lt;AI344*0.95,"abaixo",IF(AB344&gt;AI344*1.05,"acima","em linha"))),"")</f>
        <v/>
      </c>
      <c r="AK344" s="23" t="inlineStr">
        <is>
          <t>não</t>
        </is>
      </c>
      <c r="AL344" s="23" t="n"/>
      <c r="AM344" s="23" t="n"/>
      <c r="AN344" s="23" t="n"/>
      <c r="AO344" s="44">
        <f>A344</f>
        <v/>
      </c>
      <c r="AP344" s="44">
        <f>D344</f>
        <v/>
      </c>
    </row>
    <row r="345" hidden="1" ht="15.75" customHeight="1" s="93">
      <c r="A345" s="23" t="inlineStr">
        <is>
          <t>5.1301.L026965.1</t>
        </is>
      </c>
      <c r="B345" s="23" t="inlineStr">
        <is>
          <t>L026965.0</t>
        </is>
      </c>
      <c r="C345" s="29">
        <f>IFERROR(LOWER(SUBSTITUTE(SUBSTITUTE(SUBSTITUTE(SUBSTITUTE(D345," ","-"),"/","-"),".",""),",","")),"")</f>
        <v/>
      </c>
      <c r="D345" s="23" t="inlineStr">
        <is>
          <t>BOMBA PISTOES 20TH56/LE81N (COMPRA L026769.1)</t>
        </is>
      </c>
      <c r="E345" s="23" t="inlineStr">
        <is>
          <t>Bombas Hidráulicas</t>
        </is>
      </c>
      <c r="F345" s="23" t="inlineStr">
        <is>
          <t>SOHIPREN</t>
        </is>
      </c>
      <c r="G345" s="23" t="n"/>
      <c r="H345" s="23" t="inlineStr">
        <is>
          <t>draft</t>
        </is>
      </c>
      <c r="I345" s="23" t="inlineStr">
        <is>
          <t>DIVERSOS/ PIRA</t>
        </is>
      </c>
      <c r="J345" s="23" t="n"/>
      <c r="K345" s="23" t="n"/>
      <c r="L345" s="23" t="inlineStr">
        <is>
          <t>PBF20TH56/LE81T-VH-ISO-AP-56L/VH-ISO-AP-56L</t>
        </is>
      </c>
      <c r="M345" s="31" t="n"/>
      <c r="N345" s="31" t="n"/>
      <c r="O345" s="31" t="n"/>
      <c r="P345" s="31" t="n"/>
      <c r="Q345" s="31" t="n"/>
      <c r="R345" s="34">
        <f>IFERROR(IF(AND(O345&gt;0,P345&gt;0,Q345&gt;0),(O345*P345*Q345)/6000,""),"")</f>
        <v/>
      </c>
      <c r="S345" s="34">
        <f>IFERROR(IF(AND(N345&gt;0,R345&gt;0),MAX(N345,R345),IF(N345&gt;0,N345,IF(R345&gt;0,R345,""))),"")</f>
        <v/>
      </c>
      <c r="T345" s="36" t="n"/>
      <c r="U345" s="38" t="inlineStr">
        <is>
          <t>FALTA</t>
        </is>
      </c>
      <c r="V345" s="36" t="n">
        <v>9915</v>
      </c>
      <c r="W345" s="39" t="n">
        <v>0.3</v>
      </c>
      <c r="X345" s="41">
        <f>IFERROR(V345+T345,"")</f>
        <v/>
      </c>
      <c r="Y345" s="41">
        <f>IFERROR(IF(W345&lt;1,X345/(1-W345),""),"")</f>
        <v/>
      </c>
      <c r="Z345" s="43">
        <f>'01_CONFIG_GLOBAL'!$C$14</f>
        <v/>
      </c>
      <c r="AA345" s="41">
        <f>IFERROR(Y345*Z345,"")</f>
        <v/>
      </c>
      <c r="AB345" s="41">
        <f>IFERROR(IF(Z345&lt;1,Y345/(1-Z345),""),"")</f>
        <v/>
      </c>
      <c r="AC345" s="23" t="n"/>
      <c r="AD345" s="36" t="n"/>
      <c r="AE345" s="23" t="n"/>
      <c r="AF345" s="36" t="n"/>
      <c r="AG345" s="23" t="n"/>
      <c r="AH345" s="36" t="n"/>
      <c r="AI345" s="41">
        <f>IFERROR(AVERAGE(AD345,AF345,AH345),"")</f>
        <v/>
      </c>
      <c r="AJ345" s="29">
        <f>IFERROR(IF(AI345="","sem dados",IF(AB345&lt;AI345*0.95,"abaixo",IF(AB345&gt;AI345*1.05,"acima","em linha"))),"")</f>
        <v/>
      </c>
      <c r="AK345" s="23" t="inlineStr">
        <is>
          <t>não</t>
        </is>
      </c>
      <c r="AL345" s="23" t="n"/>
      <c r="AM345" s="23" t="n"/>
      <c r="AN345" s="23" t="n"/>
      <c r="AO345" s="44">
        <f>A345</f>
        <v/>
      </c>
      <c r="AP345" s="44">
        <f>D345</f>
        <v/>
      </c>
    </row>
    <row r="346" hidden="1" ht="15.75" customHeight="1" s="93">
      <c r="A346" s="23" t="inlineStr">
        <is>
          <t>5.0907.0579544.0</t>
        </is>
      </c>
      <c r="B346" s="23" t="inlineStr">
        <is>
          <t>579544</t>
        </is>
      </c>
      <c r="C346" s="29">
        <f>IFERROR(LOWER(SUBSTITUTE(SUBSTITUTE(SUBSTITUTE(SUBSTITUTE(D346," ","-"),"/","-"),".",""),",","")),"")</f>
        <v/>
      </c>
      <c r="D346" s="23" t="inlineStr">
        <is>
          <t>APR 60 201.1.37.83</t>
        </is>
      </c>
      <c r="E346" s="23" t="n"/>
      <c r="F346" s="23" t="inlineStr">
        <is>
          <t>SOHIPREN</t>
        </is>
      </c>
      <c r="G346" s="23" t="n"/>
      <c r="H346" s="23" t="inlineStr">
        <is>
          <t>draft</t>
        </is>
      </c>
      <c r="I346" s="23" t="inlineStr">
        <is>
          <t>DOUCE HYDRO</t>
        </is>
      </c>
      <c r="J346" s="23" t="inlineStr">
        <is>
          <t>DIVERSOS</t>
        </is>
      </c>
      <c r="K346" s="23" t="inlineStr">
        <is>
          <t>PRINCIPAL</t>
        </is>
      </c>
      <c r="L346" s="23" t="inlineStr">
        <is>
          <t>11201997000</t>
        </is>
      </c>
      <c r="M346" s="31" t="n"/>
      <c r="N346" s="31" t="n"/>
      <c r="O346" s="31" t="n"/>
      <c r="P346" s="31" t="n"/>
      <c r="Q346" s="31" t="n"/>
      <c r="R346" s="34">
        <f>IFERROR(IF(AND(O346&gt;0,P346&gt;0,Q346&gt;0),(O346*P346*Q346)/6000,""),"")</f>
        <v/>
      </c>
      <c r="S346" s="34">
        <f>IFERROR(IF(AND(N346&gt;0,R346&gt;0),MAX(N346,R346),IF(N346&gt;0,N346,IF(R346&gt;0,R346,""))),"")</f>
        <v/>
      </c>
      <c r="T346" s="36" t="n"/>
      <c r="U346" s="38" t="inlineStr">
        <is>
          <t>FALTA</t>
        </is>
      </c>
      <c r="V346" s="36" t="n">
        <v>1265</v>
      </c>
      <c r="W346" s="39" t="n">
        <v>0.3</v>
      </c>
      <c r="X346" s="41">
        <f>IFERROR(V346+T346,"")</f>
        <v/>
      </c>
      <c r="Y346" s="41">
        <f>IFERROR(IF(W346&lt;1,X346/(1-W346),""),"")</f>
        <v/>
      </c>
      <c r="Z346" s="43">
        <f>'01_CONFIG_GLOBAL'!$C$14</f>
        <v/>
      </c>
      <c r="AA346" s="41">
        <f>IFERROR(Y346*Z346,"")</f>
        <v/>
      </c>
      <c r="AB346" s="41">
        <f>IFERROR(IF(Z346&lt;1,Y346/(1-Z346),""),"")</f>
        <v/>
      </c>
      <c r="AC346" s="23" t="n"/>
      <c r="AD346" s="36" t="n"/>
      <c r="AE346" s="23" t="n"/>
      <c r="AF346" s="36" t="n"/>
      <c r="AG346" s="23" t="n"/>
      <c r="AH346" s="36" t="n"/>
      <c r="AI346" s="41">
        <f>IFERROR(AVERAGE(AD346,AF346,AH346),"")</f>
        <v/>
      </c>
      <c r="AJ346" s="29">
        <f>IFERROR(IF(AI346="","sem dados",IF(AB346&lt;AI346*0.95,"abaixo",IF(AB346&gt;AI346*1.05,"acima","em linha"))),"")</f>
        <v/>
      </c>
      <c r="AK346" s="23" t="inlineStr">
        <is>
          <t>não</t>
        </is>
      </c>
      <c r="AL346" s="23" t="n"/>
      <c r="AM346" s="23" t="n"/>
      <c r="AN346" s="23" t="n"/>
      <c r="AO346" s="44">
        <f>A346</f>
        <v/>
      </c>
      <c r="AP346" s="44">
        <f>D346</f>
        <v/>
      </c>
    </row>
    <row r="347" hidden="1" ht="15.75" customHeight="1" s="93">
      <c r="A347" s="23" t="inlineStr">
        <is>
          <t>5.0503.0502003.0</t>
        </is>
      </c>
      <c r="B347" s="23" t="inlineStr">
        <is>
          <t>502003</t>
        </is>
      </c>
      <c r="C347" s="29">
        <f>IFERROR(LOWER(SUBSTITUTE(SUBSTITUTE(SUBSTITUTE(SUBSTITUTE(D347," ","-"),"/","-"),".",""),",","")),"")</f>
        <v/>
      </c>
      <c r="D347" s="23" t="inlineStr">
        <is>
          <t>MC1 32 404.1.12.93.61</t>
        </is>
      </c>
      <c r="E347" s="23" t="n"/>
      <c r="F347" s="23" t="inlineStr">
        <is>
          <t>SOHIPREN</t>
        </is>
      </c>
      <c r="G347" s="23" t="n"/>
      <c r="H347" s="23" t="inlineStr">
        <is>
          <t>draft</t>
        </is>
      </c>
      <c r="I347" s="23" t="inlineStr">
        <is>
          <t>DRESSER-HUBER</t>
        </is>
      </c>
      <c r="J347" s="23" t="inlineStr">
        <is>
          <t>MOTONIVELADORA</t>
        </is>
      </c>
      <c r="K347" s="23" t="inlineStr">
        <is>
          <t>PRINCIPAL</t>
        </is>
      </c>
      <c r="L347" s="23" t="inlineStr">
        <is>
          <t>6400491 / 6401092</t>
        </is>
      </c>
      <c r="M347" s="31" t="n"/>
      <c r="N347" s="31" t="n"/>
      <c r="O347" s="31" t="n"/>
      <c r="P347" s="31" t="n"/>
      <c r="Q347" s="31" t="n"/>
      <c r="R347" s="34">
        <f>IFERROR(IF(AND(O347&gt;0,P347&gt;0,Q347&gt;0),(O347*P347*Q347)/6000,""),"")</f>
        <v/>
      </c>
      <c r="S347" s="34">
        <f>IFERROR(IF(AND(N347&gt;0,R347&gt;0),MAX(N347,R347),IF(N347&gt;0,N347,IF(R347&gt;0,R347,""))),"")</f>
        <v/>
      </c>
      <c r="T347" s="36" t="n"/>
      <c r="U347" s="38" t="inlineStr">
        <is>
          <t>FALTA</t>
        </is>
      </c>
      <c r="V347" s="36" t="n">
        <v>1120</v>
      </c>
      <c r="W347" s="39" t="n">
        <v>0.3</v>
      </c>
      <c r="X347" s="41">
        <f>IFERROR(V347+T347,"")</f>
        <v/>
      </c>
      <c r="Y347" s="41">
        <f>IFERROR(IF(W347&lt;1,X347/(1-W347),""),"")</f>
        <v/>
      </c>
      <c r="Z347" s="43">
        <f>'01_CONFIG_GLOBAL'!$C$14</f>
        <v/>
      </c>
      <c r="AA347" s="41">
        <f>IFERROR(Y347*Z347,"")</f>
        <v/>
      </c>
      <c r="AB347" s="41">
        <f>IFERROR(IF(Z347&lt;1,Y347/(1-Z347),""),"")</f>
        <v/>
      </c>
      <c r="AC347" s="23" t="n"/>
      <c r="AD347" s="36" t="n"/>
      <c r="AE347" s="23" t="n"/>
      <c r="AF347" s="36" t="n"/>
      <c r="AG347" s="23" t="n"/>
      <c r="AH347" s="36" t="n"/>
      <c r="AI347" s="41">
        <f>IFERROR(AVERAGE(AD347,AF347,AH347),"")</f>
        <v/>
      </c>
      <c r="AJ347" s="29">
        <f>IFERROR(IF(AI347="","sem dados",IF(AB347&lt;AI347*0.95,"abaixo",IF(AB347&gt;AI347*1.05,"acima","em linha"))),"")</f>
        <v/>
      </c>
      <c r="AK347" s="23" t="inlineStr">
        <is>
          <t>não</t>
        </is>
      </c>
      <c r="AL347" s="23" t="n"/>
      <c r="AM347" s="23" t="n"/>
      <c r="AN347" s="23" t="n"/>
      <c r="AO347" s="44">
        <f>A347</f>
        <v/>
      </c>
      <c r="AP347" s="44">
        <f>D347</f>
        <v/>
      </c>
    </row>
    <row r="348" hidden="1" ht="15.75" customHeight="1" s="93">
      <c r="A348" s="23" t="inlineStr">
        <is>
          <t>1.0021.L080905.0</t>
        </is>
      </c>
      <c r="B348" s="23" t="inlineStr">
        <is>
          <t>L080905</t>
        </is>
      </c>
      <c r="C348" s="29">
        <f>IFERROR(LOWER(SUBSTITUTE(SUBSTITUTE(SUBSTITUTE(SUBSTITUTE(D348," ","-"),"/","-"),".",""),",","")),"")</f>
        <v/>
      </c>
      <c r="D348" s="23" t="inlineStr">
        <is>
          <t>EM.BO.14.B101</t>
        </is>
      </c>
      <c r="E348" s="23" t="n"/>
      <c r="F348" s="23" t="inlineStr">
        <is>
          <t>SOHIPREN</t>
        </is>
      </c>
      <c r="G348" s="23" t="n"/>
      <c r="H348" s="23" t="inlineStr">
        <is>
          <t>draft</t>
        </is>
      </c>
      <c r="I348" s="23" t="inlineStr">
        <is>
          <t>DURMETAL</t>
        </is>
      </c>
      <c r="J348" s="23" t="n"/>
      <c r="K348" s="23" t="n"/>
      <c r="L348" s="23" t="inlineStr">
        <is>
          <t>R.2199008249</t>
        </is>
      </c>
      <c r="M348" s="31" t="n"/>
      <c r="N348" s="31" t="n"/>
      <c r="O348" s="31" t="n"/>
      <c r="P348" s="31" t="n"/>
      <c r="Q348" s="31" t="n"/>
      <c r="R348" s="34">
        <f>IFERROR(IF(AND(O348&gt;0,P348&gt;0,Q348&gt;0),(O348*P348*Q348)/6000,""),"")</f>
        <v/>
      </c>
      <c r="S348" s="34">
        <f>IFERROR(IF(AND(N348&gt;0,R348&gt;0),MAX(N348,R348),IF(N348&gt;0,N348,IF(R348&gt;0,R348,""))),"")</f>
        <v/>
      </c>
      <c r="T348" s="36" t="n"/>
      <c r="U348" s="38" t="inlineStr">
        <is>
          <t>FALTA</t>
        </is>
      </c>
      <c r="V348" s="36" t="n">
        <v>172.21</v>
      </c>
      <c r="W348" s="39" t="n">
        <v>0.3</v>
      </c>
      <c r="X348" s="41">
        <f>IFERROR(V348+T348,"")</f>
        <v/>
      </c>
      <c r="Y348" s="41">
        <f>IFERROR(IF(W348&lt;1,X348/(1-W348),""),"")</f>
        <v/>
      </c>
      <c r="Z348" s="43">
        <f>'01_CONFIG_GLOBAL'!$C$14</f>
        <v/>
      </c>
      <c r="AA348" s="41">
        <f>IFERROR(Y348*Z348,"")</f>
        <v/>
      </c>
      <c r="AB348" s="41">
        <f>IFERROR(IF(Z348&lt;1,Y348/(1-Z348),""),"")</f>
        <v/>
      </c>
      <c r="AC348" s="23" t="n"/>
      <c r="AD348" s="36" t="n"/>
      <c r="AE348" s="23" t="n"/>
      <c r="AF348" s="36" t="n"/>
      <c r="AG348" s="23" t="n"/>
      <c r="AH348" s="36" t="n"/>
      <c r="AI348" s="41">
        <f>IFERROR(AVERAGE(AD348,AF348,AH348),"")</f>
        <v/>
      </c>
      <c r="AJ348" s="29">
        <f>IFERROR(IF(AI348="","sem dados",IF(AB348&lt;AI348*0.95,"abaixo",IF(AB348&gt;AI348*1.05,"acima","em linha"))),"")</f>
        <v/>
      </c>
      <c r="AK348" s="23" t="inlineStr">
        <is>
          <t>não</t>
        </is>
      </c>
      <c r="AL348" s="23" t="n"/>
      <c r="AM348" s="23" t="n"/>
      <c r="AN348" s="23" t="n"/>
      <c r="AO348" s="44">
        <f>A348</f>
        <v/>
      </c>
      <c r="AP348" s="44">
        <f>D348</f>
        <v/>
      </c>
    </row>
    <row r="349" hidden="1" ht="15.75" customHeight="1" s="93">
      <c r="A349" s="23" t="inlineStr">
        <is>
          <t>1.0021.L082377.0</t>
        </is>
      </c>
      <c r="B349" s="23" t="inlineStr">
        <is>
          <t>L082377</t>
        </is>
      </c>
      <c r="C349" s="29">
        <f>IFERROR(LOWER(SUBSTITUTE(SUBSTITUTE(SUBSTITUTE(SUBSTITUTE(D349," ","-"),"/","-"),".",""),",","")),"")</f>
        <v/>
      </c>
      <c r="D349" s="23" t="inlineStr">
        <is>
          <t>EM.BO.14.B29 (B100)</t>
        </is>
      </c>
      <c r="E349" s="23" t="n"/>
      <c r="F349" s="23" t="inlineStr">
        <is>
          <t>SOHIPREN</t>
        </is>
      </c>
      <c r="G349" s="23" t="n"/>
      <c r="H349" s="23" t="inlineStr">
        <is>
          <t>draft</t>
        </is>
      </c>
      <c r="I349" s="23" t="inlineStr">
        <is>
          <t>DURMETAL</t>
        </is>
      </c>
      <c r="J349" s="23" t="n"/>
      <c r="K349" s="23" t="n"/>
      <c r="L349" s="23" t="inlineStr">
        <is>
          <t>R.2199008249</t>
        </is>
      </c>
      <c r="M349" s="31" t="n"/>
      <c r="N349" s="31" t="n"/>
      <c r="O349" s="31" t="n"/>
      <c r="P349" s="31" t="n"/>
      <c r="Q349" s="31" t="n"/>
      <c r="R349" s="34">
        <f>IFERROR(IF(AND(O349&gt;0,P349&gt;0,Q349&gt;0),(O349*P349*Q349)/6000,""),"")</f>
        <v/>
      </c>
      <c r="S349" s="34">
        <f>IFERROR(IF(AND(N349&gt;0,R349&gt;0),MAX(N349,R349),IF(N349&gt;0,N349,IF(R349&gt;0,R349,""))),"")</f>
        <v/>
      </c>
      <c r="T349" s="36" t="n"/>
      <c r="U349" s="38" t="inlineStr">
        <is>
          <t>FALTA</t>
        </is>
      </c>
      <c r="V349" s="36" t="n">
        <v>180.74</v>
      </c>
      <c r="W349" s="39" t="n">
        <v>0.3</v>
      </c>
      <c r="X349" s="41">
        <f>IFERROR(V349+T349,"")</f>
        <v/>
      </c>
      <c r="Y349" s="41">
        <f>IFERROR(IF(W349&lt;1,X349/(1-W349),""),"")</f>
        <v/>
      </c>
      <c r="Z349" s="43">
        <f>'01_CONFIG_GLOBAL'!$C$14</f>
        <v/>
      </c>
      <c r="AA349" s="41">
        <f>IFERROR(Y349*Z349,"")</f>
        <v/>
      </c>
      <c r="AB349" s="41">
        <f>IFERROR(IF(Z349&lt;1,Y349/(1-Z349),""),"")</f>
        <v/>
      </c>
      <c r="AC349" s="23" t="n"/>
      <c r="AD349" s="36" t="n"/>
      <c r="AE349" s="23" t="n"/>
      <c r="AF349" s="36" t="n"/>
      <c r="AG349" s="23" t="n"/>
      <c r="AH349" s="36" t="n"/>
      <c r="AI349" s="41">
        <f>IFERROR(AVERAGE(AD349,AF349,AH349),"")</f>
        <v/>
      </c>
      <c r="AJ349" s="29">
        <f>IFERROR(IF(AI349="","sem dados",IF(AB349&lt;AI349*0.95,"abaixo",IF(AB349&gt;AI349*1.05,"acima","em linha"))),"")</f>
        <v/>
      </c>
      <c r="AK349" s="23" t="inlineStr">
        <is>
          <t>não</t>
        </is>
      </c>
      <c r="AL349" s="23" t="n"/>
      <c r="AM349" s="23" t="n"/>
      <c r="AN349" s="23" t="n"/>
      <c r="AO349" s="44">
        <f>A349</f>
        <v/>
      </c>
      <c r="AP349" s="44">
        <f>D349</f>
        <v/>
      </c>
    </row>
    <row r="350" hidden="1" ht="15.75" customHeight="1" s="93">
      <c r="A350" s="23" t="inlineStr">
        <is>
          <t>1.0021.L081829.0</t>
        </is>
      </c>
      <c r="B350" s="23" t="inlineStr">
        <is>
          <t>L081829</t>
        </is>
      </c>
      <c r="C350" s="29">
        <f>IFERROR(LOWER(SUBSTITUTE(SUBSTITUTE(SUBSTITUTE(SUBSTITUTE(D350," ","-"),"/","-"),".",""),",","")),"")</f>
        <v/>
      </c>
      <c r="D350" s="23" t="inlineStr">
        <is>
          <t>EM.BO.26.B101</t>
        </is>
      </c>
      <c r="E350" s="23" t="n"/>
      <c r="F350" s="23" t="inlineStr">
        <is>
          <t>SOHIPREN</t>
        </is>
      </c>
      <c r="G350" s="23" t="n"/>
      <c r="H350" s="23" t="inlineStr">
        <is>
          <t>draft</t>
        </is>
      </c>
      <c r="I350" s="23" t="inlineStr">
        <is>
          <t>DURMETAL</t>
        </is>
      </c>
      <c r="J350" s="23" t="n"/>
      <c r="K350" s="23" t="n"/>
      <c r="L350" s="23" t="inlineStr">
        <is>
          <t>R.2199008254</t>
        </is>
      </c>
      <c r="M350" s="31" t="n"/>
      <c r="N350" s="31" t="n"/>
      <c r="O350" s="31" t="n"/>
      <c r="P350" s="31" t="n"/>
      <c r="Q350" s="31" t="n"/>
      <c r="R350" s="34">
        <f>IFERROR(IF(AND(O350&gt;0,P350&gt;0,Q350&gt;0),(O350*P350*Q350)/6000,""),"")</f>
        <v/>
      </c>
      <c r="S350" s="34">
        <f>IFERROR(IF(AND(N350&gt;0,R350&gt;0),MAX(N350,R350),IF(N350&gt;0,N350,IF(R350&gt;0,R350,""))),"")</f>
        <v/>
      </c>
      <c r="T350" s="36" t="n"/>
      <c r="U350" s="38" t="inlineStr">
        <is>
          <t>FALTA</t>
        </is>
      </c>
      <c r="V350" s="36" t="n">
        <v>172.21</v>
      </c>
      <c r="W350" s="39" t="n">
        <v>0.3</v>
      </c>
      <c r="X350" s="41">
        <f>IFERROR(V350+T350,"")</f>
        <v/>
      </c>
      <c r="Y350" s="41">
        <f>IFERROR(IF(W350&lt;1,X350/(1-W350),""),"")</f>
        <v/>
      </c>
      <c r="Z350" s="43">
        <f>'01_CONFIG_GLOBAL'!$C$14</f>
        <v/>
      </c>
      <c r="AA350" s="41">
        <f>IFERROR(Y350*Z350,"")</f>
        <v/>
      </c>
      <c r="AB350" s="41">
        <f>IFERROR(IF(Z350&lt;1,Y350/(1-Z350),""),"")</f>
        <v/>
      </c>
      <c r="AC350" s="23" t="n"/>
      <c r="AD350" s="36" t="n"/>
      <c r="AE350" s="23" t="n"/>
      <c r="AF350" s="36" t="n"/>
      <c r="AG350" s="23" t="n"/>
      <c r="AH350" s="36" t="n"/>
      <c r="AI350" s="41">
        <f>IFERROR(AVERAGE(AD350,AF350,AH350),"")</f>
        <v/>
      </c>
      <c r="AJ350" s="29">
        <f>IFERROR(IF(AI350="","sem dados",IF(AB350&lt;AI350*0.95,"abaixo",IF(AB350&gt;AI350*1.05,"acima","em linha"))),"")</f>
        <v/>
      </c>
      <c r="AK350" s="23" t="inlineStr">
        <is>
          <t>não</t>
        </is>
      </c>
      <c r="AL350" s="23" t="n"/>
      <c r="AM350" s="23" t="n"/>
      <c r="AN350" s="23" t="n"/>
      <c r="AO350" s="44">
        <f>A350</f>
        <v/>
      </c>
      <c r="AP350" s="44">
        <f>D350</f>
        <v/>
      </c>
    </row>
    <row r="351" hidden="1" ht="15.75" customHeight="1" s="93">
      <c r="A351" s="23" t="inlineStr">
        <is>
          <t>1.0021.L081835.0</t>
        </is>
      </c>
      <c r="B351" s="23" t="inlineStr">
        <is>
          <t>L081835</t>
        </is>
      </c>
      <c r="C351" s="29">
        <f>IFERROR(LOWER(SUBSTITUTE(SUBSTITUTE(SUBSTITUTE(SUBSTITUTE(D351," ","-"),"/","-"),".",""),",","")),"")</f>
        <v/>
      </c>
      <c r="D351" s="23" t="inlineStr">
        <is>
          <t>EM.BO.22,5.B101</t>
        </is>
      </c>
      <c r="E351" s="23" t="n"/>
      <c r="F351" s="23" t="inlineStr">
        <is>
          <t>SOHIPREN</t>
        </is>
      </c>
      <c r="G351" s="23" t="n"/>
      <c r="H351" s="23" t="inlineStr">
        <is>
          <t>draft</t>
        </is>
      </c>
      <c r="I351" s="23" t="inlineStr">
        <is>
          <t>DURMETAL</t>
        </is>
      </c>
      <c r="J351" s="23" t="n"/>
      <c r="K351" s="23" t="n"/>
      <c r="L351" s="23" t="inlineStr">
        <is>
          <t>R.2199008255</t>
        </is>
      </c>
      <c r="M351" s="31" t="n"/>
      <c r="N351" s="31" t="n"/>
      <c r="O351" s="31" t="n"/>
      <c r="P351" s="31" t="n"/>
      <c r="Q351" s="31" t="n"/>
      <c r="R351" s="34">
        <f>IFERROR(IF(AND(O351&gt;0,P351&gt;0,Q351&gt;0),(O351*P351*Q351)/6000,""),"")</f>
        <v/>
      </c>
      <c r="S351" s="34">
        <f>IFERROR(IF(AND(N351&gt;0,R351&gt;0),MAX(N351,R351),IF(N351&gt;0,N351,IF(R351&gt;0,R351,""))),"")</f>
        <v/>
      </c>
      <c r="T351" s="36" t="n"/>
      <c r="U351" s="38" t="inlineStr">
        <is>
          <t>FALTA</t>
        </is>
      </c>
      <c r="V351" s="36" t="n">
        <v>172.21</v>
      </c>
      <c r="W351" s="39" t="n">
        <v>0.3</v>
      </c>
      <c r="X351" s="41">
        <f>IFERROR(V351+T351,"")</f>
        <v/>
      </c>
      <c r="Y351" s="41">
        <f>IFERROR(IF(W351&lt;1,X351/(1-W351),""),"")</f>
        <v/>
      </c>
      <c r="Z351" s="43">
        <f>'01_CONFIG_GLOBAL'!$C$14</f>
        <v/>
      </c>
      <c r="AA351" s="41">
        <f>IFERROR(Y351*Z351,"")</f>
        <v/>
      </c>
      <c r="AB351" s="41">
        <f>IFERROR(IF(Z351&lt;1,Y351/(1-Z351),""),"")</f>
        <v/>
      </c>
      <c r="AC351" s="23" t="n"/>
      <c r="AD351" s="36" t="n"/>
      <c r="AE351" s="23" t="n"/>
      <c r="AF351" s="36" t="n"/>
      <c r="AG351" s="23" t="n"/>
      <c r="AH351" s="36" t="n"/>
      <c r="AI351" s="41">
        <f>IFERROR(AVERAGE(AD351,AF351,AH351),"")</f>
        <v/>
      </c>
      <c r="AJ351" s="29">
        <f>IFERROR(IF(AI351="","sem dados",IF(AB351&lt;AI351*0.95,"abaixo",IF(AB351&gt;AI351*1.05,"acima","em linha"))),"")</f>
        <v/>
      </c>
      <c r="AK351" s="23" t="inlineStr">
        <is>
          <t>não</t>
        </is>
      </c>
      <c r="AL351" s="23" t="n"/>
      <c r="AM351" s="23" t="n"/>
      <c r="AN351" s="23" t="n"/>
      <c r="AO351" s="44">
        <f>A351</f>
        <v/>
      </c>
      <c r="AP351" s="44">
        <f>D351</f>
        <v/>
      </c>
    </row>
    <row r="352" hidden="1" ht="15.75" customHeight="1" s="93">
      <c r="A352" s="23" t="inlineStr">
        <is>
          <t>1.0021.L081822.0</t>
        </is>
      </c>
      <c r="B352" s="23" t="inlineStr">
        <is>
          <t>L081822</t>
        </is>
      </c>
      <c r="C352" s="29">
        <f>IFERROR(LOWER(SUBSTITUTE(SUBSTITUTE(SUBSTITUTE(SUBSTITUTE(D352," ","-"),"/","-"),".",""),",","")),"")</f>
        <v/>
      </c>
      <c r="D352" s="23" t="inlineStr">
        <is>
          <t>EM.BO.33.A6</t>
        </is>
      </c>
      <c r="E352" s="23" t="n"/>
      <c r="F352" s="23" t="inlineStr">
        <is>
          <t>SOHIPREN</t>
        </is>
      </c>
      <c r="G352" s="23" t="n"/>
      <c r="H352" s="23" t="inlineStr">
        <is>
          <t>draft</t>
        </is>
      </c>
      <c r="I352" s="23" t="inlineStr">
        <is>
          <t>DURMETAL</t>
        </is>
      </c>
      <c r="J352" s="23" t="n"/>
      <c r="K352" s="23" t="n"/>
      <c r="L352" s="23" t="inlineStr">
        <is>
          <t>R.2199007070)</t>
        </is>
      </c>
      <c r="M352" s="31" t="n"/>
      <c r="N352" s="31" t="n"/>
      <c r="O352" s="31" t="n"/>
      <c r="P352" s="31" t="n"/>
      <c r="Q352" s="31" t="n"/>
      <c r="R352" s="34">
        <f>IFERROR(IF(AND(O352&gt;0,P352&gt;0,Q352&gt;0),(O352*P352*Q352)/6000,""),"")</f>
        <v/>
      </c>
      <c r="S352" s="34">
        <f>IFERROR(IF(AND(N352&gt;0,R352&gt;0),MAX(N352,R352),IF(N352&gt;0,N352,IF(R352&gt;0,R352,""))),"")</f>
        <v/>
      </c>
      <c r="T352" s="36" t="n"/>
      <c r="U352" s="38" t="inlineStr">
        <is>
          <t>FALTA</t>
        </is>
      </c>
      <c r="V352" s="36" t="n">
        <v>172.21</v>
      </c>
      <c r="W352" s="39" t="n">
        <v>0.3</v>
      </c>
      <c r="X352" s="41">
        <f>IFERROR(V352+T352,"")</f>
        <v/>
      </c>
      <c r="Y352" s="41">
        <f>IFERROR(IF(W352&lt;1,X352/(1-W352),""),"")</f>
        <v/>
      </c>
      <c r="Z352" s="43">
        <f>'01_CONFIG_GLOBAL'!$C$14</f>
        <v/>
      </c>
      <c r="AA352" s="41">
        <f>IFERROR(Y352*Z352,"")</f>
        <v/>
      </c>
      <c r="AB352" s="41">
        <f>IFERROR(IF(Z352&lt;1,Y352/(1-Z352),""),"")</f>
        <v/>
      </c>
      <c r="AC352" s="23" t="n"/>
      <c r="AD352" s="36" t="n"/>
      <c r="AE352" s="23" t="n"/>
      <c r="AF352" s="36" t="n"/>
      <c r="AG352" s="23" t="n"/>
      <c r="AH352" s="36" t="n"/>
      <c r="AI352" s="41">
        <f>IFERROR(AVERAGE(AD352,AF352,AH352),"")</f>
        <v/>
      </c>
      <c r="AJ352" s="29">
        <f>IFERROR(IF(AI352="","sem dados",IF(AB352&lt;AI352*0.95,"abaixo",IF(AB352&gt;AI352*1.05,"acima","em linha"))),"")</f>
        <v/>
      </c>
      <c r="AK352" s="23" t="inlineStr">
        <is>
          <t>não</t>
        </is>
      </c>
      <c r="AL352" s="23" t="n"/>
      <c r="AM352" s="23" t="n"/>
      <c r="AN352" s="23" t="n"/>
      <c r="AO352" s="44">
        <f>A352</f>
        <v/>
      </c>
      <c r="AP352" s="44">
        <f>D352</f>
        <v/>
      </c>
    </row>
    <row r="353" hidden="1" ht="15.75" customHeight="1" s="93">
      <c r="A353" s="23" t="inlineStr">
        <is>
          <t>1.0021.L081954.0</t>
        </is>
      </c>
      <c r="B353" s="23" t="inlineStr">
        <is>
          <t>L081954</t>
        </is>
      </c>
      <c r="C353" s="29">
        <f>IFERROR(LOWER(SUBSTITUTE(SUBSTITUTE(SUBSTITUTE(SUBSTITUTE(D353," ","-"),"/","-"),".",""),",","")),"")</f>
        <v/>
      </c>
      <c r="D353" s="23" t="inlineStr">
        <is>
          <t>EM.BO.26.E19</t>
        </is>
      </c>
      <c r="E353" s="23" t="n"/>
      <c r="F353" s="23" t="inlineStr">
        <is>
          <t>SOHIPREN</t>
        </is>
      </c>
      <c r="G353" s="23" t="n"/>
      <c r="H353" s="23" t="inlineStr">
        <is>
          <t>draft</t>
        </is>
      </c>
      <c r="I353" s="23" t="inlineStr">
        <is>
          <t>DURMETAL</t>
        </is>
      </c>
      <c r="J353" s="23" t="n"/>
      <c r="K353" s="23" t="n"/>
      <c r="L353" s="23" t="inlineStr">
        <is>
          <t>R.2199008166</t>
        </is>
      </c>
      <c r="M353" s="31" t="n"/>
      <c r="N353" s="31" t="n"/>
      <c r="O353" s="31" t="n"/>
      <c r="P353" s="31" t="n"/>
      <c r="Q353" s="31" t="n"/>
      <c r="R353" s="34">
        <f>IFERROR(IF(AND(O353&gt;0,P353&gt;0,Q353&gt;0),(O353*P353*Q353)/6000,""),"")</f>
        <v/>
      </c>
      <c r="S353" s="34">
        <f>IFERROR(IF(AND(N353&gt;0,R353&gt;0),MAX(N353,R353),IF(N353&gt;0,N353,IF(R353&gt;0,R353,""))),"")</f>
        <v/>
      </c>
      <c r="T353" s="36" t="n"/>
      <c r="U353" s="38" t="inlineStr">
        <is>
          <t>FALTA</t>
        </is>
      </c>
      <c r="V353" s="36" t="n">
        <v>180.74</v>
      </c>
      <c r="W353" s="39" t="n">
        <v>0.3</v>
      </c>
      <c r="X353" s="41">
        <f>IFERROR(V353+T353,"")</f>
        <v/>
      </c>
      <c r="Y353" s="41">
        <f>IFERROR(IF(W353&lt;1,X353/(1-W353),""),"")</f>
        <v/>
      </c>
      <c r="Z353" s="43">
        <f>'01_CONFIG_GLOBAL'!$C$14</f>
        <v/>
      </c>
      <c r="AA353" s="41">
        <f>IFERROR(Y353*Z353,"")</f>
        <v/>
      </c>
      <c r="AB353" s="41">
        <f>IFERROR(IF(Z353&lt;1,Y353/(1-Z353),""),"")</f>
        <v/>
      </c>
      <c r="AC353" s="23" t="n"/>
      <c r="AD353" s="36" t="n"/>
      <c r="AE353" s="23" t="n"/>
      <c r="AF353" s="36" t="n"/>
      <c r="AG353" s="23" t="n"/>
      <c r="AH353" s="36" t="n"/>
      <c r="AI353" s="41">
        <f>IFERROR(AVERAGE(AD353,AF353,AH353),"")</f>
        <v/>
      </c>
      <c r="AJ353" s="29">
        <f>IFERROR(IF(AI353="","sem dados",IF(AB353&lt;AI353*0.95,"abaixo",IF(AB353&gt;AI353*1.05,"acima","em linha"))),"")</f>
        <v/>
      </c>
      <c r="AK353" s="23" t="inlineStr">
        <is>
          <t>não</t>
        </is>
      </c>
      <c r="AL353" s="23" t="n"/>
      <c r="AM353" s="23" t="n"/>
      <c r="AN353" s="23" t="n"/>
      <c r="AO353" s="44">
        <f>A353</f>
        <v/>
      </c>
      <c r="AP353" s="44">
        <f>D353</f>
        <v/>
      </c>
    </row>
    <row r="354" hidden="1" ht="15.75" customHeight="1" s="93">
      <c r="A354" s="23" t="inlineStr">
        <is>
          <t>1.5711.L081958.0</t>
        </is>
      </c>
      <c r="B354" s="23" t="inlineStr">
        <is>
          <t>L081958</t>
        </is>
      </c>
      <c r="C354" s="29">
        <f>IFERROR(LOWER(SUBSTITUTE(SUBSTITUTE(SUBSTITUTE(SUBSTITUTE(D354," ","-"),"/","-"),".",""),",","")),"")</f>
        <v/>
      </c>
      <c r="D354" s="23" t="inlineStr">
        <is>
          <t>EIXO EMBRACO</t>
        </is>
      </c>
      <c r="E354" s="23" t="n"/>
      <c r="F354" s="23" t="inlineStr">
        <is>
          <t>SOHIPREN</t>
        </is>
      </c>
      <c r="G354" s="23" t="n"/>
      <c r="H354" s="23" t="inlineStr">
        <is>
          <t>draft</t>
        </is>
      </c>
      <c r="I354" s="23" t="inlineStr">
        <is>
          <t>DURMETAL</t>
        </is>
      </c>
      <c r="J354" s="23" t="n"/>
      <c r="K354" s="23" t="n"/>
      <c r="L354" s="23" t="inlineStr">
        <is>
          <t>11.809.1001 EIXO QTN</t>
        </is>
      </c>
      <c r="M354" s="31" t="n"/>
      <c r="N354" s="31" t="n"/>
      <c r="O354" s="31" t="n"/>
      <c r="P354" s="31" t="n"/>
      <c r="Q354" s="31" t="n"/>
      <c r="R354" s="34">
        <f>IFERROR(IF(AND(O354&gt;0,P354&gt;0,Q354&gt;0),(O354*P354*Q354)/6000,""),"")</f>
        <v/>
      </c>
      <c r="S354" s="34">
        <f>IFERROR(IF(AND(N354&gt;0,R354&gt;0),MAX(N354,R354),IF(N354&gt;0,N354,IF(R354&gt;0,R354,""))),"")</f>
        <v/>
      </c>
      <c r="T354" s="36" t="n"/>
      <c r="U354" s="38" t="inlineStr">
        <is>
          <t>FALTA</t>
        </is>
      </c>
      <c r="V354" s="36" t="n">
        <v>350</v>
      </c>
      <c r="W354" s="39" t="n">
        <v>0.3</v>
      </c>
      <c r="X354" s="41">
        <f>IFERROR(V354+T354,"")</f>
        <v/>
      </c>
      <c r="Y354" s="41">
        <f>IFERROR(IF(W354&lt;1,X354/(1-W354),""),"")</f>
        <v/>
      </c>
      <c r="Z354" s="43">
        <f>'01_CONFIG_GLOBAL'!$C$14</f>
        <v/>
      </c>
      <c r="AA354" s="41">
        <f>IFERROR(Y354*Z354,"")</f>
        <v/>
      </c>
      <c r="AB354" s="41">
        <f>IFERROR(IF(Z354&lt;1,Y354/(1-Z354),""),"")</f>
        <v/>
      </c>
      <c r="AC354" s="23" t="n"/>
      <c r="AD354" s="36" t="n"/>
      <c r="AE354" s="23" t="n"/>
      <c r="AF354" s="36" t="n"/>
      <c r="AG354" s="23" t="n"/>
      <c r="AH354" s="36" t="n"/>
      <c r="AI354" s="41">
        <f>IFERROR(AVERAGE(AD354,AF354,AH354),"")</f>
        <v/>
      </c>
      <c r="AJ354" s="29">
        <f>IFERROR(IF(AI354="","sem dados",IF(AB354&lt;AI354*0.95,"abaixo",IF(AB354&gt;AI354*1.05,"acima","em linha"))),"")</f>
        <v/>
      </c>
      <c r="AK354" s="23" t="inlineStr">
        <is>
          <t>não</t>
        </is>
      </c>
      <c r="AL354" s="23" t="n"/>
      <c r="AM354" s="23" t="n"/>
      <c r="AN354" s="23" t="n"/>
      <c r="AO354" s="44">
        <f>A354</f>
        <v/>
      </c>
      <c r="AP354" s="44">
        <f>D354</f>
        <v/>
      </c>
    </row>
    <row r="355" hidden="1" ht="15.75" customHeight="1" s="93">
      <c r="A355" s="23" t="inlineStr">
        <is>
          <t>1.0021.L082191.0</t>
        </is>
      </c>
      <c r="B355" s="23" t="inlineStr">
        <is>
          <t>L082191</t>
        </is>
      </c>
      <c r="C355" s="29">
        <f>IFERROR(LOWER(SUBSTITUTE(SUBSTITUTE(SUBSTITUTE(SUBSTITUTE(D355," ","-"),"/","-"),".",""),",","")),"")</f>
        <v/>
      </c>
      <c r="D355" s="23" t="inlineStr">
        <is>
          <t>EM.BO.26.A6</t>
        </is>
      </c>
      <c r="E355" s="23" t="n"/>
      <c r="F355" s="23" t="inlineStr">
        <is>
          <t>SOHIPREN</t>
        </is>
      </c>
      <c r="G355" s="23" t="n"/>
      <c r="H355" s="23" t="inlineStr">
        <is>
          <t>draft</t>
        </is>
      </c>
      <c r="I355" s="23" t="inlineStr">
        <is>
          <t>DURMETAL</t>
        </is>
      </c>
      <c r="J355" s="23" t="n"/>
      <c r="K355" s="23" t="n"/>
      <c r="L355" s="23" t="inlineStr">
        <is>
          <t>R.2199008166</t>
        </is>
      </c>
      <c r="M355" s="31" t="n"/>
      <c r="N355" s="31" t="n"/>
      <c r="O355" s="31" t="n"/>
      <c r="P355" s="31" t="n"/>
      <c r="Q355" s="31" t="n"/>
      <c r="R355" s="34">
        <f>IFERROR(IF(AND(O355&gt;0,P355&gt;0,Q355&gt;0),(O355*P355*Q355)/6000,""),"")</f>
        <v/>
      </c>
      <c r="S355" s="34">
        <f>IFERROR(IF(AND(N355&gt;0,R355&gt;0),MAX(N355,R355),IF(N355&gt;0,N355,IF(R355&gt;0,R355,""))),"")</f>
        <v/>
      </c>
      <c r="T355" s="36" t="n"/>
      <c r="U355" s="38" t="inlineStr">
        <is>
          <t>FALTA</t>
        </is>
      </c>
      <c r="V355" s="36" t="n">
        <v>180.74</v>
      </c>
      <c r="W355" s="39" t="n">
        <v>0.3</v>
      </c>
      <c r="X355" s="41">
        <f>IFERROR(V355+T355,"")</f>
        <v/>
      </c>
      <c r="Y355" s="41">
        <f>IFERROR(IF(W355&lt;1,X355/(1-W355),""),"")</f>
        <v/>
      </c>
      <c r="Z355" s="43">
        <f>'01_CONFIG_GLOBAL'!$C$14</f>
        <v/>
      </c>
      <c r="AA355" s="41">
        <f>IFERROR(Y355*Z355,"")</f>
        <v/>
      </c>
      <c r="AB355" s="41">
        <f>IFERROR(IF(Z355&lt;1,Y355/(1-Z355),""),"")</f>
        <v/>
      </c>
      <c r="AC355" s="23" t="n"/>
      <c r="AD355" s="36" t="n"/>
      <c r="AE355" s="23" t="n"/>
      <c r="AF355" s="36" t="n"/>
      <c r="AG355" s="23" t="n"/>
      <c r="AH355" s="36" t="n"/>
      <c r="AI355" s="41">
        <f>IFERROR(AVERAGE(AD355,AF355,AH355),"")</f>
        <v/>
      </c>
      <c r="AJ355" s="29">
        <f>IFERROR(IF(AI355="","sem dados",IF(AB355&lt;AI355*0.95,"abaixo",IF(AB355&gt;AI355*1.05,"acima","em linha"))),"")</f>
        <v/>
      </c>
      <c r="AK355" s="23" t="inlineStr">
        <is>
          <t>não</t>
        </is>
      </c>
      <c r="AL355" s="23" t="n"/>
      <c r="AM355" s="23" t="n"/>
      <c r="AN355" s="23" t="n"/>
      <c r="AO355" s="44">
        <f>A355</f>
        <v/>
      </c>
      <c r="AP355" s="44">
        <f>D355</f>
        <v/>
      </c>
    </row>
    <row r="356" hidden="1" ht="15.75" customHeight="1" s="93">
      <c r="A356" s="23" t="inlineStr">
        <is>
          <t>1.0021.L082190.0</t>
        </is>
      </c>
      <c r="B356" s="23" t="inlineStr">
        <is>
          <t>L082190</t>
        </is>
      </c>
      <c r="C356" s="29">
        <f>IFERROR(LOWER(SUBSTITUTE(SUBSTITUTE(SUBSTITUTE(SUBSTITUTE(D356," ","-"),"/","-"),".",""),",","")),"")</f>
        <v/>
      </c>
      <c r="D356" s="23" t="inlineStr">
        <is>
          <t>EM.BO.26.E2</t>
        </is>
      </c>
      <c r="E356" s="23" t="n"/>
      <c r="F356" s="23" t="inlineStr">
        <is>
          <t>SOHIPREN</t>
        </is>
      </c>
      <c r="G356" s="23" t="n"/>
      <c r="H356" s="23" t="inlineStr">
        <is>
          <t>draft</t>
        </is>
      </c>
      <c r="I356" s="23" t="inlineStr">
        <is>
          <t>DURMETAL</t>
        </is>
      </c>
      <c r="J356" s="23" t="n"/>
      <c r="K356" s="23" t="n"/>
      <c r="L356" s="23" t="inlineStr">
        <is>
          <t>R.2199008166</t>
        </is>
      </c>
      <c r="M356" s="31" t="n"/>
      <c r="N356" s="31" t="n"/>
      <c r="O356" s="31" t="n"/>
      <c r="P356" s="31" t="n"/>
      <c r="Q356" s="31" t="n"/>
      <c r="R356" s="34">
        <f>IFERROR(IF(AND(O356&gt;0,P356&gt;0,Q356&gt;0),(O356*P356*Q356)/6000,""),"")</f>
        <v/>
      </c>
      <c r="S356" s="34">
        <f>IFERROR(IF(AND(N356&gt;0,R356&gt;0),MAX(N356,R356),IF(N356&gt;0,N356,IF(R356&gt;0,R356,""))),"")</f>
        <v/>
      </c>
      <c r="T356" s="36" t="n"/>
      <c r="U356" s="38" t="inlineStr">
        <is>
          <t>FALTA</t>
        </is>
      </c>
      <c r="V356" s="36" t="n">
        <v>180.74</v>
      </c>
      <c r="W356" s="39" t="n">
        <v>0.3</v>
      </c>
      <c r="X356" s="41">
        <f>IFERROR(V356+T356,"")</f>
        <v/>
      </c>
      <c r="Y356" s="41">
        <f>IFERROR(IF(W356&lt;1,X356/(1-W356),""),"")</f>
        <v/>
      </c>
      <c r="Z356" s="43">
        <f>'01_CONFIG_GLOBAL'!$C$14</f>
        <v/>
      </c>
      <c r="AA356" s="41">
        <f>IFERROR(Y356*Z356,"")</f>
        <v/>
      </c>
      <c r="AB356" s="41">
        <f>IFERROR(IF(Z356&lt;1,Y356/(1-Z356),""),"")</f>
        <v/>
      </c>
      <c r="AC356" s="23" t="n"/>
      <c r="AD356" s="36" t="n"/>
      <c r="AE356" s="23" t="n"/>
      <c r="AF356" s="36" t="n"/>
      <c r="AG356" s="23" t="n"/>
      <c r="AH356" s="36" t="n"/>
      <c r="AI356" s="41">
        <f>IFERROR(AVERAGE(AD356,AF356,AH356),"")</f>
        <v/>
      </c>
      <c r="AJ356" s="29">
        <f>IFERROR(IF(AI356="","sem dados",IF(AB356&lt;AI356*0.95,"abaixo",IF(AB356&gt;AI356*1.05,"acima","em linha"))),"")</f>
        <v/>
      </c>
      <c r="AK356" s="23" t="inlineStr">
        <is>
          <t>não</t>
        </is>
      </c>
      <c r="AL356" s="23" t="n"/>
      <c r="AM356" s="23" t="n"/>
      <c r="AN356" s="23" t="n"/>
      <c r="AO356" s="44">
        <f>A356</f>
        <v/>
      </c>
      <c r="AP356" s="44">
        <f>D356</f>
        <v/>
      </c>
    </row>
    <row r="357" hidden="1" ht="15.75" customHeight="1" s="93">
      <c r="A357" s="23" t="inlineStr">
        <is>
          <t>1.0021.0108230.0</t>
        </is>
      </c>
      <c r="B357" s="23" t="inlineStr">
        <is>
          <t>108230</t>
        </is>
      </c>
      <c r="C357" s="29">
        <f>IFERROR(LOWER(SUBSTITUTE(SUBSTITUTE(SUBSTITUTE(SUBSTITUTE(D357," ","-"),"/","-"),".",""),",","")),"")</f>
        <v/>
      </c>
      <c r="D357" s="23" t="inlineStr">
        <is>
          <t>EM.BO.14.A6</t>
        </is>
      </c>
      <c r="E357" s="23" t="n"/>
      <c r="F357" s="23" t="inlineStr">
        <is>
          <t>SOHIPREN</t>
        </is>
      </c>
      <c r="G357" s="23" t="n"/>
      <c r="H357" s="23" t="inlineStr">
        <is>
          <t>draft</t>
        </is>
      </c>
      <c r="I357" s="23" t="inlineStr">
        <is>
          <t>DURMETAL</t>
        </is>
      </c>
      <c r="J357" s="23" t="n"/>
      <c r="K357" s="23" t="n"/>
      <c r="L357" s="23" t="inlineStr">
        <is>
          <t>R.2199007049</t>
        </is>
      </c>
      <c r="M357" s="31" t="n"/>
      <c r="N357" s="31" t="n"/>
      <c r="O357" s="31" t="n"/>
      <c r="P357" s="31" t="n"/>
      <c r="Q357" s="31" t="n"/>
      <c r="R357" s="34">
        <f>IFERROR(IF(AND(O357&gt;0,P357&gt;0,Q357&gt;0),(O357*P357*Q357)/6000,""),"")</f>
        <v/>
      </c>
      <c r="S357" s="34">
        <f>IFERROR(IF(AND(N357&gt;0,R357&gt;0),MAX(N357,R357),IF(N357&gt;0,N357,IF(R357&gt;0,R357,""))),"")</f>
        <v/>
      </c>
      <c r="T357" s="36" t="n"/>
      <c r="U357" s="38" t="inlineStr">
        <is>
          <t>FALTA</t>
        </is>
      </c>
      <c r="V357" s="36" t="n">
        <v>155.73</v>
      </c>
      <c r="W357" s="39" t="n">
        <v>0.3</v>
      </c>
      <c r="X357" s="41">
        <f>IFERROR(V357+T357,"")</f>
        <v/>
      </c>
      <c r="Y357" s="41">
        <f>IFERROR(IF(W357&lt;1,X357/(1-W357),""),"")</f>
        <v/>
      </c>
      <c r="Z357" s="43">
        <f>'01_CONFIG_GLOBAL'!$C$14</f>
        <v/>
      </c>
      <c r="AA357" s="41">
        <f>IFERROR(Y357*Z357,"")</f>
        <v/>
      </c>
      <c r="AB357" s="41">
        <f>IFERROR(IF(Z357&lt;1,Y357/(1-Z357),""),"")</f>
        <v/>
      </c>
      <c r="AC357" s="23" t="n"/>
      <c r="AD357" s="36" t="n"/>
      <c r="AE357" s="23" t="n"/>
      <c r="AF357" s="36" t="n"/>
      <c r="AG357" s="23" t="n"/>
      <c r="AH357" s="36" t="n"/>
      <c r="AI357" s="41">
        <f>IFERROR(AVERAGE(AD357,AF357,AH357),"")</f>
        <v/>
      </c>
      <c r="AJ357" s="29">
        <f>IFERROR(IF(AI357="","sem dados",IF(AB357&lt;AI357*0.95,"abaixo",IF(AB357&gt;AI357*1.05,"acima","em linha"))),"")</f>
        <v/>
      </c>
      <c r="AK357" s="23" t="inlineStr">
        <is>
          <t>não</t>
        </is>
      </c>
      <c r="AL357" s="23" t="n"/>
      <c r="AM357" s="23" t="n"/>
      <c r="AN357" s="23" t="n"/>
      <c r="AO357" s="44">
        <f>A357</f>
        <v/>
      </c>
      <c r="AP357" s="44">
        <f>D357</f>
        <v/>
      </c>
    </row>
    <row r="358" hidden="1" ht="15.75" customHeight="1" s="93">
      <c r="A358" s="23" t="inlineStr">
        <is>
          <t>1.0021.0109040.0</t>
        </is>
      </c>
      <c r="B358" s="23" t="inlineStr">
        <is>
          <t>109040</t>
        </is>
      </c>
      <c r="C358" s="29">
        <f>IFERROR(LOWER(SUBSTITUTE(SUBSTITUTE(SUBSTITUTE(SUBSTITUTE(D358," ","-"),"/","-"),".",""),",","")),"")</f>
        <v/>
      </c>
      <c r="D358" s="23" t="inlineStr">
        <is>
          <t>EM.BO.8.B12</t>
        </is>
      </c>
      <c r="E358" s="23" t="n"/>
      <c r="F358" s="23" t="inlineStr">
        <is>
          <t>SOHIPREN</t>
        </is>
      </c>
      <c r="G358" s="23" t="n"/>
      <c r="H358" s="23" t="inlineStr">
        <is>
          <t>draft</t>
        </is>
      </c>
      <c r="I358" s="23" t="inlineStr">
        <is>
          <t>DURMETAL</t>
        </is>
      </c>
      <c r="J358" s="23" t="n"/>
      <c r="K358" s="23" t="n"/>
      <c r="L358" s="23" t="inlineStr">
        <is>
          <t>R.2199008266</t>
        </is>
      </c>
      <c r="M358" s="31" t="n"/>
      <c r="N358" s="31" t="n"/>
      <c r="O358" s="31" t="n"/>
      <c r="P358" s="31" t="n"/>
      <c r="Q358" s="31" t="n"/>
      <c r="R358" s="34">
        <f>IFERROR(IF(AND(O358&gt;0,P358&gt;0,Q358&gt;0),(O358*P358*Q358)/6000,""),"")</f>
        <v/>
      </c>
      <c r="S358" s="34">
        <f>IFERROR(IF(AND(N358&gt;0,R358&gt;0),MAX(N358,R358),IF(N358&gt;0,N358,IF(R358&gt;0,R358,""))),"")</f>
        <v/>
      </c>
      <c r="T358" s="36" t="n"/>
      <c r="U358" s="38" t="inlineStr">
        <is>
          <t>FALTA</t>
        </is>
      </c>
      <c r="V358" s="36" t="n">
        <v>195</v>
      </c>
      <c r="W358" s="39" t="n">
        <v>0.3</v>
      </c>
      <c r="X358" s="41">
        <f>IFERROR(V358+T358,"")</f>
        <v/>
      </c>
      <c r="Y358" s="41">
        <f>IFERROR(IF(W358&lt;1,X358/(1-W358),""),"")</f>
        <v/>
      </c>
      <c r="Z358" s="43">
        <f>'01_CONFIG_GLOBAL'!$C$14</f>
        <v/>
      </c>
      <c r="AA358" s="41">
        <f>IFERROR(Y358*Z358,"")</f>
        <v/>
      </c>
      <c r="AB358" s="41">
        <f>IFERROR(IF(Z358&lt;1,Y358/(1-Z358),""),"")</f>
        <v/>
      </c>
      <c r="AC358" s="23" t="n"/>
      <c r="AD358" s="36" t="n"/>
      <c r="AE358" s="23" t="n"/>
      <c r="AF358" s="36" t="n"/>
      <c r="AG358" s="23" t="n"/>
      <c r="AH358" s="36" t="n"/>
      <c r="AI358" s="41">
        <f>IFERROR(AVERAGE(AD358,AF358,AH358),"")</f>
        <v/>
      </c>
      <c r="AJ358" s="29">
        <f>IFERROR(IF(AI358="","sem dados",IF(AB358&lt;AI358*0.95,"abaixo",IF(AB358&gt;AI358*1.05,"acima","em linha"))),"")</f>
        <v/>
      </c>
      <c r="AK358" s="23" t="inlineStr">
        <is>
          <t>não</t>
        </is>
      </c>
      <c r="AL358" s="23" t="n"/>
      <c r="AM358" s="23" t="n"/>
      <c r="AN358" s="23" t="n"/>
      <c r="AO358" s="44">
        <f>A358</f>
        <v/>
      </c>
      <c r="AP358" s="44">
        <f>D358</f>
        <v/>
      </c>
    </row>
    <row r="359" hidden="1" ht="15.75" customHeight="1" s="93">
      <c r="A359" s="23" t="inlineStr">
        <is>
          <t>1.0031.0125660.0</t>
        </is>
      </c>
      <c r="B359" s="23" t="inlineStr">
        <is>
          <t>125660</t>
        </is>
      </c>
      <c r="C359" s="29">
        <f>IFERROR(LOWER(SUBSTITUTE(SUBSTITUTE(SUBSTITUTE(SUBSTITUTE(D359," ","-"),"/","-"),".",""),",","")),"")</f>
        <v/>
      </c>
      <c r="D359" s="23" t="inlineStr">
        <is>
          <t>ES.BOR.8.L</t>
        </is>
      </c>
      <c r="E359" s="23" t="n"/>
      <c r="F359" s="23" t="inlineStr">
        <is>
          <t>SOHIPREN</t>
        </is>
      </c>
      <c r="G359" s="23" t="n"/>
      <c r="H359" s="23" t="inlineStr">
        <is>
          <t>draft</t>
        </is>
      </c>
      <c r="I359" s="23" t="inlineStr">
        <is>
          <t>DURMETAL</t>
        </is>
      </c>
      <c r="J359" s="23" t="n"/>
      <c r="K359" s="23" t="n"/>
      <c r="L359" s="23" t="inlineStr">
        <is>
          <t>R.1299002004</t>
        </is>
      </c>
      <c r="M359" s="31" t="n"/>
      <c r="N359" s="31" t="n"/>
      <c r="O359" s="31" t="n"/>
      <c r="P359" s="31" t="n"/>
      <c r="Q359" s="31" t="n"/>
      <c r="R359" s="34">
        <f>IFERROR(IF(AND(O359&gt;0,P359&gt;0,Q359&gt;0),(O359*P359*Q359)/6000,""),"")</f>
        <v/>
      </c>
      <c r="S359" s="34">
        <f>IFERROR(IF(AND(N359&gt;0,R359&gt;0),MAX(N359,R359),IF(N359&gt;0,N359,IF(R359&gt;0,R359,""))),"")</f>
        <v/>
      </c>
      <c r="T359" s="36" t="n"/>
      <c r="U359" s="38" t="inlineStr">
        <is>
          <t>FALTA</t>
        </is>
      </c>
      <c r="V359" s="36" t="n">
        <v>196.46</v>
      </c>
      <c r="W359" s="39" t="n">
        <v>0.3</v>
      </c>
      <c r="X359" s="41">
        <f>IFERROR(V359+T359,"")</f>
        <v/>
      </c>
      <c r="Y359" s="41">
        <f>IFERROR(IF(W359&lt;1,X359/(1-W359),""),"")</f>
        <v/>
      </c>
      <c r="Z359" s="43">
        <f>'01_CONFIG_GLOBAL'!$C$14</f>
        <v/>
      </c>
      <c r="AA359" s="41">
        <f>IFERROR(Y359*Z359,"")</f>
        <v/>
      </c>
      <c r="AB359" s="41">
        <f>IFERROR(IF(Z359&lt;1,Y359/(1-Z359),""),"")</f>
        <v/>
      </c>
      <c r="AC359" s="23" t="n"/>
      <c r="AD359" s="36" t="n"/>
      <c r="AE359" s="23" t="n"/>
      <c r="AF359" s="36" t="n"/>
      <c r="AG359" s="23" t="n"/>
      <c r="AH359" s="36" t="n"/>
      <c r="AI359" s="41">
        <f>IFERROR(AVERAGE(AD359,AF359,AH359),"")</f>
        <v/>
      </c>
      <c r="AJ359" s="29">
        <f>IFERROR(IF(AI359="","sem dados",IF(AB359&lt;AI359*0.95,"abaixo",IF(AB359&gt;AI359*1.05,"acima","em linha"))),"")</f>
        <v/>
      </c>
      <c r="AK359" s="23" t="inlineStr">
        <is>
          <t>não</t>
        </is>
      </c>
      <c r="AL359" s="23" t="n"/>
      <c r="AM359" s="23" t="n"/>
      <c r="AN359" s="23" t="n"/>
      <c r="AO359" s="44">
        <f>A359</f>
        <v/>
      </c>
      <c r="AP359" s="44">
        <f>D359</f>
        <v/>
      </c>
    </row>
    <row r="360" hidden="1" ht="15.75" customHeight="1" s="93">
      <c r="A360" s="23" t="inlineStr">
        <is>
          <t>1.0031.0125610.0</t>
        </is>
      </c>
      <c r="B360" s="23" t="inlineStr">
        <is>
          <t>125610</t>
        </is>
      </c>
      <c r="C360" s="29">
        <f>IFERROR(LOWER(SUBSTITUTE(SUBSTITUTE(SUBSTITUTE(SUBSTITUTE(D360," ","-"),"/","-"),".",""),",","")),"")</f>
        <v/>
      </c>
      <c r="D360" s="23" t="inlineStr">
        <is>
          <t>EM.BOR.8.C19</t>
        </is>
      </c>
      <c r="E360" s="23" t="n"/>
      <c r="F360" s="23" t="inlineStr">
        <is>
          <t>SOHIPREN</t>
        </is>
      </c>
      <c r="G360" s="23" t="n"/>
      <c r="H360" s="23" t="inlineStr">
        <is>
          <t>draft</t>
        </is>
      </c>
      <c r="I360" s="23" t="inlineStr">
        <is>
          <t>DURMETAL</t>
        </is>
      </c>
      <c r="J360" s="23" t="n"/>
      <c r="K360" s="23" t="n"/>
      <c r="L360" s="23" t="inlineStr">
        <is>
          <t>R.1299003004</t>
        </is>
      </c>
      <c r="M360" s="31" t="n"/>
      <c r="N360" s="31" t="n"/>
      <c r="O360" s="31" t="n"/>
      <c r="P360" s="31" t="n"/>
      <c r="Q360" s="31" t="n"/>
      <c r="R360" s="34">
        <f>IFERROR(IF(AND(O360&gt;0,P360&gt;0,Q360&gt;0),(O360*P360*Q360)/6000,""),"")</f>
        <v/>
      </c>
      <c r="S360" s="34">
        <f>IFERROR(IF(AND(N360&gt;0,R360&gt;0),MAX(N360,R360),IF(N360&gt;0,N360,IF(R360&gt;0,R360,""))),"")</f>
        <v/>
      </c>
      <c r="T360" s="36" t="n"/>
      <c r="U360" s="38" t="inlineStr">
        <is>
          <t>FALTA</t>
        </is>
      </c>
      <c r="V360" s="36" t="n">
        <v>196.46</v>
      </c>
      <c r="W360" s="39" t="n">
        <v>0.3</v>
      </c>
      <c r="X360" s="41">
        <f>IFERROR(V360+T360,"")</f>
        <v/>
      </c>
      <c r="Y360" s="41">
        <f>IFERROR(IF(W360&lt;1,X360/(1-W360),""),"")</f>
        <v/>
      </c>
      <c r="Z360" s="43">
        <f>'01_CONFIG_GLOBAL'!$C$14</f>
        <v/>
      </c>
      <c r="AA360" s="41">
        <f>IFERROR(Y360*Z360,"")</f>
        <v/>
      </c>
      <c r="AB360" s="41">
        <f>IFERROR(IF(Z360&lt;1,Y360/(1-Z360),""),"")</f>
        <v/>
      </c>
      <c r="AC360" s="23" t="n"/>
      <c r="AD360" s="36" t="n"/>
      <c r="AE360" s="23" t="n"/>
      <c r="AF360" s="36" t="n"/>
      <c r="AG360" s="23" t="n"/>
      <c r="AH360" s="36" t="n"/>
      <c r="AI360" s="41">
        <f>IFERROR(AVERAGE(AD360,AF360,AH360),"")</f>
        <v/>
      </c>
      <c r="AJ360" s="29">
        <f>IFERROR(IF(AI360="","sem dados",IF(AB360&lt;AI360*0.95,"abaixo",IF(AB360&gt;AI360*1.05,"acima","em linha"))),"")</f>
        <v/>
      </c>
      <c r="AK360" s="23" t="inlineStr">
        <is>
          <t>não</t>
        </is>
      </c>
      <c r="AL360" s="23" t="n"/>
      <c r="AM360" s="23" t="n"/>
      <c r="AN360" s="23" t="n"/>
      <c r="AO360" s="44">
        <f>A360</f>
        <v/>
      </c>
      <c r="AP360" s="44">
        <f>D360</f>
        <v/>
      </c>
    </row>
    <row r="361" hidden="1" ht="15.75" customHeight="1" s="93">
      <c r="A361" s="23" t="inlineStr">
        <is>
          <t>1.0031.0125630.0</t>
        </is>
      </c>
      <c r="B361" s="23" t="inlineStr">
        <is>
          <t>125630</t>
        </is>
      </c>
      <c r="C361" s="29">
        <f>IFERROR(LOWER(SUBSTITUTE(SUBSTITUTE(SUBSTITUTE(SUBSTITUTE(D361," ","-"),"/","-"),".",""),",","")),"")</f>
        <v/>
      </c>
      <c r="D361" s="23" t="inlineStr">
        <is>
          <t>EM.BOR.11.C19</t>
        </is>
      </c>
      <c r="E361" s="23" t="n"/>
      <c r="F361" s="23" t="inlineStr">
        <is>
          <t>SOHIPREN</t>
        </is>
      </c>
      <c r="G361" s="23" t="n"/>
      <c r="H361" s="23" t="inlineStr">
        <is>
          <t>draft</t>
        </is>
      </c>
      <c r="I361" s="23" t="inlineStr">
        <is>
          <t>DURMETAL</t>
        </is>
      </c>
      <c r="J361" s="23" t="n"/>
      <c r="K361" s="23" t="n"/>
      <c r="L361" s="23" t="inlineStr">
        <is>
          <t>R.1299003005</t>
        </is>
      </c>
      <c r="M361" s="31" t="n"/>
      <c r="N361" s="31" t="n"/>
      <c r="O361" s="31" t="n"/>
      <c r="P361" s="31" t="n"/>
      <c r="Q361" s="31" t="n"/>
      <c r="R361" s="34">
        <f>IFERROR(IF(AND(O361&gt;0,P361&gt;0,Q361&gt;0),(O361*P361*Q361)/6000,""),"")</f>
        <v/>
      </c>
      <c r="S361" s="34">
        <f>IFERROR(IF(AND(N361&gt;0,R361&gt;0),MAX(N361,R361),IF(N361&gt;0,N361,IF(R361&gt;0,R361,""))),"")</f>
        <v/>
      </c>
      <c r="T361" s="36" t="n"/>
      <c r="U361" s="38" t="inlineStr">
        <is>
          <t>FALTA</t>
        </is>
      </c>
      <c r="V361" s="36" t="n">
        <v>196.46</v>
      </c>
      <c r="W361" s="39" t="n">
        <v>0.3</v>
      </c>
      <c r="X361" s="41">
        <f>IFERROR(V361+T361,"")</f>
        <v/>
      </c>
      <c r="Y361" s="41">
        <f>IFERROR(IF(W361&lt;1,X361/(1-W361),""),"")</f>
        <v/>
      </c>
      <c r="Z361" s="43">
        <f>'01_CONFIG_GLOBAL'!$C$14</f>
        <v/>
      </c>
      <c r="AA361" s="41">
        <f>IFERROR(Y361*Z361,"")</f>
        <v/>
      </c>
      <c r="AB361" s="41">
        <f>IFERROR(IF(Z361&lt;1,Y361/(1-Z361),""),"")</f>
        <v/>
      </c>
      <c r="AC361" s="23" t="n"/>
      <c r="AD361" s="36" t="n"/>
      <c r="AE361" s="23" t="n"/>
      <c r="AF361" s="36" t="n"/>
      <c r="AG361" s="23" t="n"/>
      <c r="AH361" s="36" t="n"/>
      <c r="AI361" s="41">
        <f>IFERROR(AVERAGE(AD361,AF361,AH361),"")</f>
        <v/>
      </c>
      <c r="AJ361" s="29">
        <f>IFERROR(IF(AI361="","sem dados",IF(AB361&lt;AI361*0.95,"abaixo",IF(AB361&gt;AI361*1.05,"acima","em linha"))),"")</f>
        <v/>
      </c>
      <c r="AK361" s="23" t="inlineStr">
        <is>
          <t>não</t>
        </is>
      </c>
      <c r="AL361" s="23" t="n"/>
      <c r="AM361" s="23" t="n"/>
      <c r="AN361" s="23" t="n"/>
      <c r="AO361" s="44">
        <f>A361</f>
        <v/>
      </c>
      <c r="AP361" s="44">
        <f>D361</f>
        <v/>
      </c>
    </row>
    <row r="362" hidden="1" ht="15.75" customHeight="1" s="93">
      <c r="A362" s="23" t="inlineStr">
        <is>
          <t>1.0031.0125640.0</t>
        </is>
      </c>
      <c r="B362" s="23" t="inlineStr">
        <is>
          <t>125640</t>
        </is>
      </c>
      <c r="C362" s="29">
        <f>IFERROR(LOWER(SUBSTITUTE(SUBSTITUTE(SUBSTITUTE(SUBSTITUTE(D362," ","-"),"/","-"),".",""),",","")),"")</f>
        <v/>
      </c>
      <c r="D362" s="23" t="inlineStr">
        <is>
          <t>EM.BOR.16.C19</t>
        </is>
      </c>
      <c r="E362" s="23" t="n"/>
      <c r="F362" s="23" t="inlineStr">
        <is>
          <t>SOHIPREN</t>
        </is>
      </c>
      <c r="G362" s="23" t="n"/>
      <c r="H362" s="23" t="inlineStr">
        <is>
          <t>draft</t>
        </is>
      </c>
      <c r="I362" s="23" t="inlineStr">
        <is>
          <t>DURMETAL</t>
        </is>
      </c>
      <c r="J362" s="23" t="n"/>
      <c r="K362" s="23" t="n"/>
      <c r="L362" s="23" t="inlineStr">
        <is>
          <t>R.1299003007</t>
        </is>
      </c>
      <c r="M362" s="31" t="n"/>
      <c r="N362" s="31" t="n"/>
      <c r="O362" s="31" t="n"/>
      <c r="P362" s="31" t="n"/>
      <c r="Q362" s="31" t="n"/>
      <c r="R362" s="34">
        <f>IFERROR(IF(AND(O362&gt;0,P362&gt;0,Q362&gt;0),(O362*P362*Q362)/6000,""),"")</f>
        <v/>
      </c>
      <c r="S362" s="34">
        <f>IFERROR(IF(AND(N362&gt;0,R362&gt;0),MAX(N362,R362),IF(N362&gt;0,N362,IF(R362&gt;0,R362,""))),"")</f>
        <v/>
      </c>
      <c r="T362" s="36" t="n"/>
      <c r="U362" s="38" t="inlineStr">
        <is>
          <t>FALTA</t>
        </is>
      </c>
      <c r="V362" s="36" t="n">
        <v>196.46</v>
      </c>
      <c r="W362" s="39" t="n">
        <v>0.3</v>
      </c>
      <c r="X362" s="41">
        <f>IFERROR(V362+T362,"")</f>
        <v/>
      </c>
      <c r="Y362" s="41">
        <f>IFERROR(IF(W362&lt;1,X362/(1-W362),""),"")</f>
        <v/>
      </c>
      <c r="Z362" s="43">
        <f>'01_CONFIG_GLOBAL'!$C$14</f>
        <v/>
      </c>
      <c r="AA362" s="41">
        <f>IFERROR(Y362*Z362,"")</f>
        <v/>
      </c>
      <c r="AB362" s="41">
        <f>IFERROR(IF(Z362&lt;1,Y362/(1-Z362),""),"")</f>
        <v/>
      </c>
      <c r="AC362" s="23" t="n"/>
      <c r="AD362" s="36" t="n"/>
      <c r="AE362" s="23" t="n"/>
      <c r="AF362" s="36" t="n"/>
      <c r="AG362" s="23" t="n"/>
      <c r="AH362" s="36" t="n"/>
      <c r="AI362" s="41">
        <f>IFERROR(AVERAGE(AD362,AF362,AH362),"")</f>
        <v/>
      </c>
      <c r="AJ362" s="29">
        <f>IFERROR(IF(AI362="","sem dados",IF(AB362&lt;AI362*0.95,"abaixo",IF(AB362&gt;AI362*1.05,"acima","em linha"))),"")</f>
        <v/>
      </c>
      <c r="AK362" s="23" t="inlineStr">
        <is>
          <t>não</t>
        </is>
      </c>
      <c r="AL362" s="23" t="n"/>
      <c r="AM362" s="23" t="n"/>
      <c r="AN362" s="23" t="n"/>
      <c r="AO362" s="44">
        <f>A362</f>
        <v/>
      </c>
      <c r="AP362" s="44">
        <f>D362</f>
        <v/>
      </c>
    </row>
    <row r="363" hidden="1" ht="15.75" customHeight="1" s="93">
      <c r="A363" s="23" t="inlineStr">
        <is>
          <t>1.0031.0125650.0</t>
        </is>
      </c>
      <c r="B363" s="23" t="inlineStr">
        <is>
          <t>125650</t>
        </is>
      </c>
      <c r="C363" s="29">
        <f>IFERROR(LOWER(SUBSTITUTE(SUBSTITUTE(SUBSTITUTE(SUBSTITUTE(D363," ","-"),"/","-"),".",""),",","")),"")</f>
        <v/>
      </c>
      <c r="D363" s="23" t="inlineStr">
        <is>
          <t>ES.BOR.4.L</t>
        </is>
      </c>
      <c r="E363" s="23" t="n"/>
      <c r="F363" s="23" t="inlineStr">
        <is>
          <t>SOHIPREN</t>
        </is>
      </c>
      <c r="G363" s="23" t="n"/>
      <c r="H363" s="23" t="inlineStr">
        <is>
          <t>draft</t>
        </is>
      </c>
      <c r="I363" s="23" t="inlineStr">
        <is>
          <t>DURMETAL</t>
        </is>
      </c>
      <c r="J363" s="23" t="n"/>
      <c r="K363" s="23" t="n"/>
      <c r="L363" s="23" t="inlineStr">
        <is>
          <t>R.1299002002</t>
        </is>
      </c>
      <c r="M363" s="31" t="n"/>
      <c r="N363" s="31" t="n"/>
      <c r="O363" s="31" t="n"/>
      <c r="P363" s="31" t="n"/>
      <c r="Q363" s="31" t="n"/>
      <c r="R363" s="34">
        <f>IFERROR(IF(AND(O363&gt;0,P363&gt;0,Q363&gt;0),(O363*P363*Q363)/6000,""),"")</f>
        <v/>
      </c>
      <c r="S363" s="34">
        <f>IFERROR(IF(AND(N363&gt;0,R363&gt;0),MAX(N363,R363),IF(N363&gt;0,N363,IF(R363&gt;0,R363,""))),"")</f>
        <v/>
      </c>
      <c r="T363" s="36" t="n"/>
      <c r="U363" s="38" t="inlineStr">
        <is>
          <t>FALTA</t>
        </is>
      </c>
      <c r="V363" s="36" t="n">
        <v>196.46</v>
      </c>
      <c r="W363" s="39" t="n">
        <v>0.3</v>
      </c>
      <c r="X363" s="41">
        <f>IFERROR(V363+T363,"")</f>
        <v/>
      </c>
      <c r="Y363" s="41">
        <f>IFERROR(IF(W363&lt;1,X363/(1-W363),""),"")</f>
        <v/>
      </c>
      <c r="Z363" s="43">
        <f>'01_CONFIG_GLOBAL'!$C$14</f>
        <v/>
      </c>
      <c r="AA363" s="41">
        <f>IFERROR(Y363*Z363,"")</f>
        <v/>
      </c>
      <c r="AB363" s="41">
        <f>IFERROR(IF(Z363&lt;1,Y363/(1-Z363),""),"")</f>
        <v/>
      </c>
      <c r="AC363" s="23" t="n"/>
      <c r="AD363" s="36" t="n"/>
      <c r="AE363" s="23" t="n"/>
      <c r="AF363" s="36" t="n"/>
      <c r="AG363" s="23" t="n"/>
      <c r="AH363" s="36" t="n"/>
      <c r="AI363" s="41">
        <f>IFERROR(AVERAGE(AD363,AF363,AH363),"")</f>
        <v/>
      </c>
      <c r="AJ363" s="29">
        <f>IFERROR(IF(AI363="","sem dados",IF(AB363&lt;AI363*0.95,"abaixo",IF(AB363&gt;AI363*1.05,"acima","em linha"))),"")</f>
        <v/>
      </c>
      <c r="AK363" s="23" t="inlineStr">
        <is>
          <t>não</t>
        </is>
      </c>
      <c r="AL363" s="23" t="n"/>
      <c r="AM363" s="23" t="n"/>
      <c r="AN363" s="23" t="n"/>
      <c r="AO363" s="44">
        <f>A363</f>
        <v/>
      </c>
      <c r="AP363" s="44">
        <f>D363</f>
        <v/>
      </c>
    </row>
    <row r="364" hidden="1" ht="15.75" customHeight="1" s="93">
      <c r="A364" s="23" t="inlineStr">
        <is>
          <t>1.0031.0125670.0</t>
        </is>
      </c>
      <c r="B364" s="23" t="inlineStr">
        <is>
          <t>125670</t>
        </is>
      </c>
      <c r="C364" s="29">
        <f>IFERROR(LOWER(SUBSTITUTE(SUBSTITUTE(SUBSTITUTE(SUBSTITUTE(D364," ","-"),"/","-"),".",""),",","")),"")</f>
        <v/>
      </c>
      <c r="D364" s="23" t="inlineStr">
        <is>
          <t>ES.BOR.11.L</t>
        </is>
      </c>
      <c r="E364" s="23" t="n"/>
      <c r="F364" s="23" t="inlineStr">
        <is>
          <t>SOHIPREN</t>
        </is>
      </c>
      <c r="G364" s="23" t="n"/>
      <c r="H364" s="23" t="inlineStr">
        <is>
          <t>draft</t>
        </is>
      </c>
      <c r="I364" s="23" t="inlineStr">
        <is>
          <t>DURMETAL</t>
        </is>
      </c>
      <c r="J364" s="23" t="n"/>
      <c r="K364" s="23" t="n"/>
      <c r="L364" s="23" t="inlineStr">
        <is>
          <t>R.1299002005</t>
        </is>
      </c>
      <c r="M364" s="31" t="n"/>
      <c r="N364" s="31" t="n"/>
      <c r="O364" s="31" t="n"/>
      <c r="P364" s="31" t="n"/>
      <c r="Q364" s="31" t="n"/>
      <c r="R364" s="34">
        <f>IFERROR(IF(AND(O364&gt;0,P364&gt;0,Q364&gt;0),(O364*P364*Q364)/6000,""),"")</f>
        <v/>
      </c>
      <c r="S364" s="34">
        <f>IFERROR(IF(AND(N364&gt;0,R364&gt;0),MAX(N364,R364),IF(N364&gt;0,N364,IF(R364&gt;0,R364,""))),"")</f>
        <v/>
      </c>
      <c r="T364" s="36" t="n"/>
      <c r="U364" s="38" t="inlineStr">
        <is>
          <t>FALTA</t>
        </is>
      </c>
      <c r="V364" s="36" t="n">
        <v>196.46</v>
      </c>
      <c r="W364" s="39" t="n">
        <v>0.3</v>
      </c>
      <c r="X364" s="41">
        <f>IFERROR(V364+T364,"")</f>
        <v/>
      </c>
      <c r="Y364" s="41">
        <f>IFERROR(IF(W364&lt;1,X364/(1-W364),""),"")</f>
        <v/>
      </c>
      <c r="Z364" s="43">
        <f>'01_CONFIG_GLOBAL'!$C$14</f>
        <v/>
      </c>
      <c r="AA364" s="41">
        <f>IFERROR(Y364*Z364,"")</f>
        <v/>
      </c>
      <c r="AB364" s="41">
        <f>IFERROR(IF(Z364&lt;1,Y364/(1-Z364),""),"")</f>
        <v/>
      </c>
      <c r="AC364" s="23" t="n"/>
      <c r="AD364" s="36" t="n"/>
      <c r="AE364" s="23" t="n"/>
      <c r="AF364" s="36" t="n"/>
      <c r="AG364" s="23" t="n"/>
      <c r="AH364" s="36" t="n"/>
      <c r="AI364" s="41">
        <f>IFERROR(AVERAGE(AD364,AF364,AH364),"")</f>
        <v/>
      </c>
      <c r="AJ364" s="29">
        <f>IFERROR(IF(AI364="","sem dados",IF(AB364&lt;AI364*0.95,"abaixo",IF(AB364&gt;AI364*1.05,"acima","em linha"))),"")</f>
        <v/>
      </c>
      <c r="AK364" s="23" t="inlineStr">
        <is>
          <t>não</t>
        </is>
      </c>
      <c r="AL364" s="23" t="n"/>
      <c r="AM364" s="23" t="n"/>
      <c r="AN364" s="23" t="n"/>
      <c r="AO364" s="44">
        <f>A364</f>
        <v/>
      </c>
      <c r="AP364" s="44">
        <f>D364</f>
        <v/>
      </c>
    </row>
    <row r="365" hidden="1" ht="15.75" customHeight="1" s="93">
      <c r="A365" s="23" t="inlineStr">
        <is>
          <t>1.0031.0125680.0</t>
        </is>
      </c>
      <c r="B365" s="23" t="inlineStr">
        <is>
          <t>125680</t>
        </is>
      </c>
      <c r="C365" s="29">
        <f>IFERROR(LOWER(SUBSTITUTE(SUBSTITUTE(SUBSTITUTE(SUBSTITUTE(D365," ","-"),"/","-"),".",""),",","")),"")</f>
        <v/>
      </c>
      <c r="D365" s="23" t="inlineStr">
        <is>
          <t>ES.BOR.16.L</t>
        </is>
      </c>
      <c r="E365" s="23" t="n"/>
      <c r="F365" s="23" t="inlineStr">
        <is>
          <t>SOHIPREN</t>
        </is>
      </c>
      <c r="G365" s="23" t="n"/>
      <c r="H365" s="23" t="inlineStr">
        <is>
          <t>draft</t>
        </is>
      </c>
      <c r="I365" s="23" t="inlineStr">
        <is>
          <t>DURMETAL</t>
        </is>
      </c>
      <c r="J365" s="23" t="n"/>
      <c r="K365" s="23" t="n"/>
      <c r="L365" s="23" t="inlineStr">
        <is>
          <t>R.1299002007</t>
        </is>
      </c>
      <c r="M365" s="31" t="n"/>
      <c r="N365" s="31" t="n"/>
      <c r="O365" s="31" t="n"/>
      <c r="P365" s="31" t="n"/>
      <c r="Q365" s="31" t="n"/>
      <c r="R365" s="34">
        <f>IFERROR(IF(AND(O365&gt;0,P365&gt;0,Q365&gt;0),(O365*P365*Q365)/6000,""),"")</f>
        <v/>
      </c>
      <c r="S365" s="34">
        <f>IFERROR(IF(AND(N365&gt;0,R365&gt;0),MAX(N365,R365),IF(N365&gt;0,N365,IF(R365&gt;0,R365,""))),"")</f>
        <v/>
      </c>
      <c r="T365" s="36" t="n"/>
      <c r="U365" s="38" t="inlineStr">
        <is>
          <t>FALTA</t>
        </is>
      </c>
      <c r="V365" s="36" t="n">
        <v>196.46</v>
      </c>
      <c r="W365" s="39" t="n">
        <v>0.3</v>
      </c>
      <c r="X365" s="41">
        <f>IFERROR(V365+T365,"")</f>
        <v/>
      </c>
      <c r="Y365" s="41">
        <f>IFERROR(IF(W365&lt;1,X365/(1-W365),""),"")</f>
        <v/>
      </c>
      <c r="Z365" s="43">
        <f>'01_CONFIG_GLOBAL'!$C$14</f>
        <v/>
      </c>
      <c r="AA365" s="41">
        <f>IFERROR(Y365*Z365,"")</f>
        <v/>
      </c>
      <c r="AB365" s="41">
        <f>IFERROR(IF(Z365&lt;1,Y365/(1-Z365),""),"")</f>
        <v/>
      </c>
      <c r="AC365" s="23" t="n"/>
      <c r="AD365" s="36" t="n"/>
      <c r="AE365" s="23" t="n"/>
      <c r="AF365" s="36" t="n"/>
      <c r="AG365" s="23" t="n"/>
      <c r="AH365" s="36" t="n"/>
      <c r="AI365" s="41">
        <f>IFERROR(AVERAGE(AD365,AF365,AH365),"")</f>
        <v/>
      </c>
      <c r="AJ365" s="29">
        <f>IFERROR(IF(AI365="","sem dados",IF(AB365&lt;AI365*0.95,"abaixo",IF(AB365&gt;AI365*1.05,"acima","em linha"))),"")</f>
        <v/>
      </c>
      <c r="AK365" s="23" t="inlineStr">
        <is>
          <t>não</t>
        </is>
      </c>
      <c r="AL365" s="23" t="n"/>
      <c r="AM365" s="23" t="n"/>
      <c r="AN365" s="23" t="n"/>
      <c r="AO365" s="44">
        <f>A365</f>
        <v/>
      </c>
      <c r="AP365" s="44">
        <f>D365</f>
        <v/>
      </c>
    </row>
    <row r="366" hidden="1" ht="15.75" customHeight="1" s="93">
      <c r="A366" s="23" t="inlineStr">
        <is>
          <t>1.0031.0125550.0</t>
        </is>
      </c>
      <c r="B366" s="23" t="inlineStr">
        <is>
          <t>125550</t>
        </is>
      </c>
      <c r="C366" s="29">
        <f>IFERROR(LOWER(SUBSTITUTE(SUBSTITUTE(SUBSTITUTE(SUBSTITUTE(D366," ","-"),"/","-"),".",""),",","")),"")</f>
        <v/>
      </c>
      <c r="D366" s="23" t="inlineStr">
        <is>
          <t>EM.BOR.4.C19</t>
        </is>
      </c>
      <c r="E366" s="23" t="n"/>
      <c r="F366" s="23" t="inlineStr">
        <is>
          <t>SOHIPREN</t>
        </is>
      </c>
      <c r="G366" s="23" t="n"/>
      <c r="H366" s="23" t="inlineStr">
        <is>
          <t>draft</t>
        </is>
      </c>
      <c r="I366" s="23" t="inlineStr">
        <is>
          <t>DURMETAL</t>
        </is>
      </c>
      <c r="J366" s="23" t="n"/>
      <c r="K366" s="23" t="n"/>
      <c r="L366" s="23" t="inlineStr">
        <is>
          <t>R.1299003002</t>
        </is>
      </c>
      <c r="M366" s="31" t="n"/>
      <c r="N366" s="31" t="n"/>
      <c r="O366" s="31" t="n"/>
      <c r="P366" s="31" t="n"/>
      <c r="Q366" s="31" t="n"/>
      <c r="R366" s="34">
        <f>IFERROR(IF(AND(O366&gt;0,P366&gt;0,Q366&gt;0),(O366*P366*Q366)/6000,""),"")</f>
        <v/>
      </c>
      <c r="S366" s="34">
        <f>IFERROR(IF(AND(N366&gt;0,R366&gt;0),MAX(N366,R366),IF(N366&gt;0,N366,IF(R366&gt;0,R366,""))),"")</f>
        <v/>
      </c>
      <c r="T366" s="36" t="n"/>
      <c r="U366" s="38" t="inlineStr">
        <is>
          <t>FALTA</t>
        </is>
      </c>
      <c r="V366" s="36" t="n">
        <v>196.46</v>
      </c>
      <c r="W366" s="39" t="n">
        <v>0.3</v>
      </c>
      <c r="X366" s="41">
        <f>IFERROR(V366+T366,"")</f>
        <v/>
      </c>
      <c r="Y366" s="41">
        <f>IFERROR(IF(W366&lt;1,X366/(1-W366),""),"")</f>
        <v/>
      </c>
      <c r="Z366" s="43">
        <f>'01_CONFIG_GLOBAL'!$C$14</f>
        <v/>
      </c>
      <c r="AA366" s="41">
        <f>IFERROR(Y366*Z366,"")</f>
        <v/>
      </c>
      <c r="AB366" s="41">
        <f>IFERROR(IF(Z366&lt;1,Y366/(1-Z366),""),"")</f>
        <v/>
      </c>
      <c r="AC366" s="23" t="n"/>
      <c r="AD366" s="36" t="n"/>
      <c r="AE366" s="23" t="n"/>
      <c r="AF366" s="36" t="n"/>
      <c r="AG366" s="23" t="n"/>
      <c r="AH366" s="36" t="n"/>
      <c r="AI366" s="41">
        <f>IFERROR(AVERAGE(AD366,AF366,AH366),"")</f>
        <v/>
      </c>
      <c r="AJ366" s="29">
        <f>IFERROR(IF(AI366="","sem dados",IF(AB366&lt;AI366*0.95,"abaixo",IF(AB366&gt;AI366*1.05,"acima","em linha"))),"")</f>
        <v/>
      </c>
      <c r="AK366" s="23" t="inlineStr">
        <is>
          <t>não</t>
        </is>
      </c>
      <c r="AL366" s="23" t="n"/>
      <c r="AM366" s="23" t="n"/>
      <c r="AN366" s="23" t="n"/>
      <c r="AO366" s="44">
        <f>A366</f>
        <v/>
      </c>
      <c r="AP366" s="44">
        <f>D366</f>
        <v/>
      </c>
    </row>
    <row r="367" hidden="1" ht="15.75" customHeight="1" s="93">
      <c r="A367" s="23" t="inlineStr">
        <is>
          <t>1.0021.0126850.0</t>
        </is>
      </c>
      <c r="B367" s="23" t="inlineStr">
        <is>
          <t>126850</t>
        </is>
      </c>
      <c r="C367" s="29">
        <f>IFERROR(LOWER(SUBSTITUTE(SUBSTITUTE(SUBSTITUTE(SUBSTITUTE(D367," ","-"),"/","-"),".",""),",","")),"")</f>
        <v/>
      </c>
      <c r="D367" s="23" t="inlineStr">
        <is>
          <t>EM.BO.22,5.B15</t>
        </is>
      </c>
      <c r="E367" s="23" t="n"/>
      <c r="F367" s="23" t="inlineStr">
        <is>
          <t>SOHIPREN</t>
        </is>
      </c>
      <c r="G367" s="23" t="n"/>
      <c r="H367" s="23" t="inlineStr">
        <is>
          <t>draft</t>
        </is>
      </c>
      <c r="I367" s="23" t="inlineStr">
        <is>
          <t>DURMETAL</t>
        </is>
      </c>
      <c r="J367" s="23" t="n"/>
      <c r="K367" s="23" t="n"/>
      <c r="L367" s="23" t="inlineStr">
        <is>
          <t>R.2199008083</t>
        </is>
      </c>
      <c r="M367" s="31" t="n"/>
      <c r="N367" s="31" t="n"/>
      <c r="O367" s="31" t="n"/>
      <c r="P367" s="31" t="n"/>
      <c r="Q367" s="31" t="n"/>
      <c r="R367" s="34">
        <f>IFERROR(IF(AND(O367&gt;0,P367&gt;0,Q367&gt;0),(O367*P367*Q367)/6000,""),"")</f>
        <v/>
      </c>
      <c r="S367" s="34">
        <f>IFERROR(IF(AND(N367&gt;0,R367&gt;0),MAX(N367,R367),IF(N367&gt;0,N367,IF(R367&gt;0,R367,""))),"")</f>
        <v/>
      </c>
      <c r="T367" s="36" t="n"/>
      <c r="U367" s="38" t="inlineStr">
        <is>
          <t>FALTA</t>
        </is>
      </c>
      <c r="V367" s="36" t="n">
        <v>151.52</v>
      </c>
      <c r="W367" s="39" t="n">
        <v>0.3</v>
      </c>
      <c r="X367" s="41">
        <f>IFERROR(V367+T367,"")</f>
        <v/>
      </c>
      <c r="Y367" s="41">
        <f>IFERROR(IF(W367&lt;1,X367/(1-W367),""),"")</f>
        <v/>
      </c>
      <c r="Z367" s="43">
        <f>'01_CONFIG_GLOBAL'!$C$14</f>
        <v/>
      </c>
      <c r="AA367" s="41">
        <f>IFERROR(Y367*Z367,"")</f>
        <v/>
      </c>
      <c r="AB367" s="41">
        <f>IFERROR(IF(Z367&lt;1,Y367/(1-Z367),""),"")</f>
        <v/>
      </c>
      <c r="AC367" s="23" t="n"/>
      <c r="AD367" s="36" t="n"/>
      <c r="AE367" s="23" t="n"/>
      <c r="AF367" s="36" t="n"/>
      <c r="AG367" s="23" t="n"/>
      <c r="AH367" s="36" t="n"/>
      <c r="AI367" s="41">
        <f>IFERROR(AVERAGE(AD367,AF367,AH367),"")</f>
        <v/>
      </c>
      <c r="AJ367" s="29">
        <f>IFERROR(IF(AI367="","sem dados",IF(AB367&lt;AI367*0.95,"abaixo",IF(AB367&gt;AI367*1.05,"acima","em linha"))),"")</f>
        <v/>
      </c>
      <c r="AK367" s="23" t="inlineStr">
        <is>
          <t>não</t>
        </is>
      </c>
      <c r="AL367" s="23" t="n"/>
      <c r="AM367" s="23" t="n"/>
      <c r="AN367" s="23" t="n"/>
      <c r="AO367" s="44">
        <f>A367</f>
        <v/>
      </c>
      <c r="AP367" s="44">
        <f>D367</f>
        <v/>
      </c>
    </row>
    <row r="368" hidden="1" ht="15.75" customHeight="1" s="93">
      <c r="A368" s="23" t="inlineStr">
        <is>
          <t>1.0021.0113270.0</t>
        </is>
      </c>
      <c r="B368" s="23" t="inlineStr">
        <is>
          <t>113270</t>
        </is>
      </c>
      <c r="C368" s="29">
        <f>IFERROR(LOWER(SUBSTITUTE(SUBSTITUTE(SUBSTITUTE(SUBSTITUTE(D368," ","-"),"/","-"),".",""),",","")),"")</f>
        <v/>
      </c>
      <c r="D368" s="23" t="inlineStr">
        <is>
          <t>EM.BO.16.E9</t>
        </is>
      </c>
      <c r="E368" s="23" t="n"/>
      <c r="F368" s="23" t="inlineStr">
        <is>
          <t>SOHIPREN</t>
        </is>
      </c>
      <c r="G368" s="23" t="n"/>
      <c r="H368" s="23" t="inlineStr">
        <is>
          <t>draft</t>
        </is>
      </c>
      <c r="I368" s="23" t="inlineStr">
        <is>
          <t>DURMETAL</t>
        </is>
      </c>
      <c r="J368" s="23" t="n"/>
      <c r="K368" s="23" t="n"/>
      <c r="L368" s="23" t="inlineStr">
        <is>
          <t>R.2199008124</t>
        </is>
      </c>
      <c r="M368" s="31" t="n"/>
      <c r="N368" s="31" t="n"/>
      <c r="O368" s="31" t="n"/>
      <c r="P368" s="31" t="n"/>
      <c r="Q368" s="31" t="n"/>
      <c r="R368" s="34">
        <f>IFERROR(IF(AND(O368&gt;0,P368&gt;0,Q368&gt;0),(O368*P368*Q368)/6000,""),"")</f>
        <v/>
      </c>
      <c r="S368" s="34">
        <f>IFERROR(IF(AND(N368&gt;0,R368&gt;0),MAX(N368,R368),IF(N368&gt;0,N368,IF(R368&gt;0,R368,""))),"")</f>
        <v/>
      </c>
      <c r="T368" s="36" t="n"/>
      <c r="U368" s="38" t="inlineStr">
        <is>
          <t>FALTA</t>
        </is>
      </c>
      <c r="V368" s="36" t="n">
        <v>142.57</v>
      </c>
      <c r="W368" s="39" t="n">
        <v>0.3</v>
      </c>
      <c r="X368" s="41">
        <f>IFERROR(V368+T368,"")</f>
        <v/>
      </c>
      <c r="Y368" s="41">
        <f>IFERROR(IF(W368&lt;1,X368/(1-W368),""),"")</f>
        <v/>
      </c>
      <c r="Z368" s="43">
        <f>'01_CONFIG_GLOBAL'!$C$14</f>
        <v/>
      </c>
      <c r="AA368" s="41">
        <f>IFERROR(Y368*Z368,"")</f>
        <v/>
      </c>
      <c r="AB368" s="41">
        <f>IFERROR(IF(Z368&lt;1,Y368/(1-Z368),""),"")</f>
        <v/>
      </c>
      <c r="AC368" s="23" t="n"/>
      <c r="AD368" s="36" t="n"/>
      <c r="AE368" s="23" t="n"/>
      <c r="AF368" s="36" t="n"/>
      <c r="AG368" s="23" t="n"/>
      <c r="AH368" s="36" t="n"/>
      <c r="AI368" s="41">
        <f>IFERROR(AVERAGE(AD368,AF368,AH368),"")</f>
        <v/>
      </c>
      <c r="AJ368" s="29">
        <f>IFERROR(IF(AI368="","sem dados",IF(AB368&lt;AI368*0.95,"abaixo",IF(AB368&gt;AI368*1.05,"acima","em linha"))),"")</f>
        <v/>
      </c>
      <c r="AK368" s="23" t="inlineStr">
        <is>
          <t>não</t>
        </is>
      </c>
      <c r="AL368" s="23" t="n"/>
      <c r="AM368" s="23" t="n"/>
      <c r="AN368" s="23" t="n"/>
      <c r="AO368" s="44">
        <f>A368</f>
        <v/>
      </c>
      <c r="AP368" s="44">
        <f>D368</f>
        <v/>
      </c>
    </row>
    <row r="369" hidden="1" ht="15.75" customHeight="1" s="93">
      <c r="A369" s="23" t="inlineStr">
        <is>
          <t>1.5521.0114230.0</t>
        </is>
      </c>
      <c r="B369" s="23" t="inlineStr">
        <is>
          <t>114230</t>
        </is>
      </c>
      <c r="C369" s="29">
        <f>IFERROR(LOWER(SUBSTITUTE(SUBSTITUTE(SUBSTITUTE(SUBSTITUTE(D369," ","-"),"/","-"),".",""),",","")),"")</f>
        <v/>
      </c>
      <c r="D369" s="23" t="inlineStr">
        <is>
          <t>ES.MRBO.11.L</t>
        </is>
      </c>
      <c r="E369" s="23" t="n"/>
      <c r="F369" s="23" t="inlineStr">
        <is>
          <t>SOHIPREN</t>
        </is>
      </c>
      <c r="G369" s="23" t="n"/>
      <c r="H369" s="23" t="inlineStr">
        <is>
          <t>draft</t>
        </is>
      </c>
      <c r="I369" s="23" t="inlineStr">
        <is>
          <t>DURMETAL</t>
        </is>
      </c>
      <c r="J369" s="23" t="n"/>
      <c r="K369" s="23" t="n"/>
      <c r="L369" s="23" t="inlineStr">
        <is>
          <t>R.2199007058</t>
        </is>
      </c>
      <c r="M369" s="31" t="n"/>
      <c r="N369" s="31" t="n"/>
      <c r="O369" s="31" t="n"/>
      <c r="P369" s="31" t="n"/>
      <c r="Q369" s="31" t="n"/>
      <c r="R369" s="34">
        <f>IFERROR(IF(AND(O369&gt;0,P369&gt;0,Q369&gt;0),(O369*P369*Q369)/6000,""),"")</f>
        <v/>
      </c>
      <c r="S369" s="34">
        <f>IFERROR(IF(AND(N369&gt;0,R369&gt;0),MAX(N369,R369),IF(N369&gt;0,N369,IF(R369&gt;0,R369,""))),"")</f>
        <v/>
      </c>
      <c r="T369" s="36" t="n"/>
      <c r="U369" s="38" t="inlineStr">
        <is>
          <t>FALTA</t>
        </is>
      </c>
      <c r="V369" s="36" t="n">
        <v>113.8</v>
      </c>
      <c r="W369" s="39" t="n">
        <v>0.3</v>
      </c>
      <c r="X369" s="41">
        <f>IFERROR(V369+T369,"")</f>
        <v/>
      </c>
      <c r="Y369" s="41">
        <f>IFERROR(IF(W369&lt;1,X369/(1-W369),""),"")</f>
        <v/>
      </c>
      <c r="Z369" s="43">
        <f>'01_CONFIG_GLOBAL'!$C$14</f>
        <v/>
      </c>
      <c r="AA369" s="41">
        <f>IFERROR(Y369*Z369,"")</f>
        <v/>
      </c>
      <c r="AB369" s="41">
        <f>IFERROR(IF(Z369&lt;1,Y369/(1-Z369),""),"")</f>
        <v/>
      </c>
      <c r="AC369" s="23" t="n"/>
      <c r="AD369" s="36" t="n"/>
      <c r="AE369" s="23" t="n"/>
      <c r="AF369" s="36" t="n"/>
      <c r="AG369" s="23" t="n"/>
      <c r="AH369" s="36" t="n"/>
      <c r="AI369" s="41">
        <f>IFERROR(AVERAGE(AD369,AF369,AH369),"")</f>
        <v/>
      </c>
      <c r="AJ369" s="29">
        <f>IFERROR(IF(AI369="","sem dados",IF(AB369&lt;AI369*0.95,"abaixo",IF(AB369&gt;AI369*1.05,"acima","em linha"))),"")</f>
        <v/>
      </c>
      <c r="AK369" s="23" t="inlineStr">
        <is>
          <t>não</t>
        </is>
      </c>
      <c r="AL369" s="23" t="n"/>
      <c r="AM369" s="23" t="n"/>
      <c r="AN369" s="23" t="n"/>
      <c r="AO369" s="44">
        <f>A369</f>
        <v/>
      </c>
      <c r="AP369" s="44">
        <f>D369</f>
        <v/>
      </c>
    </row>
    <row r="370" hidden="1" ht="15.75" customHeight="1" s="93">
      <c r="A370" s="23" t="inlineStr">
        <is>
          <t>1.5521.0114240.0</t>
        </is>
      </c>
      <c r="B370" s="23" t="inlineStr">
        <is>
          <t>114240</t>
        </is>
      </c>
      <c r="C370" s="29">
        <f>IFERROR(LOWER(SUBSTITUTE(SUBSTITUTE(SUBSTITUTE(SUBSTITUTE(D370," ","-"),"/","-"),".",""),",","")),"")</f>
        <v/>
      </c>
      <c r="D370" s="23" t="inlineStr">
        <is>
          <t>ES.MRBO.14.L</t>
        </is>
      </c>
      <c r="E370" s="23" t="n"/>
      <c r="F370" s="23" t="inlineStr">
        <is>
          <t>SOHIPREN</t>
        </is>
      </c>
      <c r="G370" s="23" t="n"/>
      <c r="H370" s="23" t="inlineStr">
        <is>
          <t>draft</t>
        </is>
      </c>
      <c r="I370" s="23" t="inlineStr">
        <is>
          <t>DURMETAL</t>
        </is>
      </c>
      <c r="J370" s="23" t="n"/>
      <c r="K370" s="23" t="n"/>
      <c r="L370" s="23" t="inlineStr">
        <is>
          <t>R.2199007059</t>
        </is>
      </c>
      <c r="M370" s="31" t="n"/>
      <c r="N370" s="31" t="n"/>
      <c r="O370" s="31" t="n"/>
      <c r="P370" s="31" t="n"/>
      <c r="Q370" s="31" t="n"/>
      <c r="R370" s="34">
        <f>IFERROR(IF(AND(O370&gt;0,P370&gt;0,Q370&gt;0),(O370*P370*Q370)/6000,""),"")</f>
        <v/>
      </c>
      <c r="S370" s="34">
        <f>IFERROR(IF(AND(N370&gt;0,R370&gt;0),MAX(N370,R370),IF(N370&gt;0,N370,IF(R370&gt;0,R370,""))),"")</f>
        <v/>
      </c>
      <c r="T370" s="36" t="n"/>
      <c r="U370" s="38" t="inlineStr">
        <is>
          <t>FALTA</t>
        </is>
      </c>
      <c r="V370" s="36" t="n">
        <v>113.8</v>
      </c>
      <c r="W370" s="39" t="n">
        <v>0.3</v>
      </c>
      <c r="X370" s="41">
        <f>IFERROR(V370+T370,"")</f>
        <v/>
      </c>
      <c r="Y370" s="41">
        <f>IFERROR(IF(W370&lt;1,X370/(1-W370),""),"")</f>
        <v/>
      </c>
      <c r="Z370" s="43">
        <f>'01_CONFIG_GLOBAL'!$C$14</f>
        <v/>
      </c>
      <c r="AA370" s="41">
        <f>IFERROR(Y370*Z370,"")</f>
        <v/>
      </c>
      <c r="AB370" s="41">
        <f>IFERROR(IF(Z370&lt;1,Y370/(1-Z370),""),"")</f>
        <v/>
      </c>
      <c r="AC370" s="23" t="n"/>
      <c r="AD370" s="36" t="n"/>
      <c r="AE370" s="23" t="n"/>
      <c r="AF370" s="36" t="n"/>
      <c r="AG370" s="23" t="n"/>
      <c r="AH370" s="36" t="n"/>
      <c r="AI370" s="41">
        <f>IFERROR(AVERAGE(AD370,AF370,AH370),"")</f>
        <v/>
      </c>
      <c r="AJ370" s="29">
        <f>IFERROR(IF(AI370="","sem dados",IF(AB370&lt;AI370*0.95,"abaixo",IF(AB370&gt;AI370*1.05,"acima","em linha"))),"")</f>
        <v/>
      </c>
      <c r="AK370" s="23" t="inlineStr">
        <is>
          <t>não</t>
        </is>
      </c>
      <c r="AL370" s="23" t="n"/>
      <c r="AM370" s="23" t="n"/>
      <c r="AN370" s="23" t="n"/>
      <c r="AO370" s="44">
        <f>A370</f>
        <v/>
      </c>
      <c r="AP370" s="44">
        <f>D370</f>
        <v/>
      </c>
    </row>
    <row r="371" hidden="1" ht="15.75" customHeight="1" s="93">
      <c r="A371" s="23" t="inlineStr">
        <is>
          <t>1.5521.0114260.0</t>
        </is>
      </c>
      <c r="B371" s="23" t="inlineStr">
        <is>
          <t>114260</t>
        </is>
      </c>
      <c r="C371" s="29">
        <f>IFERROR(LOWER(SUBSTITUTE(SUBSTITUTE(SUBSTITUTE(SUBSTITUTE(D371," ","-"),"/","-"),".",""),",","")),"")</f>
        <v/>
      </c>
      <c r="D371" s="23" t="inlineStr">
        <is>
          <t>ES.MRBO.19.L</t>
        </is>
      </c>
      <c r="E371" s="23" t="n"/>
      <c r="F371" s="23" t="inlineStr">
        <is>
          <t>SOHIPREN</t>
        </is>
      </c>
      <c r="G371" s="23" t="n"/>
      <c r="H371" s="23" t="inlineStr">
        <is>
          <t>draft</t>
        </is>
      </c>
      <c r="I371" s="23" t="inlineStr">
        <is>
          <t>DURMETAL</t>
        </is>
      </c>
      <c r="J371" s="23" t="n"/>
      <c r="K371" s="23" t="n"/>
      <c r="L371" s="23" t="inlineStr">
        <is>
          <t>R.2199007061</t>
        </is>
      </c>
      <c r="M371" s="31" t="n"/>
      <c r="N371" s="31" t="n"/>
      <c r="O371" s="31" t="n"/>
      <c r="P371" s="31" t="n"/>
      <c r="Q371" s="31" t="n"/>
      <c r="R371" s="34">
        <f>IFERROR(IF(AND(O371&gt;0,P371&gt;0,Q371&gt;0),(O371*P371*Q371)/6000,""),"")</f>
        <v/>
      </c>
      <c r="S371" s="34">
        <f>IFERROR(IF(AND(N371&gt;0,R371&gt;0),MAX(N371,R371),IF(N371&gt;0,N371,IF(R371&gt;0,R371,""))),"")</f>
        <v/>
      </c>
      <c r="T371" s="36" t="n"/>
      <c r="U371" s="38" t="inlineStr">
        <is>
          <t>FALTA</t>
        </is>
      </c>
      <c r="V371" s="36" t="n">
        <v>113.8</v>
      </c>
      <c r="W371" s="39" t="n">
        <v>0.3</v>
      </c>
      <c r="X371" s="41">
        <f>IFERROR(V371+T371,"")</f>
        <v/>
      </c>
      <c r="Y371" s="41">
        <f>IFERROR(IF(W371&lt;1,X371/(1-W371),""),"")</f>
        <v/>
      </c>
      <c r="Z371" s="43">
        <f>'01_CONFIG_GLOBAL'!$C$14</f>
        <v/>
      </c>
      <c r="AA371" s="41">
        <f>IFERROR(Y371*Z371,"")</f>
        <v/>
      </c>
      <c r="AB371" s="41">
        <f>IFERROR(IF(Z371&lt;1,Y371/(1-Z371),""),"")</f>
        <v/>
      </c>
      <c r="AC371" s="23" t="n"/>
      <c r="AD371" s="36" t="n"/>
      <c r="AE371" s="23" t="n"/>
      <c r="AF371" s="36" t="n"/>
      <c r="AG371" s="23" t="n"/>
      <c r="AH371" s="36" t="n"/>
      <c r="AI371" s="41">
        <f>IFERROR(AVERAGE(AD371,AF371,AH371),"")</f>
        <v/>
      </c>
      <c r="AJ371" s="29">
        <f>IFERROR(IF(AI371="","sem dados",IF(AB371&lt;AI371*0.95,"abaixo",IF(AB371&gt;AI371*1.05,"acima","em linha"))),"")</f>
        <v/>
      </c>
      <c r="AK371" s="23" t="inlineStr">
        <is>
          <t>não</t>
        </is>
      </c>
      <c r="AL371" s="23" t="n"/>
      <c r="AM371" s="23" t="n"/>
      <c r="AN371" s="23" t="n"/>
      <c r="AO371" s="44">
        <f>A371</f>
        <v/>
      </c>
      <c r="AP371" s="44">
        <f>D371</f>
        <v/>
      </c>
    </row>
    <row r="372" hidden="1" ht="15.75" customHeight="1" s="93">
      <c r="A372" s="23" t="inlineStr">
        <is>
          <t>1.0025.0111840.0</t>
        </is>
      </c>
      <c r="B372" s="23" t="inlineStr">
        <is>
          <t>111840</t>
        </is>
      </c>
      <c r="C372" s="29">
        <f>IFERROR(LOWER(SUBSTITUTE(SUBSTITUTE(SUBSTITUTE(SUBSTITUTE(D372," ","-"),"/","-"),".",""),",","")),"")</f>
        <v/>
      </c>
      <c r="D372" s="23" t="inlineStr">
        <is>
          <t>ADAPTADOR ESTRIADO.BO.E4</t>
        </is>
      </c>
      <c r="E372" s="23" t="n"/>
      <c r="F372" s="23" t="inlineStr">
        <is>
          <t>SOHIPREN</t>
        </is>
      </c>
      <c r="G372" s="23" t="n"/>
      <c r="H372" s="23" t="inlineStr">
        <is>
          <t>draft</t>
        </is>
      </c>
      <c r="I372" s="23" t="inlineStr">
        <is>
          <t>DURMETAL</t>
        </is>
      </c>
      <c r="J372" s="23" t="n"/>
      <c r="K372" s="23" t="n"/>
      <c r="L372" s="23" t="inlineStr">
        <is>
          <t>R.2199047002</t>
        </is>
      </c>
      <c r="M372" s="31" t="n"/>
      <c r="N372" s="31" t="n"/>
      <c r="O372" s="31" t="n"/>
      <c r="P372" s="31" t="n"/>
      <c r="Q372" s="31" t="n"/>
      <c r="R372" s="34">
        <f>IFERROR(IF(AND(O372&gt;0,P372&gt;0,Q372&gt;0),(O372*P372*Q372)/6000,""),"")</f>
        <v/>
      </c>
      <c r="S372" s="34">
        <f>IFERROR(IF(AND(N372&gt;0,R372&gt;0),MAX(N372,R372),IF(N372&gt;0,N372,IF(R372&gt;0,R372,""))),"")</f>
        <v/>
      </c>
      <c r="T372" s="36" t="n"/>
      <c r="U372" s="38" t="inlineStr">
        <is>
          <t>FALTA</t>
        </is>
      </c>
      <c r="V372" s="36" t="n">
        <v>118.59</v>
      </c>
      <c r="W372" s="39" t="n">
        <v>0.3</v>
      </c>
      <c r="X372" s="41">
        <f>IFERROR(V372+T372,"")</f>
        <v/>
      </c>
      <c r="Y372" s="41">
        <f>IFERROR(IF(W372&lt;1,X372/(1-W372),""),"")</f>
        <v/>
      </c>
      <c r="Z372" s="43">
        <f>'01_CONFIG_GLOBAL'!$C$14</f>
        <v/>
      </c>
      <c r="AA372" s="41">
        <f>IFERROR(Y372*Z372,"")</f>
        <v/>
      </c>
      <c r="AB372" s="41">
        <f>IFERROR(IF(Z372&lt;1,Y372/(1-Z372),""),"")</f>
        <v/>
      </c>
      <c r="AC372" s="23" t="n"/>
      <c r="AD372" s="36" t="n"/>
      <c r="AE372" s="23" t="n"/>
      <c r="AF372" s="36" t="n"/>
      <c r="AG372" s="23" t="n"/>
      <c r="AH372" s="36" t="n"/>
      <c r="AI372" s="41">
        <f>IFERROR(AVERAGE(AD372,AF372,AH372),"")</f>
        <v/>
      </c>
      <c r="AJ372" s="29">
        <f>IFERROR(IF(AI372="","sem dados",IF(AB372&lt;AI372*0.95,"abaixo",IF(AB372&gt;AI372*1.05,"acima","em linha"))),"")</f>
        <v/>
      </c>
      <c r="AK372" s="23" t="inlineStr">
        <is>
          <t>não</t>
        </is>
      </c>
      <c r="AL372" s="23" t="n"/>
      <c r="AM372" s="23" t="n"/>
      <c r="AN372" s="23" t="n"/>
      <c r="AO372" s="44">
        <f>A372</f>
        <v/>
      </c>
      <c r="AP372" s="44">
        <f>D372</f>
        <v/>
      </c>
    </row>
    <row r="373" hidden="1" ht="15.75" customHeight="1" s="93">
      <c r="A373" s="23" t="inlineStr">
        <is>
          <t>1.0031.0115220.0</t>
        </is>
      </c>
      <c r="B373" s="23" t="inlineStr">
        <is>
          <t>115220</t>
        </is>
      </c>
      <c r="C373" s="29">
        <f>IFERROR(LOWER(SUBSTITUTE(SUBSTITUTE(SUBSTITUTE(SUBSTITUTE(D373," ","-"),"/","-"),".",""),",","")),"")</f>
        <v/>
      </c>
      <c r="D373" s="23" t="inlineStr">
        <is>
          <t>ES.BOR.14.L</t>
        </is>
      </c>
      <c r="E373" s="23" t="n"/>
      <c r="F373" s="23" t="inlineStr">
        <is>
          <t>SOHIPREN</t>
        </is>
      </c>
      <c r="G373" s="23" t="n"/>
      <c r="H373" s="23" t="inlineStr">
        <is>
          <t>draft</t>
        </is>
      </c>
      <c r="I373" s="23" t="inlineStr">
        <is>
          <t>DURMETAL</t>
        </is>
      </c>
      <c r="J373" s="23" t="n"/>
      <c r="K373" s="23" t="n"/>
      <c r="L373" s="23" t="inlineStr">
        <is>
          <t>R.1299002006</t>
        </is>
      </c>
      <c r="M373" s="31" t="n"/>
      <c r="N373" s="31" t="n"/>
      <c r="O373" s="31" t="n"/>
      <c r="P373" s="31" t="n"/>
      <c r="Q373" s="31" t="n"/>
      <c r="R373" s="34">
        <f>IFERROR(IF(AND(O373&gt;0,P373&gt;0,Q373&gt;0),(O373*P373*Q373)/6000,""),"")</f>
        <v/>
      </c>
      <c r="S373" s="34">
        <f>IFERROR(IF(AND(N373&gt;0,R373&gt;0),MAX(N373,R373),IF(N373&gt;0,N373,IF(R373&gt;0,R373,""))),"")</f>
        <v/>
      </c>
      <c r="T373" s="36" t="n"/>
      <c r="U373" s="38" t="inlineStr">
        <is>
          <t>FALTA</t>
        </is>
      </c>
      <c r="V373" s="36" t="n">
        <v>196.46</v>
      </c>
      <c r="W373" s="39" t="n">
        <v>0.3</v>
      </c>
      <c r="X373" s="41">
        <f>IFERROR(V373+T373,"")</f>
        <v/>
      </c>
      <c r="Y373" s="41">
        <f>IFERROR(IF(W373&lt;1,X373/(1-W373),""),"")</f>
        <v/>
      </c>
      <c r="Z373" s="43">
        <f>'01_CONFIG_GLOBAL'!$C$14</f>
        <v/>
      </c>
      <c r="AA373" s="41">
        <f>IFERROR(Y373*Z373,"")</f>
        <v/>
      </c>
      <c r="AB373" s="41">
        <f>IFERROR(IF(Z373&lt;1,Y373/(1-Z373),""),"")</f>
        <v/>
      </c>
      <c r="AC373" s="23" t="n"/>
      <c r="AD373" s="36" t="n"/>
      <c r="AE373" s="23" t="n"/>
      <c r="AF373" s="36" t="n"/>
      <c r="AG373" s="23" t="n"/>
      <c r="AH373" s="36" t="n"/>
      <c r="AI373" s="41">
        <f>IFERROR(AVERAGE(AD373,AF373,AH373),"")</f>
        <v/>
      </c>
      <c r="AJ373" s="29">
        <f>IFERROR(IF(AI373="","sem dados",IF(AB373&lt;AI373*0.95,"abaixo",IF(AB373&gt;AI373*1.05,"acima","em linha"))),"")</f>
        <v/>
      </c>
      <c r="AK373" s="23" t="inlineStr">
        <is>
          <t>não</t>
        </is>
      </c>
      <c r="AL373" s="23" t="n"/>
      <c r="AM373" s="23" t="n"/>
      <c r="AN373" s="23" t="n"/>
      <c r="AO373" s="44">
        <f>A373</f>
        <v/>
      </c>
      <c r="AP373" s="44">
        <f>D373</f>
        <v/>
      </c>
    </row>
    <row r="374" hidden="1" ht="15.75" customHeight="1" s="93">
      <c r="A374" s="23" t="inlineStr">
        <is>
          <t>1.0031.0115230.0</t>
        </is>
      </c>
      <c r="B374" s="23" t="inlineStr">
        <is>
          <t>115230</t>
        </is>
      </c>
      <c r="C374" s="29">
        <f>IFERROR(LOWER(SUBSTITUTE(SUBSTITUTE(SUBSTITUTE(SUBSTITUTE(D374," ","-"),"/","-"),".",""),",","")),"")</f>
        <v/>
      </c>
      <c r="D374" s="23" t="inlineStr">
        <is>
          <t>ES.BOR.19.L</t>
        </is>
      </c>
      <c r="E374" s="23" t="n"/>
      <c r="F374" s="23" t="inlineStr">
        <is>
          <t>SOHIPREN</t>
        </is>
      </c>
      <c r="G374" s="23" t="n"/>
      <c r="H374" s="23" t="inlineStr">
        <is>
          <t>draft</t>
        </is>
      </c>
      <c r="I374" s="23" t="inlineStr">
        <is>
          <t>DURMETAL</t>
        </is>
      </c>
      <c r="J374" s="23" t="n"/>
      <c r="K374" s="23" t="n"/>
      <c r="L374" s="23" t="inlineStr">
        <is>
          <t>R.1299002008</t>
        </is>
      </c>
      <c r="M374" s="31" t="n"/>
      <c r="N374" s="31" t="n"/>
      <c r="O374" s="31" t="n"/>
      <c r="P374" s="31" t="n"/>
      <c r="Q374" s="31" t="n"/>
      <c r="R374" s="34">
        <f>IFERROR(IF(AND(O374&gt;0,P374&gt;0,Q374&gt;0),(O374*P374*Q374)/6000,""),"")</f>
        <v/>
      </c>
      <c r="S374" s="34">
        <f>IFERROR(IF(AND(N374&gt;0,R374&gt;0),MAX(N374,R374),IF(N374&gt;0,N374,IF(R374&gt;0,R374,""))),"")</f>
        <v/>
      </c>
      <c r="T374" s="36" t="n"/>
      <c r="U374" s="38" t="inlineStr">
        <is>
          <t>FALTA</t>
        </is>
      </c>
      <c r="V374" s="36" t="n">
        <v>196.46</v>
      </c>
      <c r="W374" s="39" t="n">
        <v>0.3</v>
      </c>
      <c r="X374" s="41">
        <f>IFERROR(V374+T374,"")</f>
        <v/>
      </c>
      <c r="Y374" s="41">
        <f>IFERROR(IF(W374&lt;1,X374/(1-W374),""),"")</f>
        <v/>
      </c>
      <c r="Z374" s="43">
        <f>'01_CONFIG_GLOBAL'!$C$14</f>
        <v/>
      </c>
      <c r="AA374" s="41">
        <f>IFERROR(Y374*Z374,"")</f>
        <v/>
      </c>
      <c r="AB374" s="41">
        <f>IFERROR(IF(Z374&lt;1,Y374/(1-Z374),""),"")</f>
        <v/>
      </c>
      <c r="AC374" s="23" t="n"/>
      <c r="AD374" s="36" t="n"/>
      <c r="AE374" s="23" t="n"/>
      <c r="AF374" s="36" t="n"/>
      <c r="AG374" s="23" t="n"/>
      <c r="AH374" s="36" t="n"/>
      <c r="AI374" s="41">
        <f>IFERROR(AVERAGE(AD374,AF374,AH374),"")</f>
        <v/>
      </c>
      <c r="AJ374" s="29">
        <f>IFERROR(IF(AI374="","sem dados",IF(AB374&lt;AI374*0.95,"abaixo",IF(AB374&gt;AI374*1.05,"acima","em linha"))),"")</f>
        <v/>
      </c>
      <c r="AK374" s="23" t="inlineStr">
        <is>
          <t>não</t>
        </is>
      </c>
      <c r="AL374" s="23" t="n"/>
      <c r="AM374" s="23" t="n"/>
      <c r="AN374" s="23" t="n"/>
      <c r="AO374" s="44">
        <f>A374</f>
        <v/>
      </c>
      <c r="AP374" s="44">
        <f>D374</f>
        <v/>
      </c>
    </row>
    <row r="375" hidden="1" ht="15.75" customHeight="1" s="93">
      <c r="A375" s="23" t="inlineStr">
        <is>
          <t>1.0031.0115240.0</t>
        </is>
      </c>
      <c r="B375" s="23" t="inlineStr">
        <is>
          <t>115240</t>
        </is>
      </c>
      <c r="C375" s="29">
        <f>IFERROR(LOWER(SUBSTITUTE(SUBSTITUTE(SUBSTITUTE(SUBSTITUTE(D375," ","-"),"/","-"),".",""),",","")),"")</f>
        <v/>
      </c>
      <c r="D375" s="23" t="inlineStr">
        <is>
          <t>ES.BOR.22,5.L</t>
        </is>
      </c>
      <c r="E375" s="23" t="n"/>
      <c r="F375" s="23" t="inlineStr">
        <is>
          <t>SOHIPREN</t>
        </is>
      </c>
      <c r="G375" s="23" t="n"/>
      <c r="H375" s="23" t="inlineStr">
        <is>
          <t>draft</t>
        </is>
      </c>
      <c r="I375" s="23" t="inlineStr">
        <is>
          <t>DURMETAL</t>
        </is>
      </c>
      <c r="J375" s="23" t="n"/>
      <c r="K375" s="23" t="n"/>
      <c r="L375" s="23" t="inlineStr">
        <is>
          <t>R.1299002009</t>
        </is>
      </c>
      <c r="M375" s="31" t="n"/>
      <c r="N375" s="31" t="n"/>
      <c r="O375" s="31" t="n"/>
      <c r="P375" s="31" t="n"/>
      <c r="Q375" s="31" t="n"/>
      <c r="R375" s="34">
        <f>IFERROR(IF(AND(O375&gt;0,P375&gt;0,Q375&gt;0),(O375*P375*Q375)/6000,""),"")</f>
        <v/>
      </c>
      <c r="S375" s="34">
        <f>IFERROR(IF(AND(N375&gt;0,R375&gt;0),MAX(N375,R375),IF(N375&gt;0,N375,IF(R375&gt;0,R375,""))),"")</f>
        <v/>
      </c>
      <c r="T375" s="36" t="n"/>
      <c r="U375" s="38" t="inlineStr">
        <is>
          <t>FALTA</t>
        </is>
      </c>
      <c r="V375" s="36" t="n">
        <v>196.46</v>
      </c>
      <c r="W375" s="39" t="n">
        <v>0.3</v>
      </c>
      <c r="X375" s="41">
        <f>IFERROR(V375+T375,"")</f>
        <v/>
      </c>
      <c r="Y375" s="41">
        <f>IFERROR(IF(W375&lt;1,X375/(1-W375),""),"")</f>
        <v/>
      </c>
      <c r="Z375" s="43">
        <f>'01_CONFIG_GLOBAL'!$C$14</f>
        <v/>
      </c>
      <c r="AA375" s="41">
        <f>IFERROR(Y375*Z375,"")</f>
        <v/>
      </c>
      <c r="AB375" s="41">
        <f>IFERROR(IF(Z375&lt;1,Y375/(1-Z375),""),"")</f>
        <v/>
      </c>
      <c r="AC375" s="23" t="n"/>
      <c r="AD375" s="36" t="n"/>
      <c r="AE375" s="23" t="n"/>
      <c r="AF375" s="36" t="n"/>
      <c r="AG375" s="23" t="n"/>
      <c r="AH375" s="36" t="n"/>
      <c r="AI375" s="41">
        <f>IFERROR(AVERAGE(AD375,AF375,AH375),"")</f>
        <v/>
      </c>
      <c r="AJ375" s="29">
        <f>IFERROR(IF(AI375="","sem dados",IF(AB375&lt;AI375*0.95,"abaixo",IF(AB375&gt;AI375*1.05,"acima","em linha"))),"")</f>
        <v/>
      </c>
      <c r="AK375" s="23" t="inlineStr">
        <is>
          <t>não</t>
        </is>
      </c>
      <c r="AL375" s="23" t="n"/>
      <c r="AM375" s="23" t="n"/>
      <c r="AN375" s="23" t="n"/>
      <c r="AO375" s="44">
        <f>A375</f>
        <v/>
      </c>
      <c r="AP375" s="44">
        <f>D375</f>
        <v/>
      </c>
    </row>
    <row r="376" hidden="1" ht="15.75" customHeight="1" s="93">
      <c r="A376" s="23" t="inlineStr">
        <is>
          <t>1.0031.0115250.0</t>
        </is>
      </c>
      <c r="B376" s="23" t="inlineStr">
        <is>
          <t>115250</t>
        </is>
      </c>
      <c r="C376" s="29">
        <f>IFERROR(LOWER(SUBSTITUTE(SUBSTITUTE(SUBSTITUTE(SUBSTITUTE(D376," ","-"),"/","-"),".",""),",","")),"")</f>
        <v/>
      </c>
      <c r="D376" s="23" t="inlineStr">
        <is>
          <t>ES.BOR.28.L</t>
        </is>
      </c>
      <c r="E376" s="23" t="n"/>
      <c r="F376" s="23" t="inlineStr">
        <is>
          <t>SOHIPREN</t>
        </is>
      </c>
      <c r="G376" s="23" t="n"/>
      <c r="H376" s="23" t="inlineStr">
        <is>
          <t>draft</t>
        </is>
      </c>
      <c r="I376" s="23" t="inlineStr">
        <is>
          <t>DURMETAL</t>
        </is>
      </c>
      <c r="J376" s="23" t="n"/>
      <c r="K376" s="23" t="n"/>
      <c r="L376" s="23" t="inlineStr">
        <is>
          <t>R.1299002012</t>
        </is>
      </c>
      <c r="M376" s="31" t="n"/>
      <c r="N376" s="31" t="n"/>
      <c r="O376" s="31" t="n"/>
      <c r="P376" s="31" t="n"/>
      <c r="Q376" s="31" t="n"/>
      <c r="R376" s="34">
        <f>IFERROR(IF(AND(O376&gt;0,P376&gt;0,Q376&gt;0),(O376*P376*Q376)/6000,""),"")</f>
        <v/>
      </c>
      <c r="S376" s="34">
        <f>IFERROR(IF(AND(N376&gt;0,R376&gt;0),MAX(N376,R376),IF(N376&gt;0,N376,IF(R376&gt;0,R376,""))),"")</f>
        <v/>
      </c>
      <c r="T376" s="36" t="n"/>
      <c r="U376" s="38" t="inlineStr">
        <is>
          <t>FALTA</t>
        </is>
      </c>
      <c r="V376" s="36" t="n">
        <v>196.46</v>
      </c>
      <c r="W376" s="39" t="n">
        <v>0.3</v>
      </c>
      <c r="X376" s="41">
        <f>IFERROR(V376+T376,"")</f>
        <v/>
      </c>
      <c r="Y376" s="41">
        <f>IFERROR(IF(W376&lt;1,X376/(1-W376),""),"")</f>
        <v/>
      </c>
      <c r="Z376" s="43">
        <f>'01_CONFIG_GLOBAL'!$C$14</f>
        <v/>
      </c>
      <c r="AA376" s="41">
        <f>IFERROR(Y376*Z376,"")</f>
        <v/>
      </c>
      <c r="AB376" s="41">
        <f>IFERROR(IF(Z376&lt;1,Y376/(1-Z376),""),"")</f>
        <v/>
      </c>
      <c r="AC376" s="23" t="n"/>
      <c r="AD376" s="36" t="n"/>
      <c r="AE376" s="23" t="n"/>
      <c r="AF376" s="36" t="n"/>
      <c r="AG376" s="23" t="n"/>
      <c r="AH376" s="36" t="n"/>
      <c r="AI376" s="41">
        <f>IFERROR(AVERAGE(AD376,AF376,AH376),"")</f>
        <v/>
      </c>
      <c r="AJ376" s="29">
        <f>IFERROR(IF(AI376="","sem dados",IF(AB376&lt;AI376*0.95,"abaixo",IF(AB376&gt;AI376*1.05,"acima","em linha"))),"")</f>
        <v/>
      </c>
      <c r="AK376" s="23" t="inlineStr">
        <is>
          <t>não</t>
        </is>
      </c>
      <c r="AL376" s="23" t="n"/>
      <c r="AM376" s="23" t="n"/>
      <c r="AN376" s="23" t="n"/>
      <c r="AO376" s="44">
        <f>A376</f>
        <v/>
      </c>
      <c r="AP376" s="44">
        <f>D376</f>
        <v/>
      </c>
    </row>
    <row r="377" hidden="1" ht="15.75" customHeight="1" s="93">
      <c r="A377" s="23" t="inlineStr">
        <is>
          <t>1.0031.0115120.0</t>
        </is>
      </c>
      <c r="B377" s="23" t="inlineStr">
        <is>
          <t>115120</t>
        </is>
      </c>
      <c r="C377" s="29">
        <f>IFERROR(LOWER(SUBSTITUTE(SUBSTITUTE(SUBSTITUTE(SUBSTITUTE(D377," ","-"),"/","-"),".",""),",","")),"")</f>
        <v/>
      </c>
      <c r="D377" s="23" t="inlineStr">
        <is>
          <t>EM.BOR.14.C19</t>
        </is>
      </c>
      <c r="E377" s="23" t="n"/>
      <c r="F377" s="23" t="inlineStr">
        <is>
          <t>SOHIPREN</t>
        </is>
      </c>
      <c r="G377" s="23" t="n"/>
      <c r="H377" s="23" t="inlineStr">
        <is>
          <t>draft</t>
        </is>
      </c>
      <c r="I377" s="23" t="inlineStr">
        <is>
          <t>DURMETAL</t>
        </is>
      </c>
      <c r="J377" s="23" t="n"/>
      <c r="K377" s="23" t="n"/>
      <c r="L377" s="23" t="inlineStr">
        <is>
          <t>R.1299003006</t>
        </is>
      </c>
      <c r="M377" s="31" t="n"/>
      <c r="N377" s="31" t="n"/>
      <c r="O377" s="31" t="n"/>
      <c r="P377" s="31" t="n"/>
      <c r="Q377" s="31" t="n"/>
      <c r="R377" s="34">
        <f>IFERROR(IF(AND(O377&gt;0,P377&gt;0,Q377&gt;0),(O377*P377*Q377)/6000,""),"")</f>
        <v/>
      </c>
      <c r="S377" s="34">
        <f>IFERROR(IF(AND(N377&gt;0,R377&gt;0),MAX(N377,R377),IF(N377&gt;0,N377,IF(R377&gt;0,R377,""))),"")</f>
        <v/>
      </c>
      <c r="T377" s="36" t="n"/>
      <c r="U377" s="38" t="inlineStr">
        <is>
          <t>FALTA</t>
        </is>
      </c>
      <c r="V377" s="36" t="n">
        <v>196.46</v>
      </c>
      <c r="W377" s="39" t="n">
        <v>0.3</v>
      </c>
      <c r="X377" s="41">
        <f>IFERROR(V377+T377,"")</f>
        <v/>
      </c>
      <c r="Y377" s="41">
        <f>IFERROR(IF(W377&lt;1,X377/(1-W377),""),"")</f>
        <v/>
      </c>
      <c r="Z377" s="43">
        <f>'01_CONFIG_GLOBAL'!$C$14</f>
        <v/>
      </c>
      <c r="AA377" s="41">
        <f>IFERROR(Y377*Z377,"")</f>
        <v/>
      </c>
      <c r="AB377" s="41">
        <f>IFERROR(IF(Z377&lt;1,Y377/(1-Z377),""),"")</f>
        <v/>
      </c>
      <c r="AC377" s="23" t="n"/>
      <c r="AD377" s="36" t="n"/>
      <c r="AE377" s="23" t="n"/>
      <c r="AF377" s="36" t="n"/>
      <c r="AG377" s="23" t="n"/>
      <c r="AH377" s="36" t="n"/>
      <c r="AI377" s="41">
        <f>IFERROR(AVERAGE(AD377,AF377,AH377),"")</f>
        <v/>
      </c>
      <c r="AJ377" s="29">
        <f>IFERROR(IF(AI377="","sem dados",IF(AB377&lt;AI377*0.95,"abaixo",IF(AB377&gt;AI377*1.05,"acima","em linha"))),"")</f>
        <v/>
      </c>
      <c r="AK377" s="23" t="inlineStr">
        <is>
          <t>não</t>
        </is>
      </c>
      <c r="AL377" s="23" t="n"/>
      <c r="AM377" s="23" t="n"/>
      <c r="AN377" s="23" t="n"/>
      <c r="AO377" s="44">
        <f>A377</f>
        <v/>
      </c>
      <c r="AP377" s="44">
        <f>D377</f>
        <v/>
      </c>
    </row>
    <row r="378" hidden="1" ht="15.75" customHeight="1" s="93">
      <c r="A378" s="23" t="inlineStr">
        <is>
          <t>1.0031.0115130.0</t>
        </is>
      </c>
      <c r="B378" s="23" t="inlineStr">
        <is>
          <t>115130</t>
        </is>
      </c>
      <c r="C378" s="29">
        <f>IFERROR(LOWER(SUBSTITUTE(SUBSTITUTE(SUBSTITUTE(SUBSTITUTE(D378," ","-"),"/","-"),".",""),",","")),"")</f>
        <v/>
      </c>
      <c r="D378" s="23" t="inlineStr">
        <is>
          <t>EM.BOR.19.C19</t>
        </is>
      </c>
      <c r="E378" s="23" t="n"/>
      <c r="F378" s="23" t="inlineStr">
        <is>
          <t>SOHIPREN</t>
        </is>
      </c>
      <c r="G378" s="23" t="n"/>
      <c r="H378" s="23" t="inlineStr">
        <is>
          <t>draft</t>
        </is>
      </c>
      <c r="I378" s="23" t="inlineStr">
        <is>
          <t>DURMETAL</t>
        </is>
      </c>
      <c r="J378" s="23" t="n"/>
      <c r="K378" s="23" t="n"/>
      <c r="L378" s="23" t="inlineStr">
        <is>
          <t>R.1299003008</t>
        </is>
      </c>
      <c r="M378" s="31" t="n"/>
      <c r="N378" s="31" t="n"/>
      <c r="O378" s="31" t="n"/>
      <c r="P378" s="31" t="n"/>
      <c r="Q378" s="31" t="n"/>
      <c r="R378" s="34">
        <f>IFERROR(IF(AND(O378&gt;0,P378&gt;0,Q378&gt;0),(O378*P378*Q378)/6000,""),"")</f>
        <v/>
      </c>
      <c r="S378" s="34">
        <f>IFERROR(IF(AND(N378&gt;0,R378&gt;0),MAX(N378,R378),IF(N378&gt;0,N378,IF(R378&gt;0,R378,""))),"")</f>
        <v/>
      </c>
      <c r="T378" s="36" t="n"/>
      <c r="U378" s="38" t="inlineStr">
        <is>
          <t>FALTA</t>
        </is>
      </c>
      <c r="V378" s="36" t="n">
        <v>196.46</v>
      </c>
      <c r="W378" s="39" t="n">
        <v>0.3</v>
      </c>
      <c r="X378" s="41">
        <f>IFERROR(V378+T378,"")</f>
        <v/>
      </c>
      <c r="Y378" s="41">
        <f>IFERROR(IF(W378&lt;1,X378/(1-W378),""),"")</f>
        <v/>
      </c>
      <c r="Z378" s="43">
        <f>'01_CONFIG_GLOBAL'!$C$14</f>
        <v/>
      </c>
      <c r="AA378" s="41">
        <f>IFERROR(Y378*Z378,"")</f>
        <v/>
      </c>
      <c r="AB378" s="41">
        <f>IFERROR(IF(Z378&lt;1,Y378/(1-Z378),""),"")</f>
        <v/>
      </c>
      <c r="AC378" s="23" t="n"/>
      <c r="AD378" s="36" t="n"/>
      <c r="AE378" s="23" t="n"/>
      <c r="AF378" s="36" t="n"/>
      <c r="AG378" s="23" t="n"/>
      <c r="AH378" s="36" t="n"/>
      <c r="AI378" s="41">
        <f>IFERROR(AVERAGE(AD378,AF378,AH378),"")</f>
        <v/>
      </c>
      <c r="AJ378" s="29">
        <f>IFERROR(IF(AI378="","sem dados",IF(AB378&lt;AI378*0.95,"abaixo",IF(AB378&gt;AI378*1.05,"acima","em linha"))),"")</f>
        <v/>
      </c>
      <c r="AK378" s="23" t="inlineStr">
        <is>
          <t>não</t>
        </is>
      </c>
      <c r="AL378" s="23" t="n"/>
      <c r="AM378" s="23" t="n"/>
      <c r="AN378" s="23" t="n"/>
      <c r="AO378" s="44">
        <f>A378</f>
        <v/>
      </c>
      <c r="AP378" s="44">
        <f>D378</f>
        <v/>
      </c>
    </row>
    <row r="379" hidden="1" ht="15.75" customHeight="1" s="93">
      <c r="A379" s="23" t="inlineStr">
        <is>
          <t>1.0031.0115140.0</t>
        </is>
      </c>
      <c r="B379" s="23" t="inlineStr">
        <is>
          <t>115140</t>
        </is>
      </c>
      <c r="C379" s="29">
        <f>IFERROR(LOWER(SUBSTITUTE(SUBSTITUTE(SUBSTITUTE(SUBSTITUTE(D379," ","-"),"/","-"),".",""),",","")),"")</f>
        <v/>
      </c>
      <c r="D379" s="23" t="inlineStr">
        <is>
          <t>EM.BOR.22,5.C19</t>
        </is>
      </c>
      <c r="E379" s="23" t="n"/>
      <c r="F379" s="23" t="inlineStr">
        <is>
          <t>SOHIPREN</t>
        </is>
      </c>
      <c r="G379" s="23" t="n"/>
      <c r="H379" s="23" t="inlineStr">
        <is>
          <t>draft</t>
        </is>
      </c>
      <c r="I379" s="23" t="inlineStr">
        <is>
          <t>DURMETAL</t>
        </is>
      </c>
      <c r="J379" s="23" t="n"/>
      <c r="K379" s="23" t="n"/>
      <c r="L379" s="23" t="inlineStr">
        <is>
          <t>R.1299003009</t>
        </is>
      </c>
      <c r="M379" s="31" t="n"/>
      <c r="N379" s="31" t="n"/>
      <c r="O379" s="31" t="n"/>
      <c r="P379" s="31" t="n"/>
      <c r="Q379" s="31" t="n"/>
      <c r="R379" s="34">
        <f>IFERROR(IF(AND(O379&gt;0,P379&gt;0,Q379&gt;0),(O379*P379*Q379)/6000,""),"")</f>
        <v/>
      </c>
      <c r="S379" s="34">
        <f>IFERROR(IF(AND(N379&gt;0,R379&gt;0),MAX(N379,R379),IF(N379&gt;0,N379,IF(R379&gt;0,R379,""))),"")</f>
        <v/>
      </c>
      <c r="T379" s="36" t="n"/>
      <c r="U379" s="38" t="inlineStr">
        <is>
          <t>FALTA</t>
        </is>
      </c>
      <c r="V379" s="36" t="n">
        <v>196.46</v>
      </c>
      <c r="W379" s="39" t="n">
        <v>0.3</v>
      </c>
      <c r="X379" s="41">
        <f>IFERROR(V379+T379,"")</f>
        <v/>
      </c>
      <c r="Y379" s="41">
        <f>IFERROR(IF(W379&lt;1,X379/(1-W379),""),"")</f>
        <v/>
      </c>
      <c r="Z379" s="43">
        <f>'01_CONFIG_GLOBAL'!$C$14</f>
        <v/>
      </c>
      <c r="AA379" s="41">
        <f>IFERROR(Y379*Z379,"")</f>
        <v/>
      </c>
      <c r="AB379" s="41">
        <f>IFERROR(IF(Z379&lt;1,Y379/(1-Z379),""),"")</f>
        <v/>
      </c>
      <c r="AC379" s="23" t="n"/>
      <c r="AD379" s="36" t="n"/>
      <c r="AE379" s="23" t="n"/>
      <c r="AF379" s="36" t="n"/>
      <c r="AG379" s="23" t="n"/>
      <c r="AH379" s="36" t="n"/>
      <c r="AI379" s="41">
        <f>IFERROR(AVERAGE(AD379,AF379,AH379),"")</f>
        <v/>
      </c>
      <c r="AJ379" s="29">
        <f>IFERROR(IF(AI379="","sem dados",IF(AB379&lt;AI379*0.95,"abaixo",IF(AB379&gt;AI379*1.05,"acima","em linha"))),"")</f>
        <v/>
      </c>
      <c r="AK379" s="23" t="inlineStr">
        <is>
          <t>não</t>
        </is>
      </c>
      <c r="AL379" s="23" t="n"/>
      <c r="AM379" s="23" t="n"/>
      <c r="AN379" s="23" t="n"/>
      <c r="AO379" s="44">
        <f>A379</f>
        <v/>
      </c>
      <c r="AP379" s="44">
        <f>D379</f>
        <v/>
      </c>
    </row>
    <row r="380" hidden="1" ht="15.75" customHeight="1" s="93">
      <c r="A380" s="23" t="inlineStr">
        <is>
          <t>1.0031.0115150.0</t>
        </is>
      </c>
      <c r="B380" s="23" t="inlineStr">
        <is>
          <t>115150</t>
        </is>
      </c>
      <c r="C380" s="29">
        <f>IFERROR(LOWER(SUBSTITUTE(SUBSTITUTE(SUBSTITUTE(SUBSTITUTE(D380," ","-"),"/","-"),".",""),",","")),"")</f>
        <v/>
      </c>
      <c r="D380" s="23" t="inlineStr">
        <is>
          <t>EM.BOR.28.C19</t>
        </is>
      </c>
      <c r="E380" s="23" t="n"/>
      <c r="F380" s="23" t="inlineStr">
        <is>
          <t>SOHIPREN</t>
        </is>
      </c>
      <c r="G380" s="23" t="n"/>
      <c r="H380" s="23" t="inlineStr">
        <is>
          <t>draft</t>
        </is>
      </c>
      <c r="I380" s="23" t="inlineStr">
        <is>
          <t>DURMETAL</t>
        </is>
      </c>
      <c r="J380" s="23" t="n"/>
      <c r="K380" s="23" t="n"/>
      <c r="L380" s="23" t="inlineStr">
        <is>
          <t>R.1299003012</t>
        </is>
      </c>
      <c r="M380" s="31" t="n"/>
      <c r="N380" s="31" t="n"/>
      <c r="O380" s="31" t="n"/>
      <c r="P380" s="31" t="n"/>
      <c r="Q380" s="31" t="n"/>
      <c r="R380" s="34">
        <f>IFERROR(IF(AND(O380&gt;0,P380&gt;0,Q380&gt;0),(O380*P380*Q380)/6000,""),"")</f>
        <v/>
      </c>
      <c r="S380" s="34">
        <f>IFERROR(IF(AND(N380&gt;0,R380&gt;0),MAX(N380,R380),IF(N380&gt;0,N380,IF(R380&gt;0,R380,""))),"")</f>
        <v/>
      </c>
      <c r="T380" s="36" t="n"/>
      <c r="U380" s="38" t="inlineStr">
        <is>
          <t>FALTA</t>
        </is>
      </c>
      <c r="V380" s="36" t="n">
        <v>196.46</v>
      </c>
      <c r="W380" s="39" t="n">
        <v>0.3</v>
      </c>
      <c r="X380" s="41">
        <f>IFERROR(V380+T380,"")</f>
        <v/>
      </c>
      <c r="Y380" s="41">
        <f>IFERROR(IF(W380&lt;1,X380/(1-W380),""),"")</f>
        <v/>
      </c>
      <c r="Z380" s="43">
        <f>'01_CONFIG_GLOBAL'!$C$14</f>
        <v/>
      </c>
      <c r="AA380" s="41">
        <f>IFERROR(Y380*Z380,"")</f>
        <v/>
      </c>
      <c r="AB380" s="41">
        <f>IFERROR(IF(Z380&lt;1,Y380/(1-Z380),""),"")</f>
        <v/>
      </c>
      <c r="AC380" s="23" t="n"/>
      <c r="AD380" s="36" t="n"/>
      <c r="AE380" s="23" t="n"/>
      <c r="AF380" s="36" t="n"/>
      <c r="AG380" s="23" t="n"/>
      <c r="AH380" s="36" t="n"/>
      <c r="AI380" s="41">
        <f>IFERROR(AVERAGE(AD380,AF380,AH380),"")</f>
        <v/>
      </c>
      <c r="AJ380" s="29">
        <f>IFERROR(IF(AI380="","sem dados",IF(AB380&lt;AI380*0.95,"abaixo",IF(AB380&gt;AI380*1.05,"acima","em linha"))),"")</f>
        <v/>
      </c>
      <c r="AK380" s="23" t="inlineStr">
        <is>
          <t>não</t>
        </is>
      </c>
      <c r="AL380" s="23" t="n"/>
      <c r="AM380" s="23" t="n"/>
      <c r="AN380" s="23" t="n"/>
      <c r="AO380" s="44">
        <f>A380</f>
        <v/>
      </c>
      <c r="AP380" s="44">
        <f>D380</f>
        <v/>
      </c>
    </row>
    <row r="381" hidden="1" ht="15.75" customHeight="1" s="93">
      <c r="A381" s="23" t="inlineStr">
        <is>
          <t>0.8002.L082092.0</t>
        </is>
      </c>
      <c r="B381" s="23" t="inlineStr">
        <is>
          <t>L082092</t>
        </is>
      </c>
      <c r="C381" s="29">
        <f>IFERROR(LOWER(SUBSTITUTE(SUBSTITUTE(SUBSTITUTE(SUBSTITUTE(D381," ","-"),"/","-"),".",""),",","")),"")</f>
        <v/>
      </c>
      <c r="D381" s="23" t="inlineStr">
        <is>
          <t>BOMBA SUBMERSA 1100w 14 400L/h 10m AGUA SUJA MAKITA</t>
        </is>
      </c>
      <c r="E381" s="23" t="inlineStr">
        <is>
          <t>Bombas Hidráulicas</t>
        </is>
      </c>
      <c r="F381" s="23" t="inlineStr">
        <is>
          <t>SOHIPREN</t>
        </is>
      </c>
      <c r="G381" s="23" t="n"/>
      <c r="H381" s="23" t="inlineStr">
        <is>
          <t>draft</t>
        </is>
      </c>
      <c r="I381" s="23" t="inlineStr">
        <is>
          <t>DUTRA MÁQUINAS</t>
        </is>
      </c>
      <c r="J381" s="23" t="n"/>
      <c r="K381" s="23" t="n"/>
      <c r="L381" s="23" t="inlineStr">
        <is>
          <t>PF1010-220V</t>
        </is>
      </c>
      <c r="M381" s="31" t="n"/>
      <c r="N381" s="31" t="n"/>
      <c r="O381" s="31" t="n"/>
      <c r="P381" s="31" t="n"/>
      <c r="Q381" s="31" t="n"/>
      <c r="R381" s="34">
        <f>IFERROR(IF(AND(O381&gt;0,P381&gt;0,Q381&gt;0),(O381*P381*Q381)/6000,""),"")</f>
        <v/>
      </c>
      <c r="S381" s="34">
        <f>IFERROR(IF(AND(N381&gt;0,R381&gt;0),MAX(N381,R381),IF(N381&gt;0,N381,IF(R381&gt;0,R381,""))),"")</f>
        <v/>
      </c>
      <c r="T381" s="36" t="n"/>
      <c r="U381" s="38" t="inlineStr">
        <is>
          <t>FALTA</t>
        </is>
      </c>
      <c r="V381" s="36" t="n">
        <v>285</v>
      </c>
      <c r="W381" s="39" t="n">
        <v>0.3</v>
      </c>
      <c r="X381" s="41">
        <f>IFERROR(V381+T381,"")</f>
        <v/>
      </c>
      <c r="Y381" s="41">
        <f>IFERROR(IF(W381&lt;1,X381/(1-W381),""),"")</f>
        <v/>
      </c>
      <c r="Z381" s="43">
        <f>'01_CONFIG_GLOBAL'!$C$14</f>
        <v/>
      </c>
      <c r="AA381" s="41">
        <f>IFERROR(Y381*Z381,"")</f>
        <v/>
      </c>
      <c r="AB381" s="41">
        <f>IFERROR(IF(Z381&lt;1,Y381/(1-Z381),""),"")</f>
        <v/>
      </c>
      <c r="AC381" s="23" t="n"/>
      <c r="AD381" s="36" t="n"/>
      <c r="AE381" s="23" t="n"/>
      <c r="AF381" s="36" t="n"/>
      <c r="AG381" s="23" t="n"/>
      <c r="AH381" s="36" t="n"/>
      <c r="AI381" s="41">
        <f>IFERROR(AVERAGE(AD381,AF381,AH381),"")</f>
        <v/>
      </c>
      <c r="AJ381" s="29">
        <f>IFERROR(IF(AI381="","sem dados",IF(AB381&lt;AI381*0.95,"abaixo",IF(AB381&gt;AI381*1.05,"acima","em linha"))),"")</f>
        <v/>
      </c>
      <c r="AK381" s="23" t="inlineStr">
        <is>
          <t>não</t>
        </is>
      </c>
      <c r="AL381" s="23" t="n"/>
      <c r="AM381" s="23" t="n"/>
      <c r="AN381" s="23" t="n"/>
      <c r="AO381" s="44">
        <f>A381</f>
        <v/>
      </c>
      <c r="AP381" s="44">
        <f>D381</f>
        <v/>
      </c>
    </row>
    <row r="382" hidden="1" ht="15.75" customHeight="1" s="93">
      <c r="A382" s="23" t="inlineStr">
        <is>
          <t>0.2027.F001326.0</t>
        </is>
      </c>
      <c r="B382" s="23" t="inlineStr">
        <is>
          <t>F001326</t>
        </is>
      </c>
      <c r="C382" s="29">
        <f>IFERROR(LOWER(SUBSTITUTE(SUBSTITUTE(SUBSTITUTE(SUBSTITUTE(D382," ","-"),"/","-"),".",""),",","")),"")</f>
        <v/>
      </c>
      <c r="D382" s="23" t="inlineStr">
        <is>
          <t>CARRINHO GAIOLA</t>
        </is>
      </c>
      <c r="E382" s="23" t="n"/>
      <c r="F382" s="23" t="inlineStr">
        <is>
          <t>SOHIPREN</t>
        </is>
      </c>
      <c r="G382" s="23" t="n"/>
      <c r="H382" s="23" t="inlineStr">
        <is>
          <t>draft</t>
        </is>
      </c>
      <c r="I382" s="23" t="inlineStr">
        <is>
          <t>DUTRA MÁQUINAS</t>
        </is>
      </c>
      <c r="J382" s="23" t="n"/>
      <c r="K382" s="23" t="n"/>
      <c r="L382" s="23" t="inlineStr">
        <is>
          <t>RLL-306A</t>
        </is>
      </c>
      <c r="M382" s="31" t="n"/>
      <c r="N382" s="31" t="n"/>
      <c r="O382" s="31" t="n"/>
      <c r="P382" s="31" t="n"/>
      <c r="Q382" s="31" t="n"/>
      <c r="R382" s="34">
        <f>IFERROR(IF(AND(O382&gt;0,P382&gt;0,Q382&gt;0),(O382*P382*Q382)/6000,""),"")</f>
        <v/>
      </c>
      <c r="S382" s="34">
        <f>IFERROR(IF(AND(N382&gt;0,R382&gt;0),MAX(N382,R382),IF(N382&gt;0,N382,IF(R382&gt;0,R382,""))),"")</f>
        <v/>
      </c>
      <c r="T382" s="36" t="n"/>
      <c r="U382" s="38" t="inlineStr">
        <is>
          <t>FALTA</t>
        </is>
      </c>
      <c r="V382" s="36" t="n">
        <v>59</v>
      </c>
      <c r="W382" s="39" t="n">
        <v>0.3</v>
      </c>
      <c r="X382" s="41">
        <f>IFERROR(V382+T382,"")</f>
        <v/>
      </c>
      <c r="Y382" s="41">
        <f>IFERROR(IF(W382&lt;1,X382/(1-W382),""),"")</f>
        <v/>
      </c>
      <c r="Z382" s="43">
        <f>'01_CONFIG_GLOBAL'!$C$14</f>
        <v/>
      </c>
      <c r="AA382" s="41">
        <f>IFERROR(Y382*Z382,"")</f>
        <v/>
      </c>
      <c r="AB382" s="41">
        <f>IFERROR(IF(Z382&lt;1,Y382/(1-Z382),""),"")</f>
        <v/>
      </c>
      <c r="AC382" s="23" t="n"/>
      <c r="AD382" s="36" t="n"/>
      <c r="AE382" s="23" t="n"/>
      <c r="AF382" s="36" t="n"/>
      <c r="AG382" s="23" t="n"/>
      <c r="AH382" s="36" t="n"/>
      <c r="AI382" s="41">
        <f>IFERROR(AVERAGE(AD382,AF382,AH382),"")</f>
        <v/>
      </c>
      <c r="AJ382" s="29">
        <f>IFERROR(IF(AI382="","sem dados",IF(AB382&lt;AI382*0.95,"abaixo",IF(AB382&gt;AI382*1.05,"acima","em linha"))),"")</f>
        <v/>
      </c>
      <c r="AK382" s="23" t="inlineStr">
        <is>
          <t>não</t>
        </is>
      </c>
      <c r="AL382" s="23" t="n"/>
      <c r="AM382" s="23" t="n"/>
      <c r="AN382" s="23" t="n"/>
      <c r="AO382" s="44">
        <f>A382</f>
        <v/>
      </c>
      <c r="AP382" s="44">
        <f>D382</f>
        <v/>
      </c>
    </row>
    <row r="383" hidden="1" ht="15.75" customHeight="1" s="93">
      <c r="A383" s="23" t="inlineStr">
        <is>
          <t>0.2206.F001002.0</t>
        </is>
      </c>
      <c r="B383" s="23" t="inlineStr">
        <is>
          <t>F0001002</t>
        </is>
      </c>
      <c r="C383" s="29">
        <f>IFERROR(LOWER(SUBSTITUTE(SUBSTITUTE(SUBSTITUTE(SUBSTITUTE(D383," ","-"),"/","-"),".",""),",","")),"")</f>
        <v/>
      </c>
      <c r="D383" s="23" t="inlineStr">
        <is>
          <t>ADAPTADOR RETO MM M33x2 X 1.1/16 JIC</t>
        </is>
      </c>
      <c r="E383" s="23" t="n"/>
      <c r="F383" s="23" t="inlineStr">
        <is>
          <t>SOHIPREN</t>
        </is>
      </c>
      <c r="G383" s="23" t="n"/>
      <c r="H383" s="23" t="inlineStr">
        <is>
          <t>draft</t>
        </is>
      </c>
      <c r="I383" s="23" t="inlineStr">
        <is>
          <t>DYNAR</t>
        </is>
      </c>
      <c r="J383" s="23" t="n"/>
      <c r="K383" s="23" t="n"/>
      <c r="L383" s="23" t="inlineStr">
        <is>
          <t>AJUM 12XM33X2</t>
        </is>
      </c>
      <c r="M383" s="31" t="n"/>
      <c r="N383" s="31" t="n"/>
      <c r="O383" s="31" t="n"/>
      <c r="P383" s="31" t="n"/>
      <c r="Q383" s="31" t="n"/>
      <c r="R383" s="34">
        <f>IFERROR(IF(AND(O383&gt;0,P383&gt;0,Q383&gt;0),(O383*P383*Q383)/6000,""),"")</f>
        <v/>
      </c>
      <c r="S383" s="34">
        <f>IFERROR(IF(AND(N383&gt;0,R383&gt;0),MAX(N383,R383),IF(N383&gt;0,N383,IF(R383&gt;0,R383,""))),"")</f>
        <v/>
      </c>
      <c r="T383" s="36" t="n"/>
      <c r="U383" s="38" t="inlineStr">
        <is>
          <t>FALTA</t>
        </is>
      </c>
      <c r="V383" s="36" t="n">
        <v>335.5</v>
      </c>
      <c r="W383" s="39" t="n">
        <v>0.3</v>
      </c>
      <c r="X383" s="41">
        <f>IFERROR(V383+T383,"")</f>
        <v/>
      </c>
      <c r="Y383" s="41">
        <f>IFERROR(IF(W383&lt;1,X383/(1-W383),""),"")</f>
        <v/>
      </c>
      <c r="Z383" s="43">
        <f>'01_CONFIG_GLOBAL'!$C$14</f>
        <v/>
      </c>
      <c r="AA383" s="41">
        <f>IFERROR(Y383*Z383,"")</f>
        <v/>
      </c>
      <c r="AB383" s="41">
        <f>IFERROR(IF(Z383&lt;1,Y383/(1-Z383),""),"")</f>
        <v/>
      </c>
      <c r="AC383" s="23" t="n"/>
      <c r="AD383" s="36" t="n"/>
      <c r="AE383" s="23" t="n"/>
      <c r="AF383" s="36" t="n"/>
      <c r="AG383" s="23" t="n"/>
      <c r="AH383" s="36" t="n"/>
      <c r="AI383" s="41">
        <f>IFERROR(AVERAGE(AD383,AF383,AH383),"")</f>
        <v/>
      </c>
      <c r="AJ383" s="29">
        <f>IFERROR(IF(AI383="","sem dados",IF(AB383&lt;AI383*0.95,"abaixo",IF(AB383&gt;AI383*1.05,"acima","em linha"))),"")</f>
        <v/>
      </c>
      <c r="AK383" s="23" t="inlineStr">
        <is>
          <t>não</t>
        </is>
      </c>
      <c r="AL383" s="23" t="n"/>
      <c r="AM383" s="23" t="n"/>
      <c r="AN383" s="23" t="n"/>
      <c r="AO383" s="44">
        <f>A383</f>
        <v/>
      </c>
      <c r="AP383" s="44">
        <f>D383</f>
        <v/>
      </c>
    </row>
    <row r="384" hidden="1" ht="15.75" customHeight="1" s="93">
      <c r="A384" s="23" t="inlineStr">
        <is>
          <t>0.2206.F000660.0</t>
        </is>
      </c>
      <c r="B384" s="23" t="inlineStr">
        <is>
          <t>F000660</t>
        </is>
      </c>
      <c r="C384" s="29">
        <f>IFERROR(LOWER(SUBSTITUTE(SUBSTITUTE(SUBSTITUTE(SUBSTITUTE(D384," ","-"),"/","-"),".",""),",","")),"")</f>
        <v/>
      </c>
      <c r="D384" s="23" t="inlineStr">
        <is>
          <t>ADAPTADOR MM 3/4 JIC X 1/2 NPT</t>
        </is>
      </c>
      <c r="E384" s="23" t="n"/>
      <c r="F384" s="23" t="inlineStr">
        <is>
          <t>SOHIPREN</t>
        </is>
      </c>
      <c r="G384" s="23" t="n"/>
      <c r="H384" s="23" t="inlineStr">
        <is>
          <t>draft</t>
        </is>
      </c>
      <c r="I384" s="23" t="inlineStr">
        <is>
          <t>DYNAR</t>
        </is>
      </c>
      <c r="J384" s="23" t="n"/>
      <c r="K384" s="23" t="n"/>
      <c r="L384" s="23" t="inlineStr">
        <is>
          <t>AJUM 8X1/2 NPT</t>
        </is>
      </c>
      <c r="M384" s="31" t="n"/>
      <c r="N384" s="31" t="n"/>
      <c r="O384" s="31" t="n"/>
      <c r="P384" s="31" t="n"/>
      <c r="Q384" s="31" t="n"/>
      <c r="R384" s="34">
        <f>IFERROR(IF(AND(O384&gt;0,P384&gt;0,Q384&gt;0),(O384*P384*Q384)/6000,""),"")</f>
        <v/>
      </c>
      <c r="S384" s="34">
        <f>IFERROR(IF(AND(N384&gt;0,R384&gt;0),MAX(N384,R384),IF(N384&gt;0,N384,IF(R384&gt;0,R384,""))),"")</f>
        <v/>
      </c>
      <c r="T384" s="36" t="n"/>
      <c r="U384" s="38" t="inlineStr">
        <is>
          <t>FALTA</t>
        </is>
      </c>
      <c r="V384" s="36" t="n">
        <v>9817.5</v>
      </c>
      <c r="W384" s="39" t="n">
        <v>0.3</v>
      </c>
      <c r="X384" s="41">
        <f>IFERROR(V384+T384,"")</f>
        <v/>
      </c>
      <c r="Y384" s="41">
        <f>IFERROR(IF(W384&lt;1,X384/(1-W384),""),"")</f>
        <v/>
      </c>
      <c r="Z384" s="43">
        <f>'01_CONFIG_GLOBAL'!$C$14</f>
        <v/>
      </c>
      <c r="AA384" s="41">
        <f>IFERROR(Y384*Z384,"")</f>
        <v/>
      </c>
      <c r="AB384" s="41">
        <f>IFERROR(IF(Z384&lt;1,Y384/(1-Z384),""),"")</f>
        <v/>
      </c>
      <c r="AC384" s="23" t="n"/>
      <c r="AD384" s="36" t="n"/>
      <c r="AE384" s="23" t="n"/>
      <c r="AF384" s="36" t="n"/>
      <c r="AG384" s="23" t="n"/>
      <c r="AH384" s="36" t="n"/>
      <c r="AI384" s="41">
        <f>IFERROR(AVERAGE(AD384,AF384,AH384),"")</f>
        <v/>
      </c>
      <c r="AJ384" s="29">
        <f>IFERROR(IF(AI384="","sem dados",IF(AB384&lt;AI384*0.95,"abaixo",IF(AB384&gt;AI384*1.05,"acima","em linha"))),"")</f>
        <v/>
      </c>
      <c r="AK384" s="23" t="inlineStr">
        <is>
          <t>não</t>
        </is>
      </c>
      <c r="AL384" s="23" t="n"/>
      <c r="AM384" s="23" t="n"/>
      <c r="AN384" s="23" t="n"/>
      <c r="AO384" s="44">
        <f>A384</f>
        <v/>
      </c>
      <c r="AP384" s="44">
        <f>D384</f>
        <v/>
      </c>
    </row>
    <row r="385" hidden="1" ht="15.75" customHeight="1" s="93">
      <c r="A385" s="23" t="inlineStr">
        <is>
          <t>0.2206.F000661.0</t>
        </is>
      </c>
      <c r="B385" s="23" t="inlineStr">
        <is>
          <t>F000661</t>
        </is>
      </c>
      <c r="C385" s="29">
        <f>IFERROR(LOWER(SUBSTITUTE(SUBSTITUTE(SUBSTITUTE(SUBSTITUTE(D385," ","-"),"/","-"),".",""),",","")),"")</f>
        <v/>
      </c>
      <c r="D385" s="23" t="inlineStr">
        <is>
          <t>ADAPTADOR MM 3/4 JIC X 9/16 UNF</t>
        </is>
      </c>
      <c r="E385" s="23" t="n"/>
      <c r="F385" s="23" t="inlineStr">
        <is>
          <t>SOHIPREN</t>
        </is>
      </c>
      <c r="G385" s="23" t="n"/>
      <c r="H385" s="23" t="inlineStr">
        <is>
          <t>draft</t>
        </is>
      </c>
      <c r="I385" s="23" t="inlineStr">
        <is>
          <t>DYNAR</t>
        </is>
      </c>
      <c r="J385" s="23" t="n"/>
      <c r="K385" s="23" t="n"/>
      <c r="L385" s="23" t="inlineStr">
        <is>
          <t>AJUM 8X9/16 UNF</t>
        </is>
      </c>
      <c r="M385" s="31" t="n"/>
      <c r="N385" s="31" t="n"/>
      <c r="O385" s="31" t="n"/>
      <c r="P385" s="31" t="n"/>
      <c r="Q385" s="31" t="n"/>
      <c r="R385" s="34">
        <f>IFERROR(IF(AND(O385&gt;0,P385&gt;0,Q385&gt;0),(O385*P385*Q385)/6000,""),"")</f>
        <v/>
      </c>
      <c r="S385" s="34">
        <f>IFERROR(IF(AND(N385&gt;0,R385&gt;0),MAX(N385,R385),IF(N385&gt;0,N385,IF(R385&gt;0,R385,""))),"")</f>
        <v/>
      </c>
      <c r="T385" s="36" t="n"/>
      <c r="U385" s="38" t="inlineStr">
        <is>
          <t>FALTA</t>
        </is>
      </c>
      <c r="V385" s="36" t="n">
        <v>9817.5</v>
      </c>
      <c r="W385" s="39" t="n">
        <v>0.3</v>
      </c>
      <c r="X385" s="41">
        <f>IFERROR(V385+T385,"")</f>
        <v/>
      </c>
      <c r="Y385" s="41">
        <f>IFERROR(IF(W385&lt;1,X385/(1-W385),""),"")</f>
        <v/>
      </c>
      <c r="Z385" s="43">
        <f>'01_CONFIG_GLOBAL'!$C$14</f>
        <v/>
      </c>
      <c r="AA385" s="41">
        <f>IFERROR(Y385*Z385,"")</f>
        <v/>
      </c>
      <c r="AB385" s="41">
        <f>IFERROR(IF(Z385&lt;1,Y385/(1-Z385),""),"")</f>
        <v/>
      </c>
      <c r="AC385" s="23" t="n"/>
      <c r="AD385" s="36" t="n"/>
      <c r="AE385" s="23" t="n"/>
      <c r="AF385" s="36" t="n"/>
      <c r="AG385" s="23" t="n"/>
      <c r="AH385" s="36" t="n"/>
      <c r="AI385" s="41">
        <f>IFERROR(AVERAGE(AD385,AF385,AH385),"")</f>
        <v/>
      </c>
      <c r="AJ385" s="29">
        <f>IFERROR(IF(AI385="","sem dados",IF(AB385&lt;AI385*0.95,"abaixo",IF(AB385&gt;AI385*1.05,"acima","em linha"))),"")</f>
        <v/>
      </c>
      <c r="AK385" s="23" t="inlineStr">
        <is>
          <t>não</t>
        </is>
      </c>
      <c r="AL385" s="23" t="n"/>
      <c r="AM385" s="23" t="n"/>
      <c r="AN385" s="23" t="n"/>
      <c r="AO385" s="44">
        <f>A385</f>
        <v/>
      </c>
      <c r="AP385" s="44">
        <f>D385</f>
        <v/>
      </c>
    </row>
    <row r="386" hidden="1" ht="15.75" customHeight="1" s="93">
      <c r="A386" s="23" t="inlineStr">
        <is>
          <t>0.2206.F001251.0</t>
        </is>
      </c>
      <c r="B386" s="23" t="inlineStr">
        <is>
          <t>F001251</t>
        </is>
      </c>
      <c r="C386" s="29">
        <f>IFERROR(LOWER(SUBSTITUTE(SUBSTITUTE(SUBSTITUTE(SUBSTITUTE(D386," ","-"),"/","-"),".",""),",","")),"")</f>
        <v/>
      </c>
      <c r="D386" s="23" t="inlineStr">
        <is>
          <t>AJUM 16 X 1 BSP</t>
        </is>
      </c>
      <c r="E386" s="23" t="n"/>
      <c r="F386" s="23" t="inlineStr">
        <is>
          <t>SOHIPREN</t>
        </is>
      </c>
      <c r="G386" s="23" t="n"/>
      <c r="H386" s="23" t="inlineStr">
        <is>
          <t>draft</t>
        </is>
      </c>
      <c r="I386" s="23" t="inlineStr">
        <is>
          <t>DYNAR</t>
        </is>
      </c>
      <c r="J386" s="23" t="n"/>
      <c r="K386" s="23" t="n"/>
      <c r="L386" s="23" t="inlineStr">
        <is>
          <t>AJUM</t>
        </is>
      </c>
      <c r="M386" s="31" t="n"/>
      <c r="N386" s="31" t="n"/>
      <c r="O386" s="31" t="n"/>
      <c r="P386" s="31" t="n"/>
      <c r="Q386" s="31" t="n"/>
      <c r="R386" s="34">
        <f>IFERROR(IF(AND(O386&gt;0,P386&gt;0,Q386&gt;0),(O386*P386*Q386)/6000,""),"")</f>
        <v/>
      </c>
      <c r="S386" s="34">
        <f>IFERROR(IF(AND(N386&gt;0,R386&gt;0),MAX(N386,R386),IF(N386&gt;0,N386,IF(R386&gt;0,R386,""))),"")</f>
        <v/>
      </c>
      <c r="T386" s="36" t="n"/>
      <c r="U386" s="38" t="inlineStr">
        <is>
          <t>FALTA</t>
        </is>
      </c>
      <c r="V386" s="36" t="n">
        <v>335.5</v>
      </c>
      <c r="W386" s="39" t="n">
        <v>0.3</v>
      </c>
      <c r="X386" s="41">
        <f>IFERROR(V386+T386,"")</f>
        <v/>
      </c>
      <c r="Y386" s="41">
        <f>IFERROR(IF(W386&lt;1,X386/(1-W386),""),"")</f>
        <v/>
      </c>
      <c r="Z386" s="43">
        <f>'01_CONFIG_GLOBAL'!$C$14</f>
        <v/>
      </c>
      <c r="AA386" s="41">
        <f>IFERROR(Y386*Z386,"")</f>
        <v/>
      </c>
      <c r="AB386" s="41">
        <f>IFERROR(IF(Z386&lt;1,Y386/(1-Z386),""),"")</f>
        <v/>
      </c>
      <c r="AC386" s="23" t="n"/>
      <c r="AD386" s="36" t="n"/>
      <c r="AE386" s="23" t="n"/>
      <c r="AF386" s="36" t="n"/>
      <c r="AG386" s="23" t="n"/>
      <c r="AH386" s="36" t="n"/>
      <c r="AI386" s="41">
        <f>IFERROR(AVERAGE(AD386,AF386,AH386),"")</f>
        <v/>
      </c>
      <c r="AJ386" s="29">
        <f>IFERROR(IF(AI386="","sem dados",IF(AB386&lt;AI386*0.95,"abaixo",IF(AB386&gt;AI386*1.05,"acima","em linha"))),"")</f>
        <v/>
      </c>
      <c r="AK386" s="23" t="inlineStr">
        <is>
          <t>não</t>
        </is>
      </c>
      <c r="AL386" s="23" t="n"/>
      <c r="AM386" s="23" t="n"/>
      <c r="AN386" s="23" t="n"/>
      <c r="AO386" s="44">
        <f>A386</f>
        <v/>
      </c>
      <c r="AP386" s="44">
        <f>D386</f>
        <v/>
      </c>
    </row>
    <row r="387" hidden="1" ht="15.75" customHeight="1" s="93">
      <c r="A387" s="23" t="inlineStr">
        <is>
          <t>0.2206.F001252.0</t>
        </is>
      </c>
      <c r="B387" s="23" t="inlineStr">
        <is>
          <t>F001252</t>
        </is>
      </c>
      <c r="C387" s="29">
        <f>IFERROR(LOWER(SUBSTITUTE(SUBSTITUTE(SUBSTITUTE(SUBSTITUTE(D387," ","-"),"/","-"),".",""),",","")),"")</f>
        <v/>
      </c>
      <c r="D387" s="23" t="inlineStr">
        <is>
          <t>AAMFO 1 X 1/2 BSP</t>
        </is>
      </c>
      <c r="E387" s="23" t="n"/>
      <c r="F387" s="23" t="inlineStr">
        <is>
          <t>SOHIPREN</t>
        </is>
      </c>
      <c r="G387" s="23" t="n"/>
      <c r="H387" s="23" t="inlineStr">
        <is>
          <t>draft</t>
        </is>
      </c>
      <c r="I387" s="23" t="inlineStr">
        <is>
          <t>DYNAR</t>
        </is>
      </c>
      <c r="J387" s="23" t="n"/>
      <c r="K387" s="23" t="n"/>
      <c r="L387" s="23" t="inlineStr">
        <is>
          <t>AAMFO</t>
        </is>
      </c>
      <c r="M387" s="31" t="n"/>
      <c r="N387" s="31" t="n"/>
      <c r="O387" s="31" t="n"/>
      <c r="P387" s="31" t="n"/>
      <c r="Q387" s="31" t="n"/>
      <c r="R387" s="34">
        <f>IFERROR(IF(AND(O387&gt;0,P387&gt;0,Q387&gt;0),(O387*P387*Q387)/6000,""),"")</f>
        <v/>
      </c>
      <c r="S387" s="34">
        <f>IFERROR(IF(AND(N387&gt;0,R387&gt;0),MAX(N387,R387),IF(N387&gt;0,N387,IF(R387&gt;0,R387,""))),"")</f>
        <v/>
      </c>
      <c r="T387" s="36" t="n"/>
      <c r="U387" s="38" t="inlineStr">
        <is>
          <t>FALTA</t>
        </is>
      </c>
      <c r="V387" s="36" t="n">
        <v>335.5</v>
      </c>
      <c r="W387" s="39" t="n">
        <v>0.3</v>
      </c>
      <c r="X387" s="41">
        <f>IFERROR(V387+T387,"")</f>
        <v/>
      </c>
      <c r="Y387" s="41">
        <f>IFERROR(IF(W387&lt;1,X387/(1-W387),""),"")</f>
        <v/>
      </c>
      <c r="Z387" s="43">
        <f>'01_CONFIG_GLOBAL'!$C$14</f>
        <v/>
      </c>
      <c r="AA387" s="41">
        <f>IFERROR(Y387*Z387,"")</f>
        <v/>
      </c>
      <c r="AB387" s="41">
        <f>IFERROR(IF(Z387&lt;1,Y387/(1-Z387),""),"")</f>
        <v/>
      </c>
      <c r="AC387" s="23" t="n"/>
      <c r="AD387" s="36" t="n"/>
      <c r="AE387" s="23" t="n"/>
      <c r="AF387" s="36" t="n"/>
      <c r="AG387" s="23" t="n"/>
      <c r="AH387" s="36" t="n"/>
      <c r="AI387" s="41">
        <f>IFERROR(AVERAGE(AD387,AF387,AH387),"")</f>
        <v/>
      </c>
      <c r="AJ387" s="29">
        <f>IFERROR(IF(AI387="","sem dados",IF(AB387&lt;AI387*0.95,"abaixo",IF(AB387&gt;AI387*1.05,"acima","em linha"))),"")</f>
        <v/>
      </c>
      <c r="AK387" s="23" t="inlineStr">
        <is>
          <t>não</t>
        </is>
      </c>
      <c r="AL387" s="23" t="n"/>
      <c r="AM387" s="23" t="n"/>
      <c r="AN387" s="23" t="n"/>
      <c r="AO387" s="44">
        <f>A387</f>
        <v/>
      </c>
      <c r="AP387" s="44">
        <f>D387</f>
        <v/>
      </c>
    </row>
    <row r="388" hidden="1" ht="15.75" customHeight="1" s="93">
      <c r="A388" s="23" t="inlineStr">
        <is>
          <t>0.2206.F001250.0</t>
        </is>
      </c>
      <c r="B388" s="23" t="inlineStr">
        <is>
          <t>F001250</t>
        </is>
      </c>
      <c r="C388" s="29">
        <f>IFERROR(LOWER(SUBSTITUTE(SUBSTITUTE(SUBSTITUTE(SUBSTITUTE(D388," ","-"),"/","-"),".",""),",","")),"")</f>
        <v/>
      </c>
      <c r="D388" s="23" t="inlineStr">
        <is>
          <t>AJUM 8 X 3/8 BSP</t>
        </is>
      </c>
      <c r="E388" s="23" t="n"/>
      <c r="F388" s="23" t="inlineStr">
        <is>
          <t>SOHIPREN</t>
        </is>
      </c>
      <c r="G388" s="23" t="n"/>
      <c r="H388" s="23" t="inlineStr">
        <is>
          <t>draft</t>
        </is>
      </c>
      <c r="I388" s="23" t="inlineStr">
        <is>
          <t>DYNAR</t>
        </is>
      </c>
      <c r="J388" s="23" t="n"/>
      <c r="K388" s="23" t="n"/>
      <c r="L388" s="23" t="inlineStr">
        <is>
          <t>AJUM</t>
        </is>
      </c>
      <c r="M388" s="31" t="n"/>
      <c r="N388" s="31" t="n"/>
      <c r="O388" s="31" t="n"/>
      <c r="P388" s="31" t="n"/>
      <c r="Q388" s="31" t="n"/>
      <c r="R388" s="34">
        <f>IFERROR(IF(AND(O388&gt;0,P388&gt;0,Q388&gt;0),(O388*P388*Q388)/6000,""),"")</f>
        <v/>
      </c>
      <c r="S388" s="34">
        <f>IFERROR(IF(AND(N388&gt;0,R388&gt;0),MAX(N388,R388),IF(N388&gt;0,N388,IF(R388&gt;0,R388,""))),"")</f>
        <v/>
      </c>
      <c r="T388" s="36" t="n"/>
      <c r="U388" s="38" t="inlineStr">
        <is>
          <t>FALTA</t>
        </is>
      </c>
      <c r="V388" s="36" t="n">
        <v>335.5</v>
      </c>
      <c r="W388" s="39" t="n">
        <v>0.3</v>
      </c>
      <c r="X388" s="41">
        <f>IFERROR(V388+T388,"")</f>
        <v/>
      </c>
      <c r="Y388" s="41">
        <f>IFERROR(IF(W388&lt;1,X388/(1-W388),""),"")</f>
        <v/>
      </c>
      <c r="Z388" s="43">
        <f>'01_CONFIG_GLOBAL'!$C$14</f>
        <v/>
      </c>
      <c r="AA388" s="41">
        <f>IFERROR(Y388*Z388,"")</f>
        <v/>
      </c>
      <c r="AB388" s="41">
        <f>IFERROR(IF(Z388&lt;1,Y388/(1-Z388),""),"")</f>
        <v/>
      </c>
      <c r="AC388" s="23" t="n"/>
      <c r="AD388" s="36" t="n"/>
      <c r="AE388" s="23" t="n"/>
      <c r="AF388" s="36" t="n"/>
      <c r="AG388" s="23" t="n"/>
      <c r="AH388" s="36" t="n"/>
      <c r="AI388" s="41">
        <f>IFERROR(AVERAGE(AD388,AF388,AH388),"")</f>
        <v/>
      </c>
      <c r="AJ388" s="29">
        <f>IFERROR(IF(AI388="","sem dados",IF(AB388&lt;AI388*0.95,"abaixo",IF(AB388&gt;AI388*1.05,"acima","em linha"))),"")</f>
        <v/>
      </c>
      <c r="AK388" s="23" t="inlineStr">
        <is>
          <t>não</t>
        </is>
      </c>
      <c r="AL388" s="23" t="n"/>
      <c r="AM388" s="23" t="n"/>
      <c r="AN388" s="23" t="n"/>
      <c r="AO388" s="44">
        <f>A388</f>
        <v/>
      </c>
      <c r="AP388" s="44">
        <f>D388</f>
        <v/>
      </c>
    </row>
    <row r="389" hidden="1" ht="15.75" customHeight="1" s="93">
      <c r="A389" s="23" t="inlineStr">
        <is>
          <t>0.2206.F001242.0</t>
        </is>
      </c>
      <c r="B389" s="23" t="inlineStr">
        <is>
          <t>F001242</t>
        </is>
      </c>
      <c r="C389" s="29">
        <f>IFERROR(LOWER(SUBSTITUTE(SUBSTITUTE(SUBSTITUTE(SUBSTITUTE(D389," ","-"),"/","-"),".",""),",","")),"")</f>
        <v/>
      </c>
      <c r="D389" s="23" t="inlineStr">
        <is>
          <t>XAEUMO 10L X 3/8 BSP</t>
        </is>
      </c>
      <c r="E389" s="23" t="n"/>
      <c r="F389" s="23" t="inlineStr">
        <is>
          <t>SOHIPREN</t>
        </is>
      </c>
      <c r="G389" s="23" t="n"/>
      <c r="H389" s="23" t="inlineStr">
        <is>
          <t>draft</t>
        </is>
      </c>
      <c r="I389" s="23" t="inlineStr">
        <is>
          <t>DYNAR</t>
        </is>
      </c>
      <c r="J389" s="23" t="n"/>
      <c r="K389" s="23" t="n"/>
      <c r="L389" s="23" t="inlineStr">
        <is>
          <t>XAEUMO</t>
        </is>
      </c>
      <c r="M389" s="31" t="n"/>
      <c r="N389" s="31" t="n"/>
      <c r="O389" s="31" t="n"/>
      <c r="P389" s="31" t="n"/>
      <c r="Q389" s="31" t="n"/>
      <c r="R389" s="34">
        <f>IFERROR(IF(AND(O389&gt;0,P389&gt;0,Q389&gt;0),(O389*P389*Q389)/6000,""),"")</f>
        <v/>
      </c>
      <c r="S389" s="34">
        <f>IFERROR(IF(AND(N389&gt;0,R389&gt;0),MAX(N389,R389),IF(N389&gt;0,N389,IF(R389&gt;0,R389,""))),"")</f>
        <v/>
      </c>
      <c r="T389" s="36" t="n"/>
      <c r="U389" s="38" t="inlineStr">
        <is>
          <t>FALTA</t>
        </is>
      </c>
      <c r="V389" s="36" t="n">
        <v>335.5</v>
      </c>
      <c r="W389" s="39" t="n">
        <v>0.3</v>
      </c>
      <c r="X389" s="41">
        <f>IFERROR(V389+T389,"")</f>
        <v/>
      </c>
      <c r="Y389" s="41">
        <f>IFERROR(IF(W389&lt;1,X389/(1-W389),""),"")</f>
        <v/>
      </c>
      <c r="Z389" s="43">
        <f>'01_CONFIG_GLOBAL'!$C$14</f>
        <v/>
      </c>
      <c r="AA389" s="41">
        <f>IFERROR(Y389*Z389,"")</f>
        <v/>
      </c>
      <c r="AB389" s="41">
        <f>IFERROR(IF(Z389&lt;1,Y389/(1-Z389),""),"")</f>
        <v/>
      </c>
      <c r="AC389" s="23" t="n"/>
      <c r="AD389" s="36" t="n"/>
      <c r="AE389" s="23" t="n"/>
      <c r="AF389" s="36" t="n"/>
      <c r="AG389" s="23" t="n"/>
      <c r="AH389" s="36" t="n"/>
      <c r="AI389" s="41">
        <f>IFERROR(AVERAGE(AD389,AF389,AH389),"")</f>
        <v/>
      </c>
      <c r="AJ389" s="29">
        <f>IFERROR(IF(AI389="","sem dados",IF(AB389&lt;AI389*0.95,"abaixo",IF(AB389&gt;AI389*1.05,"acima","em linha"))),"")</f>
        <v/>
      </c>
      <c r="AK389" s="23" t="inlineStr">
        <is>
          <t>não</t>
        </is>
      </c>
      <c r="AL389" s="23" t="n"/>
      <c r="AM389" s="23" t="n"/>
      <c r="AN389" s="23" t="n"/>
      <c r="AO389" s="44">
        <f>A389</f>
        <v/>
      </c>
      <c r="AP389" s="44">
        <f>D389</f>
        <v/>
      </c>
    </row>
    <row r="390" hidden="1" ht="15.75" customHeight="1" s="93">
      <c r="A390" s="23" t="inlineStr">
        <is>
          <t>0.2206.F001240.0</t>
        </is>
      </c>
      <c r="B390" s="23" t="inlineStr">
        <is>
          <t>F001240</t>
        </is>
      </c>
      <c r="C390" s="29">
        <f>IFERROR(LOWER(SUBSTITUTE(SUBSTITUTE(SUBSTITUTE(SUBSTITUTE(D390," ","-"),"/","-"),".",""),",","")),"")</f>
        <v/>
      </c>
      <c r="D390" s="23" t="inlineStr">
        <is>
          <t>AAMFO 1 X 3/8 BSP</t>
        </is>
      </c>
      <c r="E390" s="23" t="n"/>
      <c r="F390" s="23" t="inlineStr">
        <is>
          <t>SOHIPREN</t>
        </is>
      </c>
      <c r="G390" s="23" t="n"/>
      <c r="H390" s="23" t="inlineStr">
        <is>
          <t>draft</t>
        </is>
      </c>
      <c r="I390" s="23" t="inlineStr">
        <is>
          <t>DYNAR</t>
        </is>
      </c>
      <c r="J390" s="23" t="n"/>
      <c r="K390" s="23" t="n"/>
      <c r="L390" s="23" t="inlineStr">
        <is>
          <t>AAMFO</t>
        </is>
      </c>
      <c r="M390" s="31" t="n"/>
      <c r="N390" s="31" t="n"/>
      <c r="O390" s="31" t="n"/>
      <c r="P390" s="31" t="n"/>
      <c r="Q390" s="31" t="n"/>
      <c r="R390" s="34">
        <f>IFERROR(IF(AND(O390&gt;0,P390&gt;0,Q390&gt;0),(O390*P390*Q390)/6000,""),"")</f>
        <v/>
      </c>
      <c r="S390" s="34">
        <f>IFERROR(IF(AND(N390&gt;0,R390&gt;0),MAX(N390,R390),IF(N390&gt;0,N390,IF(R390&gt;0,R390,""))),"")</f>
        <v/>
      </c>
      <c r="T390" s="36" t="n"/>
      <c r="U390" s="38" t="inlineStr">
        <is>
          <t>FALTA</t>
        </is>
      </c>
      <c r="V390" s="36" t="n">
        <v>335.5</v>
      </c>
      <c r="W390" s="39" t="n">
        <v>0.3</v>
      </c>
      <c r="X390" s="41">
        <f>IFERROR(V390+T390,"")</f>
        <v/>
      </c>
      <c r="Y390" s="41">
        <f>IFERROR(IF(W390&lt;1,X390/(1-W390),""),"")</f>
        <v/>
      </c>
      <c r="Z390" s="43">
        <f>'01_CONFIG_GLOBAL'!$C$14</f>
        <v/>
      </c>
      <c r="AA390" s="41">
        <f>IFERROR(Y390*Z390,"")</f>
        <v/>
      </c>
      <c r="AB390" s="41">
        <f>IFERROR(IF(Z390&lt;1,Y390/(1-Z390),""),"")</f>
        <v/>
      </c>
      <c r="AC390" s="23" t="n"/>
      <c r="AD390" s="36" t="n"/>
      <c r="AE390" s="23" t="n"/>
      <c r="AF390" s="36" t="n"/>
      <c r="AG390" s="23" t="n"/>
      <c r="AH390" s="36" t="n"/>
      <c r="AI390" s="41">
        <f>IFERROR(AVERAGE(AD390,AF390,AH390),"")</f>
        <v/>
      </c>
      <c r="AJ390" s="29">
        <f>IFERROR(IF(AI390="","sem dados",IF(AB390&lt;AI390*0.95,"abaixo",IF(AB390&gt;AI390*1.05,"acima","em linha"))),"")</f>
        <v/>
      </c>
      <c r="AK390" s="23" t="inlineStr">
        <is>
          <t>não</t>
        </is>
      </c>
      <c r="AL390" s="23" t="n"/>
      <c r="AM390" s="23" t="n"/>
      <c r="AN390" s="23" t="n"/>
      <c r="AO390" s="44">
        <f>A390</f>
        <v/>
      </c>
      <c r="AP390" s="44">
        <f>D390</f>
        <v/>
      </c>
    </row>
    <row r="391" hidden="1" ht="15.75" customHeight="1" s="93">
      <c r="A391" s="23" t="inlineStr">
        <is>
          <t>0.2206.F001241.0</t>
        </is>
      </c>
      <c r="B391" s="23" t="inlineStr">
        <is>
          <t>F001241</t>
        </is>
      </c>
      <c r="C391" s="29">
        <f>IFERROR(LOWER(SUBSTITUTE(SUBSTITUTE(SUBSTITUTE(SUBSTITUTE(D391," ","-"),"/","-"),".",""),",","")),"")</f>
        <v/>
      </c>
      <c r="D391" s="23" t="inlineStr">
        <is>
          <t>XAEUMO 8L X 3/8 BSP</t>
        </is>
      </c>
      <c r="E391" s="23" t="n"/>
      <c r="F391" s="23" t="inlineStr">
        <is>
          <t>SOHIPREN</t>
        </is>
      </c>
      <c r="G391" s="23" t="n"/>
      <c r="H391" s="23" t="inlineStr">
        <is>
          <t>draft</t>
        </is>
      </c>
      <c r="I391" s="23" t="inlineStr">
        <is>
          <t>DYNAR</t>
        </is>
      </c>
      <c r="J391" s="23" t="n"/>
      <c r="K391" s="23" t="n"/>
      <c r="L391" s="23" t="inlineStr">
        <is>
          <t>XAEUMO</t>
        </is>
      </c>
      <c r="M391" s="31" t="n"/>
      <c r="N391" s="31" t="n"/>
      <c r="O391" s="31" t="n"/>
      <c r="P391" s="31" t="n"/>
      <c r="Q391" s="31" t="n"/>
      <c r="R391" s="34">
        <f>IFERROR(IF(AND(O391&gt;0,P391&gt;0,Q391&gt;0),(O391*P391*Q391)/6000,""),"")</f>
        <v/>
      </c>
      <c r="S391" s="34">
        <f>IFERROR(IF(AND(N391&gt;0,R391&gt;0),MAX(N391,R391),IF(N391&gt;0,N391,IF(R391&gt;0,R391,""))),"")</f>
        <v/>
      </c>
      <c r="T391" s="36" t="n"/>
      <c r="U391" s="38" t="inlineStr">
        <is>
          <t>FALTA</t>
        </is>
      </c>
      <c r="V391" s="36" t="n">
        <v>335.5</v>
      </c>
      <c r="W391" s="39" t="n">
        <v>0.3</v>
      </c>
      <c r="X391" s="41">
        <f>IFERROR(V391+T391,"")</f>
        <v/>
      </c>
      <c r="Y391" s="41">
        <f>IFERROR(IF(W391&lt;1,X391/(1-W391),""),"")</f>
        <v/>
      </c>
      <c r="Z391" s="43">
        <f>'01_CONFIG_GLOBAL'!$C$14</f>
        <v/>
      </c>
      <c r="AA391" s="41">
        <f>IFERROR(Y391*Z391,"")</f>
        <v/>
      </c>
      <c r="AB391" s="41">
        <f>IFERROR(IF(Z391&lt;1,Y391/(1-Z391),""),"")</f>
        <v/>
      </c>
      <c r="AC391" s="23" t="n"/>
      <c r="AD391" s="36" t="n"/>
      <c r="AE391" s="23" t="n"/>
      <c r="AF391" s="36" t="n"/>
      <c r="AG391" s="23" t="n"/>
      <c r="AH391" s="36" t="n"/>
      <c r="AI391" s="41">
        <f>IFERROR(AVERAGE(AD391,AF391,AH391),"")</f>
        <v/>
      </c>
      <c r="AJ391" s="29">
        <f>IFERROR(IF(AI391="","sem dados",IF(AB391&lt;AI391*0.95,"abaixo",IF(AB391&gt;AI391*1.05,"acima","em linha"))),"")</f>
        <v/>
      </c>
      <c r="AK391" s="23" t="inlineStr">
        <is>
          <t>não</t>
        </is>
      </c>
      <c r="AL391" s="23" t="n"/>
      <c r="AM391" s="23" t="n"/>
      <c r="AN391" s="23" t="n"/>
      <c r="AO391" s="44">
        <f>A391</f>
        <v/>
      </c>
      <c r="AP391" s="44">
        <f>D391</f>
        <v/>
      </c>
    </row>
    <row r="392" hidden="1" ht="15.75" customHeight="1" s="93">
      <c r="A392" s="23" t="inlineStr">
        <is>
          <t>0.2206.F001249.0</t>
        </is>
      </c>
      <c r="B392" s="23" t="inlineStr">
        <is>
          <t>F001249</t>
        </is>
      </c>
      <c r="C392" s="29">
        <f>IFERROR(LOWER(SUBSTITUTE(SUBSTITUTE(SUBSTITUTE(SUBSTITUTE(D392," ","-"),"/","-"),".",""),",","")),"")</f>
        <v/>
      </c>
      <c r="D392" s="23" t="inlineStr">
        <is>
          <t>AJUM 6 X 3/8 BSP</t>
        </is>
      </c>
      <c r="E392" s="23" t="n"/>
      <c r="F392" s="23" t="inlineStr">
        <is>
          <t>SOHIPREN</t>
        </is>
      </c>
      <c r="G392" s="23" t="n"/>
      <c r="H392" s="23" t="inlineStr">
        <is>
          <t>draft</t>
        </is>
      </c>
      <c r="I392" s="23" t="inlineStr">
        <is>
          <t>DYNAR</t>
        </is>
      </c>
      <c r="J392" s="23" t="n"/>
      <c r="K392" s="23" t="n"/>
      <c r="L392" s="23" t="inlineStr">
        <is>
          <t>AJUM</t>
        </is>
      </c>
      <c r="M392" s="31" t="n"/>
      <c r="N392" s="31" t="n"/>
      <c r="O392" s="31" t="n"/>
      <c r="P392" s="31" t="n"/>
      <c r="Q392" s="31" t="n"/>
      <c r="R392" s="34">
        <f>IFERROR(IF(AND(O392&gt;0,P392&gt;0,Q392&gt;0),(O392*P392*Q392)/6000,""),"")</f>
        <v/>
      </c>
      <c r="S392" s="34">
        <f>IFERROR(IF(AND(N392&gt;0,R392&gt;0),MAX(N392,R392),IF(N392&gt;0,N392,IF(R392&gt;0,R392,""))),"")</f>
        <v/>
      </c>
      <c r="T392" s="36" t="n"/>
      <c r="U392" s="38" t="inlineStr">
        <is>
          <t>FALTA</t>
        </is>
      </c>
      <c r="V392" s="36" t="n">
        <v>335.5</v>
      </c>
      <c r="W392" s="39" t="n">
        <v>0.3</v>
      </c>
      <c r="X392" s="41">
        <f>IFERROR(V392+T392,"")</f>
        <v/>
      </c>
      <c r="Y392" s="41">
        <f>IFERROR(IF(W392&lt;1,X392/(1-W392),""),"")</f>
        <v/>
      </c>
      <c r="Z392" s="43">
        <f>'01_CONFIG_GLOBAL'!$C$14</f>
        <v/>
      </c>
      <c r="AA392" s="41">
        <f>IFERROR(Y392*Z392,"")</f>
        <v/>
      </c>
      <c r="AB392" s="41">
        <f>IFERROR(IF(Z392&lt;1,Y392/(1-Z392),""),"")</f>
        <v/>
      </c>
      <c r="AC392" s="23" t="n"/>
      <c r="AD392" s="36" t="n"/>
      <c r="AE392" s="23" t="n"/>
      <c r="AF392" s="36" t="n"/>
      <c r="AG392" s="23" t="n"/>
      <c r="AH392" s="36" t="n"/>
      <c r="AI392" s="41">
        <f>IFERROR(AVERAGE(AD392,AF392,AH392),"")</f>
        <v/>
      </c>
      <c r="AJ392" s="29">
        <f>IFERROR(IF(AI392="","sem dados",IF(AB392&lt;AI392*0.95,"abaixo",IF(AB392&gt;AI392*1.05,"acima","em linha"))),"")</f>
        <v/>
      </c>
      <c r="AK392" s="23" t="inlineStr">
        <is>
          <t>não</t>
        </is>
      </c>
      <c r="AL392" s="23" t="n"/>
      <c r="AM392" s="23" t="n"/>
      <c r="AN392" s="23" t="n"/>
      <c r="AO392" s="44">
        <f>A392</f>
        <v/>
      </c>
      <c r="AP392" s="44">
        <f>D392</f>
        <v/>
      </c>
    </row>
    <row r="393" hidden="1" ht="15.75" customHeight="1" s="93">
      <c r="A393" s="23" t="inlineStr">
        <is>
          <t>0.2206.F001243.0</t>
        </is>
      </c>
      <c r="B393" s="23" t="inlineStr">
        <is>
          <t>F001243</t>
        </is>
      </c>
      <c r="C393" s="29">
        <f>IFERROR(LOWER(SUBSTITUTE(SUBSTITUTE(SUBSTITUTE(SUBSTITUTE(D393," ","-"),"/","-"),".",""),",","")),"")</f>
        <v/>
      </c>
      <c r="D393" s="23" t="inlineStr">
        <is>
          <t>DY - XAEUMO 15 X 1 BSP</t>
        </is>
      </c>
      <c r="E393" s="23" t="n"/>
      <c r="F393" s="23" t="inlineStr">
        <is>
          <t>SOHIPREN</t>
        </is>
      </c>
      <c r="G393" s="23" t="n"/>
      <c r="H393" s="23" t="inlineStr">
        <is>
          <t>draft</t>
        </is>
      </c>
      <c r="I393" s="23" t="inlineStr">
        <is>
          <t>DYNAR</t>
        </is>
      </c>
      <c r="J393" s="23" t="n"/>
      <c r="K393" s="23" t="n"/>
      <c r="L393" s="23" t="inlineStr">
        <is>
          <t>DY - XAEUMO</t>
        </is>
      </c>
      <c r="M393" s="31" t="n"/>
      <c r="N393" s="31" t="n"/>
      <c r="O393" s="31" t="n"/>
      <c r="P393" s="31" t="n"/>
      <c r="Q393" s="31" t="n"/>
      <c r="R393" s="34">
        <f>IFERROR(IF(AND(O393&gt;0,P393&gt;0,Q393&gt;0),(O393*P393*Q393)/6000,""),"")</f>
        <v/>
      </c>
      <c r="S393" s="34">
        <f>IFERROR(IF(AND(N393&gt;0,R393&gt;0),MAX(N393,R393),IF(N393&gt;0,N393,IF(R393&gt;0,R393,""))),"")</f>
        <v/>
      </c>
      <c r="T393" s="36" t="n"/>
      <c r="U393" s="38" t="inlineStr">
        <is>
          <t>FALTA</t>
        </is>
      </c>
      <c r="V393" s="36" t="n">
        <v>335.5</v>
      </c>
      <c r="W393" s="39" t="n">
        <v>0.3</v>
      </c>
      <c r="X393" s="41">
        <f>IFERROR(V393+T393,"")</f>
        <v/>
      </c>
      <c r="Y393" s="41">
        <f>IFERROR(IF(W393&lt;1,X393/(1-W393),""),"")</f>
        <v/>
      </c>
      <c r="Z393" s="43">
        <f>'01_CONFIG_GLOBAL'!$C$14</f>
        <v/>
      </c>
      <c r="AA393" s="41">
        <f>IFERROR(Y393*Z393,"")</f>
        <v/>
      </c>
      <c r="AB393" s="41">
        <f>IFERROR(IF(Z393&lt;1,Y393/(1-Z393),""),"")</f>
        <v/>
      </c>
      <c r="AC393" s="23" t="n"/>
      <c r="AD393" s="36" t="n"/>
      <c r="AE393" s="23" t="n"/>
      <c r="AF393" s="36" t="n"/>
      <c r="AG393" s="23" t="n"/>
      <c r="AH393" s="36" t="n"/>
      <c r="AI393" s="41">
        <f>IFERROR(AVERAGE(AD393,AF393,AH393),"")</f>
        <v/>
      </c>
      <c r="AJ393" s="29">
        <f>IFERROR(IF(AI393="","sem dados",IF(AB393&lt;AI393*0.95,"abaixo",IF(AB393&gt;AI393*1.05,"acima","em linha"))),"")</f>
        <v/>
      </c>
      <c r="AK393" s="23" t="inlineStr">
        <is>
          <t>não</t>
        </is>
      </c>
      <c r="AL393" s="23" t="n"/>
      <c r="AM393" s="23" t="n"/>
      <c r="AN393" s="23" t="n"/>
      <c r="AO393" s="44">
        <f>A393</f>
        <v/>
      </c>
      <c r="AP393" s="44">
        <f>D393</f>
        <v/>
      </c>
    </row>
    <row r="394" hidden="1" ht="15.75" customHeight="1" s="93">
      <c r="A394" s="23" t="inlineStr">
        <is>
          <t>0.2206.F001244.0</t>
        </is>
      </c>
      <c r="B394" s="23" t="inlineStr">
        <is>
          <t>F001244</t>
        </is>
      </c>
      <c r="C394" s="29">
        <f>IFERROR(LOWER(SUBSTITUTE(SUBSTITUTE(SUBSTITUTE(SUBSTITUTE(D394," ","-"),"/","-"),".",""),",","")),"")</f>
        <v/>
      </c>
      <c r="D394" s="23" t="inlineStr">
        <is>
          <t>XAEUMO 16 X 1 BSP</t>
        </is>
      </c>
      <c r="E394" s="23" t="n"/>
      <c r="F394" s="23" t="inlineStr">
        <is>
          <t>SOHIPREN</t>
        </is>
      </c>
      <c r="G394" s="23" t="n"/>
      <c r="H394" s="23" t="inlineStr">
        <is>
          <t>draft</t>
        </is>
      </c>
      <c r="I394" s="23" t="inlineStr">
        <is>
          <t>DYNAR</t>
        </is>
      </c>
      <c r="J394" s="23" t="n"/>
      <c r="K394" s="23" t="n"/>
      <c r="L394" s="23" t="inlineStr">
        <is>
          <t>XAEUMO</t>
        </is>
      </c>
      <c r="M394" s="31" t="n"/>
      <c r="N394" s="31" t="n"/>
      <c r="O394" s="31" t="n"/>
      <c r="P394" s="31" t="n"/>
      <c r="Q394" s="31" t="n"/>
      <c r="R394" s="34">
        <f>IFERROR(IF(AND(O394&gt;0,P394&gt;0,Q394&gt;0),(O394*P394*Q394)/6000,""),"")</f>
        <v/>
      </c>
      <c r="S394" s="34">
        <f>IFERROR(IF(AND(N394&gt;0,R394&gt;0),MAX(N394,R394),IF(N394&gt;0,N394,IF(R394&gt;0,R394,""))),"")</f>
        <v/>
      </c>
      <c r="T394" s="36" t="n"/>
      <c r="U394" s="38" t="inlineStr">
        <is>
          <t>FALTA</t>
        </is>
      </c>
      <c r="V394" s="36" t="n">
        <v>335.5</v>
      </c>
      <c r="W394" s="39" t="n">
        <v>0.3</v>
      </c>
      <c r="X394" s="41">
        <f>IFERROR(V394+T394,"")</f>
        <v/>
      </c>
      <c r="Y394" s="41">
        <f>IFERROR(IF(W394&lt;1,X394/(1-W394),""),"")</f>
        <v/>
      </c>
      <c r="Z394" s="43">
        <f>'01_CONFIG_GLOBAL'!$C$14</f>
        <v/>
      </c>
      <c r="AA394" s="41">
        <f>IFERROR(Y394*Z394,"")</f>
        <v/>
      </c>
      <c r="AB394" s="41">
        <f>IFERROR(IF(Z394&lt;1,Y394/(1-Z394),""),"")</f>
        <v/>
      </c>
      <c r="AC394" s="23" t="n"/>
      <c r="AD394" s="36" t="n"/>
      <c r="AE394" s="23" t="n"/>
      <c r="AF394" s="36" t="n"/>
      <c r="AG394" s="23" t="n"/>
      <c r="AH394" s="36" t="n"/>
      <c r="AI394" s="41">
        <f>IFERROR(AVERAGE(AD394,AF394,AH394),"")</f>
        <v/>
      </c>
      <c r="AJ394" s="29">
        <f>IFERROR(IF(AI394="","sem dados",IF(AB394&lt;AI394*0.95,"abaixo",IF(AB394&gt;AI394*1.05,"acima","em linha"))),"")</f>
        <v/>
      </c>
      <c r="AK394" s="23" t="inlineStr">
        <is>
          <t>não</t>
        </is>
      </c>
      <c r="AL394" s="23" t="n"/>
      <c r="AM394" s="23" t="n"/>
      <c r="AN394" s="23" t="n"/>
      <c r="AO394" s="44">
        <f>A394</f>
        <v/>
      </c>
      <c r="AP394" s="44">
        <f>D394</f>
        <v/>
      </c>
    </row>
    <row r="395" hidden="1" ht="15.75" customHeight="1" s="93">
      <c r="A395" s="23" t="inlineStr">
        <is>
          <t>0.2206.F001245.0</t>
        </is>
      </c>
      <c r="B395" s="23" t="inlineStr">
        <is>
          <t>F001245</t>
        </is>
      </c>
      <c r="C395" s="29">
        <f>IFERROR(LOWER(SUBSTITUTE(SUBSTITUTE(SUBSTITUTE(SUBSTITUTE(D395," ","-"),"/","-"),".",""),",","")),"")</f>
        <v/>
      </c>
      <c r="D395" s="23" t="inlineStr">
        <is>
          <t>XAEUMO 18 X 1 BSP</t>
        </is>
      </c>
      <c r="E395" s="23" t="n"/>
      <c r="F395" s="23" t="inlineStr">
        <is>
          <t>SOHIPREN</t>
        </is>
      </c>
      <c r="G395" s="23" t="n"/>
      <c r="H395" s="23" t="inlineStr">
        <is>
          <t>draft</t>
        </is>
      </c>
      <c r="I395" s="23" t="inlineStr">
        <is>
          <t>DYNAR</t>
        </is>
      </c>
      <c r="J395" s="23" t="n"/>
      <c r="K395" s="23" t="n"/>
      <c r="L395" s="23" t="inlineStr">
        <is>
          <t>XAEUMO</t>
        </is>
      </c>
      <c r="M395" s="31" t="n"/>
      <c r="N395" s="31" t="n"/>
      <c r="O395" s="31" t="n"/>
      <c r="P395" s="31" t="n"/>
      <c r="Q395" s="31" t="n"/>
      <c r="R395" s="34">
        <f>IFERROR(IF(AND(O395&gt;0,P395&gt;0,Q395&gt;0),(O395*P395*Q395)/6000,""),"")</f>
        <v/>
      </c>
      <c r="S395" s="34">
        <f>IFERROR(IF(AND(N395&gt;0,R395&gt;0),MAX(N395,R395),IF(N395&gt;0,N395,IF(R395&gt;0,R395,""))),"")</f>
        <v/>
      </c>
      <c r="T395" s="36" t="n"/>
      <c r="U395" s="38" t="inlineStr">
        <is>
          <t>FALTA</t>
        </is>
      </c>
      <c r="V395" s="36" t="n">
        <v>335.5</v>
      </c>
      <c r="W395" s="39" t="n">
        <v>0.3</v>
      </c>
      <c r="X395" s="41">
        <f>IFERROR(V395+T395,"")</f>
        <v/>
      </c>
      <c r="Y395" s="41">
        <f>IFERROR(IF(W395&lt;1,X395/(1-W395),""),"")</f>
        <v/>
      </c>
      <c r="Z395" s="43">
        <f>'01_CONFIG_GLOBAL'!$C$14</f>
        <v/>
      </c>
      <c r="AA395" s="41">
        <f>IFERROR(Y395*Z395,"")</f>
        <v/>
      </c>
      <c r="AB395" s="41">
        <f>IFERROR(IF(Z395&lt;1,Y395/(1-Z395),""),"")</f>
        <v/>
      </c>
      <c r="AC395" s="23" t="n"/>
      <c r="AD395" s="36" t="n"/>
      <c r="AE395" s="23" t="n"/>
      <c r="AF395" s="36" t="n"/>
      <c r="AG395" s="23" t="n"/>
      <c r="AH395" s="36" t="n"/>
      <c r="AI395" s="41">
        <f>IFERROR(AVERAGE(AD395,AF395,AH395),"")</f>
        <v/>
      </c>
      <c r="AJ395" s="29">
        <f>IFERROR(IF(AI395="","sem dados",IF(AB395&lt;AI395*0.95,"abaixo",IF(AB395&gt;AI395*1.05,"acima","em linha"))),"")</f>
        <v/>
      </c>
      <c r="AK395" s="23" t="inlineStr">
        <is>
          <t>não</t>
        </is>
      </c>
      <c r="AL395" s="23" t="n"/>
      <c r="AM395" s="23" t="n"/>
      <c r="AN395" s="23" t="n"/>
      <c r="AO395" s="44">
        <f>A395</f>
        <v/>
      </c>
      <c r="AP395" s="44">
        <f>D395</f>
        <v/>
      </c>
    </row>
    <row r="396" hidden="1" ht="15.75" customHeight="1" s="93">
      <c r="A396" s="23" t="inlineStr">
        <is>
          <t>0.2206.F001247.0</t>
        </is>
      </c>
      <c r="B396" s="23" t="inlineStr">
        <is>
          <t>F001247</t>
        </is>
      </c>
      <c r="C396" s="29">
        <f>IFERROR(LOWER(SUBSTITUTE(SUBSTITUTE(SUBSTITUTE(SUBSTITUTE(D396," ","-"),"/","-"),".",""),",","")),"")</f>
        <v/>
      </c>
      <c r="D396" s="23" t="inlineStr">
        <is>
          <t>XAEUMO 22 X 1 BSP</t>
        </is>
      </c>
      <c r="E396" s="23" t="n"/>
      <c r="F396" s="23" t="inlineStr">
        <is>
          <t>SOHIPREN</t>
        </is>
      </c>
      <c r="G396" s="23" t="n"/>
      <c r="H396" s="23" t="inlineStr">
        <is>
          <t>draft</t>
        </is>
      </c>
      <c r="I396" s="23" t="inlineStr">
        <is>
          <t>DYNAR</t>
        </is>
      </c>
      <c r="J396" s="23" t="n"/>
      <c r="K396" s="23" t="n"/>
      <c r="L396" s="23" t="inlineStr">
        <is>
          <t>XAEUMO</t>
        </is>
      </c>
      <c r="M396" s="31" t="n"/>
      <c r="N396" s="31" t="n"/>
      <c r="O396" s="31" t="n"/>
      <c r="P396" s="31" t="n"/>
      <c r="Q396" s="31" t="n"/>
      <c r="R396" s="34">
        <f>IFERROR(IF(AND(O396&gt;0,P396&gt;0,Q396&gt;0),(O396*P396*Q396)/6000,""),"")</f>
        <v/>
      </c>
      <c r="S396" s="34">
        <f>IFERROR(IF(AND(N396&gt;0,R396&gt;0),MAX(N396,R396),IF(N396&gt;0,N396,IF(R396&gt;0,R396,""))),"")</f>
        <v/>
      </c>
      <c r="T396" s="36" t="n"/>
      <c r="U396" s="38" t="inlineStr">
        <is>
          <t>FALTA</t>
        </is>
      </c>
      <c r="V396" s="36" t="n">
        <v>335.5</v>
      </c>
      <c r="W396" s="39" t="n">
        <v>0.3</v>
      </c>
      <c r="X396" s="41">
        <f>IFERROR(V396+T396,"")</f>
        <v/>
      </c>
      <c r="Y396" s="41">
        <f>IFERROR(IF(W396&lt;1,X396/(1-W396),""),"")</f>
        <v/>
      </c>
      <c r="Z396" s="43">
        <f>'01_CONFIG_GLOBAL'!$C$14</f>
        <v/>
      </c>
      <c r="AA396" s="41">
        <f>IFERROR(Y396*Z396,"")</f>
        <v/>
      </c>
      <c r="AB396" s="41">
        <f>IFERROR(IF(Z396&lt;1,Y396/(1-Z396),""),"")</f>
        <v/>
      </c>
      <c r="AC396" s="23" t="n"/>
      <c r="AD396" s="36" t="n"/>
      <c r="AE396" s="23" t="n"/>
      <c r="AF396" s="36" t="n"/>
      <c r="AG396" s="23" t="n"/>
      <c r="AH396" s="36" t="n"/>
      <c r="AI396" s="41">
        <f>IFERROR(AVERAGE(AD396,AF396,AH396),"")</f>
        <v/>
      </c>
      <c r="AJ396" s="29">
        <f>IFERROR(IF(AI396="","sem dados",IF(AB396&lt;AI396*0.95,"abaixo",IF(AB396&gt;AI396*1.05,"acima","em linha"))),"")</f>
        <v/>
      </c>
      <c r="AK396" s="23" t="inlineStr">
        <is>
          <t>não</t>
        </is>
      </c>
      <c r="AL396" s="23" t="n"/>
      <c r="AM396" s="23" t="n"/>
      <c r="AN396" s="23" t="n"/>
      <c r="AO396" s="44">
        <f>A396</f>
        <v/>
      </c>
      <c r="AP396" s="44">
        <f>D396</f>
        <v/>
      </c>
    </row>
    <row r="397" hidden="1" ht="15.75" customHeight="1" s="93">
      <c r="A397" s="23" t="inlineStr">
        <is>
          <t>0.2206.F001248.0</t>
        </is>
      </c>
      <c r="B397" s="23" t="inlineStr">
        <is>
          <t>F001248</t>
        </is>
      </c>
      <c r="C397" s="29">
        <f>IFERROR(LOWER(SUBSTITUTE(SUBSTITUTE(SUBSTITUTE(SUBSTITUTE(D397," ","-"),"/","-"),".",""),",","")),"")</f>
        <v/>
      </c>
      <c r="D397" s="23" t="inlineStr">
        <is>
          <t>XAEUMO 25 X 1 BSP</t>
        </is>
      </c>
      <c r="E397" s="23" t="n"/>
      <c r="F397" s="23" t="inlineStr">
        <is>
          <t>SOHIPREN</t>
        </is>
      </c>
      <c r="G397" s="23" t="n"/>
      <c r="H397" s="23" t="inlineStr">
        <is>
          <t>draft</t>
        </is>
      </c>
      <c r="I397" s="23" t="inlineStr">
        <is>
          <t>DYNAR</t>
        </is>
      </c>
      <c r="J397" s="23" t="n"/>
      <c r="K397" s="23" t="n"/>
      <c r="L397" s="23" t="inlineStr">
        <is>
          <t>XAEUMO</t>
        </is>
      </c>
      <c r="M397" s="31" t="n"/>
      <c r="N397" s="31" t="n"/>
      <c r="O397" s="31" t="n"/>
      <c r="P397" s="31" t="n"/>
      <c r="Q397" s="31" t="n"/>
      <c r="R397" s="34">
        <f>IFERROR(IF(AND(O397&gt;0,P397&gt;0,Q397&gt;0),(O397*P397*Q397)/6000,""),"")</f>
        <v/>
      </c>
      <c r="S397" s="34">
        <f>IFERROR(IF(AND(N397&gt;0,R397&gt;0),MAX(N397,R397),IF(N397&gt;0,N397,IF(R397&gt;0,R397,""))),"")</f>
        <v/>
      </c>
      <c r="T397" s="36" t="n"/>
      <c r="U397" s="38" t="inlineStr">
        <is>
          <t>FALTA</t>
        </is>
      </c>
      <c r="V397" s="36" t="n">
        <v>335.5</v>
      </c>
      <c r="W397" s="39" t="n">
        <v>0.3</v>
      </c>
      <c r="X397" s="41">
        <f>IFERROR(V397+T397,"")</f>
        <v/>
      </c>
      <c r="Y397" s="41">
        <f>IFERROR(IF(W397&lt;1,X397/(1-W397),""),"")</f>
        <v/>
      </c>
      <c r="Z397" s="43">
        <f>'01_CONFIG_GLOBAL'!$C$14</f>
        <v/>
      </c>
      <c r="AA397" s="41">
        <f>IFERROR(Y397*Z397,"")</f>
        <v/>
      </c>
      <c r="AB397" s="41">
        <f>IFERROR(IF(Z397&lt;1,Y397/(1-Z397),""),"")</f>
        <v/>
      </c>
      <c r="AC397" s="23" t="n"/>
      <c r="AD397" s="36" t="n"/>
      <c r="AE397" s="23" t="n"/>
      <c r="AF397" s="36" t="n"/>
      <c r="AG397" s="23" t="n"/>
      <c r="AH397" s="36" t="n"/>
      <c r="AI397" s="41">
        <f>IFERROR(AVERAGE(AD397,AF397,AH397),"")</f>
        <v/>
      </c>
      <c r="AJ397" s="29">
        <f>IFERROR(IF(AI397="","sem dados",IF(AB397&lt;AI397*0.95,"abaixo",IF(AB397&gt;AI397*1.05,"acima","em linha"))),"")</f>
        <v/>
      </c>
      <c r="AK397" s="23" t="inlineStr">
        <is>
          <t>não</t>
        </is>
      </c>
      <c r="AL397" s="23" t="n"/>
      <c r="AM397" s="23" t="n"/>
      <c r="AN397" s="23" t="n"/>
      <c r="AO397" s="44">
        <f>A397</f>
        <v/>
      </c>
      <c r="AP397" s="44">
        <f>D397</f>
        <v/>
      </c>
    </row>
    <row r="398" hidden="1" ht="15.75" customHeight="1" s="93">
      <c r="A398" s="23" t="inlineStr">
        <is>
          <t>0.2206.F001270.0</t>
        </is>
      </c>
      <c r="B398" s="23" t="inlineStr">
        <is>
          <t>F001270</t>
        </is>
      </c>
      <c r="C398" s="29">
        <f>IFERROR(LOWER(SUBSTITUTE(SUBSTITUTE(SUBSTITUTE(SUBSTITUTE(D398," ","-"),"/","-"),".",""),",","")),"")</f>
        <v/>
      </c>
      <c r="D398" s="23" t="inlineStr">
        <is>
          <t>ADAPTADOR BUJAO SEXTAVADO INTERNO M10 X 1 C/ CABECA (AABSI)</t>
        </is>
      </c>
      <c r="E398" s="23" t="n"/>
      <c r="F398" s="23" t="inlineStr">
        <is>
          <t>SOHIPREN</t>
        </is>
      </c>
      <c r="G398" s="23" t="n"/>
      <c r="H398" s="23" t="inlineStr">
        <is>
          <t>draft</t>
        </is>
      </c>
      <c r="I398" s="23" t="inlineStr">
        <is>
          <t>DYNAR</t>
        </is>
      </c>
      <c r="J398" s="23" t="n"/>
      <c r="K398" s="23" t="n"/>
      <c r="L398" s="23" t="inlineStr">
        <is>
          <t>AABSI M10X1</t>
        </is>
      </c>
      <c r="M398" s="31" t="n"/>
      <c r="N398" s="31" t="n"/>
      <c r="O398" s="31" t="n"/>
      <c r="P398" s="31" t="n"/>
      <c r="Q398" s="31" t="n"/>
      <c r="R398" s="34">
        <f>IFERROR(IF(AND(O398&gt;0,P398&gt;0,Q398&gt;0),(O398*P398*Q398)/6000,""),"")</f>
        <v/>
      </c>
      <c r="S398" s="34">
        <f>IFERROR(IF(AND(N398&gt;0,R398&gt;0),MAX(N398,R398),IF(N398&gt;0,N398,IF(R398&gt;0,R398,""))),"")</f>
        <v/>
      </c>
      <c r="T398" s="36" t="n"/>
      <c r="U398" s="38" t="inlineStr">
        <is>
          <t>FALTA</t>
        </is>
      </c>
      <c r="V398" s="36" t="n">
        <v>335.5</v>
      </c>
      <c r="W398" s="39" t="n">
        <v>0.3</v>
      </c>
      <c r="X398" s="41">
        <f>IFERROR(V398+T398,"")</f>
        <v/>
      </c>
      <c r="Y398" s="41">
        <f>IFERROR(IF(W398&lt;1,X398/(1-W398),""),"")</f>
        <v/>
      </c>
      <c r="Z398" s="43">
        <f>'01_CONFIG_GLOBAL'!$C$14</f>
        <v/>
      </c>
      <c r="AA398" s="41">
        <f>IFERROR(Y398*Z398,"")</f>
        <v/>
      </c>
      <c r="AB398" s="41">
        <f>IFERROR(IF(Z398&lt;1,Y398/(1-Z398),""),"")</f>
        <v/>
      </c>
      <c r="AC398" s="23" t="n"/>
      <c r="AD398" s="36" t="n"/>
      <c r="AE398" s="23" t="n"/>
      <c r="AF398" s="36" t="n"/>
      <c r="AG398" s="23" t="n"/>
      <c r="AH398" s="36" t="n"/>
      <c r="AI398" s="41">
        <f>IFERROR(AVERAGE(AD398,AF398,AH398),"")</f>
        <v/>
      </c>
      <c r="AJ398" s="29">
        <f>IFERROR(IF(AI398="","sem dados",IF(AB398&lt;AI398*0.95,"abaixo",IF(AB398&gt;AI398*1.05,"acima","em linha"))),"")</f>
        <v/>
      </c>
      <c r="AK398" s="23" t="inlineStr">
        <is>
          <t>não</t>
        </is>
      </c>
      <c r="AL398" s="23" t="n"/>
      <c r="AM398" s="23" t="n"/>
      <c r="AN398" s="23" t="n"/>
      <c r="AO398" s="44">
        <f>A398</f>
        <v/>
      </c>
      <c r="AP398" s="44">
        <f>D398</f>
        <v/>
      </c>
    </row>
    <row r="399" hidden="1" ht="15.75" customHeight="1" s="93">
      <c r="A399" s="23" t="inlineStr">
        <is>
          <t>0.2206.F001231.0</t>
        </is>
      </c>
      <c r="B399" s="23" t="inlineStr">
        <is>
          <t>F001231</t>
        </is>
      </c>
      <c r="C399" s="29">
        <f>IFERROR(LOWER(SUBSTITUTE(SUBSTITUTE(SUBSTITUTE(SUBSTITUTE(D399," ","-"),"/","-"),".",""),",","")),"")</f>
        <v/>
      </c>
      <c r="D399" s="23" t="inlineStr">
        <is>
          <t>ADAPTADOR RETO MM M33x2 X 7/8 JIC</t>
        </is>
      </c>
      <c r="E399" s="23" t="n"/>
      <c r="F399" s="23" t="inlineStr">
        <is>
          <t>SOHIPREN</t>
        </is>
      </c>
      <c r="G399" s="23" t="n"/>
      <c r="H399" s="23" t="inlineStr">
        <is>
          <t>draft</t>
        </is>
      </c>
      <c r="I399" s="23" t="inlineStr">
        <is>
          <t>DYNAR</t>
        </is>
      </c>
      <c r="J399" s="23" t="n"/>
      <c r="K399" s="23" t="n"/>
      <c r="L399" s="23" t="inlineStr">
        <is>
          <t>AJUM 10XM33X2</t>
        </is>
      </c>
      <c r="M399" s="31" t="n"/>
      <c r="N399" s="31" t="n"/>
      <c r="O399" s="31" t="n"/>
      <c r="P399" s="31" t="n"/>
      <c r="Q399" s="31" t="n"/>
      <c r="R399" s="34">
        <f>IFERROR(IF(AND(O399&gt;0,P399&gt;0,Q399&gt;0),(O399*P399*Q399)/6000,""),"")</f>
        <v/>
      </c>
      <c r="S399" s="34">
        <f>IFERROR(IF(AND(N399&gt;0,R399&gt;0),MAX(N399,R399),IF(N399&gt;0,N399,IF(R399&gt;0,R399,""))),"")</f>
        <v/>
      </c>
      <c r="T399" s="36" t="n"/>
      <c r="U399" s="38" t="inlineStr">
        <is>
          <t>FALTA</t>
        </is>
      </c>
      <c r="V399" s="36" t="n">
        <v>335.5</v>
      </c>
      <c r="W399" s="39" t="n">
        <v>0.3</v>
      </c>
      <c r="X399" s="41">
        <f>IFERROR(V399+T399,"")</f>
        <v/>
      </c>
      <c r="Y399" s="41">
        <f>IFERROR(IF(W399&lt;1,X399/(1-W399),""),"")</f>
        <v/>
      </c>
      <c r="Z399" s="43">
        <f>'01_CONFIG_GLOBAL'!$C$14</f>
        <v/>
      </c>
      <c r="AA399" s="41">
        <f>IFERROR(Y399*Z399,"")</f>
        <v/>
      </c>
      <c r="AB399" s="41">
        <f>IFERROR(IF(Z399&lt;1,Y399/(1-Z399),""),"")</f>
        <v/>
      </c>
      <c r="AC399" s="23" t="n"/>
      <c r="AD399" s="36" t="n"/>
      <c r="AE399" s="23" t="n"/>
      <c r="AF399" s="36" t="n"/>
      <c r="AG399" s="23" t="n"/>
      <c r="AH399" s="36" t="n"/>
      <c r="AI399" s="41">
        <f>IFERROR(AVERAGE(AD399,AF399,AH399),"")</f>
        <v/>
      </c>
      <c r="AJ399" s="29">
        <f>IFERROR(IF(AI399="","sem dados",IF(AB399&lt;AI399*0.95,"abaixo",IF(AB399&gt;AI399*1.05,"acima","em linha"))),"")</f>
        <v/>
      </c>
      <c r="AK399" s="23" t="inlineStr">
        <is>
          <t>não</t>
        </is>
      </c>
      <c r="AL399" s="23" t="n"/>
      <c r="AM399" s="23" t="n"/>
      <c r="AN399" s="23" t="n"/>
      <c r="AO399" s="44">
        <f>A399</f>
        <v/>
      </c>
      <c r="AP399" s="44">
        <f>D399</f>
        <v/>
      </c>
    </row>
    <row r="400" hidden="1" ht="15.75" customHeight="1" s="93">
      <c r="A400" s="23" t="inlineStr">
        <is>
          <t>0.2206.F001071.0</t>
        </is>
      </c>
      <c r="B400" s="23" t="inlineStr">
        <is>
          <t>F001071</t>
        </is>
      </c>
      <c r="C400" s="29">
        <f>IFERROR(LOWER(SUBSTITUTE(SUBSTITUTE(SUBSTITUTE(SUBSTITUTE(D400," ","-"),"/","-"),".",""),",","")),"")</f>
        <v/>
      </c>
      <c r="D400" s="23" t="inlineStr">
        <is>
          <t>TEE DE REDUCAO 1/2 X 2 POL</t>
        </is>
      </c>
      <c r="E400" s="23" t="n"/>
      <c r="F400" s="23" t="inlineStr">
        <is>
          <t>SOHIPREN</t>
        </is>
      </c>
      <c r="G400" s="23" t="n"/>
      <c r="H400" s="23" t="inlineStr">
        <is>
          <t>draft</t>
        </is>
      </c>
      <c r="I400" s="23" t="inlineStr">
        <is>
          <t>DYNAR</t>
        </is>
      </c>
      <c r="J400" s="23" t="n"/>
      <c r="K400" s="23" t="n"/>
      <c r="L400" s="23" t="inlineStr">
        <is>
          <t>AJUM 6X1/4 NPT</t>
        </is>
      </c>
      <c r="M400" s="31" t="n"/>
      <c r="N400" s="31" t="n"/>
      <c r="O400" s="31" t="n"/>
      <c r="P400" s="31" t="n"/>
      <c r="Q400" s="31" t="n"/>
      <c r="R400" s="34">
        <f>IFERROR(IF(AND(O400&gt;0,P400&gt;0,Q400&gt;0),(O400*P400*Q400)/6000,""),"")</f>
        <v/>
      </c>
      <c r="S400" s="34">
        <f>IFERROR(IF(AND(N400&gt;0,R400&gt;0),MAX(N400,R400),IF(N400&gt;0,N400,IF(R400&gt;0,R400,""))),"")</f>
        <v/>
      </c>
      <c r="T400" s="36" t="n"/>
      <c r="U400" s="38" t="inlineStr">
        <is>
          <t>FALTA</t>
        </is>
      </c>
      <c r="V400" s="36" t="n">
        <v>335.5</v>
      </c>
      <c r="W400" s="39" t="n">
        <v>0.3</v>
      </c>
      <c r="X400" s="41">
        <f>IFERROR(V400+T400,"")</f>
        <v/>
      </c>
      <c r="Y400" s="41">
        <f>IFERROR(IF(W400&lt;1,X400/(1-W400),""),"")</f>
        <v/>
      </c>
      <c r="Z400" s="43">
        <f>'01_CONFIG_GLOBAL'!$C$14</f>
        <v/>
      </c>
      <c r="AA400" s="41">
        <f>IFERROR(Y400*Z400,"")</f>
        <v/>
      </c>
      <c r="AB400" s="41">
        <f>IFERROR(IF(Z400&lt;1,Y400/(1-Z400),""),"")</f>
        <v/>
      </c>
      <c r="AC400" s="23" t="n"/>
      <c r="AD400" s="36" t="n"/>
      <c r="AE400" s="23" t="n"/>
      <c r="AF400" s="36" t="n"/>
      <c r="AG400" s="23" t="n"/>
      <c r="AH400" s="36" t="n"/>
      <c r="AI400" s="41">
        <f>IFERROR(AVERAGE(AD400,AF400,AH400),"")</f>
        <v/>
      </c>
      <c r="AJ400" s="29">
        <f>IFERROR(IF(AI400="","sem dados",IF(AB400&lt;AI400*0.95,"abaixo",IF(AB400&gt;AI400*1.05,"acima","em linha"))),"")</f>
        <v/>
      </c>
      <c r="AK400" s="23" t="inlineStr">
        <is>
          <t>não</t>
        </is>
      </c>
      <c r="AL400" s="23" t="n"/>
      <c r="AM400" s="23" t="n"/>
      <c r="AN400" s="23" t="n"/>
      <c r="AO400" s="44">
        <f>A400</f>
        <v/>
      </c>
      <c r="AP400" s="44">
        <f>D400</f>
        <v/>
      </c>
    </row>
    <row r="401" hidden="1" ht="15.75" customHeight="1" s="93">
      <c r="A401" s="23" t="inlineStr">
        <is>
          <t>0.2206.F001061.0</t>
        </is>
      </c>
      <c r="B401" s="23" t="inlineStr">
        <is>
          <t>F001061</t>
        </is>
      </c>
      <c r="C401" s="29">
        <f>IFERROR(LOWER(SUBSTITUTE(SUBSTITUTE(SUBSTITUTE(SUBSTITUTE(D401," ","-"),"/","-"),".",""),",","")),"")</f>
        <v/>
      </c>
      <c r="D401" s="23" t="inlineStr">
        <is>
          <t>ADAPTADOR RETO MM 1/4" NPT X 9/16" JIC</t>
        </is>
      </c>
      <c r="E401" s="23" t="n"/>
      <c r="F401" s="23" t="inlineStr">
        <is>
          <t>SOHIPREN</t>
        </is>
      </c>
      <c r="G401" s="23" t="n"/>
      <c r="H401" s="23" t="inlineStr">
        <is>
          <t>draft</t>
        </is>
      </c>
      <c r="I401" s="23" t="inlineStr">
        <is>
          <t>DYNAR</t>
        </is>
      </c>
      <c r="J401" s="23" t="n"/>
      <c r="K401" s="23" t="n"/>
      <c r="L401" s="23" t="inlineStr">
        <is>
          <t>AJUM 6X1/4 NPT</t>
        </is>
      </c>
      <c r="M401" s="31" t="n"/>
      <c r="N401" s="31" t="n"/>
      <c r="O401" s="31" t="n"/>
      <c r="P401" s="31" t="n"/>
      <c r="Q401" s="31" t="n"/>
      <c r="R401" s="34">
        <f>IFERROR(IF(AND(O401&gt;0,P401&gt;0,Q401&gt;0),(O401*P401*Q401)/6000,""),"")</f>
        <v/>
      </c>
      <c r="S401" s="34">
        <f>IFERROR(IF(AND(N401&gt;0,R401&gt;0),MAX(N401,R401),IF(N401&gt;0,N401,IF(R401&gt;0,R401,""))),"")</f>
        <v/>
      </c>
      <c r="T401" s="36" t="n"/>
      <c r="U401" s="38" t="inlineStr">
        <is>
          <t>FALTA</t>
        </is>
      </c>
      <c r="V401" s="36" t="n">
        <v>335.5</v>
      </c>
      <c r="W401" s="39" t="n">
        <v>0.3</v>
      </c>
      <c r="X401" s="41">
        <f>IFERROR(V401+T401,"")</f>
        <v/>
      </c>
      <c r="Y401" s="41">
        <f>IFERROR(IF(W401&lt;1,X401/(1-W401),""),"")</f>
        <v/>
      </c>
      <c r="Z401" s="43">
        <f>'01_CONFIG_GLOBAL'!$C$14</f>
        <v/>
      </c>
      <c r="AA401" s="41">
        <f>IFERROR(Y401*Z401,"")</f>
        <v/>
      </c>
      <c r="AB401" s="41">
        <f>IFERROR(IF(Z401&lt;1,Y401/(1-Z401),""),"")</f>
        <v/>
      </c>
      <c r="AC401" s="23" t="n"/>
      <c r="AD401" s="36" t="n"/>
      <c r="AE401" s="23" t="n"/>
      <c r="AF401" s="36" t="n"/>
      <c r="AG401" s="23" t="n"/>
      <c r="AH401" s="36" t="n"/>
      <c r="AI401" s="41">
        <f>IFERROR(AVERAGE(AD401,AF401,AH401),"")</f>
        <v/>
      </c>
      <c r="AJ401" s="29">
        <f>IFERROR(IF(AI401="","sem dados",IF(AB401&lt;AI401*0.95,"abaixo",IF(AB401&gt;AI401*1.05,"acima","em linha"))),"")</f>
        <v/>
      </c>
      <c r="AK401" s="23" t="inlineStr">
        <is>
          <t>não</t>
        </is>
      </c>
      <c r="AL401" s="23" t="n"/>
      <c r="AM401" s="23" t="n"/>
      <c r="AN401" s="23" t="n"/>
      <c r="AO401" s="44">
        <f>A401</f>
        <v/>
      </c>
      <c r="AP401" s="44">
        <f>D401</f>
        <v/>
      </c>
    </row>
    <row r="402" hidden="1" ht="15.75" customHeight="1" s="93">
      <c r="A402" s="23" t="inlineStr">
        <is>
          <t>0.2206.F001062.0</t>
        </is>
      </c>
      <c r="B402" s="23" t="inlineStr">
        <is>
          <t>F001062</t>
        </is>
      </c>
      <c r="C402" s="29">
        <f>IFERROR(LOWER(SUBSTITUTE(SUBSTITUTE(SUBSTITUTE(SUBSTITUTE(D402," ","-"),"/","-"),".",""),",","")),"")</f>
        <v/>
      </c>
      <c r="D402" s="23" t="inlineStr">
        <is>
          <t>BUJAO CABECA CILINDRICA C/ SEXT INTERNO 1/4" NPT</t>
        </is>
      </c>
      <c r="E402" s="23" t="n"/>
      <c r="F402" s="23" t="inlineStr">
        <is>
          <t>SOHIPREN</t>
        </is>
      </c>
      <c r="G402" s="23" t="n"/>
      <c r="H402" s="23" t="inlineStr">
        <is>
          <t>draft</t>
        </is>
      </c>
      <c r="I402" s="23" t="inlineStr">
        <is>
          <t>DYNAR</t>
        </is>
      </c>
      <c r="J402" s="23" t="n"/>
      <c r="K402" s="23" t="n"/>
      <c r="L402" s="23" t="inlineStr">
        <is>
          <t>AABSI 1/4 NPT</t>
        </is>
      </c>
      <c r="M402" s="31" t="n"/>
      <c r="N402" s="31" t="n"/>
      <c r="O402" s="31" t="n"/>
      <c r="P402" s="31" t="n"/>
      <c r="Q402" s="31" t="n"/>
      <c r="R402" s="34">
        <f>IFERROR(IF(AND(O402&gt;0,P402&gt;0,Q402&gt;0),(O402*P402*Q402)/6000,""),"")</f>
        <v/>
      </c>
      <c r="S402" s="34">
        <f>IFERROR(IF(AND(N402&gt;0,R402&gt;0),MAX(N402,R402),IF(N402&gt;0,N402,IF(R402&gt;0,R402,""))),"")</f>
        <v/>
      </c>
      <c r="T402" s="36" t="n"/>
      <c r="U402" s="38" t="inlineStr">
        <is>
          <t>FALTA</t>
        </is>
      </c>
      <c r="V402" s="36" t="n">
        <v>335.5</v>
      </c>
      <c r="W402" s="39" t="n">
        <v>0.3</v>
      </c>
      <c r="X402" s="41">
        <f>IFERROR(V402+T402,"")</f>
        <v/>
      </c>
      <c r="Y402" s="41">
        <f>IFERROR(IF(W402&lt;1,X402/(1-W402),""),"")</f>
        <v/>
      </c>
      <c r="Z402" s="43">
        <f>'01_CONFIG_GLOBAL'!$C$14</f>
        <v/>
      </c>
      <c r="AA402" s="41">
        <f>IFERROR(Y402*Z402,"")</f>
        <v/>
      </c>
      <c r="AB402" s="41">
        <f>IFERROR(IF(Z402&lt;1,Y402/(1-Z402),""),"")</f>
        <v/>
      </c>
      <c r="AC402" s="23" t="n"/>
      <c r="AD402" s="36" t="n"/>
      <c r="AE402" s="23" t="n"/>
      <c r="AF402" s="36" t="n"/>
      <c r="AG402" s="23" t="n"/>
      <c r="AH402" s="36" t="n"/>
      <c r="AI402" s="41">
        <f>IFERROR(AVERAGE(AD402,AF402,AH402),"")</f>
        <v/>
      </c>
      <c r="AJ402" s="29">
        <f>IFERROR(IF(AI402="","sem dados",IF(AB402&lt;AI402*0.95,"abaixo",IF(AB402&gt;AI402*1.05,"acima","em linha"))),"")</f>
        <v/>
      </c>
      <c r="AK402" s="23" t="inlineStr">
        <is>
          <t>não</t>
        </is>
      </c>
      <c r="AL402" s="23" t="n"/>
      <c r="AM402" s="23" t="n"/>
      <c r="AN402" s="23" t="n"/>
      <c r="AO402" s="44">
        <f>A402</f>
        <v/>
      </c>
      <c r="AP402" s="44">
        <f>D402</f>
        <v/>
      </c>
    </row>
    <row r="403" hidden="1" ht="15.75" customHeight="1" s="93">
      <c r="A403" s="23" t="inlineStr">
        <is>
          <t>0.2206.F001291.0</t>
        </is>
      </c>
      <c r="B403" s="23" t="inlineStr">
        <is>
          <t>F001291</t>
        </is>
      </c>
      <c r="C403" s="29">
        <f>IFERROR(LOWER(SUBSTITUTE(SUBSTITUTE(SUBSTITUTE(SUBSTITUTE(D403," ","-"),"/","-"),".",""),",","")),"")</f>
        <v/>
      </c>
      <c r="D403" s="23" t="inlineStr">
        <is>
          <t>ADAPTADOR BUJAO SEXTAVADO INTERNO M10X1 S/ CABECA - INOX</t>
        </is>
      </c>
      <c r="E403" s="23" t="n"/>
      <c r="F403" s="23" t="inlineStr">
        <is>
          <t>SOHIPREN</t>
        </is>
      </c>
      <c r="G403" s="23" t="n"/>
      <c r="H403" s="23" t="inlineStr">
        <is>
          <t>draft</t>
        </is>
      </c>
      <c r="I403" s="23" t="inlineStr">
        <is>
          <t>DYNAR</t>
        </is>
      </c>
      <c r="J403" s="23" t="n"/>
      <c r="K403" s="23" t="n"/>
      <c r="L403" s="23" t="inlineStr">
        <is>
          <t>AABSI M10X1</t>
        </is>
      </c>
      <c r="M403" s="31" t="n"/>
      <c r="N403" s="31" t="n"/>
      <c r="O403" s="31" t="n"/>
      <c r="P403" s="31" t="n"/>
      <c r="Q403" s="31" t="n"/>
      <c r="R403" s="34">
        <f>IFERROR(IF(AND(O403&gt;0,P403&gt;0,Q403&gt;0),(O403*P403*Q403)/6000,""),"")</f>
        <v/>
      </c>
      <c r="S403" s="34">
        <f>IFERROR(IF(AND(N403&gt;0,R403&gt;0),MAX(N403,R403),IF(N403&gt;0,N403,IF(R403&gt;0,R403,""))),"")</f>
        <v/>
      </c>
      <c r="T403" s="36" t="n"/>
      <c r="U403" s="38" t="inlineStr">
        <is>
          <t>FALTA</t>
        </is>
      </c>
      <c r="V403" s="36" t="n">
        <v>335.5</v>
      </c>
      <c r="W403" s="39" t="n">
        <v>0.3</v>
      </c>
      <c r="X403" s="41">
        <f>IFERROR(V403+T403,"")</f>
        <v/>
      </c>
      <c r="Y403" s="41">
        <f>IFERROR(IF(W403&lt;1,X403/(1-W403),""),"")</f>
        <v/>
      </c>
      <c r="Z403" s="43">
        <f>'01_CONFIG_GLOBAL'!$C$14</f>
        <v/>
      </c>
      <c r="AA403" s="41">
        <f>IFERROR(Y403*Z403,"")</f>
        <v/>
      </c>
      <c r="AB403" s="41">
        <f>IFERROR(IF(Z403&lt;1,Y403/(1-Z403),""),"")</f>
        <v/>
      </c>
      <c r="AC403" s="23" t="n"/>
      <c r="AD403" s="36" t="n"/>
      <c r="AE403" s="23" t="n"/>
      <c r="AF403" s="36" t="n"/>
      <c r="AG403" s="23" t="n"/>
      <c r="AH403" s="36" t="n"/>
      <c r="AI403" s="41">
        <f>IFERROR(AVERAGE(AD403,AF403,AH403),"")</f>
        <v/>
      </c>
      <c r="AJ403" s="29">
        <f>IFERROR(IF(AI403="","sem dados",IF(AB403&lt;AI403*0.95,"abaixo",IF(AB403&gt;AI403*1.05,"acima","em linha"))),"")</f>
        <v/>
      </c>
      <c r="AK403" s="23" t="inlineStr">
        <is>
          <t>não</t>
        </is>
      </c>
      <c r="AL403" s="23" t="n"/>
      <c r="AM403" s="23" t="n"/>
      <c r="AN403" s="23" t="n"/>
      <c r="AO403" s="44">
        <f>A403</f>
        <v/>
      </c>
      <c r="AP403" s="44">
        <f>D403</f>
        <v/>
      </c>
    </row>
    <row r="404" hidden="1" ht="15.75" customHeight="1" s="93">
      <c r="A404" s="23" t="inlineStr">
        <is>
          <t>0.2206.F001445.0</t>
        </is>
      </c>
      <c r="B404" s="23" t="inlineStr">
        <is>
          <t>F001445</t>
        </is>
      </c>
      <c r="C404" s="29">
        <f>IFERROR(LOWER(SUBSTITUTE(SUBSTITUTE(SUBSTITUTE(SUBSTITUTE(D404," ","-"),"/","-"),".",""),",","")),"")</f>
        <v/>
      </c>
      <c r="D404" s="23" t="inlineStr">
        <is>
          <t>CONEXAO MACHO 3/8 BSP X 7/8 JIC</t>
        </is>
      </c>
      <c r="E404" s="23" t="n"/>
      <c r="F404" s="23" t="inlineStr">
        <is>
          <t>SOHIPREN</t>
        </is>
      </c>
      <c r="G404" s="23" t="n"/>
      <c r="H404" s="23" t="inlineStr">
        <is>
          <t>draft</t>
        </is>
      </c>
      <c r="I404" s="23" t="inlineStr">
        <is>
          <t>DYNAR</t>
        </is>
      </c>
      <c r="J404" s="23" t="n"/>
      <c r="K404" s="23" t="n"/>
      <c r="L404" s="23" t="inlineStr">
        <is>
          <t>AJUM 20X1.1/14 NPT</t>
        </is>
      </c>
      <c r="M404" s="31" t="n"/>
      <c r="N404" s="31" t="n"/>
      <c r="O404" s="31" t="n"/>
      <c r="P404" s="31" t="n"/>
      <c r="Q404" s="31" t="n"/>
      <c r="R404" s="34">
        <f>IFERROR(IF(AND(O404&gt;0,P404&gt;0,Q404&gt;0),(O404*P404*Q404)/6000,""),"")</f>
        <v/>
      </c>
      <c r="S404" s="34">
        <f>IFERROR(IF(AND(N404&gt;0,R404&gt;0),MAX(N404,R404),IF(N404&gt;0,N404,IF(R404&gt;0,R404,""))),"")</f>
        <v/>
      </c>
      <c r="T404" s="36" t="n"/>
      <c r="U404" s="38" t="inlineStr">
        <is>
          <t>FALTA</t>
        </is>
      </c>
      <c r="V404" s="36" t="n">
        <v>335.5</v>
      </c>
      <c r="W404" s="39" t="n">
        <v>0.3</v>
      </c>
      <c r="X404" s="41">
        <f>IFERROR(V404+T404,"")</f>
        <v/>
      </c>
      <c r="Y404" s="41">
        <f>IFERROR(IF(W404&lt;1,X404/(1-W404),""),"")</f>
        <v/>
      </c>
      <c r="Z404" s="43">
        <f>'01_CONFIG_GLOBAL'!$C$14</f>
        <v/>
      </c>
      <c r="AA404" s="41">
        <f>IFERROR(Y404*Z404,"")</f>
        <v/>
      </c>
      <c r="AB404" s="41">
        <f>IFERROR(IF(Z404&lt;1,Y404/(1-Z404),""),"")</f>
        <v/>
      </c>
      <c r="AC404" s="23" t="n"/>
      <c r="AD404" s="36" t="n"/>
      <c r="AE404" s="23" t="n"/>
      <c r="AF404" s="36" t="n"/>
      <c r="AG404" s="23" t="n"/>
      <c r="AH404" s="36" t="n"/>
      <c r="AI404" s="41">
        <f>IFERROR(AVERAGE(AD404,AF404,AH404),"")</f>
        <v/>
      </c>
      <c r="AJ404" s="29">
        <f>IFERROR(IF(AI404="","sem dados",IF(AB404&lt;AI404*0.95,"abaixo",IF(AB404&gt;AI404*1.05,"acima","em linha"))),"")</f>
        <v/>
      </c>
      <c r="AK404" s="23" t="inlineStr">
        <is>
          <t>não</t>
        </is>
      </c>
      <c r="AL404" s="23" t="n"/>
      <c r="AM404" s="23" t="n"/>
      <c r="AN404" s="23" t="n"/>
      <c r="AO404" s="44">
        <f>A404</f>
        <v/>
      </c>
      <c r="AP404" s="44">
        <f>D404</f>
        <v/>
      </c>
    </row>
    <row r="405" hidden="1" ht="15.75" customHeight="1" s="93">
      <c r="A405" s="23" t="inlineStr">
        <is>
          <t>0.2206.F001444.0</t>
        </is>
      </c>
      <c r="B405" s="23" t="inlineStr">
        <is>
          <t>F001444</t>
        </is>
      </c>
      <c r="C405" s="29">
        <f>IFERROR(LOWER(SUBSTITUTE(SUBSTITUTE(SUBSTITUTE(SUBSTITUTE(D405," ","-"),"/","-"),".",""),",","")),"")</f>
        <v/>
      </c>
      <c r="D405" s="23" t="inlineStr">
        <is>
          <t>ADAPTADOR RETO MF 1.1/4" NPT (FEMEA) X 1.5/8" UNF (MACHO)</t>
        </is>
      </c>
      <c r="E405" s="23" t="n"/>
      <c r="F405" s="23" t="inlineStr">
        <is>
          <t>SOHIPREN</t>
        </is>
      </c>
      <c r="G405" s="23" t="n"/>
      <c r="H405" s="23" t="inlineStr">
        <is>
          <t>draft</t>
        </is>
      </c>
      <c r="I405" s="23" t="inlineStr">
        <is>
          <t>DYNAR</t>
        </is>
      </c>
      <c r="J405" s="23" t="n"/>
      <c r="K405" s="23" t="n"/>
      <c r="L405" s="23" t="inlineStr">
        <is>
          <t>AJUM 20X1.1/14 NPT</t>
        </is>
      </c>
      <c r="M405" s="31" t="n"/>
      <c r="N405" s="31" t="n"/>
      <c r="O405" s="31" t="n"/>
      <c r="P405" s="31" t="n"/>
      <c r="Q405" s="31" t="n"/>
      <c r="R405" s="34">
        <f>IFERROR(IF(AND(O405&gt;0,P405&gt;0,Q405&gt;0),(O405*P405*Q405)/6000,""),"")</f>
        <v/>
      </c>
      <c r="S405" s="34">
        <f>IFERROR(IF(AND(N405&gt;0,R405&gt;0),MAX(N405,R405),IF(N405&gt;0,N405,IF(R405&gt;0,R405,""))),"")</f>
        <v/>
      </c>
      <c r="T405" s="36" t="n"/>
      <c r="U405" s="38" t="inlineStr">
        <is>
          <t>FALTA</t>
        </is>
      </c>
      <c r="V405" s="36" t="n">
        <v>335.5</v>
      </c>
      <c r="W405" s="39" t="n">
        <v>0.3</v>
      </c>
      <c r="X405" s="41">
        <f>IFERROR(V405+T405,"")</f>
        <v/>
      </c>
      <c r="Y405" s="41">
        <f>IFERROR(IF(W405&lt;1,X405/(1-W405),""),"")</f>
        <v/>
      </c>
      <c r="Z405" s="43">
        <f>'01_CONFIG_GLOBAL'!$C$14</f>
        <v/>
      </c>
      <c r="AA405" s="41">
        <f>IFERROR(Y405*Z405,"")</f>
        <v/>
      </c>
      <c r="AB405" s="41">
        <f>IFERROR(IF(Z405&lt;1,Y405/(1-Z405),""),"")</f>
        <v/>
      </c>
      <c r="AC405" s="23" t="n"/>
      <c r="AD405" s="36" t="n"/>
      <c r="AE405" s="23" t="n"/>
      <c r="AF405" s="36" t="n"/>
      <c r="AG405" s="23" t="n"/>
      <c r="AH405" s="36" t="n"/>
      <c r="AI405" s="41">
        <f>IFERROR(AVERAGE(AD405,AF405,AH405),"")</f>
        <v/>
      </c>
      <c r="AJ405" s="29">
        <f>IFERROR(IF(AI405="","sem dados",IF(AB405&lt;AI405*0.95,"abaixo",IF(AB405&gt;AI405*1.05,"acima","em linha"))),"")</f>
        <v/>
      </c>
      <c r="AK405" s="23" t="inlineStr">
        <is>
          <t>não</t>
        </is>
      </c>
      <c r="AL405" s="23" t="n"/>
      <c r="AM405" s="23" t="n"/>
      <c r="AN405" s="23" t="n"/>
      <c r="AO405" s="44">
        <f>A405</f>
        <v/>
      </c>
      <c r="AP405" s="44">
        <f>D405</f>
        <v/>
      </c>
    </row>
    <row r="406" hidden="1" ht="15.75" customHeight="1" s="93">
      <c r="A406" s="23" t="inlineStr">
        <is>
          <t>0.0168.F001448.0</t>
        </is>
      </c>
      <c r="B406" s="23" t="inlineStr">
        <is>
          <t>F001448</t>
        </is>
      </c>
      <c r="C406" s="29">
        <f>IFERROR(LOWER(SUBSTITUTE(SUBSTITUTE(SUBSTITUTE(SUBSTITUTE(D406," ","-"),"/","-"),".",""),",","")),"")</f>
        <v/>
      </c>
      <c r="D406" s="23" t="inlineStr">
        <is>
          <t>ADAPTADOR MM 3/4 NPT X 9/16 JIC</t>
        </is>
      </c>
      <c r="E406" s="23" t="n"/>
      <c r="F406" s="23" t="inlineStr">
        <is>
          <t>SOHIPREN</t>
        </is>
      </c>
      <c r="G406" s="23" t="n"/>
      <c r="H406" s="23" t="inlineStr">
        <is>
          <t>draft</t>
        </is>
      </c>
      <c r="I406" s="23" t="inlineStr">
        <is>
          <t>DYNAR</t>
        </is>
      </c>
      <c r="J406" s="23" t="n"/>
      <c r="K406" s="23" t="n"/>
      <c r="L406" s="23" t="inlineStr">
        <is>
          <t>AJUM 8X9/16 UNF</t>
        </is>
      </c>
      <c r="M406" s="31" t="n"/>
      <c r="N406" s="31" t="n"/>
      <c r="O406" s="31" t="n"/>
      <c r="P406" s="31" t="n"/>
      <c r="Q406" s="31" t="n"/>
      <c r="R406" s="34">
        <f>IFERROR(IF(AND(O406&gt;0,P406&gt;0,Q406&gt;0),(O406*P406*Q406)/6000,""),"")</f>
        <v/>
      </c>
      <c r="S406" s="34">
        <f>IFERROR(IF(AND(N406&gt;0,R406&gt;0),MAX(N406,R406),IF(N406&gt;0,N406,IF(R406&gt;0,R406,""))),"")</f>
        <v/>
      </c>
      <c r="T406" s="36" t="n"/>
      <c r="U406" s="38" t="inlineStr">
        <is>
          <t>FALTA</t>
        </is>
      </c>
      <c r="V406" s="36" t="n">
        <v>59</v>
      </c>
      <c r="W406" s="39" t="n">
        <v>0.3</v>
      </c>
      <c r="X406" s="41">
        <f>IFERROR(V406+T406,"")</f>
        <v/>
      </c>
      <c r="Y406" s="41">
        <f>IFERROR(IF(W406&lt;1,X406/(1-W406),""),"")</f>
        <v/>
      </c>
      <c r="Z406" s="43">
        <f>'01_CONFIG_GLOBAL'!$C$14</f>
        <v/>
      </c>
      <c r="AA406" s="41">
        <f>IFERROR(Y406*Z406,"")</f>
        <v/>
      </c>
      <c r="AB406" s="41">
        <f>IFERROR(IF(Z406&lt;1,Y406/(1-Z406),""),"")</f>
        <v/>
      </c>
      <c r="AC406" s="23" t="n"/>
      <c r="AD406" s="36" t="n"/>
      <c r="AE406" s="23" t="n"/>
      <c r="AF406" s="36" t="n"/>
      <c r="AG406" s="23" t="n"/>
      <c r="AH406" s="36" t="n"/>
      <c r="AI406" s="41">
        <f>IFERROR(AVERAGE(AD406,AF406,AH406),"")</f>
        <v/>
      </c>
      <c r="AJ406" s="29">
        <f>IFERROR(IF(AI406="","sem dados",IF(AB406&lt;AI406*0.95,"abaixo",IF(AB406&gt;AI406*1.05,"acima","em linha"))),"")</f>
        <v/>
      </c>
      <c r="AK406" s="23" t="inlineStr">
        <is>
          <t>não</t>
        </is>
      </c>
      <c r="AL406" s="23" t="n"/>
      <c r="AM406" s="23" t="n"/>
      <c r="AN406" s="23" t="n"/>
      <c r="AO406" s="44">
        <f>A406</f>
        <v/>
      </c>
      <c r="AP406" s="44">
        <f>D406</f>
        <v/>
      </c>
    </row>
    <row r="407" hidden="1" ht="15.75" customHeight="1" s="93">
      <c r="A407" s="23" t="inlineStr">
        <is>
          <t>0.0168.F001449.0</t>
        </is>
      </c>
      <c r="B407" s="23" t="inlineStr">
        <is>
          <t>F001449</t>
        </is>
      </c>
      <c r="C407" s="29">
        <f>IFERROR(LOWER(SUBSTITUTE(SUBSTITUTE(SUBSTITUTE(SUBSTITUTE(D407," ","-"),"/","-"),".",""),",","")),"")</f>
        <v/>
      </c>
      <c r="D407" s="23" t="inlineStr">
        <is>
          <t>ADAPTADOR MM 1.3/16 X 3/4 NPT</t>
        </is>
      </c>
      <c r="E407" s="23" t="n"/>
      <c r="F407" s="23" t="inlineStr">
        <is>
          <t>SOHIPREN</t>
        </is>
      </c>
      <c r="G407" s="23" t="n"/>
      <c r="H407" s="23" t="inlineStr">
        <is>
          <t>draft</t>
        </is>
      </c>
      <c r="I407" s="23" t="inlineStr">
        <is>
          <t>DYNAR</t>
        </is>
      </c>
      <c r="J407" s="23" t="n"/>
      <c r="K407" s="23" t="n"/>
      <c r="L407" s="23" t="inlineStr">
        <is>
          <t>AJUM 8X9/16 UNF</t>
        </is>
      </c>
      <c r="M407" s="31" t="n"/>
      <c r="N407" s="31" t="n"/>
      <c r="O407" s="31" t="n"/>
      <c r="P407" s="31" t="n"/>
      <c r="Q407" s="31" t="n"/>
      <c r="R407" s="34">
        <f>IFERROR(IF(AND(O407&gt;0,P407&gt;0,Q407&gt;0),(O407*P407*Q407)/6000,""),"")</f>
        <v/>
      </c>
      <c r="S407" s="34">
        <f>IFERROR(IF(AND(N407&gt;0,R407&gt;0),MAX(N407,R407),IF(N407&gt;0,N407,IF(R407&gt;0,R407,""))),"")</f>
        <v/>
      </c>
      <c r="T407" s="36" t="n"/>
      <c r="U407" s="38" t="inlineStr">
        <is>
          <t>FALTA</t>
        </is>
      </c>
      <c r="V407" s="36" t="n">
        <v>59</v>
      </c>
      <c r="W407" s="39" t="n">
        <v>0.3</v>
      </c>
      <c r="X407" s="41">
        <f>IFERROR(V407+T407,"")</f>
        <v/>
      </c>
      <c r="Y407" s="41">
        <f>IFERROR(IF(W407&lt;1,X407/(1-W407),""),"")</f>
        <v/>
      </c>
      <c r="Z407" s="43">
        <f>'01_CONFIG_GLOBAL'!$C$14</f>
        <v/>
      </c>
      <c r="AA407" s="41">
        <f>IFERROR(Y407*Z407,"")</f>
        <v/>
      </c>
      <c r="AB407" s="41">
        <f>IFERROR(IF(Z407&lt;1,Y407/(1-Z407),""),"")</f>
        <v/>
      </c>
      <c r="AC407" s="23" t="n"/>
      <c r="AD407" s="36" t="n"/>
      <c r="AE407" s="23" t="n"/>
      <c r="AF407" s="36" t="n"/>
      <c r="AG407" s="23" t="n"/>
      <c r="AH407" s="36" t="n"/>
      <c r="AI407" s="41">
        <f>IFERROR(AVERAGE(AD407,AF407,AH407),"")</f>
        <v/>
      </c>
      <c r="AJ407" s="29">
        <f>IFERROR(IF(AI407="","sem dados",IF(AB407&lt;AI407*0.95,"abaixo",IF(AB407&gt;AI407*1.05,"acima","em linha"))),"")</f>
        <v/>
      </c>
      <c r="AK407" s="23" t="inlineStr">
        <is>
          <t>não</t>
        </is>
      </c>
      <c r="AL407" s="23" t="n"/>
      <c r="AM407" s="23" t="n"/>
      <c r="AN407" s="23" t="n"/>
      <c r="AO407" s="44">
        <f>A407</f>
        <v/>
      </c>
      <c r="AP407" s="44">
        <f>D407</f>
        <v/>
      </c>
    </row>
    <row r="408" hidden="1" ht="15.75" customHeight="1" s="93">
      <c r="A408" s="23" t="inlineStr">
        <is>
          <t>0.0162.F001412.0</t>
        </is>
      </c>
      <c r="B408" s="23" t="inlineStr">
        <is>
          <t>F001412</t>
        </is>
      </c>
      <c r="C408" s="29">
        <f>IFERROR(LOWER(SUBSTITUTE(SUBSTITUTE(SUBSTITUTE(SUBSTITUTE(D408," ","-"),"/","-"),".",""),",","")),"")</f>
        <v/>
      </c>
      <c r="D408" s="23" t="inlineStr">
        <is>
          <t>MANGUEIRA MONTADA DY-D02-8*P0012L*P0012S*750</t>
        </is>
      </c>
      <c r="E408" s="23" t="n"/>
      <c r="F408" s="23" t="inlineStr">
        <is>
          <t>SOHIPREN</t>
        </is>
      </c>
      <c r="G408" s="23" t="n"/>
      <c r="H408" s="23" t="inlineStr">
        <is>
          <t>draft</t>
        </is>
      </c>
      <c r="I408" s="23" t="inlineStr">
        <is>
          <t>DYNAR</t>
        </is>
      </c>
      <c r="J408" s="23" t="n"/>
      <c r="K408" s="23" t="n"/>
      <c r="L408" s="23" t="inlineStr">
        <is>
          <t>DY-D02-8*P0012L*P0012S*750</t>
        </is>
      </c>
      <c r="M408" s="31" t="n"/>
      <c r="N408" s="31" t="n"/>
      <c r="O408" s="31" t="n"/>
      <c r="P408" s="31" t="n"/>
      <c r="Q408" s="31" t="n"/>
      <c r="R408" s="34">
        <f>IFERROR(IF(AND(O408&gt;0,P408&gt;0,Q408&gt;0),(O408*P408*Q408)/6000,""),"")</f>
        <v/>
      </c>
      <c r="S408" s="34">
        <f>IFERROR(IF(AND(N408&gt;0,R408&gt;0),MAX(N408,R408),IF(N408&gt;0,N408,IF(R408&gt;0,R408,""))),"")</f>
        <v/>
      </c>
      <c r="T408" s="36" t="n"/>
      <c r="U408" s="38" t="inlineStr">
        <is>
          <t>FALTA</t>
        </is>
      </c>
      <c r="V408" s="36" t="n">
        <v>59</v>
      </c>
      <c r="W408" s="39" t="n">
        <v>0.3</v>
      </c>
      <c r="X408" s="41">
        <f>IFERROR(V408+T408,"")</f>
        <v/>
      </c>
      <c r="Y408" s="41">
        <f>IFERROR(IF(W408&lt;1,X408/(1-W408),""),"")</f>
        <v/>
      </c>
      <c r="Z408" s="43">
        <f>'01_CONFIG_GLOBAL'!$C$14</f>
        <v/>
      </c>
      <c r="AA408" s="41">
        <f>IFERROR(Y408*Z408,"")</f>
        <v/>
      </c>
      <c r="AB408" s="41">
        <f>IFERROR(IF(Z408&lt;1,Y408/(1-Z408),""),"")</f>
        <v/>
      </c>
      <c r="AC408" s="23" t="n"/>
      <c r="AD408" s="36" t="n"/>
      <c r="AE408" s="23" t="n"/>
      <c r="AF408" s="36" t="n"/>
      <c r="AG408" s="23" t="n"/>
      <c r="AH408" s="36" t="n"/>
      <c r="AI408" s="41">
        <f>IFERROR(AVERAGE(AD408,AF408,AH408),"")</f>
        <v/>
      </c>
      <c r="AJ408" s="29">
        <f>IFERROR(IF(AI408="","sem dados",IF(AB408&lt;AI408*0.95,"abaixo",IF(AB408&gt;AI408*1.05,"acima","em linha"))),"")</f>
        <v/>
      </c>
      <c r="AK408" s="23" t="inlineStr">
        <is>
          <t>não</t>
        </is>
      </c>
      <c r="AL408" s="23" t="n"/>
      <c r="AM408" s="23" t="n"/>
      <c r="AN408" s="23" t="n"/>
      <c r="AO408" s="44">
        <f>A408</f>
        <v/>
      </c>
      <c r="AP408" s="44">
        <f>D408</f>
        <v/>
      </c>
    </row>
    <row r="409" hidden="1" ht="15.75" customHeight="1" s="93">
      <c r="A409" s="23" t="inlineStr">
        <is>
          <t>0.0162.F001413.0</t>
        </is>
      </c>
      <c r="B409" s="23" t="inlineStr">
        <is>
          <t>F001413</t>
        </is>
      </c>
      <c r="C409" s="29">
        <f>IFERROR(LOWER(SUBSTITUTE(SUBSTITUTE(SUBSTITUTE(SUBSTITUTE(D409," ","-"),"/","-"),".",""),",","")),"")</f>
        <v/>
      </c>
      <c r="D409" s="23" t="inlineStr">
        <is>
          <t>MANGUEIRA MONTADA DY-D02-8*P0012L*P0012L*750</t>
        </is>
      </c>
      <c r="E409" s="23" t="n"/>
      <c r="F409" s="23" t="inlineStr">
        <is>
          <t>SOHIPREN</t>
        </is>
      </c>
      <c r="G409" s="23" t="n"/>
      <c r="H409" s="23" t="inlineStr">
        <is>
          <t>draft</t>
        </is>
      </c>
      <c r="I409" s="23" t="inlineStr">
        <is>
          <t>DYNAR</t>
        </is>
      </c>
      <c r="J409" s="23" t="n"/>
      <c r="K409" s="23" t="n"/>
      <c r="L409" s="23" t="inlineStr">
        <is>
          <t>DY-D02-8*P0012L*P0012L*750</t>
        </is>
      </c>
      <c r="M409" s="31" t="n"/>
      <c r="N409" s="31" t="n"/>
      <c r="O409" s="31" t="n"/>
      <c r="P409" s="31" t="n"/>
      <c r="Q409" s="31" t="n"/>
      <c r="R409" s="34">
        <f>IFERROR(IF(AND(O409&gt;0,P409&gt;0,Q409&gt;0),(O409*P409*Q409)/6000,""),"")</f>
        <v/>
      </c>
      <c r="S409" s="34">
        <f>IFERROR(IF(AND(N409&gt;0,R409&gt;0),MAX(N409,R409),IF(N409&gt;0,N409,IF(R409&gt;0,R409,""))),"")</f>
        <v/>
      </c>
      <c r="T409" s="36" t="n"/>
      <c r="U409" s="38" t="inlineStr">
        <is>
          <t>FALTA</t>
        </is>
      </c>
      <c r="V409" s="36" t="n">
        <v>59</v>
      </c>
      <c r="W409" s="39" t="n">
        <v>0.3</v>
      </c>
      <c r="X409" s="41">
        <f>IFERROR(V409+T409,"")</f>
        <v/>
      </c>
      <c r="Y409" s="41">
        <f>IFERROR(IF(W409&lt;1,X409/(1-W409),""),"")</f>
        <v/>
      </c>
      <c r="Z409" s="43">
        <f>'01_CONFIG_GLOBAL'!$C$14</f>
        <v/>
      </c>
      <c r="AA409" s="41">
        <f>IFERROR(Y409*Z409,"")</f>
        <v/>
      </c>
      <c r="AB409" s="41">
        <f>IFERROR(IF(Z409&lt;1,Y409/(1-Z409),""),"")</f>
        <v/>
      </c>
      <c r="AC409" s="23" t="n"/>
      <c r="AD409" s="36" t="n"/>
      <c r="AE409" s="23" t="n"/>
      <c r="AF409" s="36" t="n"/>
      <c r="AG409" s="23" t="n"/>
      <c r="AH409" s="36" t="n"/>
      <c r="AI409" s="41">
        <f>IFERROR(AVERAGE(AD409,AF409,AH409),"")</f>
        <v/>
      </c>
      <c r="AJ409" s="29">
        <f>IFERROR(IF(AI409="","sem dados",IF(AB409&lt;AI409*0.95,"abaixo",IF(AB409&gt;AI409*1.05,"acima","em linha"))),"")</f>
        <v/>
      </c>
      <c r="AK409" s="23" t="inlineStr">
        <is>
          <t>não</t>
        </is>
      </c>
      <c r="AL409" s="23" t="n"/>
      <c r="AM409" s="23" t="n"/>
      <c r="AN409" s="23" t="n"/>
      <c r="AO409" s="44">
        <f>A409</f>
        <v/>
      </c>
      <c r="AP409" s="44">
        <f>D409</f>
        <v/>
      </c>
    </row>
    <row r="410" hidden="1" ht="15.75" customHeight="1" s="93">
      <c r="A410" s="23" t="inlineStr">
        <is>
          <t>0.2206.F001437.0</t>
        </is>
      </c>
      <c r="B410" s="23" t="inlineStr">
        <is>
          <t>F001437</t>
        </is>
      </c>
      <c r="C410" s="29">
        <f>IFERROR(LOWER(SUBSTITUTE(SUBSTITUTE(SUBSTITUTE(SUBSTITUTE(D410," ","-"),"/","-"),".",""),",","")),"")</f>
        <v/>
      </c>
      <c r="D410" s="23" t="inlineStr">
        <is>
          <t>BUJAO SEXTAVADO INTERNO M10 X 1 SEM CABECA - DIN906</t>
        </is>
      </c>
      <c r="E410" s="23" t="n"/>
      <c r="F410" s="23" t="inlineStr">
        <is>
          <t>SOHIPREN</t>
        </is>
      </c>
      <c r="G410" s="23" t="n"/>
      <c r="H410" s="23" t="inlineStr">
        <is>
          <t>draft</t>
        </is>
      </c>
      <c r="I410" s="23" t="inlineStr">
        <is>
          <t>DYNAR</t>
        </is>
      </c>
      <c r="J410" s="23" t="n"/>
      <c r="K410" s="23" t="n"/>
      <c r="L410" s="23" t="inlineStr">
        <is>
          <t>AABSI M10X1</t>
        </is>
      </c>
      <c r="M410" s="31" t="n"/>
      <c r="N410" s="31" t="n"/>
      <c r="O410" s="31" t="n"/>
      <c r="P410" s="31" t="n"/>
      <c r="Q410" s="31" t="n"/>
      <c r="R410" s="34">
        <f>IFERROR(IF(AND(O410&gt;0,P410&gt;0,Q410&gt;0),(O410*P410*Q410)/6000,""),"")</f>
        <v/>
      </c>
      <c r="S410" s="34">
        <f>IFERROR(IF(AND(N410&gt;0,R410&gt;0),MAX(N410,R410),IF(N410&gt;0,N410,IF(R410&gt;0,R410,""))),"")</f>
        <v/>
      </c>
      <c r="T410" s="36" t="n"/>
      <c r="U410" s="38" t="inlineStr">
        <is>
          <t>FALTA</t>
        </is>
      </c>
      <c r="V410" s="36" t="n">
        <v>335.5</v>
      </c>
      <c r="W410" s="39" t="n">
        <v>0.3</v>
      </c>
      <c r="X410" s="41">
        <f>IFERROR(V410+T410,"")</f>
        <v/>
      </c>
      <c r="Y410" s="41">
        <f>IFERROR(IF(W410&lt;1,X410/(1-W410),""),"")</f>
        <v/>
      </c>
      <c r="Z410" s="43">
        <f>'01_CONFIG_GLOBAL'!$C$14</f>
        <v/>
      </c>
      <c r="AA410" s="41">
        <f>IFERROR(Y410*Z410,"")</f>
        <v/>
      </c>
      <c r="AB410" s="41">
        <f>IFERROR(IF(Z410&lt;1,Y410/(1-Z410),""),"")</f>
        <v/>
      </c>
      <c r="AC410" s="23" t="n"/>
      <c r="AD410" s="36" t="n"/>
      <c r="AE410" s="23" t="n"/>
      <c r="AF410" s="36" t="n"/>
      <c r="AG410" s="23" t="n"/>
      <c r="AH410" s="36" t="n"/>
      <c r="AI410" s="41">
        <f>IFERROR(AVERAGE(AD410,AF410,AH410),"")</f>
        <v/>
      </c>
      <c r="AJ410" s="29">
        <f>IFERROR(IF(AI410="","sem dados",IF(AB410&lt;AI410*0.95,"abaixo",IF(AB410&gt;AI410*1.05,"acima","em linha"))),"")</f>
        <v/>
      </c>
      <c r="AK410" s="23" t="inlineStr">
        <is>
          <t>não</t>
        </is>
      </c>
      <c r="AL410" s="23" t="n"/>
      <c r="AM410" s="23" t="n"/>
      <c r="AN410" s="23" t="n"/>
      <c r="AO410" s="44">
        <f>A410</f>
        <v/>
      </c>
      <c r="AP410" s="44">
        <f>D410</f>
        <v/>
      </c>
    </row>
    <row r="411" hidden="1" ht="15.75" customHeight="1" s="93">
      <c r="A411" s="23" t="inlineStr">
        <is>
          <t>0.2206.F001246.0</t>
        </is>
      </c>
      <c r="B411" s="23" t="n"/>
      <c r="C411" s="29">
        <f>IFERROR(LOWER(SUBSTITUTE(SUBSTITUTE(SUBSTITUTE(SUBSTITUTE(D411," ","-"),"/","-"),".",""),",","")),"")</f>
        <v/>
      </c>
      <c r="D411" s="23" t="inlineStr">
        <is>
          <t>NAO USAR</t>
        </is>
      </c>
      <c r="E411" s="23" t="n"/>
      <c r="F411" s="23" t="inlineStr">
        <is>
          <t>SOHIPREN</t>
        </is>
      </c>
      <c r="G411" s="23" t="n"/>
      <c r="H411" s="23" t="inlineStr">
        <is>
          <t>draft</t>
        </is>
      </c>
      <c r="I411" s="23" t="inlineStr">
        <is>
          <t>DYNAR</t>
        </is>
      </c>
      <c r="J411" s="23" t="n"/>
      <c r="K411" s="23" t="n"/>
      <c r="L411" s="23" t="inlineStr">
        <is>
          <t>XAEUMO</t>
        </is>
      </c>
      <c r="M411" s="31" t="n"/>
      <c r="N411" s="31" t="n"/>
      <c r="O411" s="31" t="n"/>
      <c r="P411" s="31" t="n"/>
      <c r="Q411" s="31" t="n"/>
      <c r="R411" s="34">
        <f>IFERROR(IF(AND(O411&gt;0,P411&gt;0,Q411&gt;0),(O411*P411*Q411)/6000,""),"")</f>
        <v/>
      </c>
      <c r="S411" s="34">
        <f>IFERROR(IF(AND(N411&gt;0,R411&gt;0),MAX(N411,R411),IF(N411&gt;0,N411,IF(R411&gt;0,R411,""))),"")</f>
        <v/>
      </c>
      <c r="T411" s="36" t="n"/>
      <c r="U411" s="38" t="inlineStr">
        <is>
          <t>FALTA</t>
        </is>
      </c>
      <c r="V411" s="36" t="n">
        <v>335.5</v>
      </c>
      <c r="W411" s="39" t="n">
        <v>0.3</v>
      </c>
      <c r="X411" s="41">
        <f>IFERROR(V411+T411,"")</f>
        <v/>
      </c>
      <c r="Y411" s="41">
        <f>IFERROR(IF(W411&lt;1,X411/(1-W411),""),"")</f>
        <v/>
      </c>
      <c r="Z411" s="43">
        <f>'01_CONFIG_GLOBAL'!$C$14</f>
        <v/>
      </c>
      <c r="AA411" s="41">
        <f>IFERROR(Y411*Z411,"")</f>
        <v/>
      </c>
      <c r="AB411" s="41">
        <f>IFERROR(IF(Z411&lt;1,Y411/(1-Z411),""),"")</f>
        <v/>
      </c>
      <c r="AC411" s="23" t="n"/>
      <c r="AD411" s="36" t="n"/>
      <c r="AE411" s="23" t="n"/>
      <c r="AF411" s="36" t="n"/>
      <c r="AG411" s="23" t="n"/>
      <c r="AH411" s="36" t="n"/>
      <c r="AI411" s="41">
        <f>IFERROR(AVERAGE(AD411,AF411,AH411),"")</f>
        <v/>
      </c>
      <c r="AJ411" s="29">
        <f>IFERROR(IF(AI411="","sem dados",IF(AB411&lt;AI411*0.95,"abaixo",IF(AB411&gt;AI411*1.05,"acima","em linha"))),"")</f>
        <v/>
      </c>
      <c r="AK411" s="23" t="inlineStr">
        <is>
          <t>não</t>
        </is>
      </c>
      <c r="AL411" s="23" t="n"/>
      <c r="AM411" s="23" t="n"/>
      <c r="AN411" s="23" t="n"/>
      <c r="AO411" s="44">
        <f>A411</f>
        <v/>
      </c>
      <c r="AP411" s="44">
        <f>D411</f>
        <v/>
      </c>
    </row>
    <row r="412" hidden="1" ht="15.75" customHeight="1" s="93">
      <c r="A412" s="23" t="inlineStr">
        <is>
          <t>6.0460.L080567.7</t>
        </is>
      </c>
      <c r="B412" s="23" t="inlineStr">
        <is>
          <t>L080567</t>
        </is>
      </c>
      <c r="C412" s="29">
        <f>IFERROR(LOWER(SUBSTITUTE(SUBSTITUTE(SUBSTITUTE(SUBSTITUTE(D412," ","-"),"/","-"),".",""),",","")),"")</f>
        <v/>
      </c>
      <c r="D412" s="23" t="inlineStr">
        <is>
          <t>BLSHP-00006</t>
        </is>
      </c>
      <c r="E412" s="23" t="n"/>
      <c r="F412" s="23" t="inlineStr">
        <is>
          <t>SOHIPREN</t>
        </is>
      </c>
      <c r="G412" s="23" t="n"/>
      <c r="H412" s="23" t="inlineStr">
        <is>
          <t>draft</t>
        </is>
      </c>
      <c r="I412" s="23" t="inlineStr">
        <is>
          <t>ECO AGRICOLA</t>
        </is>
      </c>
      <c r="J412" s="23" t="n"/>
      <c r="K412" s="23" t="n"/>
      <c r="L412" s="23" t="inlineStr">
        <is>
          <t>1095470</t>
        </is>
      </c>
      <c r="M412" s="31" t="n"/>
      <c r="N412" s="31" t="n"/>
      <c r="O412" s="31" t="n"/>
      <c r="P412" s="31" t="n"/>
      <c r="Q412" s="31" t="n"/>
      <c r="R412" s="34">
        <f>IFERROR(IF(AND(O412&gt;0,P412&gt;0,Q412&gt;0),(O412*P412*Q412)/6000,""),"")</f>
        <v/>
      </c>
      <c r="S412" s="34">
        <f>IFERROR(IF(AND(N412&gt;0,R412&gt;0),MAX(N412,R412),IF(N412&gt;0,N412,IF(R412&gt;0,R412,""))),"")</f>
        <v/>
      </c>
      <c r="T412" s="36" t="n"/>
      <c r="U412" s="38" t="inlineStr">
        <is>
          <t>FALTA</t>
        </is>
      </c>
      <c r="V412" s="36" t="n">
        <v>3130</v>
      </c>
      <c r="W412" s="39" t="n">
        <v>0.3</v>
      </c>
      <c r="X412" s="41">
        <f>IFERROR(V412+T412,"")</f>
        <v/>
      </c>
      <c r="Y412" s="41">
        <f>IFERROR(IF(W412&lt;1,X412/(1-W412),""),"")</f>
        <v/>
      </c>
      <c r="Z412" s="43">
        <f>'01_CONFIG_GLOBAL'!$C$14</f>
        <v/>
      </c>
      <c r="AA412" s="41">
        <f>IFERROR(Y412*Z412,"")</f>
        <v/>
      </c>
      <c r="AB412" s="41">
        <f>IFERROR(IF(Z412&lt;1,Y412/(1-Z412),""),"")</f>
        <v/>
      </c>
      <c r="AC412" s="23" t="n"/>
      <c r="AD412" s="36" t="n"/>
      <c r="AE412" s="23" t="n"/>
      <c r="AF412" s="36" t="n"/>
      <c r="AG412" s="23" t="n"/>
      <c r="AH412" s="36" t="n"/>
      <c r="AI412" s="41">
        <f>IFERROR(AVERAGE(AD412,AF412,AH412),"")</f>
        <v/>
      </c>
      <c r="AJ412" s="29">
        <f>IFERROR(IF(AI412="","sem dados",IF(AB412&lt;AI412*0.95,"abaixo",IF(AB412&gt;AI412*1.05,"acima","em linha"))),"")</f>
        <v/>
      </c>
      <c r="AK412" s="23" t="inlineStr">
        <is>
          <t>não</t>
        </is>
      </c>
      <c r="AL412" s="23" t="n"/>
      <c r="AM412" s="23" t="n"/>
      <c r="AN412" s="23" t="n"/>
      <c r="AO412" s="44">
        <f>A412</f>
        <v/>
      </c>
      <c r="AP412" s="44">
        <f>D412</f>
        <v/>
      </c>
    </row>
    <row r="413" hidden="1" ht="15.75" customHeight="1" s="93">
      <c r="A413" s="23" t="inlineStr">
        <is>
          <t>6.0460.L080545.7</t>
        </is>
      </c>
      <c r="B413" s="23" t="inlineStr">
        <is>
          <t>L080545</t>
        </is>
      </c>
      <c r="C413" s="29">
        <f>IFERROR(LOWER(SUBSTITUTE(SUBSTITUTE(SUBSTITUTE(SUBSTITUTE(D413," ","-"),"/","-"),".",""),",","")),"")</f>
        <v/>
      </c>
      <c r="D413" s="23" t="inlineStr">
        <is>
          <t>BLSHP-00002</t>
        </is>
      </c>
      <c r="E413" s="23" t="n"/>
      <c r="F413" s="23" t="inlineStr">
        <is>
          <t>SOHIPREN</t>
        </is>
      </c>
      <c r="G413" s="23" t="n"/>
      <c r="H413" s="23" t="inlineStr">
        <is>
          <t>draft</t>
        </is>
      </c>
      <c r="I413" s="23" t="inlineStr">
        <is>
          <t>ECO AGRICOLA</t>
        </is>
      </c>
      <c r="J413" s="23" t="n"/>
      <c r="K413" s="23" t="inlineStr">
        <is>
          <t>BLOCO DE DESARME</t>
        </is>
      </c>
      <c r="L413" s="23" t="inlineStr">
        <is>
          <t>1082493</t>
        </is>
      </c>
      <c r="M413" s="31" t="n"/>
      <c r="N413" s="31" t="n"/>
      <c r="O413" s="31" t="n"/>
      <c r="P413" s="31" t="n"/>
      <c r="Q413" s="31" t="n"/>
      <c r="R413" s="34">
        <f>IFERROR(IF(AND(O413&gt;0,P413&gt;0,Q413&gt;0),(O413*P413*Q413)/6000,""),"")</f>
        <v/>
      </c>
      <c r="S413" s="34">
        <f>IFERROR(IF(AND(N413&gt;0,R413&gt;0),MAX(N413,R413),IF(N413&gt;0,N413,IF(R413&gt;0,R413,""))),"")</f>
        <v/>
      </c>
      <c r="T413" s="36" t="n"/>
      <c r="U413" s="38" t="inlineStr">
        <is>
          <t>FALTA</t>
        </is>
      </c>
      <c r="V413" s="36" t="n">
        <v>710.14</v>
      </c>
      <c r="W413" s="39" t="n">
        <v>0.3</v>
      </c>
      <c r="X413" s="41">
        <f>IFERROR(V413+T413,"")</f>
        <v/>
      </c>
      <c r="Y413" s="41">
        <f>IFERROR(IF(W413&lt;1,X413/(1-W413),""),"")</f>
        <v/>
      </c>
      <c r="Z413" s="43">
        <f>'01_CONFIG_GLOBAL'!$C$14</f>
        <v/>
      </c>
      <c r="AA413" s="41">
        <f>IFERROR(Y413*Z413,"")</f>
        <v/>
      </c>
      <c r="AB413" s="41">
        <f>IFERROR(IF(Z413&lt;1,Y413/(1-Z413),""),"")</f>
        <v/>
      </c>
      <c r="AC413" s="23" t="n"/>
      <c r="AD413" s="36" t="n"/>
      <c r="AE413" s="23" t="n"/>
      <c r="AF413" s="36" t="n"/>
      <c r="AG413" s="23" t="n"/>
      <c r="AH413" s="36" t="n"/>
      <c r="AI413" s="41">
        <f>IFERROR(AVERAGE(AD413,AF413,AH413),"")</f>
        <v/>
      </c>
      <c r="AJ413" s="29">
        <f>IFERROR(IF(AI413="","sem dados",IF(AB413&lt;AI413*0.95,"abaixo",IF(AB413&gt;AI413*1.05,"acima","em linha"))),"")</f>
        <v/>
      </c>
      <c r="AK413" s="23" t="inlineStr">
        <is>
          <t>não</t>
        </is>
      </c>
      <c r="AL413" s="23" t="n"/>
      <c r="AM413" s="23" t="n"/>
      <c r="AN413" s="23" t="n"/>
      <c r="AO413" s="44">
        <f>A413</f>
        <v/>
      </c>
      <c r="AP413" s="44">
        <f>D413</f>
        <v/>
      </c>
    </row>
    <row r="414" hidden="1" ht="15.75" customHeight="1" s="93">
      <c r="A414" s="23" t="inlineStr">
        <is>
          <t>6.0460.L080910.0</t>
        </is>
      </c>
      <c r="B414" s="23" t="inlineStr">
        <is>
          <t>L080910</t>
        </is>
      </c>
      <c r="C414" s="29">
        <f>IFERROR(LOWER(SUBSTITUTE(SUBSTITUTE(SUBSTITUTE(SUBSTITUTE(D414," ","-"),"/","-"),".",""),",","")),"")</f>
        <v/>
      </c>
      <c r="D414" s="23" t="inlineStr">
        <is>
          <t>BLSHP-00015</t>
        </is>
      </c>
      <c r="E414" s="23" t="n"/>
      <c r="F414" s="23" t="inlineStr">
        <is>
          <t>SOHIPREN</t>
        </is>
      </c>
      <c r="G414" s="23" t="n"/>
      <c r="H414" s="23" t="inlineStr">
        <is>
          <t>draft</t>
        </is>
      </c>
      <c r="I414" s="23" t="inlineStr">
        <is>
          <t>ECO AGRICOLA</t>
        </is>
      </c>
      <c r="J414" s="23" t="n"/>
      <c r="K414" s="23" t="n"/>
      <c r="L414" s="23" t="inlineStr">
        <is>
          <t>1094603</t>
        </is>
      </c>
      <c r="M414" s="31" t="n"/>
      <c r="N414" s="31" t="n"/>
      <c r="O414" s="31" t="n"/>
      <c r="P414" s="31" t="n"/>
      <c r="Q414" s="31" t="n"/>
      <c r="R414" s="34">
        <f>IFERROR(IF(AND(O414&gt;0,P414&gt;0,Q414&gt;0),(O414*P414*Q414)/6000,""),"")</f>
        <v/>
      </c>
      <c r="S414" s="34">
        <f>IFERROR(IF(AND(N414&gt;0,R414&gt;0),MAX(N414,R414),IF(N414&gt;0,N414,IF(R414&gt;0,R414,""))),"")</f>
        <v/>
      </c>
      <c r="T414" s="36" t="n"/>
      <c r="U414" s="38" t="inlineStr">
        <is>
          <t>FALTA</t>
        </is>
      </c>
      <c r="V414" s="36" t="n">
        <v>475.57</v>
      </c>
      <c r="W414" s="39" t="n">
        <v>0.3</v>
      </c>
      <c r="X414" s="41">
        <f>IFERROR(V414+T414,"")</f>
        <v/>
      </c>
      <c r="Y414" s="41">
        <f>IFERROR(IF(W414&lt;1,X414/(1-W414),""),"")</f>
        <v/>
      </c>
      <c r="Z414" s="43">
        <f>'01_CONFIG_GLOBAL'!$C$14</f>
        <v/>
      </c>
      <c r="AA414" s="41">
        <f>IFERROR(Y414*Z414,"")</f>
        <v/>
      </c>
      <c r="AB414" s="41">
        <f>IFERROR(IF(Z414&lt;1,Y414/(1-Z414),""),"")</f>
        <v/>
      </c>
      <c r="AC414" s="23" t="n"/>
      <c r="AD414" s="36" t="n"/>
      <c r="AE414" s="23" t="n"/>
      <c r="AF414" s="36" t="n"/>
      <c r="AG414" s="23" t="n"/>
      <c r="AH414" s="36" t="n"/>
      <c r="AI414" s="41">
        <f>IFERROR(AVERAGE(AD414,AF414,AH414),"")</f>
        <v/>
      </c>
      <c r="AJ414" s="29">
        <f>IFERROR(IF(AI414="","sem dados",IF(AB414&lt;AI414*0.95,"abaixo",IF(AB414&gt;AI414*1.05,"acima","em linha"))),"")</f>
        <v/>
      </c>
      <c r="AK414" s="23" t="inlineStr">
        <is>
          <t>não</t>
        </is>
      </c>
      <c r="AL414" s="23" t="n"/>
      <c r="AM414" s="23" t="n"/>
      <c r="AN414" s="23" t="n"/>
      <c r="AO414" s="44">
        <f>A414</f>
        <v/>
      </c>
      <c r="AP414" s="44">
        <f>D414</f>
        <v/>
      </c>
    </row>
    <row r="415" hidden="1" ht="15.75" customHeight="1" s="93">
      <c r="A415" s="23" t="inlineStr">
        <is>
          <t>6.0460.L081934.0</t>
        </is>
      </c>
      <c r="B415" s="23" t="inlineStr">
        <is>
          <t>L081934</t>
        </is>
      </c>
      <c r="C415" s="29">
        <f>IFERROR(LOWER(SUBSTITUTE(SUBSTITUTE(SUBSTITUTE(SUBSTITUTE(D415," ","-"),"/","-"),".",""),",","")),"")</f>
        <v/>
      </c>
      <c r="D415" s="23" t="inlineStr">
        <is>
          <t>VALVULA DERIVADORA 3 VIAS 24V</t>
        </is>
      </c>
      <c r="E415" s="23" t="n"/>
      <c r="F415" s="23" t="inlineStr">
        <is>
          <t>SOHIPREN</t>
        </is>
      </c>
      <c r="G415" s="23" t="n"/>
      <c r="H415" s="23" t="inlineStr">
        <is>
          <t>draft</t>
        </is>
      </c>
      <c r="I415" s="23" t="inlineStr">
        <is>
          <t>ECO AGRICOLA</t>
        </is>
      </c>
      <c r="J415" s="23" t="n"/>
      <c r="K415" s="23" t="n"/>
      <c r="L415" s="23" t="inlineStr">
        <is>
          <t>1095470</t>
        </is>
      </c>
      <c r="M415" s="31" t="n"/>
      <c r="N415" s="31" t="n"/>
      <c r="O415" s="31" t="n"/>
      <c r="P415" s="31" t="n"/>
      <c r="Q415" s="31" t="n"/>
      <c r="R415" s="34">
        <f>IFERROR(IF(AND(O415&gt;0,P415&gt;0,Q415&gt;0),(O415*P415*Q415)/6000,""),"")</f>
        <v/>
      </c>
      <c r="S415" s="34">
        <f>IFERROR(IF(AND(N415&gt;0,R415&gt;0),MAX(N415,R415),IF(N415&gt;0,N415,IF(R415&gt;0,R415,""))),"")</f>
        <v/>
      </c>
      <c r="T415" s="36" t="n"/>
      <c r="U415" s="38" t="inlineStr">
        <is>
          <t>FALTA</t>
        </is>
      </c>
      <c r="V415" s="36" t="n">
        <v>2490</v>
      </c>
      <c r="W415" s="39" t="n">
        <v>0.3</v>
      </c>
      <c r="X415" s="41">
        <f>IFERROR(V415+T415,"")</f>
        <v/>
      </c>
      <c r="Y415" s="41">
        <f>IFERROR(IF(W415&lt;1,X415/(1-W415),""),"")</f>
        <v/>
      </c>
      <c r="Z415" s="43">
        <f>'01_CONFIG_GLOBAL'!$C$14</f>
        <v/>
      </c>
      <c r="AA415" s="41">
        <f>IFERROR(Y415*Z415,"")</f>
        <v/>
      </c>
      <c r="AB415" s="41">
        <f>IFERROR(IF(Z415&lt;1,Y415/(1-Z415),""),"")</f>
        <v/>
      </c>
      <c r="AC415" s="23" t="n"/>
      <c r="AD415" s="36" t="n"/>
      <c r="AE415" s="23" t="n"/>
      <c r="AF415" s="36" t="n"/>
      <c r="AG415" s="23" t="n"/>
      <c r="AH415" s="36" t="n"/>
      <c r="AI415" s="41">
        <f>IFERROR(AVERAGE(AD415,AF415,AH415),"")</f>
        <v/>
      </c>
      <c r="AJ415" s="29">
        <f>IFERROR(IF(AI415="","sem dados",IF(AB415&lt;AI415*0.95,"abaixo",IF(AB415&gt;AI415*1.05,"acima","em linha"))),"")</f>
        <v/>
      </c>
      <c r="AK415" s="23" t="inlineStr">
        <is>
          <t>não</t>
        </is>
      </c>
      <c r="AL415" s="23" t="n"/>
      <c r="AM415" s="23" t="n"/>
      <c r="AN415" s="23" t="n"/>
      <c r="AO415" s="44">
        <f>A415</f>
        <v/>
      </c>
      <c r="AP415" s="44">
        <f>D415</f>
        <v/>
      </c>
    </row>
    <row r="416" hidden="1" ht="15.75" customHeight="1" s="93">
      <c r="A416" s="23" t="inlineStr">
        <is>
          <t>6.0460.L081910.0</t>
        </is>
      </c>
      <c r="B416" s="23" t="inlineStr">
        <is>
          <t>L081910</t>
        </is>
      </c>
      <c r="C416" s="29">
        <f>IFERROR(LOWER(SUBSTITUTE(SUBSTITUTE(SUBSTITUTE(SUBSTITUTE(D416," ","-"),"/","-"),".",""),",","")),"")</f>
        <v/>
      </c>
      <c r="D416" s="23" t="inlineStr">
        <is>
          <t>BLOCO REDUTOR DE ENTRADA 15.0303.059</t>
        </is>
      </c>
      <c r="E416" s="23" t="n"/>
      <c r="F416" s="23" t="inlineStr">
        <is>
          <t>SOHIPREN</t>
        </is>
      </c>
      <c r="G416" s="23" t="n"/>
      <c r="H416" s="23" t="inlineStr">
        <is>
          <t>draft</t>
        </is>
      </c>
      <c r="I416" s="23" t="inlineStr">
        <is>
          <t>ECO AGRICOLA</t>
        </is>
      </c>
      <c r="J416" s="23" t="n"/>
      <c r="K416" s="23" t="inlineStr">
        <is>
          <t>BLOCO DE DESARME</t>
        </is>
      </c>
      <c r="L416" s="23" t="inlineStr">
        <is>
          <t>1082493</t>
        </is>
      </c>
      <c r="M416" s="31" t="n"/>
      <c r="N416" s="31" t="n"/>
      <c r="O416" s="31" t="n"/>
      <c r="P416" s="31" t="n"/>
      <c r="Q416" s="31" t="n"/>
      <c r="R416" s="34">
        <f>IFERROR(IF(AND(O416&gt;0,P416&gt;0,Q416&gt;0),(O416*P416*Q416)/6000,""),"")</f>
        <v/>
      </c>
      <c r="S416" s="34">
        <f>IFERROR(IF(AND(N416&gt;0,R416&gt;0),MAX(N416,R416),IF(N416&gt;0,N416,IF(R416&gt;0,R416,""))),"")</f>
        <v/>
      </c>
      <c r="T416" s="36" t="n"/>
      <c r="U416" s="38" t="inlineStr">
        <is>
          <t>FALTA</t>
        </is>
      </c>
      <c r="V416" s="36" t="n">
        <v>316</v>
      </c>
      <c r="W416" s="39" t="n">
        <v>0.3</v>
      </c>
      <c r="X416" s="41">
        <f>IFERROR(V416+T416,"")</f>
        <v/>
      </c>
      <c r="Y416" s="41">
        <f>IFERROR(IF(W416&lt;1,X416/(1-W416),""),"")</f>
        <v/>
      </c>
      <c r="Z416" s="43">
        <f>'01_CONFIG_GLOBAL'!$C$14</f>
        <v/>
      </c>
      <c r="AA416" s="41">
        <f>IFERROR(Y416*Z416,"")</f>
        <v/>
      </c>
      <c r="AB416" s="41">
        <f>IFERROR(IF(Z416&lt;1,Y416/(1-Z416),""),"")</f>
        <v/>
      </c>
      <c r="AC416" s="23" t="n"/>
      <c r="AD416" s="36" t="n"/>
      <c r="AE416" s="23" t="n"/>
      <c r="AF416" s="36" t="n"/>
      <c r="AG416" s="23" t="n"/>
      <c r="AH416" s="36" t="n"/>
      <c r="AI416" s="41">
        <f>IFERROR(AVERAGE(AD416,AF416,AH416),"")</f>
        <v/>
      </c>
      <c r="AJ416" s="29">
        <f>IFERROR(IF(AI416="","sem dados",IF(AB416&lt;AI416*0.95,"abaixo",IF(AB416&gt;AI416*1.05,"acima","em linha"))),"")</f>
        <v/>
      </c>
      <c r="AK416" s="23" t="inlineStr">
        <is>
          <t>não</t>
        </is>
      </c>
      <c r="AL416" s="23" t="n"/>
      <c r="AM416" s="23" t="n"/>
      <c r="AN416" s="23" t="n"/>
      <c r="AO416" s="44">
        <f>A416</f>
        <v/>
      </c>
      <c r="AP416" s="44">
        <f>D416</f>
        <v/>
      </c>
    </row>
    <row r="417" hidden="1" ht="15.75" customHeight="1" s="93">
      <c r="A417" s="23" t="inlineStr">
        <is>
          <t>6.0460.L082077.0</t>
        </is>
      </c>
      <c r="B417" s="23" t="inlineStr">
        <is>
          <t>L082077</t>
        </is>
      </c>
      <c r="C417" s="29">
        <f>IFERROR(LOWER(SUBSTITUTE(SUBSTITUTE(SUBSTITUTE(SUBSTITUTE(D417," ","-"),"/","-"),".",""),",","")),"")</f>
        <v/>
      </c>
      <c r="D417" s="23" t="inlineStr">
        <is>
          <t>LMP-08-3B-L - VALVULA 3 VIAS</t>
        </is>
      </c>
      <c r="E417" s="23" t="n"/>
      <c r="F417" s="23" t="inlineStr">
        <is>
          <t>SOHIPREN</t>
        </is>
      </c>
      <c r="G417" s="23" t="n"/>
      <c r="H417" s="23" t="inlineStr">
        <is>
          <t>draft</t>
        </is>
      </c>
      <c r="I417" s="23" t="inlineStr">
        <is>
          <t>ECO AGRICOLA</t>
        </is>
      </c>
      <c r="J417" s="23" t="n"/>
      <c r="K417" s="23" t="n"/>
      <c r="L417" s="23" t="inlineStr">
        <is>
          <t>1095470</t>
        </is>
      </c>
      <c r="M417" s="31" t="n"/>
      <c r="N417" s="31" t="n"/>
      <c r="O417" s="31" t="n"/>
      <c r="P417" s="31" t="n"/>
      <c r="Q417" s="31" t="n"/>
      <c r="R417" s="34">
        <f>IFERROR(IF(AND(O417&gt;0,P417&gt;0,Q417&gt;0),(O417*P417*Q417)/6000,""),"")</f>
        <v/>
      </c>
      <c r="S417" s="34">
        <f>IFERROR(IF(AND(N417&gt;0,R417&gt;0),MAX(N417,R417),IF(N417&gt;0,N417,IF(R417&gt;0,R417,""))),"")</f>
        <v/>
      </c>
      <c r="T417" s="36" t="n"/>
      <c r="U417" s="38" t="inlineStr">
        <is>
          <t>FALTA</t>
        </is>
      </c>
      <c r="V417" s="36" t="n">
        <v>1517</v>
      </c>
      <c r="W417" s="39" t="n">
        <v>0.3</v>
      </c>
      <c r="X417" s="41">
        <f>IFERROR(V417+T417,"")</f>
        <v/>
      </c>
      <c r="Y417" s="41">
        <f>IFERROR(IF(W417&lt;1,X417/(1-W417),""),"")</f>
        <v/>
      </c>
      <c r="Z417" s="43">
        <f>'01_CONFIG_GLOBAL'!$C$14</f>
        <v/>
      </c>
      <c r="AA417" s="41">
        <f>IFERROR(Y417*Z417,"")</f>
        <v/>
      </c>
      <c r="AB417" s="41">
        <f>IFERROR(IF(Z417&lt;1,Y417/(1-Z417),""),"")</f>
        <v/>
      </c>
      <c r="AC417" s="23" t="n"/>
      <c r="AD417" s="36" t="n"/>
      <c r="AE417" s="23" t="n"/>
      <c r="AF417" s="36" t="n"/>
      <c r="AG417" s="23" t="n"/>
      <c r="AH417" s="36" t="n"/>
      <c r="AI417" s="41">
        <f>IFERROR(AVERAGE(AD417,AF417,AH417),"")</f>
        <v/>
      </c>
      <c r="AJ417" s="29">
        <f>IFERROR(IF(AI417="","sem dados",IF(AB417&lt;AI417*0.95,"abaixo",IF(AB417&gt;AI417*1.05,"acima","em linha"))),"")</f>
        <v/>
      </c>
      <c r="AK417" s="23" t="inlineStr">
        <is>
          <t>não</t>
        </is>
      </c>
      <c r="AL417" s="23" t="n"/>
      <c r="AM417" s="23" t="n"/>
      <c r="AN417" s="23" t="n"/>
      <c r="AO417" s="44">
        <f>A417</f>
        <v/>
      </c>
      <c r="AP417" s="44">
        <f>D417</f>
        <v/>
      </c>
    </row>
    <row r="418" hidden="1" ht="15.75" customHeight="1" s="93">
      <c r="A418" s="23" t="inlineStr">
        <is>
          <t>0.2114.F001170.0</t>
        </is>
      </c>
      <c r="B418" s="23" t="inlineStr">
        <is>
          <t>F001170</t>
        </is>
      </c>
      <c r="C418" s="29">
        <f>IFERROR(LOWER(SUBSTITUTE(SUBSTITUTE(SUBSTITUTE(SUBSTITUTE(D418," ","-"),"/","-"),".",""),",","")),"")</f>
        <v/>
      </c>
      <c r="D418" s="23" t="inlineStr">
        <is>
          <t>CARGA NITROGENIO COMPRIMIDO</t>
        </is>
      </c>
      <c r="E418" s="23" t="n"/>
      <c r="F418" s="23" t="inlineStr">
        <is>
          <t>SOHIPREN</t>
        </is>
      </c>
      <c r="G418" s="23" t="n"/>
      <c r="H418" s="23" t="inlineStr">
        <is>
          <t>draft</t>
        </is>
      </c>
      <c r="I418" s="23" t="inlineStr">
        <is>
          <t>ECOLOGICO (MIXANDI)</t>
        </is>
      </c>
      <c r="J418" s="23" t="n"/>
      <c r="K418" s="23" t="n"/>
      <c r="L418" s="23" t="inlineStr">
        <is>
          <t>6.10.0010</t>
        </is>
      </c>
      <c r="M418" s="31" t="n"/>
      <c r="N418" s="31" t="n"/>
      <c r="O418" s="31" t="n"/>
      <c r="P418" s="31" t="n"/>
      <c r="Q418" s="31" t="n"/>
      <c r="R418" s="34">
        <f>IFERROR(IF(AND(O418&gt;0,P418&gt;0,Q418&gt;0),(O418*P418*Q418)/6000,""),"")</f>
        <v/>
      </c>
      <c r="S418" s="34">
        <f>IFERROR(IF(AND(N418&gt;0,R418&gt;0),MAX(N418,R418),IF(N418&gt;0,N418,IF(R418&gt;0,R418,""))),"")</f>
        <v/>
      </c>
      <c r="T418" s="36" t="n"/>
      <c r="U418" s="38" t="inlineStr">
        <is>
          <t>FALTA</t>
        </is>
      </c>
      <c r="V418" s="36" t="n">
        <v>9817.5</v>
      </c>
      <c r="W418" s="39" t="n">
        <v>0.3</v>
      </c>
      <c r="X418" s="41">
        <f>IFERROR(V418+T418,"")</f>
        <v/>
      </c>
      <c r="Y418" s="41">
        <f>IFERROR(IF(W418&lt;1,X418/(1-W418),""),"")</f>
        <v/>
      </c>
      <c r="Z418" s="43">
        <f>'01_CONFIG_GLOBAL'!$C$14</f>
        <v/>
      </c>
      <c r="AA418" s="41">
        <f>IFERROR(Y418*Z418,"")</f>
        <v/>
      </c>
      <c r="AB418" s="41">
        <f>IFERROR(IF(Z418&lt;1,Y418/(1-Z418),""),"")</f>
        <v/>
      </c>
      <c r="AC418" s="23" t="n"/>
      <c r="AD418" s="36" t="n"/>
      <c r="AE418" s="23" t="n"/>
      <c r="AF418" s="36" t="n"/>
      <c r="AG418" s="23" t="n"/>
      <c r="AH418" s="36" t="n"/>
      <c r="AI418" s="41">
        <f>IFERROR(AVERAGE(AD418,AF418,AH418),"")</f>
        <v/>
      </c>
      <c r="AJ418" s="29">
        <f>IFERROR(IF(AI418="","sem dados",IF(AB418&lt;AI418*0.95,"abaixo",IF(AB418&gt;AI418*1.05,"acima","em linha"))),"")</f>
        <v/>
      </c>
      <c r="AK418" s="23" t="inlineStr">
        <is>
          <t>não</t>
        </is>
      </c>
      <c r="AL418" s="23" t="n"/>
      <c r="AM418" s="23" t="n"/>
      <c r="AN418" s="23" t="n"/>
      <c r="AO418" s="44">
        <f>A418</f>
        <v/>
      </c>
      <c r="AP418" s="44">
        <f>D418</f>
        <v/>
      </c>
    </row>
    <row r="419" hidden="1" ht="15.75" customHeight="1" s="93">
      <c r="A419" s="23" t="inlineStr">
        <is>
          <t>0.8003.F001336.0</t>
        </is>
      </c>
      <c r="B419" s="23" t="inlineStr">
        <is>
          <t>F001336</t>
        </is>
      </c>
      <c r="C419" s="29">
        <f>IFERROR(LOWER(SUBSTITUTE(SUBSTITUTE(SUBSTITUTE(SUBSTITUTE(D419," ","-"),"/","-"),".",""),",","")),"")</f>
        <v/>
      </c>
      <c r="D419" s="23" t="inlineStr">
        <is>
          <t>ARMARIO DE ACO - 02 PORTAS - 04 PRATELEIRAS</t>
        </is>
      </c>
      <c r="E419" s="23" t="n"/>
      <c r="F419" s="23" t="inlineStr">
        <is>
          <t>SOHIPREN</t>
        </is>
      </c>
      <c r="G419" s="23" t="n"/>
      <c r="H419" s="23" t="inlineStr">
        <is>
          <t>draft</t>
        </is>
      </c>
      <c r="I419" s="23" t="inlineStr">
        <is>
          <t>ELITE ACO</t>
        </is>
      </c>
      <c r="J419" s="23" t="n"/>
      <c r="K419" s="23" t="n"/>
      <c r="L419" s="23" t="inlineStr">
        <is>
          <t>EA301/002</t>
        </is>
      </c>
      <c r="M419" s="31" t="n"/>
      <c r="N419" s="31" t="n"/>
      <c r="O419" s="31" t="n"/>
      <c r="P419" s="31" t="n"/>
      <c r="Q419" s="31" t="n"/>
      <c r="R419" s="34">
        <f>IFERROR(IF(AND(O419&gt;0,P419&gt;0,Q419&gt;0),(O419*P419*Q419)/6000,""),"")</f>
        <v/>
      </c>
      <c r="S419" s="34">
        <f>IFERROR(IF(AND(N419&gt;0,R419&gt;0),MAX(N419,R419),IF(N419&gt;0,N419,IF(R419&gt;0,R419,""))),"")</f>
        <v/>
      </c>
      <c r="T419" s="36" t="n"/>
      <c r="U419" s="38" t="inlineStr">
        <is>
          <t>FALTA</t>
        </is>
      </c>
      <c r="V419" s="36" t="n">
        <v>285</v>
      </c>
      <c r="W419" s="39" t="n">
        <v>0.3</v>
      </c>
      <c r="X419" s="41">
        <f>IFERROR(V419+T419,"")</f>
        <v/>
      </c>
      <c r="Y419" s="41">
        <f>IFERROR(IF(W419&lt;1,X419/(1-W419),""),"")</f>
        <v/>
      </c>
      <c r="Z419" s="43">
        <f>'01_CONFIG_GLOBAL'!$C$14</f>
        <v/>
      </c>
      <c r="AA419" s="41">
        <f>IFERROR(Y419*Z419,"")</f>
        <v/>
      </c>
      <c r="AB419" s="41">
        <f>IFERROR(IF(Z419&lt;1,Y419/(1-Z419),""),"")</f>
        <v/>
      </c>
      <c r="AC419" s="23" t="n"/>
      <c r="AD419" s="36" t="n"/>
      <c r="AE419" s="23" t="n"/>
      <c r="AF419" s="36" t="n"/>
      <c r="AG419" s="23" t="n"/>
      <c r="AH419" s="36" t="n"/>
      <c r="AI419" s="41">
        <f>IFERROR(AVERAGE(AD419,AF419,AH419),"")</f>
        <v/>
      </c>
      <c r="AJ419" s="29">
        <f>IFERROR(IF(AI419="","sem dados",IF(AB419&lt;AI419*0.95,"abaixo",IF(AB419&gt;AI419*1.05,"acima","em linha"))),"")</f>
        <v/>
      </c>
      <c r="AK419" s="23" t="inlineStr">
        <is>
          <t>não</t>
        </is>
      </c>
      <c r="AL419" s="23" t="n"/>
      <c r="AM419" s="23" t="n"/>
      <c r="AN419" s="23" t="n"/>
      <c r="AO419" s="44">
        <f>A419</f>
        <v/>
      </c>
      <c r="AP419" s="44">
        <f>D419</f>
        <v/>
      </c>
    </row>
    <row r="420" hidden="1" ht="15.75" customHeight="1" s="93">
      <c r="A420" s="23" t="inlineStr">
        <is>
          <t>5.0206.L025620.0</t>
        </is>
      </c>
      <c r="B420" s="23" t="inlineStr">
        <is>
          <t>L025620</t>
        </is>
      </c>
      <c r="C420" s="29">
        <f>IFERROR(LOWER(SUBSTITUTE(SUBSTITUTE(SUBSTITUTE(SUBSTITUTE(D420," ","-"),"/","-"),".",""),",","")),"")</f>
        <v/>
      </c>
      <c r="D420" s="23" t="inlineStr">
        <is>
          <t>BOD 11 C11.C1.A.L</t>
        </is>
      </c>
      <c r="E420" s="23" t="inlineStr">
        <is>
          <t>Bombas Hidráulicas</t>
        </is>
      </c>
      <c r="F420" s="23" t="inlineStr">
        <is>
          <t>SOHIPREN</t>
        </is>
      </c>
      <c r="G420" s="23" t="n"/>
      <c r="H420" s="23" t="inlineStr">
        <is>
          <t>draft</t>
        </is>
      </c>
      <c r="I420" s="23" t="inlineStr">
        <is>
          <t>ERPIS CALÇADOS</t>
        </is>
      </c>
      <c r="J420" s="23" t="inlineStr">
        <is>
          <t>MÁQUINAS CALCEIRAS</t>
        </is>
      </c>
      <c r="K420" s="23" t="inlineStr">
        <is>
          <t>PRINCIPAL</t>
        </is>
      </c>
      <c r="L420" s="23" t="inlineStr">
        <is>
          <t>9510080520</t>
        </is>
      </c>
      <c r="M420" s="31" t="n"/>
      <c r="N420" s="31" t="n"/>
      <c r="O420" s="31" t="n"/>
      <c r="P420" s="31" t="n"/>
      <c r="Q420" s="31" t="n"/>
      <c r="R420" s="34">
        <f>IFERROR(IF(AND(O420&gt;0,P420&gt;0,Q420&gt;0),(O420*P420*Q420)/6000,""),"")</f>
        <v/>
      </c>
      <c r="S420" s="34">
        <f>IFERROR(IF(AND(N420&gt;0,R420&gt;0),MAX(N420,R420),IF(N420&gt;0,N420,IF(R420&gt;0,R420,""))),"")</f>
        <v/>
      </c>
      <c r="T420" s="36" t="n"/>
      <c r="U420" s="38" t="inlineStr">
        <is>
          <t>FALTA</t>
        </is>
      </c>
      <c r="V420" s="36" t="n">
        <v>517</v>
      </c>
      <c r="W420" s="39" t="n">
        <v>0.3</v>
      </c>
      <c r="X420" s="41">
        <f>IFERROR(V420+T420,"")</f>
        <v/>
      </c>
      <c r="Y420" s="41">
        <f>IFERROR(IF(W420&lt;1,X420/(1-W420),""),"")</f>
        <v/>
      </c>
      <c r="Z420" s="43">
        <f>'01_CONFIG_GLOBAL'!$C$14</f>
        <v/>
      </c>
      <c r="AA420" s="41">
        <f>IFERROR(Y420*Z420,"")</f>
        <v/>
      </c>
      <c r="AB420" s="41">
        <f>IFERROR(IF(Z420&lt;1,Y420/(1-Z420),""),"")</f>
        <v/>
      </c>
      <c r="AC420" s="23" t="n"/>
      <c r="AD420" s="36" t="n"/>
      <c r="AE420" s="23" t="n"/>
      <c r="AF420" s="36" t="n"/>
      <c r="AG420" s="23" t="n"/>
      <c r="AH420" s="36" t="n"/>
      <c r="AI420" s="41">
        <f>IFERROR(AVERAGE(AD420,AF420,AH420),"")</f>
        <v/>
      </c>
      <c r="AJ420" s="29">
        <f>IFERROR(IF(AI420="","sem dados",IF(AB420&lt;AI420*0.95,"abaixo",IF(AB420&gt;AI420*1.05,"acima","em linha"))),"")</f>
        <v/>
      </c>
      <c r="AK420" s="23" t="inlineStr">
        <is>
          <t>não</t>
        </is>
      </c>
      <c r="AL420" s="23" t="n"/>
      <c r="AM420" s="23" t="n"/>
      <c r="AN420" s="23" t="n"/>
      <c r="AO420" s="44">
        <f>A420</f>
        <v/>
      </c>
      <c r="AP420" s="44">
        <f>D420</f>
        <v/>
      </c>
    </row>
    <row r="421" hidden="1" ht="15.75" customHeight="1" s="93">
      <c r="A421" s="23" t="inlineStr">
        <is>
          <t>5.0220.0548855.0</t>
        </is>
      </c>
      <c r="B421" s="23" t="inlineStr">
        <is>
          <t>548855</t>
        </is>
      </c>
      <c r="C421" s="29">
        <f>IFERROR(LOWER(SUBSTITUTE(SUBSTITUTE(SUBSTITUTE(SUBSTITUTE(D421," ","-"),"/","-"),".",""),",","")),"")</f>
        <v/>
      </c>
      <c r="D421" s="23" t="inlineStr">
        <is>
          <t>BOMBA HIDRÁULICA - APLICAÇÃO 16 B11.B19.A42/11 A42.L1 (PLACA H15)</t>
        </is>
      </c>
      <c r="E421" s="23" t="inlineStr">
        <is>
          <t>Bombas Hidráulicas</t>
        </is>
      </c>
      <c r="F421" s="23" t="inlineStr">
        <is>
          <t>SOHIPREN</t>
        </is>
      </c>
      <c r="G421" s="23" t="n"/>
      <c r="H421" s="23" t="inlineStr">
        <is>
          <t>draft</t>
        </is>
      </c>
      <c r="I421" s="23" t="inlineStr">
        <is>
          <t>FENDT</t>
        </is>
      </c>
      <c r="J421" s="23" t="inlineStr">
        <is>
          <t>TRATOR</t>
        </is>
      </c>
      <c r="K421" s="23" t="inlineStr">
        <is>
          <t>DIREÇÃO E LEVANTE</t>
        </is>
      </c>
      <c r="L421" s="23" t="inlineStr">
        <is>
          <t>F395940010010</t>
        </is>
      </c>
      <c r="M421" s="31" t="n"/>
      <c r="N421" s="31" t="n"/>
      <c r="O421" s="31" t="n"/>
      <c r="P421" s="31" t="n"/>
      <c r="Q421" s="31" t="n"/>
      <c r="R421" s="34">
        <f>IFERROR(IF(AND(O421&gt;0,P421&gt;0,Q421&gt;0),(O421*P421*Q421)/6000,""),"")</f>
        <v/>
      </c>
      <c r="S421" s="34">
        <f>IFERROR(IF(AND(N421&gt;0,R421&gt;0),MAX(N421,R421),IF(N421&gt;0,N421,IF(R421&gt;0,R421,""))),"")</f>
        <v/>
      </c>
      <c r="T421" s="36" t="n"/>
      <c r="U421" s="38" t="inlineStr">
        <is>
          <t>FALTA</t>
        </is>
      </c>
      <c r="V421" s="36" t="n">
        <v>1118.7</v>
      </c>
      <c r="W421" s="39" t="n">
        <v>0.3</v>
      </c>
      <c r="X421" s="41">
        <f>IFERROR(V421+T421,"")</f>
        <v/>
      </c>
      <c r="Y421" s="41">
        <f>IFERROR(IF(W421&lt;1,X421/(1-W421),""),"")</f>
        <v/>
      </c>
      <c r="Z421" s="43">
        <f>'01_CONFIG_GLOBAL'!$C$14</f>
        <v/>
      </c>
      <c r="AA421" s="41">
        <f>IFERROR(Y421*Z421,"")</f>
        <v/>
      </c>
      <c r="AB421" s="41">
        <f>IFERROR(IF(Z421&lt;1,Y421/(1-Z421),""),"")</f>
        <v/>
      </c>
      <c r="AC421" s="23" t="n"/>
      <c r="AD421" s="36" t="n"/>
      <c r="AE421" s="23" t="n"/>
      <c r="AF421" s="36" t="n"/>
      <c r="AG421" s="23" t="n"/>
      <c r="AH421" s="36" t="n"/>
      <c r="AI421" s="41">
        <f>IFERROR(AVERAGE(AD421,AF421,AH421),"")</f>
        <v/>
      </c>
      <c r="AJ421" s="29">
        <f>IFERROR(IF(AI421="","sem dados",IF(AB421&lt;AI421*0.95,"abaixo",IF(AB421&gt;AI421*1.05,"acima","em linha"))),"")</f>
        <v/>
      </c>
      <c r="AK421" s="23" t="inlineStr">
        <is>
          <t>não</t>
        </is>
      </c>
      <c r="AL421" s="23" t="n"/>
      <c r="AM421" s="23" t="n"/>
      <c r="AN421" s="23" t="n"/>
      <c r="AO421" s="44">
        <f>A421</f>
        <v/>
      </c>
      <c r="AP421" s="44">
        <f>D421</f>
        <v/>
      </c>
    </row>
    <row r="422" hidden="1" ht="15.75" customHeight="1" s="93">
      <c r="A422" s="23" t="inlineStr">
        <is>
          <t>5.0209.0545683.0</t>
        </is>
      </c>
      <c r="B422" s="23" t="inlineStr">
        <is>
          <t>545683</t>
        </is>
      </c>
      <c r="C422" s="29">
        <f>IFERROR(LOWER(SUBSTITUTE(SUBSTITUTE(SUBSTITUTE(SUBSTITUTE(D422," ","-"),"/","-"),".",""),",","")),"")</f>
        <v/>
      </c>
      <c r="D422" s="23" t="inlineStr">
        <is>
          <t>BOMBA HIDRÁULICA - APLICAÇÃO 19 E9.P1.A4.L</t>
        </is>
      </c>
      <c r="E422" s="23" t="inlineStr">
        <is>
          <t>Bombas Hidráulicas</t>
        </is>
      </c>
      <c r="F422" s="23" t="inlineStr">
        <is>
          <t>SOHIPREN</t>
        </is>
      </c>
      <c r="G422" s="23" t="n"/>
      <c r="H422" s="23" t="inlineStr">
        <is>
          <t>draft</t>
        </is>
      </c>
      <c r="I422" s="23" t="inlineStr">
        <is>
          <t>FENDT</t>
        </is>
      </c>
      <c r="J422" s="23" t="inlineStr">
        <is>
          <t>TRATOR</t>
        </is>
      </c>
      <c r="K422" s="23" t="inlineStr">
        <is>
          <t>PRINCIPAL</t>
        </is>
      </c>
      <c r="L422" s="23" t="inlineStr">
        <is>
          <t>G281940100010</t>
        </is>
      </c>
      <c r="M422" s="31" t="n"/>
      <c r="N422" s="31" t="n"/>
      <c r="O422" s="31" t="n"/>
      <c r="P422" s="31" t="n"/>
      <c r="Q422" s="31" t="n"/>
      <c r="R422" s="34">
        <f>IFERROR(IF(AND(O422&gt;0,P422&gt;0,Q422&gt;0),(O422*P422*Q422)/6000,""),"")</f>
        <v/>
      </c>
      <c r="S422" s="34">
        <f>IFERROR(IF(AND(N422&gt;0,R422&gt;0),MAX(N422,R422),IF(N422&gt;0,N422,IF(R422&gt;0,R422,""))),"")</f>
        <v/>
      </c>
      <c r="T422" s="36" t="n"/>
      <c r="U422" s="38" t="inlineStr">
        <is>
          <t>FALTA</t>
        </is>
      </c>
      <c r="V422" s="36" t="n">
        <v>425.63</v>
      </c>
      <c r="W422" s="39" t="n">
        <v>0.3</v>
      </c>
      <c r="X422" s="41">
        <f>IFERROR(V422+T422,"")</f>
        <v/>
      </c>
      <c r="Y422" s="41">
        <f>IFERROR(IF(W422&lt;1,X422/(1-W422),""),"")</f>
        <v/>
      </c>
      <c r="Z422" s="43">
        <f>'01_CONFIG_GLOBAL'!$C$14</f>
        <v/>
      </c>
      <c r="AA422" s="41">
        <f>IFERROR(Y422*Z422,"")</f>
        <v/>
      </c>
      <c r="AB422" s="41">
        <f>IFERROR(IF(Z422&lt;1,Y422/(1-Z422),""),"")</f>
        <v/>
      </c>
      <c r="AC422" s="23" t="n"/>
      <c r="AD422" s="36" t="n"/>
      <c r="AE422" s="23" t="n"/>
      <c r="AF422" s="36" t="n"/>
      <c r="AG422" s="23" t="n"/>
      <c r="AH422" s="36" t="n"/>
      <c r="AI422" s="41">
        <f>IFERROR(AVERAGE(AD422,AF422,AH422),"")</f>
        <v/>
      </c>
      <c r="AJ422" s="29">
        <f>IFERROR(IF(AI422="","sem dados",IF(AB422&lt;AI422*0.95,"abaixo",IF(AB422&gt;AI422*1.05,"acima","em linha"))),"")</f>
        <v/>
      </c>
      <c r="AK422" s="23" t="inlineStr">
        <is>
          <t>não</t>
        </is>
      </c>
      <c r="AL422" s="23" t="n"/>
      <c r="AM422" s="23" t="n"/>
      <c r="AN422" s="23" t="n"/>
      <c r="AO422" s="44">
        <f>A422</f>
        <v/>
      </c>
      <c r="AP422" s="44">
        <f>D422</f>
        <v/>
      </c>
    </row>
    <row r="423" hidden="1" ht="15.75" customHeight="1" s="93">
      <c r="A423" s="23" t="inlineStr">
        <is>
          <t>5.0220.0549035.0</t>
        </is>
      </c>
      <c r="B423" s="23" t="inlineStr">
        <is>
          <t>549035</t>
        </is>
      </c>
      <c r="C423" s="29">
        <f>IFERROR(LOWER(SUBSTITUTE(SUBSTITUTE(SUBSTITUTE(SUBSTITUTE(D423," ","-"),"/","-"),".",""),",","")),"")</f>
        <v/>
      </c>
      <c r="D423" s="23" t="inlineStr">
        <is>
          <t>BOMBA HIDRÁULICA - APLICAÇÃO 22,5 E9.B.B109/19.B109.L</t>
        </is>
      </c>
      <c r="E423" s="23" t="inlineStr">
        <is>
          <t>Bombas Hidráulicas</t>
        </is>
      </c>
      <c r="F423" s="23" t="inlineStr">
        <is>
          <t>SOHIPREN</t>
        </is>
      </c>
      <c r="G423" s="23" t="n"/>
      <c r="H423" s="23" t="inlineStr">
        <is>
          <t>draft</t>
        </is>
      </c>
      <c r="I423" s="23" t="inlineStr">
        <is>
          <t>FIAT ALLIS / FIATAGRI</t>
        </is>
      </c>
      <c r="J423" s="23" t="inlineStr">
        <is>
          <t>TRATOR ESTEIRAS</t>
        </is>
      </c>
      <c r="K423" s="23" t="inlineStr">
        <is>
          <t>DIREÇÃO E FREIO</t>
        </is>
      </c>
      <c r="L423" s="23" t="inlineStr">
        <is>
          <t>75253422</t>
        </is>
      </c>
      <c r="M423" s="31" t="n"/>
      <c r="N423" s="31" t="n"/>
      <c r="O423" s="31" t="n"/>
      <c r="P423" s="31" t="n"/>
      <c r="Q423" s="31" t="n"/>
      <c r="R423" s="34">
        <f>IFERROR(IF(AND(O423&gt;0,P423&gt;0,Q423&gt;0),(O423*P423*Q423)/6000,""),"")</f>
        <v/>
      </c>
      <c r="S423" s="34">
        <f>IFERROR(IF(AND(N423&gt;0,R423&gt;0),MAX(N423,R423),IF(N423&gt;0,N423,IF(R423&gt;0,R423,""))),"")</f>
        <v/>
      </c>
      <c r="T423" s="36" t="n"/>
      <c r="U423" s="38" t="inlineStr">
        <is>
          <t>FALTA</t>
        </is>
      </c>
      <c r="V423" s="36" t="n">
        <v>1210</v>
      </c>
      <c r="W423" s="39" t="n">
        <v>0.3</v>
      </c>
      <c r="X423" s="41">
        <f>IFERROR(V423+T423,"")</f>
        <v/>
      </c>
      <c r="Y423" s="41">
        <f>IFERROR(IF(W423&lt;1,X423/(1-W423),""),"")</f>
        <v/>
      </c>
      <c r="Z423" s="43">
        <f>'01_CONFIG_GLOBAL'!$C$14</f>
        <v/>
      </c>
      <c r="AA423" s="41">
        <f>IFERROR(Y423*Z423,"")</f>
        <v/>
      </c>
      <c r="AB423" s="41">
        <f>IFERROR(IF(Z423&lt;1,Y423/(1-Z423),""),"")</f>
        <v/>
      </c>
      <c r="AC423" s="23" t="n"/>
      <c r="AD423" s="36" t="n"/>
      <c r="AE423" s="23" t="n"/>
      <c r="AF423" s="36" t="n"/>
      <c r="AG423" s="23" t="n"/>
      <c r="AH423" s="36" t="n"/>
      <c r="AI423" s="41">
        <f>IFERROR(AVERAGE(AD423,AF423,AH423),"")</f>
        <v/>
      </c>
      <c r="AJ423" s="29">
        <f>IFERROR(IF(AI423="","sem dados",IF(AB423&lt;AI423*0.95,"abaixo",IF(AB423&gt;AI423*1.05,"acima","em linha"))),"")</f>
        <v/>
      </c>
      <c r="AK423" s="23" t="inlineStr">
        <is>
          <t>não</t>
        </is>
      </c>
      <c r="AL423" s="23" t="n"/>
      <c r="AM423" s="23" t="n"/>
      <c r="AN423" s="23" t="n"/>
      <c r="AO423" s="44">
        <f>A423</f>
        <v/>
      </c>
      <c r="AP423" s="44">
        <f>D423</f>
        <v/>
      </c>
    </row>
    <row r="424" hidden="1" ht="15.75" customHeight="1" s="93">
      <c r="A424" s="23" t="inlineStr">
        <is>
          <t>5.0209.L025958.0</t>
        </is>
      </c>
      <c r="B424" s="23" t="inlineStr">
        <is>
          <t>L025958</t>
        </is>
      </c>
      <c r="C424" s="29">
        <f>IFERROR(LOWER(SUBSTITUTE(SUBSTITUTE(SUBSTITUTE(SUBSTITUTE(D424," ","-"),"/","-"),".",""),",","")),"")</f>
        <v/>
      </c>
      <c r="D424" s="23" t="inlineStr">
        <is>
          <t>BOD 19 XX.C.XX.L</t>
        </is>
      </c>
      <c r="E424" s="23" t="inlineStr">
        <is>
          <t>Bombas Hidráulicas</t>
        </is>
      </c>
      <c r="F424" s="23" t="inlineStr">
        <is>
          <t>SOHIPREN</t>
        </is>
      </c>
      <c r="G424" s="23" t="n"/>
      <c r="H424" s="23" t="inlineStr">
        <is>
          <t>draft</t>
        </is>
      </c>
      <c r="I424" s="23" t="inlineStr">
        <is>
          <t>FIAT ALLIS / FIATAGRI</t>
        </is>
      </c>
      <c r="J424" s="23" t="inlineStr">
        <is>
          <t>TRATOR</t>
        </is>
      </c>
      <c r="K424" s="23" t="inlineStr">
        <is>
          <t>CONTROLE REMOTO</t>
        </is>
      </c>
      <c r="L424" s="23" t="n"/>
      <c r="M424" s="31" t="n"/>
      <c r="N424" s="31" t="n"/>
      <c r="O424" s="31" t="n"/>
      <c r="P424" s="31" t="n"/>
      <c r="Q424" s="31" t="n"/>
      <c r="R424" s="34">
        <f>IFERROR(IF(AND(O424&gt;0,P424&gt;0,Q424&gt;0),(O424*P424*Q424)/6000,""),"")</f>
        <v/>
      </c>
      <c r="S424" s="34">
        <f>IFERROR(IF(AND(N424&gt;0,R424&gt;0),MAX(N424,R424),IF(N424&gt;0,N424,IF(R424&gt;0,R424,""))),"")</f>
        <v/>
      </c>
      <c r="T424" s="36" t="n"/>
      <c r="U424" s="38" t="inlineStr">
        <is>
          <t>FALTA</t>
        </is>
      </c>
      <c r="V424" s="36" t="n">
        <v>476.76</v>
      </c>
      <c r="W424" s="39" t="n">
        <v>0.3</v>
      </c>
      <c r="X424" s="41">
        <f>IFERROR(V424+T424,"")</f>
        <v/>
      </c>
      <c r="Y424" s="41">
        <f>IFERROR(IF(W424&lt;1,X424/(1-W424),""),"")</f>
        <v/>
      </c>
      <c r="Z424" s="43">
        <f>'01_CONFIG_GLOBAL'!$C$14</f>
        <v/>
      </c>
      <c r="AA424" s="41">
        <f>IFERROR(Y424*Z424,"")</f>
        <v/>
      </c>
      <c r="AB424" s="41">
        <f>IFERROR(IF(Z424&lt;1,Y424/(1-Z424),""),"")</f>
        <v/>
      </c>
      <c r="AC424" s="23" t="n"/>
      <c r="AD424" s="36" t="n"/>
      <c r="AE424" s="23" t="n"/>
      <c r="AF424" s="36" t="n"/>
      <c r="AG424" s="23" t="n"/>
      <c r="AH424" s="36" t="n"/>
      <c r="AI424" s="41">
        <f>IFERROR(AVERAGE(AD424,AF424,AH424),"")</f>
        <v/>
      </c>
      <c r="AJ424" s="29">
        <f>IFERROR(IF(AI424="","sem dados",IF(AB424&lt;AI424*0.95,"abaixo",IF(AB424&gt;AI424*1.05,"acima","em linha"))),"")</f>
        <v/>
      </c>
      <c r="AK424" s="23" t="inlineStr">
        <is>
          <t>não</t>
        </is>
      </c>
      <c r="AL424" s="23" t="n"/>
      <c r="AM424" s="23" t="n"/>
      <c r="AN424" s="23" t="n"/>
      <c r="AO424" s="44">
        <f>A424</f>
        <v/>
      </c>
      <c r="AP424" s="44">
        <f>D424</f>
        <v/>
      </c>
    </row>
    <row r="425" hidden="1" ht="15.75" customHeight="1" s="93">
      <c r="A425" s="23" t="inlineStr">
        <is>
          <t>5.0206.L025942.0</t>
        </is>
      </c>
      <c r="B425" s="23" t="inlineStr">
        <is>
          <t>L025942</t>
        </is>
      </c>
      <c r="C425" s="29">
        <f>IFERROR(LOWER(SUBSTITUTE(SUBSTITUTE(SUBSTITUTE(SUBSTITUTE(D425," ","-"),"/","-"),".",""),",","")),"")</f>
        <v/>
      </c>
      <c r="D425" s="23" t="inlineStr">
        <is>
          <t>BOMBA HIDRÁULICA - APLICAÇÃO 11 E4.C9.C3.L (C/ADAPT)</t>
        </is>
      </c>
      <c r="E425" s="23" t="inlineStr">
        <is>
          <t>Bombas Hidráulicas</t>
        </is>
      </c>
      <c r="F425" s="23" t="inlineStr">
        <is>
          <t>SOHIPREN</t>
        </is>
      </c>
      <c r="G425" s="23" t="n"/>
      <c r="H425" s="23" t="inlineStr">
        <is>
          <t>draft</t>
        </is>
      </c>
      <c r="I425" s="23" t="inlineStr">
        <is>
          <t>FIAT ALLIS / FIATAGRI</t>
        </is>
      </c>
      <c r="J425" s="23" t="inlineStr">
        <is>
          <t>CAMINHÃO</t>
        </is>
      </c>
      <c r="K425" s="23" t="inlineStr">
        <is>
          <t>DIREÇÃO</t>
        </is>
      </c>
      <c r="L425" s="23" t="n"/>
      <c r="M425" s="31" t="n"/>
      <c r="N425" s="31" t="n"/>
      <c r="O425" s="31" t="n"/>
      <c r="P425" s="31" t="n"/>
      <c r="Q425" s="31" t="n"/>
      <c r="R425" s="34">
        <f>IFERROR(IF(AND(O425&gt;0,P425&gt;0,Q425&gt;0),(O425*P425*Q425)/6000,""),"")</f>
        <v/>
      </c>
      <c r="S425" s="34">
        <f>IFERROR(IF(AND(N425&gt;0,R425&gt;0),MAX(N425,R425),IF(N425&gt;0,N425,IF(R425&gt;0,R425,""))),"")</f>
        <v/>
      </c>
      <c r="T425" s="36" t="n"/>
      <c r="U425" s="38" t="inlineStr">
        <is>
          <t>FALTA</t>
        </is>
      </c>
      <c r="V425" s="36" t="n">
        <v>517</v>
      </c>
      <c r="W425" s="39" t="n">
        <v>0.3</v>
      </c>
      <c r="X425" s="41">
        <f>IFERROR(V425+T425,"")</f>
        <v/>
      </c>
      <c r="Y425" s="41">
        <f>IFERROR(IF(W425&lt;1,X425/(1-W425),""),"")</f>
        <v/>
      </c>
      <c r="Z425" s="43">
        <f>'01_CONFIG_GLOBAL'!$C$14</f>
        <v/>
      </c>
      <c r="AA425" s="41">
        <f>IFERROR(Y425*Z425,"")</f>
        <v/>
      </c>
      <c r="AB425" s="41">
        <f>IFERROR(IF(Z425&lt;1,Y425/(1-Z425),""),"")</f>
        <v/>
      </c>
      <c r="AC425" s="23" t="n"/>
      <c r="AD425" s="36" t="n"/>
      <c r="AE425" s="23" t="n"/>
      <c r="AF425" s="36" t="n"/>
      <c r="AG425" s="23" t="n"/>
      <c r="AH425" s="36" t="n"/>
      <c r="AI425" s="41">
        <f>IFERROR(AVERAGE(AD425,AF425,AH425),"")</f>
        <v/>
      </c>
      <c r="AJ425" s="29">
        <f>IFERROR(IF(AI425="","sem dados",IF(AB425&lt;AI425*0.95,"abaixo",IF(AB425&gt;AI425*1.05,"acima","em linha"))),"")</f>
        <v/>
      </c>
      <c r="AK425" s="23" t="inlineStr">
        <is>
          <t>não</t>
        </is>
      </c>
      <c r="AL425" s="23" t="n"/>
      <c r="AM425" s="23" t="n"/>
      <c r="AN425" s="23" t="n"/>
      <c r="AO425" s="44">
        <f>A425</f>
        <v/>
      </c>
      <c r="AP425" s="44">
        <f>D425</f>
        <v/>
      </c>
    </row>
    <row r="426" hidden="1" ht="15.75" customHeight="1" s="93">
      <c r="A426" s="23" t="inlineStr">
        <is>
          <t>5.0202.L025908.0</t>
        </is>
      </c>
      <c r="B426" s="23" t="inlineStr">
        <is>
          <t>L025908</t>
        </is>
      </c>
      <c r="C426" s="29">
        <f>IFERROR(LOWER(SUBSTITUTE(SUBSTITUTE(SUBSTITUTE(SUBSTITUTE(D426," ","-"),"/","-"),".",""),",","")),"")</f>
        <v/>
      </c>
      <c r="D426" s="23" t="inlineStr">
        <is>
          <t>BOMBA HIDRÁULICA - APLICAÇÃO 4 B.B.B12.L</t>
        </is>
      </c>
      <c r="E426" s="23" t="inlineStr">
        <is>
          <t>Bombas Hidráulicas</t>
        </is>
      </c>
      <c r="F426" s="23" t="inlineStr">
        <is>
          <t>SOHIPREN</t>
        </is>
      </c>
      <c r="G426" s="23" t="n"/>
      <c r="H426" s="23" t="inlineStr">
        <is>
          <t>draft</t>
        </is>
      </c>
      <c r="I426" s="23" t="inlineStr">
        <is>
          <t>FIAT ALLIS / FIATAGRI</t>
        </is>
      </c>
      <c r="J426" s="23" t="inlineStr">
        <is>
          <t>TRATOR</t>
        </is>
      </c>
      <c r="K426" s="23" t="inlineStr">
        <is>
          <t>DIREÇÃO</t>
        </is>
      </c>
      <c r="L426" s="23" t="n"/>
      <c r="M426" s="31" t="n"/>
      <c r="N426" s="31" t="n"/>
      <c r="O426" s="31" t="n"/>
      <c r="P426" s="31" t="n"/>
      <c r="Q426" s="31" t="n"/>
      <c r="R426" s="34">
        <f>IFERROR(IF(AND(O426&gt;0,P426&gt;0,Q426&gt;0),(O426*P426*Q426)/6000,""),"")</f>
        <v/>
      </c>
      <c r="S426" s="34">
        <f>IFERROR(IF(AND(N426&gt;0,R426&gt;0),MAX(N426,R426),IF(N426&gt;0,N426,IF(R426&gt;0,R426,""))),"")</f>
        <v/>
      </c>
      <c r="T426" s="36" t="n"/>
      <c r="U426" s="38" t="inlineStr">
        <is>
          <t>FALTA</t>
        </is>
      </c>
      <c r="V426" s="36" t="n">
        <v>380.93</v>
      </c>
      <c r="W426" s="39" t="n">
        <v>0.3</v>
      </c>
      <c r="X426" s="41">
        <f>IFERROR(V426+T426,"")</f>
        <v/>
      </c>
      <c r="Y426" s="41">
        <f>IFERROR(IF(W426&lt;1,X426/(1-W426),""),"")</f>
        <v/>
      </c>
      <c r="Z426" s="43">
        <f>'01_CONFIG_GLOBAL'!$C$14</f>
        <v/>
      </c>
      <c r="AA426" s="41">
        <f>IFERROR(Y426*Z426,"")</f>
        <v/>
      </c>
      <c r="AB426" s="41">
        <f>IFERROR(IF(Z426&lt;1,Y426/(1-Z426),""),"")</f>
        <v/>
      </c>
      <c r="AC426" s="23" t="n"/>
      <c r="AD426" s="36" t="n"/>
      <c r="AE426" s="23" t="n"/>
      <c r="AF426" s="36" t="n"/>
      <c r="AG426" s="23" t="n"/>
      <c r="AH426" s="36" t="n"/>
      <c r="AI426" s="41">
        <f>IFERROR(AVERAGE(AD426,AF426,AH426),"")</f>
        <v/>
      </c>
      <c r="AJ426" s="29">
        <f>IFERROR(IF(AI426="","sem dados",IF(AB426&lt;AI426*0.95,"abaixo",IF(AB426&gt;AI426*1.05,"acima","em linha"))),"")</f>
        <v/>
      </c>
      <c r="AK426" s="23" t="inlineStr">
        <is>
          <t>não</t>
        </is>
      </c>
      <c r="AL426" s="23" t="n"/>
      <c r="AM426" s="23" t="n"/>
      <c r="AN426" s="23" t="n"/>
      <c r="AO426" s="44">
        <f>A426</f>
        <v/>
      </c>
      <c r="AP426" s="44">
        <f>D426</f>
        <v/>
      </c>
    </row>
    <row r="427" hidden="1" ht="15.75" customHeight="1" s="93">
      <c r="A427" s="23" t="inlineStr">
        <is>
          <t>5.0202.0540002.0</t>
        </is>
      </c>
      <c r="B427" s="23" t="inlineStr">
        <is>
          <t>540002</t>
        </is>
      </c>
      <c r="C427" s="29">
        <f>IFERROR(LOWER(SUBSTITUTE(SUBSTITUTE(SUBSTITUTE(SUBSTITUTE(D427," ","-"),"/","-"),".",""),",","")),"")</f>
        <v/>
      </c>
      <c r="D427" s="23" t="inlineStr">
        <is>
          <t>BOD 4 B.B.B.L</t>
        </is>
      </c>
      <c r="E427" s="23" t="inlineStr">
        <is>
          <t>Bombas Hidráulicas</t>
        </is>
      </c>
      <c r="F427" s="23" t="inlineStr">
        <is>
          <t>SOHIPREN</t>
        </is>
      </c>
      <c r="G427" s="23" t="n"/>
      <c r="H427" s="23" t="inlineStr">
        <is>
          <t>draft</t>
        </is>
      </c>
      <c r="I427" s="23" t="inlineStr">
        <is>
          <t>FIAT ALLIS / FIATAGRI</t>
        </is>
      </c>
      <c r="J427" s="23" t="inlineStr">
        <is>
          <t>TRATOR</t>
        </is>
      </c>
      <c r="K427" s="23" t="inlineStr">
        <is>
          <t>BOMBA 3 PONTO</t>
        </is>
      </c>
      <c r="L427" s="23" t="inlineStr">
        <is>
          <t>510225008</t>
        </is>
      </c>
      <c r="M427" s="31" t="n"/>
      <c r="N427" s="31" t="n"/>
      <c r="O427" s="31" t="n"/>
      <c r="P427" s="31" t="n"/>
      <c r="Q427" s="31" t="n"/>
      <c r="R427" s="34">
        <f>IFERROR(IF(AND(O427&gt;0,P427&gt;0,Q427&gt;0),(O427*P427*Q427)/6000,""),"")</f>
        <v/>
      </c>
      <c r="S427" s="34">
        <f>IFERROR(IF(AND(N427&gt;0,R427&gt;0),MAX(N427,R427),IF(N427&gt;0,N427,IF(R427&gt;0,R427,""))),"")</f>
        <v/>
      </c>
      <c r="T427" s="36" t="n"/>
      <c r="U427" s="38" t="inlineStr">
        <is>
          <t>FALTA</t>
        </is>
      </c>
      <c r="V427" s="36" t="n">
        <v>517</v>
      </c>
      <c r="W427" s="39" t="n">
        <v>0.3</v>
      </c>
      <c r="X427" s="41">
        <f>IFERROR(V427+T427,"")</f>
        <v/>
      </c>
      <c r="Y427" s="41">
        <f>IFERROR(IF(W427&lt;1,X427/(1-W427),""),"")</f>
        <v/>
      </c>
      <c r="Z427" s="43">
        <f>'01_CONFIG_GLOBAL'!$C$14</f>
        <v/>
      </c>
      <c r="AA427" s="41">
        <f>IFERROR(Y427*Z427,"")</f>
        <v/>
      </c>
      <c r="AB427" s="41">
        <f>IFERROR(IF(Z427&lt;1,Y427/(1-Z427),""),"")</f>
        <v/>
      </c>
      <c r="AC427" s="23" t="n"/>
      <c r="AD427" s="36" t="n"/>
      <c r="AE427" s="23" t="n"/>
      <c r="AF427" s="36" t="n"/>
      <c r="AG427" s="23" t="n"/>
      <c r="AH427" s="36" t="n"/>
      <c r="AI427" s="41">
        <f>IFERROR(AVERAGE(AD427,AF427,AH427),"")</f>
        <v/>
      </c>
      <c r="AJ427" s="29">
        <f>IFERROR(IF(AI427="","sem dados",IF(AB427&lt;AI427*0.95,"abaixo",IF(AB427&gt;AI427*1.05,"acima","em linha"))),"")</f>
        <v/>
      </c>
      <c r="AK427" s="23" t="inlineStr">
        <is>
          <t>não</t>
        </is>
      </c>
      <c r="AL427" s="23" t="n"/>
      <c r="AM427" s="23" t="n"/>
      <c r="AN427" s="23" t="n"/>
      <c r="AO427" s="44">
        <f>A427</f>
        <v/>
      </c>
      <c r="AP427" s="44">
        <f>D427</f>
        <v/>
      </c>
    </row>
    <row r="428" hidden="1" ht="15.75" customHeight="1" s="93">
      <c r="A428" s="23" t="inlineStr">
        <is>
          <t>5.0202.0540005.0</t>
        </is>
      </c>
      <c r="B428" s="23" t="inlineStr">
        <is>
          <t>540005</t>
        </is>
      </c>
      <c r="C428" s="29">
        <f>IFERROR(LOWER(SUBSTITUTE(SUBSTITUTE(SUBSTITUTE(SUBSTITUTE(D428," ","-"),"/","-"),".",""),",","")),"")</f>
        <v/>
      </c>
      <c r="D428" s="23" t="inlineStr">
        <is>
          <t>BOMBA HIDRÁULICA - APLICAÇÃO 4 B.B.B.L</t>
        </is>
      </c>
      <c r="E428" s="23" t="inlineStr">
        <is>
          <t>Bombas Hidráulicas</t>
        </is>
      </c>
      <c r="F428" s="23" t="inlineStr">
        <is>
          <t>SOHIPREN</t>
        </is>
      </c>
      <c r="G428" s="23" t="n"/>
      <c r="H428" s="23" t="inlineStr">
        <is>
          <t>draft</t>
        </is>
      </c>
      <c r="I428" s="23" t="inlineStr">
        <is>
          <t>FIAT ALLIS / FIATAGRI</t>
        </is>
      </c>
      <c r="J428" s="23" t="inlineStr">
        <is>
          <t>TRATOR</t>
        </is>
      </c>
      <c r="K428" s="23" t="inlineStr">
        <is>
          <t>DIREÇÃO</t>
        </is>
      </c>
      <c r="L428" s="23" t="n"/>
      <c r="M428" s="31" t="n"/>
      <c r="N428" s="31" t="n"/>
      <c r="O428" s="31" t="n"/>
      <c r="P428" s="31" t="n"/>
      <c r="Q428" s="31" t="n"/>
      <c r="R428" s="34">
        <f>IFERROR(IF(AND(O428&gt;0,P428&gt;0,Q428&gt;0),(O428*P428*Q428)/6000,""),"")</f>
        <v/>
      </c>
      <c r="S428" s="34">
        <f>IFERROR(IF(AND(N428&gt;0,R428&gt;0),MAX(N428,R428),IF(N428&gt;0,N428,IF(R428&gt;0,R428,""))),"")</f>
        <v/>
      </c>
      <c r="T428" s="36" t="n"/>
      <c r="U428" s="38" t="inlineStr">
        <is>
          <t>FALTA</t>
        </is>
      </c>
      <c r="V428" s="36" t="n">
        <v>517</v>
      </c>
      <c r="W428" s="39" t="n">
        <v>0.3</v>
      </c>
      <c r="X428" s="41">
        <f>IFERROR(V428+T428,"")</f>
        <v/>
      </c>
      <c r="Y428" s="41">
        <f>IFERROR(IF(W428&lt;1,X428/(1-W428),""),"")</f>
        <v/>
      </c>
      <c r="Z428" s="43">
        <f>'01_CONFIG_GLOBAL'!$C$14</f>
        <v/>
      </c>
      <c r="AA428" s="41">
        <f>IFERROR(Y428*Z428,"")</f>
        <v/>
      </c>
      <c r="AB428" s="41">
        <f>IFERROR(IF(Z428&lt;1,Y428/(1-Z428),""),"")</f>
        <v/>
      </c>
      <c r="AC428" s="23" t="n"/>
      <c r="AD428" s="36" t="n"/>
      <c r="AE428" s="23" t="n"/>
      <c r="AF428" s="36" t="n"/>
      <c r="AG428" s="23" t="n"/>
      <c r="AH428" s="36" t="n"/>
      <c r="AI428" s="41">
        <f>IFERROR(AVERAGE(AD428,AF428,AH428),"")</f>
        <v/>
      </c>
      <c r="AJ428" s="29">
        <f>IFERROR(IF(AI428="","sem dados",IF(AB428&lt;AI428*0.95,"abaixo",IF(AB428&gt;AI428*1.05,"acima","em linha"))),"")</f>
        <v/>
      </c>
      <c r="AK428" s="23" t="inlineStr">
        <is>
          <t>não</t>
        </is>
      </c>
      <c r="AL428" s="23" t="n"/>
      <c r="AM428" s="23" t="n"/>
      <c r="AN428" s="23" t="n"/>
      <c r="AO428" s="44">
        <f>A428</f>
        <v/>
      </c>
      <c r="AP428" s="44">
        <f>D428</f>
        <v/>
      </c>
    </row>
    <row r="429" hidden="1" ht="15.75" customHeight="1" s="93">
      <c r="A429" s="23" t="inlineStr">
        <is>
          <t>5.0506.0505057.0</t>
        </is>
      </c>
      <c r="B429" s="23" t="inlineStr">
        <is>
          <t>505057</t>
        </is>
      </c>
      <c r="C429" s="29">
        <f>IFERROR(LOWER(SUBSTITUTE(SUBSTITUTE(SUBSTITUTE(SUBSTITUTE(D429," ","-"),"/","-"),".",""),",","")),"")</f>
        <v/>
      </c>
      <c r="D429" s="23" t="inlineStr">
        <is>
          <t>MC1 60 201.1.21.66.61</t>
        </is>
      </c>
      <c r="E429" s="23" t="n"/>
      <c r="F429" s="23" t="inlineStr">
        <is>
          <t>SOHIPREN</t>
        </is>
      </c>
      <c r="G429" s="23" t="n"/>
      <c r="H429" s="23" t="inlineStr">
        <is>
          <t>draft</t>
        </is>
      </c>
      <c r="I429" s="23" t="inlineStr">
        <is>
          <t>FIAT ALLIS / FIATAGRI</t>
        </is>
      </c>
      <c r="J429" s="23" t="inlineStr">
        <is>
          <t>EMPILHADEIRA</t>
        </is>
      </c>
      <c r="K429" s="23" t="inlineStr">
        <is>
          <t>PRINCIPAL</t>
        </is>
      </c>
      <c r="L429" s="23" t="inlineStr">
        <is>
          <t>7112281</t>
        </is>
      </c>
      <c r="M429" s="31" t="n"/>
      <c r="N429" s="31" t="n"/>
      <c r="O429" s="31" t="n"/>
      <c r="P429" s="31" t="n"/>
      <c r="Q429" s="31" t="n"/>
      <c r="R429" s="34">
        <f>IFERROR(IF(AND(O429&gt;0,P429&gt;0,Q429&gt;0),(O429*P429*Q429)/6000,""),"")</f>
        <v/>
      </c>
      <c r="S429" s="34">
        <f>IFERROR(IF(AND(N429&gt;0,R429&gt;0),MAX(N429,R429),IF(N429&gt;0,N429,IF(R429&gt;0,R429,""))),"")</f>
        <v/>
      </c>
      <c r="T429" s="36" t="n"/>
      <c r="U429" s="38" t="inlineStr">
        <is>
          <t>FALTA</t>
        </is>
      </c>
      <c r="V429" s="36" t="n">
        <v>1045</v>
      </c>
      <c r="W429" s="39" t="n">
        <v>0.3</v>
      </c>
      <c r="X429" s="41">
        <f>IFERROR(V429+T429,"")</f>
        <v/>
      </c>
      <c r="Y429" s="41">
        <f>IFERROR(IF(W429&lt;1,X429/(1-W429),""),"")</f>
        <v/>
      </c>
      <c r="Z429" s="43">
        <f>'01_CONFIG_GLOBAL'!$C$14</f>
        <v/>
      </c>
      <c r="AA429" s="41">
        <f>IFERROR(Y429*Z429,"")</f>
        <v/>
      </c>
      <c r="AB429" s="41">
        <f>IFERROR(IF(Z429&lt;1,Y429/(1-Z429),""),"")</f>
        <v/>
      </c>
      <c r="AC429" s="23" t="n"/>
      <c r="AD429" s="36" t="n"/>
      <c r="AE429" s="23" t="n"/>
      <c r="AF429" s="36" t="n"/>
      <c r="AG429" s="23" t="n"/>
      <c r="AH429" s="36" t="n"/>
      <c r="AI429" s="41">
        <f>IFERROR(AVERAGE(AD429,AF429,AH429),"")</f>
        <v/>
      </c>
      <c r="AJ429" s="29">
        <f>IFERROR(IF(AI429="","sem dados",IF(AB429&lt;AI429*0.95,"abaixo",IF(AB429&gt;AI429*1.05,"acima","em linha"))),"")</f>
        <v/>
      </c>
      <c r="AK429" s="23" t="inlineStr">
        <is>
          <t>não</t>
        </is>
      </c>
      <c r="AL429" s="23" t="n"/>
      <c r="AM429" s="23" t="n"/>
      <c r="AN429" s="23" t="n"/>
      <c r="AO429" s="44">
        <f>A429</f>
        <v/>
      </c>
      <c r="AP429" s="44">
        <f>D429</f>
        <v/>
      </c>
    </row>
    <row r="430" hidden="1" ht="15.75" customHeight="1" s="93">
      <c r="A430" s="23" t="inlineStr">
        <is>
          <t>5.0220.0547230.0</t>
        </is>
      </c>
      <c r="B430" s="23" t="inlineStr">
        <is>
          <t>547230</t>
        </is>
      </c>
      <c r="C430" s="29">
        <f>IFERROR(LOWER(SUBSTITUTE(SUBSTITUTE(SUBSTITUTE(SUBSTITUTE(D430," ","-"),"/","-"),".",""),",","")),"")</f>
        <v/>
      </c>
      <c r="D430" s="23" t="inlineStr">
        <is>
          <t>BOMBA HIDRÁULICA - APLICAÇÃO 19 B5.B.B/8 B.L</t>
        </is>
      </c>
      <c r="E430" s="23" t="inlineStr">
        <is>
          <t>Bombas Hidráulicas</t>
        </is>
      </c>
      <c r="F430" s="23" t="inlineStr">
        <is>
          <t>SOHIPREN</t>
        </is>
      </c>
      <c r="G430" s="23" t="n"/>
      <c r="H430" s="23" t="inlineStr">
        <is>
          <t>draft</t>
        </is>
      </c>
      <c r="I430" s="23" t="inlineStr">
        <is>
          <t>FIAT ALLIS / FIATAGRI</t>
        </is>
      </c>
      <c r="J430" s="23" t="inlineStr">
        <is>
          <t>TRATOR</t>
        </is>
      </c>
      <c r="K430" s="23" t="inlineStr">
        <is>
          <t>PRINCIPAL</t>
        </is>
      </c>
      <c r="L430" s="23" t="n"/>
      <c r="M430" s="31" t="n"/>
      <c r="N430" s="31" t="n"/>
      <c r="O430" s="31" t="n"/>
      <c r="P430" s="31" t="n"/>
      <c r="Q430" s="31" t="n"/>
      <c r="R430" s="34">
        <f>IFERROR(IF(AND(O430&gt;0,P430&gt;0,Q430&gt;0),(O430*P430*Q430)/6000,""),"")</f>
        <v/>
      </c>
      <c r="S430" s="34">
        <f>IFERROR(IF(AND(N430&gt;0,R430&gt;0),MAX(N430,R430),IF(N430&gt;0,N430,IF(R430&gt;0,R430,""))),"")</f>
        <v/>
      </c>
      <c r="T430" s="36" t="n"/>
      <c r="U430" s="38" t="inlineStr">
        <is>
          <t>FALTA</t>
        </is>
      </c>
      <c r="V430" s="36" t="n">
        <v>1615</v>
      </c>
      <c r="W430" s="39" t="n">
        <v>0.3</v>
      </c>
      <c r="X430" s="41">
        <f>IFERROR(V430+T430,"")</f>
        <v/>
      </c>
      <c r="Y430" s="41">
        <f>IFERROR(IF(W430&lt;1,X430/(1-W430),""),"")</f>
        <v/>
      </c>
      <c r="Z430" s="43">
        <f>'01_CONFIG_GLOBAL'!$C$14</f>
        <v/>
      </c>
      <c r="AA430" s="41">
        <f>IFERROR(Y430*Z430,"")</f>
        <v/>
      </c>
      <c r="AB430" s="41">
        <f>IFERROR(IF(Z430&lt;1,Y430/(1-Z430),""),"")</f>
        <v/>
      </c>
      <c r="AC430" s="23" t="n"/>
      <c r="AD430" s="36" t="n"/>
      <c r="AE430" s="23" t="n"/>
      <c r="AF430" s="36" t="n"/>
      <c r="AG430" s="23" t="n"/>
      <c r="AH430" s="36" t="n"/>
      <c r="AI430" s="41">
        <f>IFERROR(AVERAGE(AD430,AF430,AH430),"")</f>
        <v/>
      </c>
      <c r="AJ430" s="29">
        <f>IFERROR(IF(AI430="","sem dados",IF(AB430&lt;AI430*0.95,"abaixo",IF(AB430&gt;AI430*1.05,"acima","em linha"))),"")</f>
        <v/>
      </c>
      <c r="AK430" s="23" t="inlineStr">
        <is>
          <t>não</t>
        </is>
      </c>
      <c r="AL430" s="23" t="n"/>
      <c r="AM430" s="23" t="n"/>
      <c r="AN430" s="23" t="n"/>
      <c r="AO430" s="44">
        <f>A430</f>
        <v/>
      </c>
      <c r="AP430" s="44">
        <f>D430</f>
        <v/>
      </c>
    </row>
    <row r="431" hidden="1" ht="15.75" customHeight="1" s="93">
      <c r="A431" s="23" t="inlineStr">
        <is>
          <t>5.0210.0547446.0</t>
        </is>
      </c>
      <c r="B431" s="23" t="inlineStr">
        <is>
          <t>547446</t>
        </is>
      </c>
      <c r="C431" s="29">
        <f>IFERROR(LOWER(SUBSTITUTE(SUBSTITUTE(SUBSTITUTE(SUBSTITUTE(D431," ","-"),"/","-"),".",""),",","")),"")</f>
        <v/>
      </c>
      <c r="D431" s="23" t="inlineStr">
        <is>
          <t>BOMBA HIDRÁULICA - APLICAÇÃO 22,5 B15.B14.B2.L</t>
        </is>
      </c>
      <c r="E431" s="23" t="inlineStr">
        <is>
          <t>Bombas Hidráulicas</t>
        </is>
      </c>
      <c r="F431" s="23" t="inlineStr">
        <is>
          <t>SOHIPREN</t>
        </is>
      </c>
      <c r="G431" s="23" t="n"/>
      <c r="H431" s="23" t="inlineStr">
        <is>
          <t>draft</t>
        </is>
      </c>
      <c r="I431" s="23" t="inlineStr">
        <is>
          <t>FIAT ALLIS / FIATAGRI</t>
        </is>
      </c>
      <c r="J431" s="23" t="inlineStr">
        <is>
          <t>TRATOR</t>
        </is>
      </c>
      <c r="K431" s="23" t="inlineStr">
        <is>
          <t>PRINCIPAL</t>
        </is>
      </c>
      <c r="L431" s="23" t="n"/>
      <c r="M431" s="31" t="n"/>
      <c r="N431" s="31" t="n"/>
      <c r="O431" s="31" t="n"/>
      <c r="P431" s="31" t="n"/>
      <c r="Q431" s="31" t="n"/>
      <c r="R431" s="34">
        <f>IFERROR(IF(AND(O431&gt;0,P431&gt;0,Q431&gt;0),(O431*P431*Q431)/6000,""),"")</f>
        <v/>
      </c>
      <c r="S431" s="34">
        <f>IFERROR(IF(AND(N431&gt;0,R431&gt;0),MAX(N431,R431),IF(N431&gt;0,N431,IF(R431&gt;0,R431,""))),"")</f>
        <v/>
      </c>
      <c r="T431" s="36" t="n"/>
      <c r="U431" s="38" t="inlineStr">
        <is>
          <t>FALTA</t>
        </is>
      </c>
      <c r="V431" s="36" t="n">
        <v>517</v>
      </c>
      <c r="W431" s="39" t="n">
        <v>0.3</v>
      </c>
      <c r="X431" s="41">
        <f>IFERROR(V431+T431,"")</f>
        <v/>
      </c>
      <c r="Y431" s="41">
        <f>IFERROR(IF(W431&lt;1,X431/(1-W431),""),"")</f>
        <v/>
      </c>
      <c r="Z431" s="43">
        <f>'01_CONFIG_GLOBAL'!$C$14</f>
        <v/>
      </c>
      <c r="AA431" s="41">
        <f>IFERROR(Y431*Z431,"")</f>
        <v/>
      </c>
      <c r="AB431" s="41">
        <f>IFERROR(IF(Z431&lt;1,Y431/(1-Z431),""),"")</f>
        <v/>
      </c>
      <c r="AC431" s="23" t="n"/>
      <c r="AD431" s="36" t="n"/>
      <c r="AE431" s="23" t="n"/>
      <c r="AF431" s="36" t="n"/>
      <c r="AG431" s="23" t="n"/>
      <c r="AH431" s="36" t="n"/>
      <c r="AI431" s="41">
        <f>IFERROR(AVERAGE(AD431,AF431,AH431),"")</f>
        <v/>
      </c>
      <c r="AJ431" s="29">
        <f>IFERROR(IF(AI431="","sem dados",IF(AB431&lt;AI431*0.95,"abaixo",IF(AB431&gt;AI431*1.05,"acima","em linha"))),"")</f>
        <v/>
      </c>
      <c r="AK431" s="23" t="inlineStr">
        <is>
          <t>não</t>
        </is>
      </c>
      <c r="AL431" s="23" t="n"/>
      <c r="AM431" s="23" t="n"/>
      <c r="AN431" s="23" t="n"/>
      <c r="AO431" s="44">
        <f>A431</f>
        <v/>
      </c>
      <c r="AP431" s="44">
        <f>D431</f>
        <v/>
      </c>
    </row>
    <row r="432" hidden="1" ht="15.75" customHeight="1" s="93">
      <c r="A432" s="23" t="inlineStr">
        <is>
          <t>5.0221.0547788.0</t>
        </is>
      </c>
      <c r="B432" s="23" t="inlineStr">
        <is>
          <t>547788</t>
        </is>
      </c>
      <c r="C432" s="29">
        <f>IFERROR(LOWER(SUBSTITUTE(SUBSTITUTE(SUBSTITUTE(SUBSTITUTE(D432," ","-"),"/","-"),".",""),",","")),"")</f>
        <v/>
      </c>
      <c r="D432" s="23" t="inlineStr">
        <is>
          <t>BOMBA HIDRÁULICA - APLICAÇÃO 19 B5.B.B/8 B8.L (PLACA H15)</t>
        </is>
      </c>
      <c r="E432" s="23" t="inlineStr">
        <is>
          <t>Bombas Hidráulicas</t>
        </is>
      </c>
      <c r="F432" s="23" t="inlineStr">
        <is>
          <t>SOHIPREN</t>
        </is>
      </c>
      <c r="G432" s="23" t="n"/>
      <c r="H432" s="23" t="inlineStr">
        <is>
          <t>draft</t>
        </is>
      </c>
      <c r="I432" s="23" t="inlineStr">
        <is>
          <t>FIAT ALLIS / FIATAGRI</t>
        </is>
      </c>
      <c r="J432" s="23" t="inlineStr">
        <is>
          <t>TRATOR ESTEIRAS</t>
        </is>
      </c>
      <c r="K432" s="23" t="inlineStr">
        <is>
          <t>EMBREAGEM E DIREÇÃO</t>
        </is>
      </c>
      <c r="L432" s="23" t="inlineStr">
        <is>
          <t>79066183/5106240/8281612/73066184</t>
        </is>
      </c>
      <c r="M432" s="31" t="n"/>
      <c r="N432" s="31" t="n"/>
      <c r="O432" s="31" t="n"/>
      <c r="P432" s="31" t="n"/>
      <c r="Q432" s="31" t="n"/>
      <c r="R432" s="34">
        <f>IFERROR(IF(AND(O432&gt;0,P432&gt;0,Q432&gt;0),(O432*P432*Q432)/6000,""),"")</f>
        <v/>
      </c>
      <c r="S432" s="34">
        <f>IFERROR(IF(AND(N432&gt;0,R432&gt;0),MAX(N432,R432),IF(N432&gt;0,N432,IF(R432&gt;0,R432,""))),"")</f>
        <v/>
      </c>
      <c r="T432" s="36" t="n"/>
      <c r="U432" s="38" t="inlineStr">
        <is>
          <t>FALTA</t>
        </is>
      </c>
      <c r="V432" s="36" t="n">
        <v>2995</v>
      </c>
      <c r="W432" s="39" t="n">
        <v>0.3</v>
      </c>
      <c r="X432" s="41">
        <f>IFERROR(V432+T432,"")</f>
        <v/>
      </c>
      <c r="Y432" s="41">
        <f>IFERROR(IF(W432&lt;1,X432/(1-W432),""),"")</f>
        <v/>
      </c>
      <c r="Z432" s="43">
        <f>'01_CONFIG_GLOBAL'!$C$14</f>
        <v/>
      </c>
      <c r="AA432" s="41">
        <f>IFERROR(Y432*Z432,"")</f>
        <v/>
      </c>
      <c r="AB432" s="41">
        <f>IFERROR(IF(Z432&lt;1,Y432/(1-Z432),""),"")</f>
        <v/>
      </c>
      <c r="AC432" s="23" t="n"/>
      <c r="AD432" s="36" t="n"/>
      <c r="AE432" s="23" t="n"/>
      <c r="AF432" s="36" t="n"/>
      <c r="AG432" s="23" t="n"/>
      <c r="AH432" s="36" t="n"/>
      <c r="AI432" s="41">
        <f>IFERROR(AVERAGE(AD432,AF432,AH432),"")</f>
        <v/>
      </c>
      <c r="AJ432" s="29">
        <f>IFERROR(IF(AI432="","sem dados",IF(AB432&lt;AI432*0.95,"abaixo",IF(AB432&gt;AI432*1.05,"acima","em linha"))),"")</f>
        <v/>
      </c>
      <c r="AK432" s="23" t="inlineStr">
        <is>
          <t>não</t>
        </is>
      </c>
      <c r="AL432" s="23" t="n"/>
      <c r="AM432" s="23" t="n"/>
      <c r="AN432" s="23" t="n"/>
      <c r="AO432" s="44">
        <f>A432</f>
        <v/>
      </c>
      <c r="AP432" s="44">
        <f>D432</f>
        <v/>
      </c>
    </row>
    <row r="433" hidden="1" ht="15.75" customHeight="1" s="93">
      <c r="A433" s="23" t="inlineStr">
        <is>
          <t>5.0206.0543291.0</t>
        </is>
      </c>
      <c r="B433" s="23" t="inlineStr">
        <is>
          <t>543291</t>
        </is>
      </c>
      <c r="C433" s="29">
        <f>IFERROR(LOWER(SUBSTITUTE(SUBSTITUTE(SUBSTITUTE(SUBSTITUTE(D433," ","-"),"/","-"),".",""),",","")),"")</f>
        <v/>
      </c>
      <c r="D433" s="23" t="inlineStr">
        <is>
          <t>BOD 11 B15.B14.A14.C9 15-150 BAR</t>
        </is>
      </c>
      <c r="E433" s="23" t="inlineStr">
        <is>
          <t>Bombas Hidráulicas</t>
        </is>
      </c>
      <c r="F433" s="23" t="inlineStr">
        <is>
          <t>SOHIPREN</t>
        </is>
      </c>
      <c r="G433" s="23" t="n"/>
      <c r="H433" s="23" t="inlineStr">
        <is>
          <t>draft</t>
        </is>
      </c>
      <c r="I433" s="23" t="inlineStr">
        <is>
          <t>FIAT ALLIS / FIATAGRI</t>
        </is>
      </c>
      <c r="J433" s="23" t="inlineStr">
        <is>
          <t>TRATOR</t>
        </is>
      </c>
      <c r="K433" s="23" t="n"/>
      <c r="L433" s="23" t="inlineStr">
        <is>
          <t>1909917/1930317/98307212/1930285/5120851/5113075</t>
        </is>
      </c>
      <c r="M433" s="31" t="n"/>
      <c r="N433" s="31" t="n"/>
      <c r="O433" s="31" t="n"/>
      <c r="P433" s="31" t="n"/>
      <c r="Q433" s="31" t="n"/>
      <c r="R433" s="34">
        <f>IFERROR(IF(AND(O433&gt;0,P433&gt;0,Q433&gt;0),(O433*P433*Q433)/6000,""),"")</f>
        <v/>
      </c>
      <c r="S433" s="34">
        <f>IFERROR(IF(AND(N433&gt;0,R433&gt;0),MAX(N433,R433),IF(N433&gt;0,N433,IF(R433&gt;0,R433,""))),"")</f>
        <v/>
      </c>
      <c r="T433" s="36" t="n"/>
      <c r="U433" s="38" t="inlineStr">
        <is>
          <t>FALTA</t>
        </is>
      </c>
      <c r="V433" s="36" t="n">
        <v>473</v>
      </c>
      <c r="W433" s="39" t="n">
        <v>0.3</v>
      </c>
      <c r="X433" s="41">
        <f>IFERROR(V433+T433,"")</f>
        <v/>
      </c>
      <c r="Y433" s="41">
        <f>IFERROR(IF(W433&lt;1,X433/(1-W433),""),"")</f>
        <v/>
      </c>
      <c r="Z433" s="43">
        <f>'01_CONFIG_GLOBAL'!$C$14</f>
        <v/>
      </c>
      <c r="AA433" s="41">
        <f>IFERROR(Y433*Z433,"")</f>
        <v/>
      </c>
      <c r="AB433" s="41">
        <f>IFERROR(IF(Z433&lt;1,Y433/(1-Z433),""),"")</f>
        <v/>
      </c>
      <c r="AC433" s="23" t="n"/>
      <c r="AD433" s="36" t="n"/>
      <c r="AE433" s="23" t="n"/>
      <c r="AF433" s="36" t="n"/>
      <c r="AG433" s="23" t="n"/>
      <c r="AH433" s="36" t="n"/>
      <c r="AI433" s="41">
        <f>IFERROR(AVERAGE(AD433,AF433,AH433),"")</f>
        <v/>
      </c>
      <c r="AJ433" s="29">
        <f>IFERROR(IF(AI433="","sem dados",IF(AB433&lt;AI433*0.95,"abaixo",IF(AB433&gt;AI433*1.05,"acima","em linha"))),"")</f>
        <v/>
      </c>
      <c r="AK433" s="23" t="inlineStr">
        <is>
          <t>não</t>
        </is>
      </c>
      <c r="AL433" s="23" t="n"/>
      <c r="AM433" s="23" t="n"/>
      <c r="AN433" s="23" t="n"/>
      <c r="AO433" s="44">
        <f>A433</f>
        <v/>
      </c>
      <c r="AP433" s="44">
        <f>D433</f>
        <v/>
      </c>
    </row>
    <row r="434" hidden="1" ht="15.75" customHeight="1" s="93">
      <c r="A434" s="23" t="inlineStr">
        <is>
          <t>5.0206.0543292.0</t>
        </is>
      </c>
      <c r="B434" s="23" t="inlineStr">
        <is>
          <t>543292</t>
        </is>
      </c>
      <c r="C434" s="29">
        <f>IFERROR(LOWER(SUBSTITUTE(SUBSTITUTE(SUBSTITUTE(SUBSTITUTE(D434," ","-"),"/","-"),".",""),",","")),"")</f>
        <v/>
      </c>
      <c r="D434" s="23" t="inlineStr">
        <is>
          <t>BOD 11 B.B.B2.L</t>
        </is>
      </c>
      <c r="E434" s="23" t="inlineStr">
        <is>
          <t>Bombas Hidráulicas</t>
        </is>
      </c>
      <c r="F434" s="23" t="inlineStr">
        <is>
          <t>SOHIPREN</t>
        </is>
      </c>
      <c r="G434" s="23" t="n"/>
      <c r="H434" s="23" t="inlineStr">
        <is>
          <t>draft</t>
        </is>
      </c>
      <c r="I434" s="23" t="inlineStr">
        <is>
          <t>FIAT ALLIS / FIATAGRI</t>
        </is>
      </c>
      <c r="J434" s="23" t="inlineStr">
        <is>
          <t>TRATOR</t>
        </is>
      </c>
      <c r="K434" s="23" t="inlineStr">
        <is>
          <t>PRINCIPAL</t>
        </is>
      </c>
      <c r="L434" s="23" t="inlineStr">
        <is>
          <t>8273385/5129481/5179722</t>
        </is>
      </c>
      <c r="M434" s="31" t="n"/>
      <c r="N434" s="31" t="n"/>
      <c r="O434" s="31" t="n"/>
      <c r="P434" s="31" t="n"/>
      <c r="Q434" s="31" t="n"/>
      <c r="R434" s="34">
        <f>IFERROR(IF(AND(O434&gt;0,P434&gt;0,Q434&gt;0),(O434*P434*Q434)/6000,""),"")</f>
        <v/>
      </c>
      <c r="S434" s="34">
        <f>IFERROR(IF(AND(N434&gt;0,R434&gt;0),MAX(N434,R434),IF(N434&gt;0,N434,IF(R434&gt;0,R434,""))),"")</f>
        <v/>
      </c>
      <c r="T434" s="36" t="n"/>
      <c r="U434" s="38" t="inlineStr">
        <is>
          <t>FALTA</t>
        </is>
      </c>
      <c r="V434" s="36" t="n">
        <v>473</v>
      </c>
      <c r="W434" s="39" t="n">
        <v>0.3</v>
      </c>
      <c r="X434" s="41">
        <f>IFERROR(V434+T434,"")</f>
        <v/>
      </c>
      <c r="Y434" s="41">
        <f>IFERROR(IF(W434&lt;1,X434/(1-W434),""),"")</f>
        <v/>
      </c>
      <c r="Z434" s="43">
        <f>'01_CONFIG_GLOBAL'!$C$14</f>
        <v/>
      </c>
      <c r="AA434" s="41">
        <f>IFERROR(Y434*Z434,"")</f>
        <v/>
      </c>
      <c r="AB434" s="41">
        <f>IFERROR(IF(Z434&lt;1,Y434/(1-Z434),""),"")</f>
        <v/>
      </c>
      <c r="AC434" s="23" t="n"/>
      <c r="AD434" s="36" t="n"/>
      <c r="AE434" s="23" t="n"/>
      <c r="AF434" s="36" t="n"/>
      <c r="AG434" s="23" t="n"/>
      <c r="AH434" s="36" t="n"/>
      <c r="AI434" s="41">
        <f>IFERROR(AVERAGE(AD434,AF434,AH434),"")</f>
        <v/>
      </c>
      <c r="AJ434" s="29">
        <f>IFERROR(IF(AI434="","sem dados",IF(AB434&lt;AI434*0.95,"abaixo",IF(AB434&gt;AI434*1.05,"acima","em linha"))),"")</f>
        <v/>
      </c>
      <c r="AK434" s="23" t="inlineStr">
        <is>
          <t>não</t>
        </is>
      </c>
      <c r="AL434" s="23" t="n"/>
      <c r="AM434" s="23" t="n"/>
      <c r="AN434" s="23" t="n"/>
      <c r="AO434" s="44">
        <f>A434</f>
        <v/>
      </c>
      <c r="AP434" s="44">
        <f>D434</f>
        <v/>
      </c>
    </row>
    <row r="435" hidden="1" ht="15.75" customHeight="1" s="93">
      <c r="A435" s="23" t="inlineStr">
        <is>
          <t>5.0206.0543231.0</t>
        </is>
      </c>
      <c r="B435" s="23" t="inlineStr">
        <is>
          <t>543231</t>
        </is>
      </c>
      <c r="C435" s="29">
        <f>IFERROR(LOWER(SUBSTITUTE(SUBSTITUTE(SUBSTITUTE(SUBSTITUTE(D435," ","-"),"/","-"),".",""),",","")),"")</f>
        <v/>
      </c>
      <c r="D435" s="23" t="inlineStr">
        <is>
          <t>BOD 11 B.B.A1.C9  9-100 BAR</t>
        </is>
      </c>
      <c r="E435" s="23" t="inlineStr">
        <is>
          <t>Bombas Hidráulicas</t>
        </is>
      </c>
      <c r="F435" s="23" t="inlineStr">
        <is>
          <t>SOHIPREN</t>
        </is>
      </c>
      <c r="G435" s="23" t="n"/>
      <c r="H435" s="23" t="inlineStr">
        <is>
          <t>draft</t>
        </is>
      </c>
      <c r="I435" s="23" t="inlineStr">
        <is>
          <t>FIAT ALLIS / FIATAGRI</t>
        </is>
      </c>
      <c r="J435" s="23" t="inlineStr">
        <is>
          <t>TRATOR</t>
        </is>
      </c>
      <c r="K435" s="23" t="inlineStr">
        <is>
          <t>DIREÇÃO</t>
        </is>
      </c>
      <c r="L435" s="23" t="n"/>
      <c r="M435" s="31" t="n"/>
      <c r="N435" s="31" t="n"/>
      <c r="O435" s="31" t="n"/>
      <c r="P435" s="31" t="n"/>
      <c r="Q435" s="31" t="n"/>
      <c r="R435" s="34">
        <f>IFERROR(IF(AND(O435&gt;0,P435&gt;0,Q435&gt;0),(O435*P435*Q435)/6000,""),"")</f>
        <v/>
      </c>
      <c r="S435" s="34">
        <f>IFERROR(IF(AND(N435&gt;0,R435&gt;0),MAX(N435,R435),IF(N435&gt;0,N435,IF(R435&gt;0,R435,""))),"")</f>
        <v/>
      </c>
      <c r="T435" s="36" t="n"/>
      <c r="U435" s="38" t="inlineStr">
        <is>
          <t>FALTA</t>
        </is>
      </c>
      <c r="V435" s="36" t="n">
        <v>605</v>
      </c>
      <c r="W435" s="39" t="n">
        <v>0.3</v>
      </c>
      <c r="X435" s="41">
        <f>IFERROR(V435+T435,"")</f>
        <v/>
      </c>
      <c r="Y435" s="41">
        <f>IFERROR(IF(W435&lt;1,X435/(1-W435),""),"")</f>
        <v/>
      </c>
      <c r="Z435" s="43">
        <f>'01_CONFIG_GLOBAL'!$C$14</f>
        <v/>
      </c>
      <c r="AA435" s="41">
        <f>IFERROR(Y435*Z435,"")</f>
        <v/>
      </c>
      <c r="AB435" s="41">
        <f>IFERROR(IF(Z435&lt;1,Y435/(1-Z435),""),"")</f>
        <v/>
      </c>
      <c r="AC435" s="23" t="n"/>
      <c r="AD435" s="36" t="n"/>
      <c r="AE435" s="23" t="n"/>
      <c r="AF435" s="36" t="n"/>
      <c r="AG435" s="23" t="n"/>
      <c r="AH435" s="36" t="n"/>
      <c r="AI435" s="41">
        <f>IFERROR(AVERAGE(AD435,AF435,AH435),"")</f>
        <v/>
      </c>
      <c r="AJ435" s="29">
        <f>IFERROR(IF(AI435="","sem dados",IF(AB435&lt;AI435*0.95,"abaixo",IF(AB435&gt;AI435*1.05,"acima","em linha"))),"")</f>
        <v/>
      </c>
      <c r="AK435" s="23" t="inlineStr">
        <is>
          <t>não</t>
        </is>
      </c>
      <c r="AL435" s="23" t="n"/>
      <c r="AM435" s="23" t="n"/>
      <c r="AN435" s="23" t="n"/>
      <c r="AO435" s="44">
        <f>A435</f>
        <v/>
      </c>
      <c r="AP435" s="44">
        <f>D435</f>
        <v/>
      </c>
    </row>
    <row r="436" hidden="1" ht="15.75" customHeight="1" s="93">
      <c r="A436" s="23" t="inlineStr">
        <is>
          <t>5.0206.0543275.0</t>
        </is>
      </c>
      <c r="B436" s="23" t="inlineStr">
        <is>
          <t>543275</t>
        </is>
      </c>
      <c r="C436" s="29">
        <f>IFERROR(LOWER(SUBSTITUTE(SUBSTITUTE(SUBSTITUTE(SUBSTITUTE(D436," ","-"),"/","-"),".",""),",","")),"")</f>
        <v/>
      </c>
      <c r="D436" s="23" t="inlineStr">
        <is>
          <t>BOMBA HIDRÁULICA - APLICAÇÃO 11 B.B.B2.L</t>
        </is>
      </c>
      <c r="E436" s="23" t="inlineStr">
        <is>
          <t>Bombas Hidráulicas</t>
        </is>
      </c>
      <c r="F436" s="23" t="inlineStr">
        <is>
          <t>SOHIPREN</t>
        </is>
      </c>
      <c r="G436" s="23" t="n"/>
      <c r="H436" s="23" t="inlineStr">
        <is>
          <t>draft</t>
        </is>
      </c>
      <c r="I436" s="23" t="inlineStr">
        <is>
          <t>FIAT ALLIS / FIATAGRI</t>
        </is>
      </c>
      <c r="J436" s="23" t="inlineStr">
        <is>
          <t>TRATOR</t>
        </is>
      </c>
      <c r="K436" s="23" t="inlineStr">
        <is>
          <t>PRINCIPAL</t>
        </is>
      </c>
      <c r="L436" s="23" t="n"/>
      <c r="M436" s="31" t="n"/>
      <c r="N436" s="31" t="n"/>
      <c r="O436" s="31" t="n"/>
      <c r="P436" s="31" t="n"/>
      <c r="Q436" s="31" t="n"/>
      <c r="R436" s="34">
        <f>IFERROR(IF(AND(O436&gt;0,P436&gt;0,Q436&gt;0),(O436*P436*Q436)/6000,""),"")</f>
        <v/>
      </c>
      <c r="S436" s="34">
        <f>IFERROR(IF(AND(N436&gt;0,R436&gt;0),MAX(N436,R436),IF(N436&gt;0,N436,IF(R436&gt;0,R436,""))),"")</f>
        <v/>
      </c>
      <c r="T436" s="36" t="n"/>
      <c r="U436" s="38" t="inlineStr">
        <is>
          <t>FALTA</t>
        </is>
      </c>
      <c r="V436" s="36" t="n">
        <v>956</v>
      </c>
      <c r="W436" s="39" t="n">
        <v>0.3</v>
      </c>
      <c r="X436" s="41">
        <f>IFERROR(V436+T436,"")</f>
        <v/>
      </c>
      <c r="Y436" s="41">
        <f>IFERROR(IF(W436&lt;1,X436/(1-W436),""),"")</f>
        <v/>
      </c>
      <c r="Z436" s="43">
        <f>'01_CONFIG_GLOBAL'!$C$14</f>
        <v/>
      </c>
      <c r="AA436" s="41">
        <f>IFERROR(Y436*Z436,"")</f>
        <v/>
      </c>
      <c r="AB436" s="41">
        <f>IFERROR(IF(Z436&lt;1,Y436/(1-Z436),""),"")</f>
        <v/>
      </c>
      <c r="AC436" s="23" t="n"/>
      <c r="AD436" s="36" t="n"/>
      <c r="AE436" s="23" t="n"/>
      <c r="AF436" s="36" t="n"/>
      <c r="AG436" s="23" t="n"/>
      <c r="AH436" s="36" t="n"/>
      <c r="AI436" s="41">
        <f>IFERROR(AVERAGE(AD436,AF436,AH436),"")</f>
        <v/>
      </c>
      <c r="AJ436" s="29">
        <f>IFERROR(IF(AI436="","sem dados",IF(AB436&lt;AI436*0.95,"abaixo",IF(AB436&gt;AI436*1.05,"acima","em linha"))),"")</f>
        <v/>
      </c>
      <c r="AK436" s="23" t="inlineStr">
        <is>
          <t>não</t>
        </is>
      </c>
      <c r="AL436" s="23" t="n"/>
      <c r="AM436" s="23" t="n"/>
      <c r="AN436" s="23" t="n"/>
      <c r="AO436" s="44">
        <f>A436</f>
        <v/>
      </c>
      <c r="AP436" s="44">
        <f>D436</f>
        <v/>
      </c>
    </row>
    <row r="437" hidden="1" ht="15.75" customHeight="1" s="93">
      <c r="A437" s="23" t="inlineStr">
        <is>
          <t>5.0206.0543222.0</t>
        </is>
      </c>
      <c r="B437" s="23" t="inlineStr">
        <is>
          <t>543222</t>
        </is>
      </c>
      <c r="C437" s="29">
        <f>IFERROR(LOWER(SUBSTITUTE(SUBSTITUTE(SUBSTITUTE(SUBSTITUTE(D437," ","-"),"/","-"),".",""),",","")),"")</f>
        <v/>
      </c>
      <c r="D437" s="23" t="inlineStr">
        <is>
          <t>BOMBA HIDRÁULICA - APLICAÇÃO 11 B.C1.B.T  -80 BAR</t>
        </is>
      </c>
      <c r="E437" s="23" t="inlineStr">
        <is>
          <t>Bombas Hidráulicas</t>
        </is>
      </c>
      <c r="F437" s="23" t="inlineStr">
        <is>
          <t>SOHIPREN</t>
        </is>
      </c>
      <c r="G437" s="23" t="n"/>
      <c r="H437" s="23" t="inlineStr">
        <is>
          <t>draft</t>
        </is>
      </c>
      <c r="I437" s="23" t="inlineStr">
        <is>
          <t>FIAT ALLIS / FIATAGRI</t>
        </is>
      </c>
      <c r="J437" s="23" t="inlineStr">
        <is>
          <t>TRATOR</t>
        </is>
      </c>
      <c r="K437" s="23" t="inlineStr">
        <is>
          <t>DIREÇÃO</t>
        </is>
      </c>
      <c r="L437" s="23" t="n"/>
      <c r="M437" s="31" t="n"/>
      <c r="N437" s="31" t="n"/>
      <c r="O437" s="31" t="n"/>
      <c r="P437" s="31" t="n"/>
      <c r="Q437" s="31" t="n"/>
      <c r="R437" s="34">
        <f>IFERROR(IF(AND(O437&gt;0,P437&gt;0,Q437&gt;0),(O437*P437*Q437)/6000,""),"")</f>
        <v/>
      </c>
      <c r="S437" s="34">
        <f>IFERROR(IF(AND(N437&gt;0,R437&gt;0),MAX(N437,R437),IF(N437&gt;0,N437,IF(R437&gt;0,R437,""))),"")</f>
        <v/>
      </c>
      <c r="T437" s="36" t="n"/>
      <c r="U437" s="38" t="inlineStr">
        <is>
          <t>FALTA</t>
        </is>
      </c>
      <c r="V437" s="36" t="n">
        <v>815</v>
      </c>
      <c r="W437" s="39" t="n">
        <v>0.3</v>
      </c>
      <c r="X437" s="41">
        <f>IFERROR(V437+T437,"")</f>
        <v/>
      </c>
      <c r="Y437" s="41">
        <f>IFERROR(IF(W437&lt;1,X437/(1-W437),""),"")</f>
        <v/>
      </c>
      <c r="Z437" s="43">
        <f>'01_CONFIG_GLOBAL'!$C$14</f>
        <v/>
      </c>
      <c r="AA437" s="41">
        <f>IFERROR(Y437*Z437,"")</f>
        <v/>
      </c>
      <c r="AB437" s="41">
        <f>IFERROR(IF(Z437&lt;1,Y437/(1-Z437),""),"")</f>
        <v/>
      </c>
      <c r="AC437" s="23" t="n"/>
      <c r="AD437" s="36" t="n"/>
      <c r="AE437" s="23" t="n"/>
      <c r="AF437" s="36" t="n"/>
      <c r="AG437" s="23" t="n"/>
      <c r="AH437" s="36" t="n"/>
      <c r="AI437" s="41">
        <f>IFERROR(AVERAGE(AD437,AF437,AH437),"")</f>
        <v/>
      </c>
      <c r="AJ437" s="29">
        <f>IFERROR(IF(AI437="","sem dados",IF(AB437&lt;AI437*0.95,"abaixo",IF(AB437&gt;AI437*1.05,"acima","em linha"))),"")</f>
        <v/>
      </c>
      <c r="AK437" s="23" t="inlineStr">
        <is>
          <t>não</t>
        </is>
      </c>
      <c r="AL437" s="23" t="n"/>
      <c r="AM437" s="23" t="n"/>
      <c r="AN437" s="23" t="n"/>
      <c r="AO437" s="44">
        <f>A437</f>
        <v/>
      </c>
      <c r="AP437" s="44">
        <f>D437</f>
        <v/>
      </c>
    </row>
    <row r="438" hidden="1" ht="15.75" customHeight="1" s="93">
      <c r="A438" s="23" t="inlineStr">
        <is>
          <t>5.0206.0543339.0</t>
        </is>
      </c>
      <c r="B438" s="23" t="inlineStr">
        <is>
          <t>543339</t>
        </is>
      </c>
      <c r="C438" s="29">
        <f>IFERROR(LOWER(SUBSTITUTE(SUBSTITUTE(SUBSTITUTE(SUBSTITUTE(D438," ","-"),"/","-"),".",""),",","")),"")</f>
        <v/>
      </c>
      <c r="D438" s="23" t="inlineStr">
        <is>
          <t>BOMBA HIDRÁULICA - APLICAÇÃO 11 B.C5.B.T  -70 BAR</t>
        </is>
      </c>
      <c r="E438" s="23" t="inlineStr">
        <is>
          <t>Bombas Hidráulicas</t>
        </is>
      </c>
      <c r="F438" s="23" t="inlineStr">
        <is>
          <t>SOHIPREN</t>
        </is>
      </c>
      <c r="G438" s="23" t="n"/>
      <c r="H438" s="23" t="inlineStr">
        <is>
          <t>draft</t>
        </is>
      </c>
      <c r="I438" s="23" t="inlineStr">
        <is>
          <t>FIAT ALLIS / FIATAGRI</t>
        </is>
      </c>
      <c r="J438" s="23" t="inlineStr">
        <is>
          <t>TRATOR</t>
        </is>
      </c>
      <c r="K438" s="23" t="inlineStr">
        <is>
          <t>DIREÇÃO</t>
        </is>
      </c>
      <c r="L438" s="23" t="n"/>
      <c r="M438" s="31" t="n"/>
      <c r="N438" s="31" t="n"/>
      <c r="O438" s="31" t="n"/>
      <c r="P438" s="31" t="n"/>
      <c r="Q438" s="31" t="n"/>
      <c r="R438" s="34">
        <f>IFERROR(IF(AND(O438&gt;0,P438&gt;0,Q438&gt;0),(O438*P438*Q438)/6000,""),"")</f>
        <v/>
      </c>
      <c r="S438" s="34">
        <f>IFERROR(IF(AND(N438&gt;0,R438&gt;0),MAX(N438,R438),IF(N438&gt;0,N438,IF(R438&gt;0,R438,""))),"")</f>
        <v/>
      </c>
      <c r="T438" s="36" t="n"/>
      <c r="U438" s="38" t="inlineStr">
        <is>
          <t>FALTA</t>
        </is>
      </c>
      <c r="V438" s="36" t="n">
        <v>665</v>
      </c>
      <c r="W438" s="39" t="n">
        <v>0.3</v>
      </c>
      <c r="X438" s="41">
        <f>IFERROR(V438+T438,"")</f>
        <v/>
      </c>
      <c r="Y438" s="41">
        <f>IFERROR(IF(W438&lt;1,X438/(1-W438),""),"")</f>
        <v/>
      </c>
      <c r="Z438" s="43">
        <f>'01_CONFIG_GLOBAL'!$C$14</f>
        <v/>
      </c>
      <c r="AA438" s="41">
        <f>IFERROR(Y438*Z438,"")</f>
        <v/>
      </c>
      <c r="AB438" s="41">
        <f>IFERROR(IF(Z438&lt;1,Y438/(1-Z438),""),"")</f>
        <v/>
      </c>
      <c r="AC438" s="23" t="n"/>
      <c r="AD438" s="36" t="n"/>
      <c r="AE438" s="23" t="n"/>
      <c r="AF438" s="36" t="n"/>
      <c r="AG438" s="23" t="n"/>
      <c r="AH438" s="36" t="n"/>
      <c r="AI438" s="41">
        <f>IFERROR(AVERAGE(AD438,AF438,AH438),"")</f>
        <v/>
      </c>
      <c r="AJ438" s="29">
        <f>IFERROR(IF(AI438="","sem dados",IF(AB438&lt;AI438*0.95,"abaixo",IF(AB438&gt;AI438*1.05,"acima","em linha"))),"")</f>
        <v/>
      </c>
      <c r="AK438" s="23" t="inlineStr">
        <is>
          <t>não</t>
        </is>
      </c>
      <c r="AL438" s="23" t="n"/>
      <c r="AM438" s="23" t="n"/>
      <c r="AN438" s="23" t="n"/>
      <c r="AO438" s="44">
        <f>A438</f>
        <v/>
      </c>
      <c r="AP438" s="44">
        <f>D438</f>
        <v/>
      </c>
    </row>
    <row r="439" hidden="1" ht="15.75" customHeight="1" s="93">
      <c r="A439" s="23" t="inlineStr">
        <is>
          <t>5.0205.0542405.0</t>
        </is>
      </c>
      <c r="B439" s="23" t="inlineStr">
        <is>
          <t>542405</t>
        </is>
      </c>
      <c r="C439" s="29">
        <f>IFERROR(LOWER(SUBSTITUTE(SUBSTITUTE(SUBSTITUTE(SUBSTITUTE(D439," ","-"),"/","-"),".",""),",","")),"")</f>
        <v/>
      </c>
      <c r="D439" s="23" t="inlineStr">
        <is>
          <t>BOMBA HIDRÁULICA - APLICAÇÃO 8 B1.B12.B12.L</t>
        </is>
      </c>
      <c r="E439" s="23" t="inlineStr">
        <is>
          <t>Bombas Hidráulicas</t>
        </is>
      </c>
      <c r="F439" s="23" t="inlineStr">
        <is>
          <t>SOHIPREN</t>
        </is>
      </c>
      <c r="G439" s="23" t="n"/>
      <c r="H439" s="23" t="inlineStr">
        <is>
          <t>draft</t>
        </is>
      </c>
      <c r="I439" s="23" t="inlineStr">
        <is>
          <t>FIAT ALLIS / FIATAGRI</t>
        </is>
      </c>
      <c r="J439" s="23" t="inlineStr">
        <is>
          <t>TRATOR ESTEIRAS</t>
        </is>
      </c>
      <c r="K439" s="23" t="inlineStr">
        <is>
          <t>DIREÇÃO</t>
        </is>
      </c>
      <c r="L439" s="23" t="inlineStr">
        <is>
          <t>75251867</t>
        </is>
      </c>
      <c r="M439" s="31" t="n"/>
      <c r="N439" s="31" t="n"/>
      <c r="O439" s="31" t="n"/>
      <c r="P439" s="31" t="n"/>
      <c r="Q439" s="31" t="n"/>
      <c r="R439" s="34">
        <f>IFERROR(IF(AND(O439&gt;0,P439&gt;0,Q439&gt;0),(O439*P439*Q439)/6000,""),"")</f>
        <v/>
      </c>
      <c r="S439" s="34">
        <f>IFERROR(IF(AND(N439&gt;0,R439&gt;0),MAX(N439,R439),IF(N439&gt;0,N439,IF(R439&gt;0,R439,""))),"")</f>
        <v/>
      </c>
      <c r="T439" s="36" t="n"/>
      <c r="U439" s="38" t="inlineStr">
        <is>
          <t>FALTA</t>
        </is>
      </c>
      <c r="V439" s="36" t="n">
        <v>605</v>
      </c>
      <c r="W439" s="39" t="n">
        <v>0.3</v>
      </c>
      <c r="X439" s="41">
        <f>IFERROR(V439+T439,"")</f>
        <v/>
      </c>
      <c r="Y439" s="41">
        <f>IFERROR(IF(W439&lt;1,X439/(1-W439),""),"")</f>
        <v/>
      </c>
      <c r="Z439" s="43">
        <f>'01_CONFIG_GLOBAL'!$C$14</f>
        <v/>
      </c>
      <c r="AA439" s="41">
        <f>IFERROR(Y439*Z439,"")</f>
        <v/>
      </c>
      <c r="AB439" s="41">
        <f>IFERROR(IF(Z439&lt;1,Y439/(1-Z439),""),"")</f>
        <v/>
      </c>
      <c r="AC439" s="23" t="n"/>
      <c r="AD439" s="36" t="n"/>
      <c r="AE439" s="23" t="n"/>
      <c r="AF439" s="36" t="n"/>
      <c r="AG439" s="23" t="n"/>
      <c r="AH439" s="36" t="n"/>
      <c r="AI439" s="41">
        <f>IFERROR(AVERAGE(AD439,AF439,AH439),"")</f>
        <v/>
      </c>
      <c r="AJ439" s="29">
        <f>IFERROR(IF(AI439="","sem dados",IF(AB439&lt;AI439*0.95,"abaixo",IF(AB439&gt;AI439*1.05,"acima","em linha"))),"")</f>
        <v/>
      </c>
      <c r="AK439" s="23" t="inlineStr">
        <is>
          <t>não</t>
        </is>
      </c>
      <c r="AL439" s="23" t="n"/>
      <c r="AM439" s="23" t="n"/>
      <c r="AN439" s="23" t="n"/>
      <c r="AO439" s="44">
        <f>A439</f>
        <v/>
      </c>
      <c r="AP439" s="44">
        <f>D439</f>
        <v/>
      </c>
    </row>
    <row r="440" hidden="1" ht="15.75" customHeight="1" s="93">
      <c r="A440" s="23" t="inlineStr">
        <is>
          <t>5.0205.0542407.0</t>
        </is>
      </c>
      <c r="B440" s="23" t="inlineStr">
        <is>
          <t>542407</t>
        </is>
      </c>
      <c r="C440" s="29">
        <f>IFERROR(LOWER(SUBSTITUTE(SUBSTITUTE(SUBSTITUTE(SUBSTITUTE(D440," ","-"),"/","-"),".",""),",","")),"")</f>
        <v/>
      </c>
      <c r="D440" s="23" t="inlineStr">
        <is>
          <t>BOMBA HIDRÁULICA - APLICAÇÃO 8 B15.B.B.L</t>
        </is>
      </c>
      <c r="E440" s="23" t="inlineStr">
        <is>
          <t>Bombas Hidráulicas</t>
        </is>
      </c>
      <c r="F440" s="23" t="inlineStr">
        <is>
          <t>SOHIPREN</t>
        </is>
      </c>
      <c r="G440" s="23" t="n"/>
      <c r="H440" s="23" t="inlineStr">
        <is>
          <t>draft</t>
        </is>
      </c>
      <c r="I440" s="23" t="inlineStr">
        <is>
          <t>FIAT ALLIS / FIATAGRI</t>
        </is>
      </c>
      <c r="J440" s="23" t="inlineStr">
        <is>
          <t>TRATOR ESTEIRAS</t>
        </is>
      </c>
      <c r="K440" s="23" t="inlineStr">
        <is>
          <t>DIREÇÃO</t>
        </is>
      </c>
      <c r="L440" s="23" t="inlineStr">
        <is>
          <t>569309</t>
        </is>
      </c>
      <c r="M440" s="31" t="n"/>
      <c r="N440" s="31" t="n"/>
      <c r="O440" s="31" t="n"/>
      <c r="P440" s="31" t="n"/>
      <c r="Q440" s="31" t="n"/>
      <c r="R440" s="34">
        <f>IFERROR(IF(AND(O440&gt;0,P440&gt;0,Q440&gt;0),(O440*P440*Q440)/6000,""),"")</f>
        <v/>
      </c>
      <c r="S440" s="34">
        <f>IFERROR(IF(AND(N440&gt;0,R440&gt;0),MAX(N440,R440),IF(N440&gt;0,N440,IF(R440&gt;0,R440,""))),"")</f>
        <v/>
      </c>
      <c r="T440" s="36" t="n"/>
      <c r="U440" s="38" t="inlineStr">
        <is>
          <t>FALTA</t>
        </is>
      </c>
      <c r="V440" s="36" t="n">
        <v>575</v>
      </c>
      <c r="W440" s="39" t="n">
        <v>0.3</v>
      </c>
      <c r="X440" s="41">
        <f>IFERROR(V440+T440,"")</f>
        <v/>
      </c>
      <c r="Y440" s="41">
        <f>IFERROR(IF(W440&lt;1,X440/(1-W440),""),"")</f>
        <v/>
      </c>
      <c r="Z440" s="43">
        <f>'01_CONFIG_GLOBAL'!$C$14</f>
        <v/>
      </c>
      <c r="AA440" s="41">
        <f>IFERROR(Y440*Z440,"")</f>
        <v/>
      </c>
      <c r="AB440" s="41">
        <f>IFERROR(IF(Z440&lt;1,Y440/(1-Z440),""),"")</f>
        <v/>
      </c>
      <c r="AC440" s="23" t="n"/>
      <c r="AD440" s="36" t="n"/>
      <c r="AE440" s="23" t="n"/>
      <c r="AF440" s="36" t="n"/>
      <c r="AG440" s="23" t="n"/>
      <c r="AH440" s="36" t="n"/>
      <c r="AI440" s="41">
        <f>IFERROR(AVERAGE(AD440,AF440,AH440),"")</f>
        <v/>
      </c>
      <c r="AJ440" s="29">
        <f>IFERROR(IF(AI440="","sem dados",IF(AB440&lt;AI440*0.95,"abaixo",IF(AB440&gt;AI440*1.05,"acima","em linha"))),"")</f>
        <v/>
      </c>
      <c r="AK440" s="23" t="inlineStr">
        <is>
          <t>não</t>
        </is>
      </c>
      <c r="AL440" s="23" t="n"/>
      <c r="AM440" s="23" t="n"/>
      <c r="AN440" s="23" t="n"/>
      <c r="AO440" s="44">
        <f>A440</f>
        <v/>
      </c>
      <c r="AP440" s="44">
        <f>D440</f>
        <v/>
      </c>
    </row>
    <row r="441" hidden="1" ht="15.75" customHeight="1" s="93">
      <c r="A441" s="23" t="inlineStr">
        <is>
          <t>5.0205.0542465.0</t>
        </is>
      </c>
      <c r="B441" s="23" t="inlineStr">
        <is>
          <t>542465</t>
        </is>
      </c>
      <c r="C441" s="29">
        <f>IFERROR(LOWER(SUBSTITUTE(SUBSTITUTE(SUBSTITUTE(SUBSTITUTE(D441," ","-"),"/","-"),".",""),",","")),"")</f>
        <v/>
      </c>
      <c r="D441" s="23" t="inlineStr">
        <is>
          <t>BOD 8 B.B.B2.L</t>
        </is>
      </c>
      <c r="E441" s="23" t="inlineStr">
        <is>
          <t>Bombas Hidráulicas</t>
        </is>
      </c>
      <c r="F441" s="23" t="inlineStr">
        <is>
          <t>SOHIPREN</t>
        </is>
      </c>
      <c r="G441" s="23" t="n"/>
      <c r="H441" s="23" t="inlineStr">
        <is>
          <t>draft</t>
        </is>
      </c>
      <c r="I441" s="23" t="inlineStr">
        <is>
          <t>FIAT ALLIS / FIATAGRI</t>
        </is>
      </c>
      <c r="J441" s="23" t="inlineStr">
        <is>
          <t>TRATOR</t>
        </is>
      </c>
      <c r="K441" s="23" t="inlineStr">
        <is>
          <t>DIREÇÃO</t>
        </is>
      </c>
      <c r="L441" s="23" t="n"/>
      <c r="M441" s="31" t="n"/>
      <c r="N441" s="31" t="n"/>
      <c r="O441" s="31" t="n"/>
      <c r="P441" s="31" t="n"/>
      <c r="Q441" s="31" t="n"/>
      <c r="R441" s="34">
        <f>IFERROR(IF(AND(O441&gt;0,P441&gt;0,Q441&gt;0),(O441*P441*Q441)/6000,""),"")</f>
        <v/>
      </c>
      <c r="S441" s="34">
        <f>IFERROR(IF(AND(N441&gt;0,R441&gt;0),MAX(N441,R441),IF(N441&gt;0,N441,IF(R441&gt;0,R441,""))),"")</f>
        <v/>
      </c>
      <c r="T441" s="36" t="n"/>
      <c r="U441" s="38" t="inlineStr">
        <is>
          <t>FALTA</t>
        </is>
      </c>
      <c r="V441" s="36" t="n">
        <v>605</v>
      </c>
      <c r="W441" s="39" t="n">
        <v>0.3</v>
      </c>
      <c r="X441" s="41">
        <f>IFERROR(V441+T441,"")</f>
        <v/>
      </c>
      <c r="Y441" s="41">
        <f>IFERROR(IF(W441&lt;1,X441/(1-W441),""),"")</f>
        <v/>
      </c>
      <c r="Z441" s="43">
        <f>'01_CONFIG_GLOBAL'!$C$14</f>
        <v/>
      </c>
      <c r="AA441" s="41">
        <f>IFERROR(Y441*Z441,"")</f>
        <v/>
      </c>
      <c r="AB441" s="41">
        <f>IFERROR(IF(Z441&lt;1,Y441/(1-Z441),""),"")</f>
        <v/>
      </c>
      <c r="AC441" s="23" t="n"/>
      <c r="AD441" s="36" t="n"/>
      <c r="AE441" s="23" t="n"/>
      <c r="AF441" s="36" t="n"/>
      <c r="AG441" s="23" t="n"/>
      <c r="AH441" s="36" t="n"/>
      <c r="AI441" s="41">
        <f>IFERROR(AVERAGE(AD441,AF441,AH441),"")</f>
        <v/>
      </c>
      <c r="AJ441" s="29">
        <f>IFERROR(IF(AI441="","sem dados",IF(AB441&lt;AI441*0.95,"abaixo",IF(AB441&gt;AI441*1.05,"acima","em linha"))),"")</f>
        <v/>
      </c>
      <c r="AK441" s="23" t="inlineStr">
        <is>
          <t>não</t>
        </is>
      </c>
      <c r="AL441" s="23" t="n"/>
      <c r="AM441" s="23" t="n"/>
      <c r="AN441" s="23" t="n"/>
      <c r="AO441" s="44">
        <f>A441</f>
        <v/>
      </c>
      <c r="AP441" s="44">
        <f>D441</f>
        <v/>
      </c>
    </row>
    <row r="442" hidden="1" ht="15.75" customHeight="1" s="93">
      <c r="A442" s="23" t="inlineStr">
        <is>
          <t>5.0205.0542474.0</t>
        </is>
      </c>
      <c r="B442" s="23" t="inlineStr">
        <is>
          <t>542474</t>
        </is>
      </c>
      <c r="C442" s="29">
        <f>IFERROR(LOWER(SUBSTITUTE(SUBSTITUTE(SUBSTITUTE(SUBSTITUTE(D442," ","-"),"/","-"),".",""),",","")),"")</f>
        <v/>
      </c>
      <c r="D442" s="23" t="inlineStr">
        <is>
          <t>BOD 8 B15.B.B.L</t>
        </is>
      </c>
      <c r="E442" s="23" t="inlineStr">
        <is>
          <t>Bombas Hidráulicas</t>
        </is>
      </c>
      <c r="F442" s="23" t="inlineStr">
        <is>
          <t>SOHIPREN</t>
        </is>
      </c>
      <c r="G442" s="23" t="n"/>
      <c r="H442" s="23" t="inlineStr">
        <is>
          <t>draft</t>
        </is>
      </c>
      <c r="I442" s="23" t="inlineStr">
        <is>
          <t>FIAT ALLIS / FIATAGRI</t>
        </is>
      </c>
      <c r="J442" s="23" t="inlineStr">
        <is>
          <t>TRATOR ESTEIRAS</t>
        </is>
      </c>
      <c r="K442" s="23" t="inlineStr">
        <is>
          <t>DIREÇÃO</t>
        </is>
      </c>
      <c r="L442" s="23" t="inlineStr">
        <is>
          <t>568162</t>
        </is>
      </c>
      <c r="M442" s="31" t="n"/>
      <c r="N442" s="31" t="n"/>
      <c r="O442" s="31" t="n"/>
      <c r="P442" s="31" t="n"/>
      <c r="Q442" s="31" t="n"/>
      <c r="R442" s="34">
        <f>IFERROR(IF(AND(O442&gt;0,P442&gt;0,Q442&gt;0),(O442*P442*Q442)/6000,""),"")</f>
        <v/>
      </c>
      <c r="S442" s="34">
        <f>IFERROR(IF(AND(N442&gt;0,R442&gt;0),MAX(N442,R442),IF(N442&gt;0,N442,IF(R442&gt;0,R442,""))),"")</f>
        <v/>
      </c>
      <c r="T442" s="36" t="n"/>
      <c r="U442" s="38" t="inlineStr">
        <is>
          <t>FALTA</t>
        </is>
      </c>
      <c r="V442" s="36" t="n">
        <v>550</v>
      </c>
      <c r="W442" s="39" t="n">
        <v>0.3</v>
      </c>
      <c r="X442" s="41">
        <f>IFERROR(V442+T442,"")</f>
        <v/>
      </c>
      <c r="Y442" s="41">
        <f>IFERROR(IF(W442&lt;1,X442/(1-W442),""),"")</f>
        <v/>
      </c>
      <c r="Z442" s="43">
        <f>'01_CONFIG_GLOBAL'!$C$14</f>
        <v/>
      </c>
      <c r="AA442" s="41">
        <f>IFERROR(Y442*Z442,"")</f>
        <v/>
      </c>
      <c r="AB442" s="41">
        <f>IFERROR(IF(Z442&lt;1,Y442/(1-Z442),""),"")</f>
        <v/>
      </c>
      <c r="AC442" s="23" t="n"/>
      <c r="AD442" s="36" t="n"/>
      <c r="AE442" s="23" t="n"/>
      <c r="AF442" s="36" t="n"/>
      <c r="AG442" s="23" t="n"/>
      <c r="AH442" s="36" t="n"/>
      <c r="AI442" s="41">
        <f>IFERROR(AVERAGE(AD442,AF442,AH442),"")</f>
        <v/>
      </c>
      <c r="AJ442" s="29">
        <f>IFERROR(IF(AI442="","sem dados",IF(AB442&lt;AI442*0.95,"abaixo",IF(AB442&gt;AI442*1.05,"acima","em linha"))),"")</f>
        <v/>
      </c>
      <c r="AK442" s="23" t="inlineStr">
        <is>
          <t>não</t>
        </is>
      </c>
      <c r="AL442" s="23" t="n"/>
      <c r="AM442" s="23" t="n"/>
      <c r="AN442" s="23" t="n"/>
      <c r="AO442" s="44">
        <f>A442</f>
        <v/>
      </c>
      <c r="AP442" s="44">
        <f>D442</f>
        <v/>
      </c>
    </row>
    <row r="443" hidden="1" ht="15.75" customHeight="1" s="93">
      <c r="A443" s="23" t="inlineStr">
        <is>
          <t>5.0206.0543216.0</t>
        </is>
      </c>
      <c r="B443" s="23" t="inlineStr">
        <is>
          <t>543216</t>
        </is>
      </c>
      <c r="C443" s="29">
        <f>IFERROR(LOWER(SUBSTITUTE(SUBSTITUTE(SUBSTITUTE(SUBSTITUTE(D443," ","-"),"/","-"),".",""),",","")),"")</f>
        <v/>
      </c>
      <c r="D443" s="23" t="inlineStr">
        <is>
          <t>BOD 11 B15.B.B.L</t>
        </is>
      </c>
      <c r="E443" s="23" t="inlineStr">
        <is>
          <t>Bombas Hidráulicas</t>
        </is>
      </c>
      <c r="F443" s="23" t="inlineStr">
        <is>
          <t>SOHIPREN</t>
        </is>
      </c>
      <c r="G443" s="23" t="n"/>
      <c r="H443" s="23" t="inlineStr">
        <is>
          <t>draft</t>
        </is>
      </c>
      <c r="I443" s="23" t="inlineStr">
        <is>
          <t>FIAT ALLIS / FIATAGRI</t>
        </is>
      </c>
      <c r="J443" s="23" t="inlineStr">
        <is>
          <t>TRATOR</t>
        </is>
      </c>
      <c r="K443" s="23" t="inlineStr">
        <is>
          <t>DIREÇÃO</t>
        </is>
      </c>
      <c r="L443" s="23" t="n"/>
      <c r="M443" s="31" t="n"/>
      <c r="N443" s="31" t="n"/>
      <c r="O443" s="31" t="n"/>
      <c r="P443" s="31" t="n"/>
      <c r="Q443" s="31" t="n"/>
      <c r="R443" s="34">
        <f>IFERROR(IF(AND(O443&gt;0,P443&gt;0,Q443&gt;0),(O443*P443*Q443)/6000,""),"")</f>
        <v/>
      </c>
      <c r="S443" s="34">
        <f>IFERROR(IF(AND(N443&gt;0,R443&gt;0),MAX(N443,R443),IF(N443&gt;0,N443,IF(R443&gt;0,R443,""))),"")</f>
        <v/>
      </c>
      <c r="T443" s="36" t="n"/>
      <c r="U443" s="38" t="inlineStr">
        <is>
          <t>FALTA</t>
        </is>
      </c>
      <c r="V443" s="36" t="n">
        <v>1101</v>
      </c>
      <c r="W443" s="39" t="n">
        <v>0.3</v>
      </c>
      <c r="X443" s="41">
        <f>IFERROR(V443+T443,"")</f>
        <v/>
      </c>
      <c r="Y443" s="41">
        <f>IFERROR(IF(W443&lt;1,X443/(1-W443),""),"")</f>
        <v/>
      </c>
      <c r="Z443" s="43">
        <f>'01_CONFIG_GLOBAL'!$C$14</f>
        <v/>
      </c>
      <c r="AA443" s="41">
        <f>IFERROR(Y443*Z443,"")</f>
        <v/>
      </c>
      <c r="AB443" s="41">
        <f>IFERROR(IF(Z443&lt;1,Y443/(1-Z443),""),"")</f>
        <v/>
      </c>
      <c r="AC443" s="23" t="n"/>
      <c r="AD443" s="36" t="n"/>
      <c r="AE443" s="23" t="n"/>
      <c r="AF443" s="36" t="n"/>
      <c r="AG443" s="23" t="n"/>
      <c r="AH443" s="36" t="n"/>
      <c r="AI443" s="41">
        <f>IFERROR(AVERAGE(AD443,AF443,AH443),"")</f>
        <v/>
      </c>
      <c r="AJ443" s="29">
        <f>IFERROR(IF(AI443="","sem dados",IF(AB443&lt;AI443*0.95,"abaixo",IF(AB443&gt;AI443*1.05,"acima","em linha"))),"")</f>
        <v/>
      </c>
      <c r="AK443" s="23" t="inlineStr">
        <is>
          <t>não</t>
        </is>
      </c>
      <c r="AL443" s="23" t="n"/>
      <c r="AM443" s="23" t="n"/>
      <c r="AN443" s="23" t="n"/>
      <c r="AO443" s="44">
        <f>A443</f>
        <v/>
      </c>
      <c r="AP443" s="44">
        <f>D443</f>
        <v/>
      </c>
    </row>
    <row r="444" hidden="1" ht="15.75" customHeight="1" s="93">
      <c r="A444" s="23" t="inlineStr">
        <is>
          <t>5.0206.0543220.0</t>
        </is>
      </c>
      <c r="B444" s="23" t="inlineStr">
        <is>
          <t>543220</t>
        </is>
      </c>
      <c r="C444" s="29">
        <f>IFERROR(LOWER(SUBSTITUTE(SUBSTITUTE(SUBSTITUTE(SUBSTITUTE(D444," ","-"),"/","-"),".",""),",","")),"")</f>
        <v/>
      </c>
      <c r="D444" s="23" t="inlineStr">
        <is>
          <t>BOMBA HIDRÁULICA - APLICAÇÃO 11 B.B.B.T  -80 BAR</t>
        </is>
      </c>
      <c r="E444" s="23" t="inlineStr">
        <is>
          <t>Bombas Hidráulicas</t>
        </is>
      </c>
      <c r="F444" s="23" t="inlineStr">
        <is>
          <t>SOHIPREN</t>
        </is>
      </c>
      <c r="G444" s="23" t="n"/>
      <c r="H444" s="23" t="inlineStr">
        <is>
          <t>draft</t>
        </is>
      </c>
      <c r="I444" s="23" t="inlineStr">
        <is>
          <t>FIAT ALLIS / FIATAGRI</t>
        </is>
      </c>
      <c r="J444" s="23" t="inlineStr">
        <is>
          <t>TRATOR</t>
        </is>
      </c>
      <c r="K444" s="23" t="inlineStr">
        <is>
          <t>DIREÇÃO</t>
        </is>
      </c>
      <c r="L444" s="23" t="n"/>
      <c r="M444" s="31" t="n"/>
      <c r="N444" s="31" t="n"/>
      <c r="O444" s="31" t="n"/>
      <c r="P444" s="31" t="n"/>
      <c r="Q444" s="31" t="n"/>
      <c r="R444" s="34">
        <f>IFERROR(IF(AND(O444&gt;0,P444&gt;0,Q444&gt;0),(O444*P444*Q444)/6000,""),"")</f>
        <v/>
      </c>
      <c r="S444" s="34">
        <f>IFERROR(IF(AND(N444&gt;0,R444&gt;0),MAX(N444,R444),IF(N444&gt;0,N444,IF(R444&gt;0,R444,""))),"")</f>
        <v/>
      </c>
      <c r="T444" s="36" t="n"/>
      <c r="U444" s="38" t="inlineStr">
        <is>
          <t>FALTA</t>
        </is>
      </c>
      <c r="V444" s="36" t="n">
        <v>815</v>
      </c>
      <c r="W444" s="39" t="n">
        <v>0.3</v>
      </c>
      <c r="X444" s="41">
        <f>IFERROR(V444+T444,"")</f>
        <v/>
      </c>
      <c r="Y444" s="41">
        <f>IFERROR(IF(W444&lt;1,X444/(1-W444),""),"")</f>
        <v/>
      </c>
      <c r="Z444" s="43">
        <f>'01_CONFIG_GLOBAL'!$C$14</f>
        <v/>
      </c>
      <c r="AA444" s="41">
        <f>IFERROR(Y444*Z444,"")</f>
        <v/>
      </c>
      <c r="AB444" s="41">
        <f>IFERROR(IF(Z444&lt;1,Y444/(1-Z444),""),"")</f>
        <v/>
      </c>
      <c r="AC444" s="23" t="n"/>
      <c r="AD444" s="36" t="n"/>
      <c r="AE444" s="23" t="n"/>
      <c r="AF444" s="36" t="n"/>
      <c r="AG444" s="23" t="n"/>
      <c r="AH444" s="36" t="n"/>
      <c r="AI444" s="41">
        <f>IFERROR(AVERAGE(AD444,AF444,AH444),"")</f>
        <v/>
      </c>
      <c r="AJ444" s="29">
        <f>IFERROR(IF(AI444="","sem dados",IF(AB444&lt;AI444*0.95,"abaixo",IF(AB444&gt;AI444*1.05,"acima","em linha"))),"")</f>
        <v/>
      </c>
      <c r="AK444" s="23" t="inlineStr">
        <is>
          <t>não</t>
        </is>
      </c>
      <c r="AL444" s="23" t="n"/>
      <c r="AM444" s="23" t="n"/>
      <c r="AN444" s="23" t="n"/>
      <c r="AO444" s="44">
        <f>A444</f>
        <v/>
      </c>
      <c r="AP444" s="44">
        <f>D444</f>
        <v/>
      </c>
    </row>
    <row r="445" hidden="1" ht="15.75" customHeight="1" s="93">
      <c r="A445" s="23" t="inlineStr">
        <is>
          <t>5.0206.0543201.0</t>
        </is>
      </c>
      <c r="B445" s="23" t="inlineStr">
        <is>
          <t>543201</t>
        </is>
      </c>
      <c r="C445" s="29">
        <f>IFERROR(LOWER(SUBSTITUTE(SUBSTITUTE(SUBSTITUTE(SUBSTITUTE(D445," ","-"),"/","-"),".",""),",","")),"")</f>
        <v/>
      </c>
      <c r="D445" s="23" t="inlineStr">
        <is>
          <t>BOD 11 B.B.B.L</t>
        </is>
      </c>
      <c r="E445" s="23" t="inlineStr">
        <is>
          <t>Bombas Hidráulicas</t>
        </is>
      </c>
      <c r="F445" s="23" t="inlineStr">
        <is>
          <t>SOHIPREN</t>
        </is>
      </c>
      <c r="G445" s="23" t="n"/>
      <c r="H445" s="23" t="inlineStr">
        <is>
          <t>draft</t>
        </is>
      </c>
      <c r="I445" s="23" t="inlineStr">
        <is>
          <t>FIAT ALLIS / FIATAGRI</t>
        </is>
      </c>
      <c r="J445" s="23" t="inlineStr">
        <is>
          <t>CAMINHÃO</t>
        </is>
      </c>
      <c r="K445" s="23" t="inlineStr">
        <is>
          <t>DIREÇÃO</t>
        </is>
      </c>
      <c r="L445" s="23" t="n"/>
      <c r="M445" s="31" t="n"/>
      <c r="N445" s="31" t="n"/>
      <c r="O445" s="31" t="n"/>
      <c r="P445" s="31" t="n"/>
      <c r="Q445" s="31" t="n"/>
      <c r="R445" s="34">
        <f>IFERROR(IF(AND(O445&gt;0,P445&gt;0,Q445&gt;0),(O445*P445*Q445)/6000,""),"")</f>
        <v/>
      </c>
      <c r="S445" s="34">
        <f>IFERROR(IF(AND(N445&gt;0,R445&gt;0),MAX(N445,R445),IF(N445&gt;0,N445,IF(R445&gt;0,R445,""))),"")</f>
        <v/>
      </c>
      <c r="T445" s="36" t="n"/>
      <c r="U445" s="38" t="inlineStr">
        <is>
          <t>FALTA</t>
        </is>
      </c>
      <c r="V445" s="36" t="n">
        <v>665</v>
      </c>
      <c r="W445" s="39" t="n">
        <v>0.3</v>
      </c>
      <c r="X445" s="41">
        <f>IFERROR(V445+T445,"")</f>
        <v/>
      </c>
      <c r="Y445" s="41">
        <f>IFERROR(IF(W445&lt;1,X445/(1-W445),""),"")</f>
        <v/>
      </c>
      <c r="Z445" s="43">
        <f>'01_CONFIG_GLOBAL'!$C$14</f>
        <v/>
      </c>
      <c r="AA445" s="41">
        <f>IFERROR(Y445*Z445,"")</f>
        <v/>
      </c>
      <c r="AB445" s="41">
        <f>IFERROR(IF(Z445&lt;1,Y445/(1-Z445),""),"")</f>
        <v/>
      </c>
      <c r="AC445" s="23" t="n"/>
      <c r="AD445" s="36" t="n"/>
      <c r="AE445" s="23" t="n"/>
      <c r="AF445" s="36" t="n"/>
      <c r="AG445" s="23" t="n"/>
      <c r="AH445" s="36" t="n"/>
      <c r="AI445" s="41">
        <f>IFERROR(AVERAGE(AD445,AF445,AH445),"")</f>
        <v/>
      </c>
      <c r="AJ445" s="29">
        <f>IFERROR(IF(AI445="","sem dados",IF(AB445&lt;AI445*0.95,"abaixo",IF(AB445&gt;AI445*1.05,"acima","em linha"))),"")</f>
        <v/>
      </c>
      <c r="AK445" s="23" t="inlineStr">
        <is>
          <t>não</t>
        </is>
      </c>
      <c r="AL445" s="23" t="n"/>
      <c r="AM445" s="23" t="n"/>
      <c r="AN445" s="23" t="n"/>
      <c r="AO445" s="44">
        <f>A445</f>
        <v/>
      </c>
      <c r="AP445" s="44">
        <f>D445</f>
        <v/>
      </c>
    </row>
    <row r="446" hidden="1" ht="15.75" customHeight="1" s="93">
      <c r="A446" s="23" t="inlineStr">
        <is>
          <t>5.0206.0543204.0</t>
        </is>
      </c>
      <c r="B446" s="23" t="inlineStr">
        <is>
          <t>543204</t>
        </is>
      </c>
      <c r="C446" s="29">
        <f>IFERROR(LOWER(SUBSTITUTE(SUBSTITUTE(SUBSTITUTE(SUBSTITUTE(D446," ","-"),"/","-"),".",""),",","")),"")</f>
        <v/>
      </c>
      <c r="D446" s="23" t="inlineStr">
        <is>
          <t>BOMBA HIDRÁULICA - APLICAÇÃO 11 B.C1.B.L</t>
        </is>
      </c>
      <c r="E446" s="23" t="inlineStr">
        <is>
          <t>Bombas Hidráulicas</t>
        </is>
      </c>
      <c r="F446" s="23" t="inlineStr">
        <is>
          <t>SOHIPREN</t>
        </is>
      </c>
      <c r="G446" s="23" t="n"/>
      <c r="H446" s="23" t="inlineStr">
        <is>
          <t>draft</t>
        </is>
      </c>
      <c r="I446" s="23" t="inlineStr">
        <is>
          <t>FIAT ALLIS / FIATAGRI</t>
        </is>
      </c>
      <c r="J446" s="23" t="inlineStr">
        <is>
          <t>TRATOR</t>
        </is>
      </c>
      <c r="K446" s="23" t="inlineStr">
        <is>
          <t>3 PONTO E CONTROLE REMOTO</t>
        </is>
      </c>
      <c r="L446" s="23" t="n"/>
      <c r="M446" s="31" t="n"/>
      <c r="N446" s="31" t="n"/>
      <c r="O446" s="31" t="n"/>
      <c r="P446" s="31" t="n"/>
      <c r="Q446" s="31" t="n"/>
      <c r="R446" s="34">
        <f>IFERROR(IF(AND(O446&gt;0,P446&gt;0,Q446&gt;0),(O446*P446*Q446)/6000,""),"")</f>
        <v/>
      </c>
      <c r="S446" s="34">
        <f>IFERROR(IF(AND(N446&gt;0,R446&gt;0),MAX(N446,R446),IF(N446&gt;0,N446,IF(R446&gt;0,R446,""))),"")</f>
        <v/>
      </c>
      <c r="T446" s="36" t="n"/>
      <c r="U446" s="38" t="inlineStr">
        <is>
          <t>FALTA</t>
        </is>
      </c>
      <c r="V446" s="36" t="n">
        <v>665</v>
      </c>
      <c r="W446" s="39" t="n">
        <v>0.3</v>
      </c>
      <c r="X446" s="41">
        <f>IFERROR(V446+T446,"")</f>
        <v/>
      </c>
      <c r="Y446" s="41">
        <f>IFERROR(IF(W446&lt;1,X446/(1-W446),""),"")</f>
        <v/>
      </c>
      <c r="Z446" s="43">
        <f>'01_CONFIG_GLOBAL'!$C$14</f>
        <v/>
      </c>
      <c r="AA446" s="41">
        <f>IFERROR(Y446*Z446,"")</f>
        <v/>
      </c>
      <c r="AB446" s="41">
        <f>IFERROR(IF(Z446&lt;1,Y446/(1-Z446),""),"")</f>
        <v/>
      </c>
      <c r="AC446" s="23" t="n"/>
      <c r="AD446" s="36" t="n"/>
      <c r="AE446" s="23" t="n"/>
      <c r="AF446" s="36" t="n"/>
      <c r="AG446" s="23" t="n"/>
      <c r="AH446" s="36" t="n"/>
      <c r="AI446" s="41">
        <f>IFERROR(AVERAGE(AD446,AF446,AH446),"")</f>
        <v/>
      </c>
      <c r="AJ446" s="29">
        <f>IFERROR(IF(AI446="","sem dados",IF(AB446&lt;AI446*0.95,"abaixo",IF(AB446&gt;AI446*1.05,"acima","em linha"))),"")</f>
        <v/>
      </c>
      <c r="AK446" s="23" t="inlineStr">
        <is>
          <t>não</t>
        </is>
      </c>
      <c r="AL446" s="23" t="n"/>
      <c r="AM446" s="23" t="n"/>
      <c r="AN446" s="23" t="n"/>
      <c r="AO446" s="44">
        <f>A446</f>
        <v/>
      </c>
      <c r="AP446" s="44">
        <f>D446</f>
        <v/>
      </c>
    </row>
    <row r="447" hidden="1" ht="15.75" customHeight="1" s="93">
      <c r="A447" s="23" t="inlineStr">
        <is>
          <t>5.0205.0542415.0</t>
        </is>
      </c>
      <c r="B447" s="23" t="inlineStr">
        <is>
          <t>542415</t>
        </is>
      </c>
      <c r="C447" s="29">
        <f>IFERROR(LOWER(SUBSTITUTE(SUBSTITUTE(SUBSTITUTE(SUBSTITUTE(D447," ","-"),"/","-"),".",""),",","")),"")</f>
        <v/>
      </c>
      <c r="D447" s="23" t="inlineStr">
        <is>
          <t>BOMBA HIDRÁULICA - APLICAÇÃO 8 B.B.B12.L</t>
        </is>
      </c>
      <c r="E447" s="23" t="inlineStr">
        <is>
          <t>Bombas Hidráulicas</t>
        </is>
      </c>
      <c r="F447" s="23" t="inlineStr">
        <is>
          <t>SOHIPREN</t>
        </is>
      </c>
      <c r="G447" s="23" t="n"/>
      <c r="H447" s="23" t="inlineStr">
        <is>
          <t>draft</t>
        </is>
      </c>
      <c r="I447" s="23" t="inlineStr">
        <is>
          <t>FIAT ALLIS / FIATAGRI</t>
        </is>
      </c>
      <c r="J447" s="23" t="inlineStr">
        <is>
          <t>TRATOR</t>
        </is>
      </c>
      <c r="K447" s="23" t="inlineStr">
        <is>
          <t>DIREÇÃO</t>
        </is>
      </c>
      <c r="L447" s="23" t="n"/>
      <c r="M447" s="31" t="n"/>
      <c r="N447" s="31" t="n"/>
      <c r="O447" s="31" t="n"/>
      <c r="P447" s="31" t="n"/>
      <c r="Q447" s="31" t="n"/>
      <c r="R447" s="34">
        <f>IFERROR(IF(AND(O447&gt;0,P447&gt;0,Q447&gt;0),(O447*P447*Q447)/6000,""),"")</f>
        <v/>
      </c>
      <c r="S447" s="34">
        <f>IFERROR(IF(AND(N447&gt;0,R447&gt;0),MAX(N447,R447),IF(N447&gt;0,N447,IF(R447&gt;0,R447,""))),"")</f>
        <v/>
      </c>
      <c r="T447" s="36" t="n"/>
      <c r="U447" s="38" t="inlineStr">
        <is>
          <t>FALTA</t>
        </is>
      </c>
      <c r="V447" s="36" t="n">
        <v>605</v>
      </c>
      <c r="W447" s="39" t="n">
        <v>0.3</v>
      </c>
      <c r="X447" s="41">
        <f>IFERROR(V447+T447,"")</f>
        <v/>
      </c>
      <c r="Y447" s="41">
        <f>IFERROR(IF(W447&lt;1,X447/(1-W447),""),"")</f>
        <v/>
      </c>
      <c r="Z447" s="43">
        <f>'01_CONFIG_GLOBAL'!$C$14</f>
        <v/>
      </c>
      <c r="AA447" s="41">
        <f>IFERROR(Y447*Z447,"")</f>
        <v/>
      </c>
      <c r="AB447" s="41">
        <f>IFERROR(IF(Z447&lt;1,Y447/(1-Z447),""),"")</f>
        <v/>
      </c>
      <c r="AC447" s="23" t="n"/>
      <c r="AD447" s="36" t="n"/>
      <c r="AE447" s="23" t="n"/>
      <c r="AF447" s="36" t="n"/>
      <c r="AG447" s="23" t="n"/>
      <c r="AH447" s="36" t="n"/>
      <c r="AI447" s="41">
        <f>IFERROR(AVERAGE(AD447,AF447,AH447),"")</f>
        <v/>
      </c>
      <c r="AJ447" s="29">
        <f>IFERROR(IF(AI447="","sem dados",IF(AB447&lt;AI447*0.95,"abaixo",IF(AB447&gt;AI447*1.05,"acima","em linha"))),"")</f>
        <v/>
      </c>
      <c r="AK447" s="23" t="inlineStr">
        <is>
          <t>não</t>
        </is>
      </c>
      <c r="AL447" s="23" t="n"/>
      <c r="AM447" s="23" t="n"/>
      <c r="AN447" s="23" t="n"/>
      <c r="AO447" s="44">
        <f>A447</f>
        <v/>
      </c>
      <c r="AP447" s="44">
        <f>D447</f>
        <v/>
      </c>
    </row>
    <row r="448" hidden="1" ht="15.75" customHeight="1" s="93">
      <c r="A448" s="23" t="inlineStr">
        <is>
          <t>5.0205.0542413.0</t>
        </is>
      </c>
      <c r="B448" s="23" t="inlineStr">
        <is>
          <t>542413</t>
        </is>
      </c>
      <c r="C448" s="29">
        <f>IFERROR(LOWER(SUBSTITUTE(SUBSTITUTE(SUBSTITUTE(SUBSTITUTE(D448," ","-"),"/","-"),".",""),",","")),"")</f>
        <v/>
      </c>
      <c r="D448" s="23" t="inlineStr">
        <is>
          <t>BOMBA HIDRÁULICA - APLICAÇÃO 8 B.B.B6.L</t>
        </is>
      </c>
      <c r="E448" s="23" t="inlineStr">
        <is>
          <t>Bombas Hidráulicas</t>
        </is>
      </c>
      <c r="F448" s="23" t="inlineStr">
        <is>
          <t>SOHIPREN</t>
        </is>
      </c>
      <c r="G448" s="23" t="n"/>
      <c r="H448" s="23" t="inlineStr">
        <is>
          <t>draft</t>
        </is>
      </c>
      <c r="I448" s="23" t="inlineStr">
        <is>
          <t>FIAT ALLIS / FIATAGRI</t>
        </is>
      </c>
      <c r="J448" s="23" t="inlineStr">
        <is>
          <t>TRATOR</t>
        </is>
      </c>
      <c r="K448" s="23" t="inlineStr">
        <is>
          <t>BOMBA 3 PONTO</t>
        </is>
      </c>
      <c r="L448" s="23" t="n"/>
      <c r="M448" s="31" t="n"/>
      <c r="N448" s="31" t="n"/>
      <c r="O448" s="31" t="n"/>
      <c r="P448" s="31" t="n"/>
      <c r="Q448" s="31" t="n"/>
      <c r="R448" s="34">
        <f>IFERROR(IF(AND(O448&gt;0,P448&gt;0,Q448&gt;0),(O448*P448*Q448)/6000,""),"")</f>
        <v/>
      </c>
      <c r="S448" s="34">
        <f>IFERROR(IF(AND(N448&gt;0,R448&gt;0),MAX(N448,R448),IF(N448&gt;0,N448,IF(R448&gt;0,R448,""))),"")</f>
        <v/>
      </c>
      <c r="T448" s="36" t="n"/>
      <c r="U448" s="38" t="inlineStr">
        <is>
          <t>FALTA</t>
        </is>
      </c>
      <c r="V448" s="36" t="n">
        <v>605</v>
      </c>
      <c r="W448" s="39" t="n">
        <v>0.3</v>
      </c>
      <c r="X448" s="41">
        <f>IFERROR(V448+T448,"")</f>
        <v/>
      </c>
      <c r="Y448" s="41">
        <f>IFERROR(IF(W448&lt;1,X448/(1-W448),""),"")</f>
        <v/>
      </c>
      <c r="Z448" s="43">
        <f>'01_CONFIG_GLOBAL'!$C$14</f>
        <v/>
      </c>
      <c r="AA448" s="41">
        <f>IFERROR(Y448*Z448,"")</f>
        <v/>
      </c>
      <c r="AB448" s="41">
        <f>IFERROR(IF(Z448&lt;1,Y448/(1-Z448),""),"")</f>
        <v/>
      </c>
      <c r="AC448" s="23" t="n"/>
      <c r="AD448" s="36" t="n"/>
      <c r="AE448" s="23" t="n"/>
      <c r="AF448" s="36" t="n"/>
      <c r="AG448" s="23" t="n"/>
      <c r="AH448" s="36" t="n"/>
      <c r="AI448" s="41">
        <f>IFERROR(AVERAGE(AD448,AF448,AH448),"")</f>
        <v/>
      </c>
      <c r="AJ448" s="29">
        <f>IFERROR(IF(AI448="","sem dados",IF(AB448&lt;AI448*0.95,"abaixo",IF(AB448&gt;AI448*1.05,"acima","em linha"))),"")</f>
        <v/>
      </c>
      <c r="AK448" s="23" t="inlineStr">
        <is>
          <t>não</t>
        </is>
      </c>
      <c r="AL448" s="23" t="n"/>
      <c r="AM448" s="23" t="n"/>
      <c r="AN448" s="23" t="n"/>
      <c r="AO448" s="44">
        <f>A448</f>
        <v/>
      </c>
      <c r="AP448" s="44">
        <f>D448</f>
        <v/>
      </c>
    </row>
    <row r="449" hidden="1" ht="15.75" customHeight="1" s="93">
      <c r="A449" s="23" t="inlineStr">
        <is>
          <t>5.0209.0545644.0</t>
        </is>
      </c>
      <c r="B449" s="23" t="inlineStr">
        <is>
          <t>545644</t>
        </is>
      </c>
      <c r="C449" s="29">
        <f>IFERROR(LOWER(SUBSTITUTE(SUBSTITUTE(SUBSTITUTE(SUBSTITUTE(D449," ","-"),"/","-"),".",""),",","")),"")</f>
        <v/>
      </c>
      <c r="D449" s="23" t="inlineStr">
        <is>
          <t>BOD 19 B.B.B1.C9  9-100 BAR</t>
        </is>
      </c>
      <c r="E449" s="23" t="inlineStr">
        <is>
          <t>Bombas Hidráulicas</t>
        </is>
      </c>
      <c r="F449" s="23" t="inlineStr">
        <is>
          <t>SOHIPREN</t>
        </is>
      </c>
      <c r="G449" s="23" t="n"/>
      <c r="H449" s="23" t="inlineStr">
        <is>
          <t>draft</t>
        </is>
      </c>
      <c r="I449" s="23" t="inlineStr">
        <is>
          <t>FIAT ALLIS / FIATAGRI</t>
        </is>
      </c>
      <c r="J449" s="23" t="inlineStr">
        <is>
          <t>TRATOR</t>
        </is>
      </c>
      <c r="K449" s="23" t="inlineStr">
        <is>
          <t>DIREÇÃO</t>
        </is>
      </c>
      <c r="L449" s="23" t="n"/>
      <c r="M449" s="31" t="n"/>
      <c r="N449" s="31" t="n"/>
      <c r="O449" s="31" t="n"/>
      <c r="P449" s="31" t="n"/>
      <c r="Q449" s="31" t="n"/>
      <c r="R449" s="34">
        <f>IFERROR(IF(AND(O449&gt;0,P449&gt;0,Q449&gt;0),(O449*P449*Q449)/6000,""),"")</f>
        <v/>
      </c>
      <c r="S449" s="34">
        <f>IFERROR(IF(AND(N449&gt;0,R449&gt;0),MAX(N449,R449),IF(N449&gt;0,N449,IF(R449&gt;0,R449,""))),"")</f>
        <v/>
      </c>
      <c r="T449" s="36" t="n"/>
      <c r="U449" s="38" t="inlineStr">
        <is>
          <t>FALTA</t>
        </is>
      </c>
      <c r="V449" s="36" t="n">
        <v>550</v>
      </c>
      <c r="W449" s="39" t="n">
        <v>0.3</v>
      </c>
      <c r="X449" s="41">
        <f>IFERROR(V449+T449,"")</f>
        <v/>
      </c>
      <c r="Y449" s="41">
        <f>IFERROR(IF(W449&lt;1,X449/(1-W449),""),"")</f>
        <v/>
      </c>
      <c r="Z449" s="43">
        <f>'01_CONFIG_GLOBAL'!$C$14</f>
        <v/>
      </c>
      <c r="AA449" s="41">
        <f>IFERROR(Y449*Z449,"")</f>
        <v/>
      </c>
      <c r="AB449" s="41">
        <f>IFERROR(IF(Z449&lt;1,Y449/(1-Z449),""),"")</f>
        <v/>
      </c>
      <c r="AC449" s="23" t="n"/>
      <c r="AD449" s="36" t="n"/>
      <c r="AE449" s="23" t="n"/>
      <c r="AF449" s="36" t="n"/>
      <c r="AG449" s="23" t="n"/>
      <c r="AH449" s="36" t="n"/>
      <c r="AI449" s="41">
        <f>IFERROR(AVERAGE(AD449,AF449,AH449),"")</f>
        <v/>
      </c>
      <c r="AJ449" s="29">
        <f>IFERROR(IF(AI449="","sem dados",IF(AB449&lt;AI449*0.95,"abaixo",IF(AB449&gt;AI449*1.05,"acima","em linha"))),"")</f>
        <v/>
      </c>
      <c r="AK449" s="23" t="inlineStr">
        <is>
          <t>não</t>
        </is>
      </c>
      <c r="AL449" s="23" t="n"/>
      <c r="AM449" s="23" t="n"/>
      <c r="AN449" s="23" t="n"/>
      <c r="AO449" s="44">
        <f>A449</f>
        <v/>
      </c>
      <c r="AP449" s="44">
        <f>D449</f>
        <v/>
      </c>
    </row>
    <row r="450" hidden="1" ht="15.75" customHeight="1" s="93">
      <c r="A450" s="23" t="inlineStr">
        <is>
          <t>5.0209.0545651.0</t>
        </is>
      </c>
      <c r="B450" s="23" t="inlineStr">
        <is>
          <t>545651</t>
        </is>
      </c>
      <c r="C450" s="29">
        <f>IFERROR(LOWER(SUBSTITUTE(SUBSTITUTE(SUBSTITUTE(SUBSTITUTE(D450," ","-"),"/","-"),".",""),",","")),"")</f>
        <v/>
      </c>
      <c r="D450" s="23" t="inlineStr">
        <is>
          <t>BOD 19 B15.B14.A14.D5  15-150 BAR</t>
        </is>
      </c>
      <c r="E450" s="23" t="inlineStr">
        <is>
          <t>Bombas Hidráulicas</t>
        </is>
      </c>
      <c r="F450" s="23" t="inlineStr">
        <is>
          <t>SOHIPREN</t>
        </is>
      </c>
      <c r="G450" s="23" t="n"/>
      <c r="H450" s="23" t="inlineStr">
        <is>
          <t>draft</t>
        </is>
      </c>
      <c r="I450" s="23" t="inlineStr">
        <is>
          <t>FIAT ALLIS / FIATAGRI</t>
        </is>
      </c>
      <c r="J450" s="23" t="inlineStr">
        <is>
          <t>TRATOR</t>
        </is>
      </c>
      <c r="K450" s="23" t="inlineStr">
        <is>
          <t>PRINCIPAL</t>
        </is>
      </c>
      <c r="L450" s="23" t="inlineStr">
        <is>
          <t>5132400/1930267</t>
        </is>
      </c>
      <c r="M450" s="31" t="n"/>
      <c r="N450" s="31" t="n"/>
      <c r="O450" s="31" t="n"/>
      <c r="P450" s="31" t="n"/>
      <c r="Q450" s="31" t="n"/>
      <c r="R450" s="34">
        <f>IFERROR(IF(AND(O450&gt;0,P450&gt;0,Q450&gt;0),(O450*P450*Q450)/6000,""),"")</f>
        <v/>
      </c>
      <c r="S450" s="34">
        <f>IFERROR(IF(AND(N450&gt;0,R450&gt;0),MAX(N450,R450),IF(N450&gt;0,N450,IF(R450&gt;0,R450,""))),"")</f>
        <v/>
      </c>
      <c r="T450" s="36" t="n"/>
      <c r="U450" s="38" t="inlineStr">
        <is>
          <t>FALTA</t>
        </is>
      </c>
      <c r="V450" s="36" t="n">
        <v>550</v>
      </c>
      <c r="W450" s="39" t="n">
        <v>0.3</v>
      </c>
      <c r="X450" s="41">
        <f>IFERROR(V450+T450,"")</f>
        <v/>
      </c>
      <c r="Y450" s="41">
        <f>IFERROR(IF(W450&lt;1,X450/(1-W450),""),"")</f>
        <v/>
      </c>
      <c r="Z450" s="43">
        <f>'01_CONFIG_GLOBAL'!$C$14</f>
        <v/>
      </c>
      <c r="AA450" s="41">
        <f>IFERROR(Y450*Z450,"")</f>
        <v/>
      </c>
      <c r="AB450" s="41">
        <f>IFERROR(IF(Z450&lt;1,Y450/(1-Z450),""),"")</f>
        <v/>
      </c>
      <c r="AC450" s="23" t="n"/>
      <c r="AD450" s="36" t="n"/>
      <c r="AE450" s="23" t="n"/>
      <c r="AF450" s="36" t="n"/>
      <c r="AG450" s="23" t="n"/>
      <c r="AH450" s="36" t="n"/>
      <c r="AI450" s="41">
        <f>IFERROR(AVERAGE(AD450,AF450,AH450),"")</f>
        <v/>
      </c>
      <c r="AJ450" s="29">
        <f>IFERROR(IF(AI450="","sem dados",IF(AB450&lt;AI450*0.95,"abaixo",IF(AB450&gt;AI450*1.05,"acima","em linha"))),"")</f>
        <v/>
      </c>
      <c r="AK450" s="23" t="inlineStr">
        <is>
          <t>não</t>
        </is>
      </c>
      <c r="AL450" s="23" t="n"/>
      <c r="AM450" s="23" t="n"/>
      <c r="AN450" s="23" t="n"/>
      <c r="AO450" s="44">
        <f>A450</f>
        <v/>
      </c>
      <c r="AP450" s="44">
        <f>D450</f>
        <v/>
      </c>
    </row>
    <row r="451" hidden="1" ht="15.75" customHeight="1" s="93">
      <c r="A451" s="23" t="inlineStr">
        <is>
          <t>5.0208.0544829.0</t>
        </is>
      </c>
      <c r="B451" s="23" t="inlineStr">
        <is>
          <t>544829</t>
        </is>
      </c>
      <c r="C451" s="29">
        <f>IFERROR(LOWER(SUBSTITUTE(SUBSTITUTE(SUBSTITUTE(SUBSTITUTE(D451," ","-"),"/","-"),".",""),",","")),"")</f>
        <v/>
      </c>
      <c r="D451" s="23" t="inlineStr">
        <is>
          <t>BOMBA HIDRÁULICA - APLICAÇÃO 16 B.C1.B1.C3  10-100 BAR</t>
        </is>
      </c>
      <c r="E451" s="23" t="inlineStr">
        <is>
          <t>Bombas Hidráulicas</t>
        </is>
      </c>
      <c r="F451" s="23" t="inlineStr">
        <is>
          <t>SOHIPREN</t>
        </is>
      </c>
      <c r="G451" s="23" t="n"/>
      <c r="H451" s="23" t="inlineStr">
        <is>
          <t>draft</t>
        </is>
      </c>
      <c r="I451" s="23" t="inlineStr">
        <is>
          <t>FIAT ALLIS / FIATAGRI</t>
        </is>
      </c>
      <c r="J451" s="23" t="inlineStr">
        <is>
          <t>TRATOR</t>
        </is>
      </c>
      <c r="K451" s="23" t="inlineStr">
        <is>
          <t>DIREÇÃO</t>
        </is>
      </c>
      <c r="L451" s="23" t="n"/>
      <c r="M451" s="31" t="n"/>
      <c r="N451" s="31" t="n"/>
      <c r="O451" s="31" t="n"/>
      <c r="P451" s="31" t="n"/>
      <c r="Q451" s="31" t="n"/>
      <c r="R451" s="34">
        <f>IFERROR(IF(AND(O451&gt;0,P451&gt;0,Q451&gt;0),(O451*P451*Q451)/6000,""),"")</f>
        <v/>
      </c>
      <c r="S451" s="34">
        <f>IFERROR(IF(AND(N451&gt;0,R451&gt;0),MAX(N451,R451),IF(N451&gt;0,N451,IF(R451&gt;0,R451,""))),"")</f>
        <v/>
      </c>
      <c r="T451" s="36" t="n"/>
      <c r="U451" s="38" t="inlineStr">
        <is>
          <t>FALTA</t>
        </is>
      </c>
      <c r="V451" s="36" t="n">
        <v>605</v>
      </c>
      <c r="W451" s="39" t="n">
        <v>0.3</v>
      </c>
      <c r="X451" s="41">
        <f>IFERROR(V451+T451,"")</f>
        <v/>
      </c>
      <c r="Y451" s="41">
        <f>IFERROR(IF(W451&lt;1,X451/(1-W451),""),"")</f>
        <v/>
      </c>
      <c r="Z451" s="43">
        <f>'01_CONFIG_GLOBAL'!$C$14</f>
        <v/>
      </c>
      <c r="AA451" s="41">
        <f>IFERROR(Y451*Z451,"")</f>
        <v/>
      </c>
      <c r="AB451" s="41">
        <f>IFERROR(IF(Z451&lt;1,Y451/(1-Z451),""),"")</f>
        <v/>
      </c>
      <c r="AC451" s="23" t="n"/>
      <c r="AD451" s="36" t="n"/>
      <c r="AE451" s="23" t="n"/>
      <c r="AF451" s="36" t="n"/>
      <c r="AG451" s="23" t="n"/>
      <c r="AH451" s="36" t="n"/>
      <c r="AI451" s="41">
        <f>IFERROR(AVERAGE(AD451,AF451,AH451),"")</f>
        <v/>
      </c>
      <c r="AJ451" s="29">
        <f>IFERROR(IF(AI451="","sem dados",IF(AB451&lt;AI451*0.95,"abaixo",IF(AB451&gt;AI451*1.05,"acima","em linha"))),"")</f>
        <v/>
      </c>
      <c r="AK451" s="23" t="inlineStr">
        <is>
          <t>não</t>
        </is>
      </c>
      <c r="AL451" s="23" t="n"/>
      <c r="AM451" s="23" t="n"/>
      <c r="AN451" s="23" t="n"/>
      <c r="AO451" s="44">
        <f>A451</f>
        <v/>
      </c>
      <c r="AP451" s="44">
        <f>D451</f>
        <v/>
      </c>
    </row>
    <row r="452" hidden="1" ht="15.75" customHeight="1" s="93">
      <c r="A452" s="23" t="inlineStr">
        <is>
          <t>5.0208.0544832.0</t>
        </is>
      </c>
      <c r="B452" s="23" t="inlineStr">
        <is>
          <t>544832</t>
        </is>
      </c>
      <c r="C452" s="29">
        <f>IFERROR(LOWER(SUBSTITUTE(SUBSTITUTE(SUBSTITUTE(SUBSTITUTE(D452," ","-"),"/","-"),".",""),",","")),"")</f>
        <v/>
      </c>
      <c r="D452" s="23" t="inlineStr">
        <is>
          <t>BOMBA HIDRÁULICA - APLICAÇÃO 16 B.C1.B1.C3  20-100 BAR</t>
        </is>
      </c>
      <c r="E452" s="23" t="inlineStr">
        <is>
          <t>Bombas Hidráulicas</t>
        </is>
      </c>
      <c r="F452" s="23" t="inlineStr">
        <is>
          <t>SOHIPREN</t>
        </is>
      </c>
      <c r="G452" s="23" t="n"/>
      <c r="H452" s="23" t="inlineStr">
        <is>
          <t>draft</t>
        </is>
      </c>
      <c r="I452" s="23" t="inlineStr">
        <is>
          <t>FIAT ALLIS / FIATAGRI</t>
        </is>
      </c>
      <c r="J452" s="23" t="inlineStr">
        <is>
          <t>TRATOR</t>
        </is>
      </c>
      <c r="K452" s="23" t="n"/>
      <c r="L452" s="23" t="n"/>
      <c r="M452" s="31" t="n"/>
      <c r="N452" s="31" t="n"/>
      <c r="O452" s="31" t="n"/>
      <c r="P452" s="31" t="n"/>
      <c r="Q452" s="31" t="n"/>
      <c r="R452" s="34">
        <f>IFERROR(IF(AND(O452&gt;0,P452&gt;0,Q452&gt;0),(O452*P452*Q452)/6000,""),"")</f>
        <v/>
      </c>
      <c r="S452" s="34">
        <f>IFERROR(IF(AND(N452&gt;0,R452&gt;0),MAX(N452,R452),IF(N452&gt;0,N452,IF(R452&gt;0,R452,""))),"")</f>
        <v/>
      </c>
      <c r="T452" s="36" t="n"/>
      <c r="U452" s="38" t="inlineStr">
        <is>
          <t>FALTA</t>
        </is>
      </c>
      <c r="V452" s="36" t="n">
        <v>665</v>
      </c>
      <c r="W452" s="39" t="n">
        <v>0.3</v>
      </c>
      <c r="X452" s="41">
        <f>IFERROR(V452+T452,"")</f>
        <v/>
      </c>
      <c r="Y452" s="41">
        <f>IFERROR(IF(W452&lt;1,X452/(1-W452),""),"")</f>
        <v/>
      </c>
      <c r="Z452" s="43">
        <f>'01_CONFIG_GLOBAL'!$C$14</f>
        <v/>
      </c>
      <c r="AA452" s="41">
        <f>IFERROR(Y452*Z452,"")</f>
        <v/>
      </c>
      <c r="AB452" s="41">
        <f>IFERROR(IF(Z452&lt;1,Y452/(1-Z452),""),"")</f>
        <v/>
      </c>
      <c r="AC452" s="23" t="n"/>
      <c r="AD452" s="36" t="n"/>
      <c r="AE452" s="23" t="n"/>
      <c r="AF452" s="36" t="n"/>
      <c r="AG452" s="23" t="n"/>
      <c r="AH452" s="36" t="n"/>
      <c r="AI452" s="41">
        <f>IFERROR(AVERAGE(AD452,AF452,AH452),"")</f>
        <v/>
      </c>
      <c r="AJ452" s="29">
        <f>IFERROR(IF(AI452="","sem dados",IF(AB452&lt;AI452*0.95,"abaixo",IF(AB452&gt;AI452*1.05,"acima","em linha"))),"")</f>
        <v/>
      </c>
      <c r="AK452" s="23" t="inlineStr">
        <is>
          <t>não</t>
        </is>
      </c>
      <c r="AL452" s="23" t="n"/>
      <c r="AM452" s="23" t="n"/>
      <c r="AN452" s="23" t="n"/>
      <c r="AO452" s="44">
        <f>A452</f>
        <v/>
      </c>
      <c r="AP452" s="44">
        <f>D452</f>
        <v/>
      </c>
    </row>
    <row r="453" hidden="1" ht="15.75" customHeight="1" s="93">
      <c r="A453" s="23" t="inlineStr">
        <is>
          <t>5.0207.0544074.0</t>
        </is>
      </c>
      <c r="B453" s="23" t="inlineStr">
        <is>
          <t>544074</t>
        </is>
      </c>
      <c r="C453" s="29">
        <f>IFERROR(LOWER(SUBSTITUTE(SUBSTITUTE(SUBSTITUTE(SUBSTITUTE(D453," ","-"),"/","-"),".",""),",","")),"")</f>
        <v/>
      </c>
      <c r="D453" s="23" t="inlineStr">
        <is>
          <t>BOD 14 E18.C.G.G2</t>
        </is>
      </c>
      <c r="E453" s="23" t="inlineStr">
        <is>
          <t>Bombas Hidráulicas</t>
        </is>
      </c>
      <c r="F453" s="23" t="inlineStr">
        <is>
          <t>SOHIPREN</t>
        </is>
      </c>
      <c r="G453" s="23" t="n"/>
      <c r="H453" s="23" t="inlineStr">
        <is>
          <t>draft</t>
        </is>
      </c>
      <c r="I453" s="23" t="inlineStr">
        <is>
          <t>FIAT ALLIS / FIATAGRI</t>
        </is>
      </c>
      <c r="J453" s="23" t="inlineStr">
        <is>
          <t>CARREGADEIRA</t>
        </is>
      </c>
      <c r="K453" s="23" t="inlineStr">
        <is>
          <t>FREIO</t>
        </is>
      </c>
      <c r="L453" s="23" t="inlineStr">
        <is>
          <t>75239931</t>
        </is>
      </c>
      <c r="M453" s="31" t="n"/>
      <c r="N453" s="31" t="n"/>
      <c r="O453" s="31" t="n"/>
      <c r="P453" s="31" t="n"/>
      <c r="Q453" s="31" t="n"/>
      <c r="R453" s="34">
        <f>IFERROR(IF(AND(O453&gt;0,P453&gt;0,Q453&gt;0),(O453*P453*Q453)/6000,""),"")</f>
        <v/>
      </c>
      <c r="S453" s="34">
        <f>IFERROR(IF(AND(N453&gt;0,R453&gt;0),MAX(N453,R453),IF(N453&gt;0,N453,IF(R453&gt;0,R453,""))),"")</f>
        <v/>
      </c>
      <c r="T453" s="36" t="n"/>
      <c r="U453" s="38" t="inlineStr">
        <is>
          <t>FALTA</t>
        </is>
      </c>
      <c r="V453" s="36" t="n">
        <v>438.9</v>
      </c>
      <c r="W453" s="39" t="n">
        <v>0.3</v>
      </c>
      <c r="X453" s="41">
        <f>IFERROR(V453+T453,"")</f>
        <v/>
      </c>
      <c r="Y453" s="41">
        <f>IFERROR(IF(W453&lt;1,X453/(1-W453),""),"")</f>
        <v/>
      </c>
      <c r="Z453" s="43">
        <f>'01_CONFIG_GLOBAL'!$C$14</f>
        <v/>
      </c>
      <c r="AA453" s="41">
        <f>IFERROR(Y453*Z453,"")</f>
        <v/>
      </c>
      <c r="AB453" s="41">
        <f>IFERROR(IF(Z453&lt;1,Y453/(1-Z453),""),"")</f>
        <v/>
      </c>
      <c r="AC453" s="23" t="n"/>
      <c r="AD453" s="36" t="n"/>
      <c r="AE453" s="23" t="n"/>
      <c r="AF453" s="36" t="n"/>
      <c r="AG453" s="23" t="n"/>
      <c r="AH453" s="36" t="n"/>
      <c r="AI453" s="41">
        <f>IFERROR(AVERAGE(AD453,AF453,AH453),"")</f>
        <v/>
      </c>
      <c r="AJ453" s="29">
        <f>IFERROR(IF(AI453="","sem dados",IF(AB453&lt;AI453*0.95,"abaixo",IF(AB453&gt;AI453*1.05,"acima","em linha"))),"")</f>
        <v/>
      </c>
      <c r="AK453" s="23" t="inlineStr">
        <is>
          <t>não</t>
        </is>
      </c>
      <c r="AL453" s="23" t="n"/>
      <c r="AM453" s="23" t="n"/>
      <c r="AN453" s="23" t="n"/>
      <c r="AO453" s="44">
        <f>A453</f>
        <v/>
      </c>
      <c r="AP453" s="44">
        <f>D453</f>
        <v/>
      </c>
    </row>
    <row r="454" hidden="1" ht="15.75" customHeight="1" s="93">
      <c r="A454" s="23" t="inlineStr">
        <is>
          <t>5.0208.0544806.0</t>
        </is>
      </c>
      <c r="B454" s="23" t="inlineStr">
        <is>
          <t>544806</t>
        </is>
      </c>
      <c r="C454" s="29">
        <f>IFERROR(LOWER(SUBSTITUTE(SUBSTITUTE(SUBSTITUTE(SUBSTITUTE(D454," ","-"),"/","-"),".",""),",","")),"")</f>
        <v/>
      </c>
      <c r="D454" s="23" t="inlineStr">
        <is>
          <t>BOMBA HIDRÁULICA - APLICAÇÃO 16 B.C3.B.L</t>
        </is>
      </c>
      <c r="E454" s="23" t="inlineStr">
        <is>
          <t>Bombas Hidráulicas</t>
        </is>
      </c>
      <c r="F454" s="23" t="inlineStr">
        <is>
          <t>SOHIPREN</t>
        </is>
      </c>
      <c r="G454" s="23" t="n"/>
      <c r="H454" s="23" t="inlineStr">
        <is>
          <t>draft</t>
        </is>
      </c>
      <c r="I454" s="23" t="inlineStr">
        <is>
          <t>FIAT ALLIS / FIATAGRI</t>
        </is>
      </c>
      <c r="J454" s="23" t="inlineStr">
        <is>
          <t>TRATOR</t>
        </is>
      </c>
      <c r="K454" s="23" t="inlineStr">
        <is>
          <t>CONTROLE REMOTO</t>
        </is>
      </c>
      <c r="L454" s="23" t="n"/>
      <c r="M454" s="31" t="n"/>
      <c r="N454" s="31" t="n"/>
      <c r="O454" s="31" t="n"/>
      <c r="P454" s="31" t="n"/>
      <c r="Q454" s="31" t="n"/>
      <c r="R454" s="34">
        <f>IFERROR(IF(AND(O454&gt;0,P454&gt;0,Q454&gt;0),(O454*P454*Q454)/6000,""),"")</f>
        <v/>
      </c>
      <c r="S454" s="34">
        <f>IFERROR(IF(AND(N454&gt;0,R454&gt;0),MAX(N454,R454),IF(N454&gt;0,N454,IF(R454&gt;0,R454,""))),"")</f>
        <v/>
      </c>
      <c r="T454" s="36" t="n"/>
      <c r="U454" s="38" t="inlineStr">
        <is>
          <t>FALTA</t>
        </is>
      </c>
      <c r="V454" s="36" t="n">
        <v>605</v>
      </c>
      <c r="W454" s="39" t="n">
        <v>0.3</v>
      </c>
      <c r="X454" s="41">
        <f>IFERROR(V454+T454,"")</f>
        <v/>
      </c>
      <c r="Y454" s="41">
        <f>IFERROR(IF(W454&lt;1,X454/(1-W454),""),"")</f>
        <v/>
      </c>
      <c r="Z454" s="43">
        <f>'01_CONFIG_GLOBAL'!$C$14</f>
        <v/>
      </c>
      <c r="AA454" s="41">
        <f>IFERROR(Y454*Z454,"")</f>
        <v/>
      </c>
      <c r="AB454" s="41">
        <f>IFERROR(IF(Z454&lt;1,Y454/(1-Z454),""),"")</f>
        <v/>
      </c>
      <c r="AC454" s="23" t="n"/>
      <c r="AD454" s="36" t="n"/>
      <c r="AE454" s="23" t="n"/>
      <c r="AF454" s="36" t="n"/>
      <c r="AG454" s="23" t="n"/>
      <c r="AH454" s="36" t="n"/>
      <c r="AI454" s="41">
        <f>IFERROR(AVERAGE(AD454,AF454,AH454),"")</f>
        <v/>
      </c>
      <c r="AJ454" s="29">
        <f>IFERROR(IF(AI454="","sem dados",IF(AB454&lt;AI454*0.95,"abaixo",IF(AB454&gt;AI454*1.05,"acima","em linha"))),"")</f>
        <v/>
      </c>
      <c r="AK454" s="23" t="inlineStr">
        <is>
          <t>não</t>
        </is>
      </c>
      <c r="AL454" s="23" t="n"/>
      <c r="AM454" s="23" t="n"/>
      <c r="AN454" s="23" t="n"/>
      <c r="AO454" s="44">
        <f>A454</f>
        <v/>
      </c>
      <c r="AP454" s="44">
        <f>D454</f>
        <v/>
      </c>
    </row>
    <row r="455" hidden="1" ht="15.75" customHeight="1" s="93">
      <c r="A455" s="23" t="inlineStr">
        <is>
          <t>5.0208.0544804.0</t>
        </is>
      </c>
      <c r="B455" s="23" t="inlineStr">
        <is>
          <t>544804</t>
        </is>
      </c>
      <c r="C455" s="29">
        <f>IFERROR(LOWER(SUBSTITUTE(SUBSTITUTE(SUBSTITUTE(SUBSTITUTE(D455," ","-"),"/","-"),".",""),",","")),"")</f>
        <v/>
      </c>
      <c r="D455" s="23" t="inlineStr">
        <is>
          <t>BOMBA HIDRÁULICA - APLICAÇÃO 16 B.C1.B.L</t>
        </is>
      </c>
      <c r="E455" s="23" t="inlineStr">
        <is>
          <t>Bombas Hidráulicas</t>
        </is>
      </c>
      <c r="F455" s="23" t="inlineStr">
        <is>
          <t>SOHIPREN</t>
        </is>
      </c>
      <c r="G455" s="23" t="n"/>
      <c r="H455" s="23" t="inlineStr">
        <is>
          <t>draft</t>
        </is>
      </c>
      <c r="I455" s="23" t="inlineStr">
        <is>
          <t>FIAT ALLIS / FIATAGRI</t>
        </is>
      </c>
      <c r="J455" s="23" t="inlineStr">
        <is>
          <t>TRATOR</t>
        </is>
      </c>
      <c r="K455" s="23" t="inlineStr">
        <is>
          <t>CONTROLE REMOTO</t>
        </is>
      </c>
      <c r="L455" s="23" t="n"/>
      <c r="M455" s="31" t="n"/>
      <c r="N455" s="31" t="n"/>
      <c r="O455" s="31" t="n"/>
      <c r="P455" s="31" t="n"/>
      <c r="Q455" s="31" t="n"/>
      <c r="R455" s="34">
        <f>IFERROR(IF(AND(O455&gt;0,P455&gt;0,Q455&gt;0),(O455*P455*Q455)/6000,""),"")</f>
        <v/>
      </c>
      <c r="S455" s="34">
        <f>IFERROR(IF(AND(N455&gt;0,R455&gt;0),MAX(N455,R455),IF(N455&gt;0,N455,IF(R455&gt;0,R455,""))),"")</f>
        <v/>
      </c>
      <c r="T455" s="36" t="n"/>
      <c r="U455" s="38" t="inlineStr">
        <is>
          <t>FALTA</t>
        </is>
      </c>
      <c r="V455" s="36" t="n">
        <v>605</v>
      </c>
      <c r="W455" s="39" t="n">
        <v>0.3</v>
      </c>
      <c r="X455" s="41">
        <f>IFERROR(V455+T455,"")</f>
        <v/>
      </c>
      <c r="Y455" s="41">
        <f>IFERROR(IF(W455&lt;1,X455/(1-W455),""),"")</f>
        <v/>
      </c>
      <c r="Z455" s="43">
        <f>'01_CONFIG_GLOBAL'!$C$14</f>
        <v/>
      </c>
      <c r="AA455" s="41">
        <f>IFERROR(Y455*Z455,"")</f>
        <v/>
      </c>
      <c r="AB455" s="41">
        <f>IFERROR(IF(Z455&lt;1,Y455/(1-Z455),""),"")</f>
        <v/>
      </c>
      <c r="AC455" s="23" t="n"/>
      <c r="AD455" s="36" t="n"/>
      <c r="AE455" s="23" t="n"/>
      <c r="AF455" s="36" t="n"/>
      <c r="AG455" s="23" t="n"/>
      <c r="AH455" s="36" t="n"/>
      <c r="AI455" s="41">
        <f>IFERROR(AVERAGE(AD455,AF455,AH455),"")</f>
        <v/>
      </c>
      <c r="AJ455" s="29">
        <f>IFERROR(IF(AI455="","sem dados",IF(AB455&lt;AI455*0.95,"abaixo",IF(AB455&gt;AI455*1.05,"acima","em linha"))),"")</f>
        <v/>
      </c>
      <c r="AK455" s="23" t="inlineStr">
        <is>
          <t>não</t>
        </is>
      </c>
      <c r="AL455" s="23" t="n"/>
      <c r="AM455" s="23" t="n"/>
      <c r="AN455" s="23" t="n"/>
      <c r="AO455" s="44">
        <f>A455</f>
        <v/>
      </c>
      <c r="AP455" s="44">
        <f>D455</f>
        <v/>
      </c>
    </row>
    <row r="456" hidden="1" ht="15.75" customHeight="1" s="93">
      <c r="A456" s="23" t="inlineStr">
        <is>
          <t>5.0208.0544938.0</t>
        </is>
      </c>
      <c r="B456" s="23" t="inlineStr">
        <is>
          <t>544938</t>
        </is>
      </c>
      <c r="C456" s="29">
        <f>IFERROR(LOWER(SUBSTITUTE(SUBSTITUTE(SUBSTITUTE(SUBSTITUTE(D456," ","-"),"/","-"),".",""),",","")),"")</f>
        <v/>
      </c>
      <c r="D456" s="23" t="inlineStr">
        <is>
          <t>BOD 16 E.C.C1.L</t>
        </is>
      </c>
      <c r="E456" s="23" t="inlineStr">
        <is>
          <t>Bombas Hidráulicas</t>
        </is>
      </c>
      <c r="F456" s="23" t="inlineStr">
        <is>
          <t>SOHIPREN</t>
        </is>
      </c>
      <c r="G456" s="23" t="n"/>
      <c r="H456" s="23" t="inlineStr">
        <is>
          <t>draft</t>
        </is>
      </c>
      <c r="I456" s="23" t="inlineStr">
        <is>
          <t>FIAT ALLIS / FIATAGRI</t>
        </is>
      </c>
      <c r="J456" s="23" t="inlineStr">
        <is>
          <t>ESCAVADEIRA</t>
        </is>
      </c>
      <c r="K456" s="23" t="inlineStr">
        <is>
          <t>DIREÇÃO</t>
        </is>
      </c>
      <c r="L456" s="23" t="inlineStr">
        <is>
          <t>71402257</t>
        </is>
      </c>
      <c r="M456" s="31" t="n"/>
      <c r="N456" s="31" t="n"/>
      <c r="O456" s="31" t="n"/>
      <c r="P456" s="31" t="n"/>
      <c r="Q456" s="31" t="n"/>
      <c r="R456" s="34">
        <f>IFERROR(IF(AND(O456&gt;0,P456&gt;0,Q456&gt;0),(O456*P456*Q456)/6000,""),"")</f>
        <v/>
      </c>
      <c r="S456" s="34">
        <f>IFERROR(IF(AND(N456&gt;0,R456&gt;0),MAX(N456,R456),IF(N456&gt;0,N456,IF(R456&gt;0,R456,""))),"")</f>
        <v/>
      </c>
      <c r="T456" s="36" t="n"/>
      <c r="U456" s="38" t="inlineStr">
        <is>
          <t>FALTA</t>
        </is>
      </c>
      <c r="V456" s="36" t="n">
        <v>665</v>
      </c>
      <c r="W456" s="39" t="n">
        <v>0.3</v>
      </c>
      <c r="X456" s="41">
        <f>IFERROR(V456+T456,"")</f>
        <v/>
      </c>
      <c r="Y456" s="41">
        <f>IFERROR(IF(W456&lt;1,X456/(1-W456),""),"")</f>
        <v/>
      </c>
      <c r="Z456" s="43">
        <f>'01_CONFIG_GLOBAL'!$C$14</f>
        <v/>
      </c>
      <c r="AA456" s="41">
        <f>IFERROR(Y456*Z456,"")</f>
        <v/>
      </c>
      <c r="AB456" s="41">
        <f>IFERROR(IF(Z456&lt;1,Y456/(1-Z456),""),"")</f>
        <v/>
      </c>
      <c r="AC456" s="23" t="n"/>
      <c r="AD456" s="36" t="n"/>
      <c r="AE456" s="23" t="n"/>
      <c r="AF456" s="36" t="n"/>
      <c r="AG456" s="23" t="n"/>
      <c r="AH456" s="36" t="n"/>
      <c r="AI456" s="41">
        <f>IFERROR(AVERAGE(AD456,AF456,AH456),"")</f>
        <v/>
      </c>
      <c r="AJ456" s="29">
        <f>IFERROR(IF(AI456="","sem dados",IF(AB456&lt;AI456*0.95,"abaixo",IF(AB456&gt;AI456*1.05,"acima","em linha"))),"")</f>
        <v/>
      </c>
      <c r="AK456" s="23" t="inlineStr">
        <is>
          <t>não</t>
        </is>
      </c>
      <c r="AL456" s="23" t="n"/>
      <c r="AM456" s="23" t="n"/>
      <c r="AN456" s="23" t="n"/>
      <c r="AO456" s="44">
        <f>A456</f>
        <v/>
      </c>
      <c r="AP456" s="44">
        <f>D456</f>
        <v/>
      </c>
    </row>
    <row r="457" hidden="1" ht="15.75" customHeight="1" s="93">
      <c r="A457" s="23" t="inlineStr">
        <is>
          <t>5.0209.0545615.0</t>
        </is>
      </c>
      <c r="B457" s="23" t="inlineStr">
        <is>
          <t>545615</t>
        </is>
      </c>
      <c r="C457" s="29">
        <f>IFERROR(LOWER(SUBSTITUTE(SUBSTITUTE(SUBSTITUTE(SUBSTITUTE(D457," ","-"),"/","-"),".",""),",","")),"")</f>
        <v/>
      </c>
      <c r="D457" s="23" t="inlineStr">
        <is>
          <t>BOMBA HIDRÁULICA - APLICAÇÃO 19 B.C1.B1.C3  16-100 BAR</t>
        </is>
      </c>
      <c r="E457" s="23" t="inlineStr">
        <is>
          <t>Bombas Hidráulicas</t>
        </is>
      </c>
      <c r="F457" s="23" t="inlineStr">
        <is>
          <t>SOHIPREN</t>
        </is>
      </c>
      <c r="G457" s="23" t="n"/>
      <c r="H457" s="23" t="inlineStr">
        <is>
          <t>draft</t>
        </is>
      </c>
      <c r="I457" s="23" t="inlineStr">
        <is>
          <t>FIAT ALLIS / FIATAGRI</t>
        </is>
      </c>
      <c r="J457" s="23" t="inlineStr">
        <is>
          <t>TRATOR</t>
        </is>
      </c>
      <c r="K457" s="23" t="inlineStr">
        <is>
          <t>DIREÇÃO</t>
        </is>
      </c>
      <c r="L457" s="23" t="n"/>
      <c r="M457" s="31" t="n"/>
      <c r="N457" s="31" t="n"/>
      <c r="O457" s="31" t="n"/>
      <c r="P457" s="31" t="n"/>
      <c r="Q457" s="31" t="n"/>
      <c r="R457" s="34">
        <f>IFERROR(IF(AND(O457&gt;0,P457&gt;0,Q457&gt;0),(O457*P457*Q457)/6000,""),"")</f>
        <v/>
      </c>
      <c r="S457" s="34">
        <f>IFERROR(IF(AND(N457&gt;0,R457&gt;0),MAX(N457,R457),IF(N457&gt;0,N457,IF(R457&gt;0,R457,""))),"")</f>
        <v/>
      </c>
      <c r="T457" s="36" t="n"/>
      <c r="U457" s="38" t="inlineStr">
        <is>
          <t>FALTA</t>
        </is>
      </c>
      <c r="V457" s="36" t="n">
        <v>517</v>
      </c>
      <c r="W457" s="39" t="n">
        <v>0.3</v>
      </c>
      <c r="X457" s="41">
        <f>IFERROR(V457+T457,"")</f>
        <v/>
      </c>
      <c r="Y457" s="41">
        <f>IFERROR(IF(W457&lt;1,X457/(1-W457),""),"")</f>
        <v/>
      </c>
      <c r="Z457" s="43">
        <f>'01_CONFIG_GLOBAL'!$C$14</f>
        <v/>
      </c>
      <c r="AA457" s="41">
        <f>IFERROR(Y457*Z457,"")</f>
        <v/>
      </c>
      <c r="AB457" s="41">
        <f>IFERROR(IF(Z457&lt;1,Y457/(1-Z457),""),"")</f>
        <v/>
      </c>
      <c r="AC457" s="23" t="n"/>
      <c r="AD457" s="36" t="n"/>
      <c r="AE457" s="23" t="n"/>
      <c r="AF457" s="36" t="n"/>
      <c r="AG457" s="23" t="n"/>
      <c r="AH457" s="36" t="n"/>
      <c r="AI457" s="41">
        <f>IFERROR(AVERAGE(AD457,AF457,AH457),"")</f>
        <v/>
      </c>
      <c r="AJ457" s="29">
        <f>IFERROR(IF(AI457="","sem dados",IF(AB457&lt;AI457*0.95,"abaixo",IF(AB457&gt;AI457*1.05,"acima","em linha"))),"")</f>
        <v/>
      </c>
      <c r="AK457" s="23" t="inlineStr">
        <is>
          <t>não</t>
        </is>
      </c>
      <c r="AL457" s="23" t="n"/>
      <c r="AM457" s="23" t="n"/>
      <c r="AN457" s="23" t="n"/>
      <c r="AO457" s="44">
        <f>A457</f>
        <v/>
      </c>
      <c r="AP457" s="44">
        <f>D457</f>
        <v/>
      </c>
    </row>
    <row r="458" hidden="1" ht="15.75" customHeight="1" s="93">
      <c r="A458" s="23" t="inlineStr">
        <is>
          <t>5.0209.0545602.0</t>
        </is>
      </c>
      <c r="B458" s="23" t="inlineStr">
        <is>
          <t>545602</t>
        </is>
      </c>
      <c r="C458" s="29">
        <f>IFERROR(LOWER(SUBSTITUTE(SUBSTITUTE(SUBSTITUTE(SUBSTITUTE(D458," ","-"),"/","-"),".",""),",","")),"")</f>
        <v/>
      </c>
      <c r="D458" s="23" t="inlineStr">
        <is>
          <t>BOD 19 B.C1.B.L</t>
        </is>
      </c>
      <c r="E458" s="23" t="inlineStr">
        <is>
          <t>Bombas Hidráulicas</t>
        </is>
      </c>
      <c r="F458" s="23" t="inlineStr">
        <is>
          <t>SOHIPREN</t>
        </is>
      </c>
      <c r="G458" s="23" t="n"/>
      <c r="H458" s="23" t="inlineStr">
        <is>
          <t>draft</t>
        </is>
      </c>
      <c r="I458" s="23" t="inlineStr">
        <is>
          <t>FIAT ALLIS / FIATAGRI</t>
        </is>
      </c>
      <c r="J458" s="23" t="inlineStr">
        <is>
          <t>TRATOR</t>
        </is>
      </c>
      <c r="K458" s="23" t="inlineStr">
        <is>
          <t>CONTROLE REMOTO</t>
        </is>
      </c>
      <c r="L458" s="23" t="n"/>
      <c r="M458" s="31" t="n"/>
      <c r="N458" s="31" t="n"/>
      <c r="O458" s="31" t="n"/>
      <c r="P458" s="31" t="n"/>
      <c r="Q458" s="31" t="n"/>
      <c r="R458" s="34">
        <f>IFERROR(IF(AND(O458&gt;0,P458&gt;0,Q458&gt;0),(O458*P458*Q458)/6000,""),"")</f>
        <v/>
      </c>
      <c r="S458" s="34">
        <f>IFERROR(IF(AND(N458&gt;0,R458&gt;0),MAX(N458,R458),IF(N458&gt;0,N458,IF(R458&gt;0,R458,""))),"")</f>
        <v/>
      </c>
      <c r="T458" s="36" t="n"/>
      <c r="U458" s="38" t="inlineStr">
        <is>
          <t>FALTA</t>
        </is>
      </c>
      <c r="V458" s="36" t="n">
        <v>550</v>
      </c>
      <c r="W458" s="39" t="n">
        <v>0.3</v>
      </c>
      <c r="X458" s="41">
        <f>IFERROR(V458+T458,"")</f>
        <v/>
      </c>
      <c r="Y458" s="41">
        <f>IFERROR(IF(W458&lt;1,X458/(1-W458),""),"")</f>
        <v/>
      </c>
      <c r="Z458" s="43">
        <f>'01_CONFIG_GLOBAL'!$C$14</f>
        <v/>
      </c>
      <c r="AA458" s="41">
        <f>IFERROR(Y458*Z458,"")</f>
        <v/>
      </c>
      <c r="AB458" s="41">
        <f>IFERROR(IF(Z458&lt;1,Y458/(1-Z458),""),"")</f>
        <v/>
      </c>
      <c r="AC458" s="23" t="n"/>
      <c r="AD458" s="36" t="n"/>
      <c r="AE458" s="23" t="n"/>
      <c r="AF458" s="36" t="n"/>
      <c r="AG458" s="23" t="n"/>
      <c r="AH458" s="36" t="n"/>
      <c r="AI458" s="41">
        <f>IFERROR(AVERAGE(AD458,AF458,AH458),"")</f>
        <v/>
      </c>
      <c r="AJ458" s="29">
        <f>IFERROR(IF(AI458="","sem dados",IF(AB458&lt;AI458*0.95,"abaixo",IF(AB458&gt;AI458*1.05,"acima","em linha"))),"")</f>
        <v/>
      </c>
      <c r="AK458" s="23" t="inlineStr">
        <is>
          <t>não</t>
        </is>
      </c>
      <c r="AL458" s="23" t="n"/>
      <c r="AM458" s="23" t="n"/>
      <c r="AN458" s="23" t="n"/>
      <c r="AO458" s="44">
        <f>A458</f>
        <v/>
      </c>
      <c r="AP458" s="44">
        <f>D458</f>
        <v/>
      </c>
    </row>
    <row r="459" hidden="1" ht="15.75" customHeight="1" s="93">
      <c r="A459" s="23" t="inlineStr">
        <is>
          <t>5.0209.0545613.0</t>
        </is>
      </c>
      <c r="B459" s="23" t="inlineStr">
        <is>
          <t>545613</t>
        </is>
      </c>
      <c r="C459" s="29">
        <f>IFERROR(LOWER(SUBSTITUTE(SUBSTITUTE(SUBSTITUTE(SUBSTITUTE(D459," ","-"),"/","-"),".",""),",","")),"")</f>
        <v/>
      </c>
      <c r="D459" s="23" t="inlineStr">
        <is>
          <t>BOMBA HIDRÁULICA - APLICAÇÃO 19 B15.B.B.L</t>
        </is>
      </c>
      <c r="E459" s="23" t="inlineStr">
        <is>
          <t>Bombas Hidráulicas</t>
        </is>
      </c>
      <c r="F459" s="23" t="inlineStr">
        <is>
          <t>SOHIPREN</t>
        </is>
      </c>
      <c r="G459" s="23" t="n"/>
      <c r="H459" s="23" t="inlineStr">
        <is>
          <t>draft</t>
        </is>
      </c>
      <c r="I459" s="23" t="inlineStr">
        <is>
          <t>FIAT ALLIS / FIATAGRI</t>
        </is>
      </c>
      <c r="J459" s="23" t="inlineStr">
        <is>
          <t>TRATOR ESTEIRAS</t>
        </is>
      </c>
      <c r="K459" s="23" t="inlineStr">
        <is>
          <t>DIREÇÃO</t>
        </is>
      </c>
      <c r="L459" s="23" t="inlineStr">
        <is>
          <t>8273957 / 9510080622 / 3329110296</t>
        </is>
      </c>
      <c r="M459" s="31" t="n"/>
      <c r="N459" s="31" t="n"/>
      <c r="O459" s="31" t="n"/>
      <c r="P459" s="31" t="n"/>
      <c r="Q459" s="31" t="n"/>
      <c r="R459" s="34">
        <f>IFERROR(IF(AND(O459&gt;0,P459&gt;0,Q459&gt;0),(O459*P459*Q459)/6000,""),"")</f>
        <v/>
      </c>
      <c r="S459" s="34">
        <f>IFERROR(IF(AND(N459&gt;0,R459&gt;0),MAX(N459,R459),IF(N459&gt;0,N459,IF(R459&gt;0,R459,""))),"")</f>
        <v/>
      </c>
      <c r="T459" s="36" t="n"/>
      <c r="U459" s="38" t="inlineStr">
        <is>
          <t>FALTA</t>
        </is>
      </c>
      <c r="V459" s="36" t="n">
        <v>605</v>
      </c>
      <c r="W459" s="39" t="n">
        <v>0.3</v>
      </c>
      <c r="X459" s="41">
        <f>IFERROR(V459+T459,"")</f>
        <v/>
      </c>
      <c r="Y459" s="41">
        <f>IFERROR(IF(W459&lt;1,X459/(1-W459),""),"")</f>
        <v/>
      </c>
      <c r="Z459" s="43">
        <f>'01_CONFIG_GLOBAL'!$C$14</f>
        <v/>
      </c>
      <c r="AA459" s="41">
        <f>IFERROR(Y459*Z459,"")</f>
        <v/>
      </c>
      <c r="AB459" s="41">
        <f>IFERROR(IF(Z459&lt;1,Y459/(1-Z459),""),"")</f>
        <v/>
      </c>
      <c r="AC459" s="23" t="n"/>
      <c r="AD459" s="36" t="n"/>
      <c r="AE459" s="23" t="n"/>
      <c r="AF459" s="36" t="n"/>
      <c r="AG459" s="23" t="n"/>
      <c r="AH459" s="36" t="n"/>
      <c r="AI459" s="41">
        <f>IFERROR(AVERAGE(AD459,AF459,AH459),"")</f>
        <v/>
      </c>
      <c r="AJ459" s="29">
        <f>IFERROR(IF(AI459="","sem dados",IF(AB459&lt;AI459*0.95,"abaixo",IF(AB459&gt;AI459*1.05,"acima","em linha"))),"")</f>
        <v/>
      </c>
      <c r="AK459" s="23" t="inlineStr">
        <is>
          <t>não</t>
        </is>
      </c>
      <c r="AL459" s="23" t="n"/>
      <c r="AM459" s="23" t="n"/>
      <c r="AN459" s="23" t="n"/>
      <c r="AO459" s="44">
        <f>A459</f>
        <v/>
      </c>
      <c r="AP459" s="44">
        <f>D459</f>
        <v/>
      </c>
    </row>
    <row r="460" hidden="1" ht="15.75" customHeight="1" s="93">
      <c r="A460" s="23" t="inlineStr">
        <is>
          <t>5.0208.0544887.0</t>
        </is>
      </c>
      <c r="B460" s="23" t="inlineStr">
        <is>
          <t>544887</t>
        </is>
      </c>
      <c r="C460" s="29">
        <f>IFERROR(LOWER(SUBSTITUTE(SUBSTITUTE(SUBSTITUTE(SUBSTITUTE(D460," ","-"),"/","-"),".",""),",","")),"")</f>
        <v/>
      </c>
      <c r="D460" s="23" t="inlineStr">
        <is>
          <t>BOMBA HIDRÁULICA - APLICAÇÃO 16 B15.B14.B2.L</t>
        </is>
      </c>
      <c r="E460" s="23" t="inlineStr">
        <is>
          <t>Bombas Hidráulicas</t>
        </is>
      </c>
      <c r="F460" s="23" t="inlineStr">
        <is>
          <t>SOHIPREN</t>
        </is>
      </c>
      <c r="G460" s="23" t="n"/>
      <c r="H460" s="23" t="inlineStr">
        <is>
          <t>draft</t>
        </is>
      </c>
      <c r="I460" s="23" t="inlineStr">
        <is>
          <t>FIAT ALLIS / FIATAGRI</t>
        </is>
      </c>
      <c r="J460" s="23" t="inlineStr">
        <is>
          <t>TRATOR</t>
        </is>
      </c>
      <c r="K460" s="23" t="inlineStr">
        <is>
          <t>PRINCIPAL</t>
        </is>
      </c>
      <c r="L460" s="23" t="n"/>
      <c r="M460" s="31" t="n"/>
      <c r="N460" s="31" t="n"/>
      <c r="O460" s="31" t="n"/>
      <c r="P460" s="31" t="n"/>
      <c r="Q460" s="31" t="n"/>
      <c r="R460" s="34">
        <f>IFERROR(IF(AND(O460&gt;0,P460&gt;0,Q460&gt;0),(O460*P460*Q460)/6000,""),"")</f>
        <v/>
      </c>
      <c r="S460" s="34">
        <f>IFERROR(IF(AND(N460&gt;0,R460&gt;0),MAX(N460,R460),IF(N460&gt;0,N460,IF(R460&gt;0,R460,""))),"")</f>
        <v/>
      </c>
      <c r="T460" s="36" t="n"/>
      <c r="U460" s="38" t="inlineStr">
        <is>
          <t>FALTA</t>
        </is>
      </c>
      <c r="V460" s="36" t="n">
        <v>581</v>
      </c>
      <c r="W460" s="39" t="n">
        <v>0.3</v>
      </c>
      <c r="X460" s="41">
        <f>IFERROR(V460+T460,"")</f>
        <v/>
      </c>
      <c r="Y460" s="41">
        <f>IFERROR(IF(W460&lt;1,X460/(1-W460),""),"")</f>
        <v/>
      </c>
      <c r="Z460" s="43">
        <f>'01_CONFIG_GLOBAL'!$C$14</f>
        <v/>
      </c>
      <c r="AA460" s="41">
        <f>IFERROR(Y460*Z460,"")</f>
        <v/>
      </c>
      <c r="AB460" s="41">
        <f>IFERROR(IF(Z460&lt;1,Y460/(1-Z460),""),"")</f>
        <v/>
      </c>
      <c r="AC460" s="23" t="n"/>
      <c r="AD460" s="36" t="n"/>
      <c r="AE460" s="23" t="n"/>
      <c r="AF460" s="36" t="n"/>
      <c r="AG460" s="23" t="n"/>
      <c r="AH460" s="36" t="n"/>
      <c r="AI460" s="41">
        <f>IFERROR(AVERAGE(AD460,AF460,AH460),"")</f>
        <v/>
      </c>
      <c r="AJ460" s="29">
        <f>IFERROR(IF(AI460="","sem dados",IF(AB460&lt;AI460*0.95,"abaixo",IF(AB460&gt;AI460*1.05,"acima","em linha"))),"")</f>
        <v/>
      </c>
      <c r="AK460" s="23" t="inlineStr">
        <is>
          <t>não</t>
        </is>
      </c>
      <c r="AL460" s="23" t="n"/>
      <c r="AM460" s="23" t="n"/>
      <c r="AN460" s="23" t="n"/>
      <c r="AO460" s="44">
        <f>A460</f>
        <v/>
      </c>
      <c r="AP460" s="44">
        <f>D460</f>
        <v/>
      </c>
    </row>
    <row r="461" hidden="1" ht="15.75" customHeight="1" s="93">
      <c r="A461" s="23" t="inlineStr">
        <is>
          <t>5.0208.0544920.0</t>
        </is>
      </c>
      <c r="B461" s="23" t="inlineStr">
        <is>
          <t>544920</t>
        </is>
      </c>
      <c r="C461" s="29">
        <f>IFERROR(LOWER(SUBSTITUTE(SUBSTITUTE(SUBSTITUTE(SUBSTITUTE(D461," ","-"),"/","-"),".",""),",","")),"")</f>
        <v/>
      </c>
      <c r="D461" s="23" t="inlineStr">
        <is>
          <t>BOMBA HIDRÁULICA - APLICAÇÃO 16 B.B10.A1.C9  10-70 BAR</t>
        </is>
      </c>
      <c r="E461" s="23" t="inlineStr">
        <is>
          <t>Bombas Hidráulicas</t>
        </is>
      </c>
      <c r="F461" s="23" t="inlineStr">
        <is>
          <t>SOHIPREN</t>
        </is>
      </c>
      <c r="G461" s="23" t="n"/>
      <c r="H461" s="23" t="inlineStr">
        <is>
          <t>draft</t>
        </is>
      </c>
      <c r="I461" s="23" t="inlineStr">
        <is>
          <t>FIAT ALLIS / FIATAGRI</t>
        </is>
      </c>
      <c r="J461" s="23" t="inlineStr">
        <is>
          <t>TRATOR</t>
        </is>
      </c>
      <c r="K461" s="23" t="n"/>
      <c r="L461" s="23" t="n"/>
      <c r="M461" s="31" t="n"/>
      <c r="N461" s="31" t="n"/>
      <c r="O461" s="31" t="n"/>
      <c r="P461" s="31" t="n"/>
      <c r="Q461" s="31" t="n"/>
      <c r="R461" s="34">
        <f>IFERROR(IF(AND(O461&gt;0,P461&gt;0,Q461&gt;0),(O461*P461*Q461)/6000,""),"")</f>
        <v/>
      </c>
      <c r="S461" s="34">
        <f>IFERROR(IF(AND(N461&gt;0,R461&gt;0),MAX(N461,R461),IF(N461&gt;0,N461,IF(R461&gt;0,R461,""))),"")</f>
        <v/>
      </c>
      <c r="T461" s="36" t="n"/>
      <c r="U461" s="38" t="inlineStr">
        <is>
          <t>FALTA</t>
        </is>
      </c>
      <c r="V461" s="36" t="n">
        <v>382.13</v>
      </c>
      <c r="W461" s="39" t="n">
        <v>0.3</v>
      </c>
      <c r="X461" s="41">
        <f>IFERROR(V461+T461,"")</f>
        <v/>
      </c>
      <c r="Y461" s="41">
        <f>IFERROR(IF(W461&lt;1,X461/(1-W461),""),"")</f>
        <v/>
      </c>
      <c r="Z461" s="43">
        <f>'01_CONFIG_GLOBAL'!$C$14</f>
        <v/>
      </c>
      <c r="AA461" s="41">
        <f>IFERROR(Y461*Z461,"")</f>
        <v/>
      </c>
      <c r="AB461" s="41">
        <f>IFERROR(IF(Z461&lt;1,Y461/(1-Z461),""),"")</f>
        <v/>
      </c>
      <c r="AC461" s="23" t="n"/>
      <c r="AD461" s="36" t="n"/>
      <c r="AE461" s="23" t="n"/>
      <c r="AF461" s="36" t="n"/>
      <c r="AG461" s="23" t="n"/>
      <c r="AH461" s="36" t="n"/>
      <c r="AI461" s="41">
        <f>IFERROR(AVERAGE(AD461,AF461,AH461),"")</f>
        <v/>
      </c>
      <c r="AJ461" s="29">
        <f>IFERROR(IF(AI461="","sem dados",IF(AB461&lt;AI461*0.95,"abaixo",IF(AB461&gt;AI461*1.05,"acima","em linha"))),"")</f>
        <v/>
      </c>
      <c r="AK461" s="23" t="inlineStr">
        <is>
          <t>não</t>
        </is>
      </c>
      <c r="AL461" s="23" t="n"/>
      <c r="AM461" s="23" t="n"/>
      <c r="AN461" s="23" t="n"/>
      <c r="AO461" s="44">
        <f>A461</f>
        <v/>
      </c>
      <c r="AP461" s="44">
        <f>D461</f>
        <v/>
      </c>
    </row>
    <row r="462" hidden="1" ht="15.75" customHeight="1" s="93">
      <c r="A462" s="23" t="inlineStr">
        <is>
          <t>5.0208.0544915.0</t>
        </is>
      </c>
      <c r="B462" s="23" t="inlineStr">
        <is>
          <t>544915</t>
        </is>
      </c>
      <c r="C462" s="29">
        <f>IFERROR(LOWER(SUBSTITUTE(SUBSTITUTE(SUBSTITUTE(SUBSTITUTE(D462," ","-"),"/","-"),".",""),",","")),"")</f>
        <v/>
      </c>
      <c r="D462" s="23" t="inlineStr">
        <is>
          <t>BOD 16 B.B.B1.C9  12-100 BAR</t>
        </is>
      </c>
      <c r="E462" s="23" t="inlineStr">
        <is>
          <t>Bombas Hidráulicas</t>
        </is>
      </c>
      <c r="F462" s="23" t="inlineStr">
        <is>
          <t>SOHIPREN</t>
        </is>
      </c>
      <c r="G462" s="23" t="n"/>
      <c r="H462" s="23" t="inlineStr">
        <is>
          <t>draft</t>
        </is>
      </c>
      <c r="I462" s="23" t="inlineStr">
        <is>
          <t>FIAT ALLIS / FIATAGRI</t>
        </is>
      </c>
      <c r="J462" s="23" t="inlineStr">
        <is>
          <t>TRATOR</t>
        </is>
      </c>
      <c r="K462" s="23" t="inlineStr">
        <is>
          <t>PRINCIPAL</t>
        </is>
      </c>
      <c r="L462" s="23" t="n"/>
      <c r="M462" s="31" t="n"/>
      <c r="N462" s="31" t="n"/>
      <c r="O462" s="31" t="n"/>
      <c r="P462" s="31" t="n"/>
      <c r="Q462" s="31" t="n"/>
      <c r="R462" s="34">
        <f>IFERROR(IF(AND(O462&gt;0,P462&gt;0,Q462&gt;0),(O462*P462*Q462)/6000,""),"")</f>
        <v/>
      </c>
      <c r="S462" s="34">
        <f>IFERROR(IF(AND(N462&gt;0,R462&gt;0),MAX(N462,R462),IF(N462&gt;0,N462,IF(R462&gt;0,R462,""))),"")</f>
        <v/>
      </c>
      <c r="T462" s="36" t="n"/>
      <c r="U462" s="38" t="inlineStr">
        <is>
          <t>FALTA</t>
        </is>
      </c>
      <c r="V462" s="36" t="n">
        <v>1349</v>
      </c>
      <c r="W462" s="39" t="n">
        <v>0.3</v>
      </c>
      <c r="X462" s="41">
        <f>IFERROR(V462+T462,"")</f>
        <v/>
      </c>
      <c r="Y462" s="41">
        <f>IFERROR(IF(W462&lt;1,X462/(1-W462),""),"")</f>
        <v/>
      </c>
      <c r="Z462" s="43">
        <f>'01_CONFIG_GLOBAL'!$C$14</f>
        <v/>
      </c>
      <c r="AA462" s="41">
        <f>IFERROR(Y462*Z462,"")</f>
        <v/>
      </c>
      <c r="AB462" s="41">
        <f>IFERROR(IF(Z462&lt;1,Y462/(1-Z462),""),"")</f>
        <v/>
      </c>
      <c r="AC462" s="23" t="n"/>
      <c r="AD462" s="36" t="n"/>
      <c r="AE462" s="23" t="n"/>
      <c r="AF462" s="36" t="n"/>
      <c r="AG462" s="23" t="n"/>
      <c r="AH462" s="36" t="n"/>
      <c r="AI462" s="41">
        <f>IFERROR(AVERAGE(AD462,AF462,AH462),"")</f>
        <v/>
      </c>
      <c r="AJ462" s="29">
        <f>IFERROR(IF(AI462="","sem dados",IF(AB462&lt;AI462*0.95,"abaixo",IF(AB462&gt;AI462*1.05,"acima","em linha"))),"")</f>
        <v/>
      </c>
      <c r="AK462" s="23" t="inlineStr">
        <is>
          <t>não</t>
        </is>
      </c>
      <c r="AL462" s="23" t="n"/>
      <c r="AM462" s="23" t="n"/>
      <c r="AN462" s="23" t="n"/>
      <c r="AO462" s="44">
        <f>A462</f>
        <v/>
      </c>
      <c r="AP462" s="44">
        <f>D462</f>
        <v/>
      </c>
    </row>
    <row r="463" hidden="1" ht="15.75" customHeight="1" s="93">
      <c r="A463" s="23" t="inlineStr">
        <is>
          <t>5.0504.0503085.0</t>
        </is>
      </c>
      <c r="B463" s="23" t="inlineStr">
        <is>
          <t>503085</t>
        </is>
      </c>
      <c r="C463" s="29">
        <f>IFERROR(LOWER(SUBSTITUTE(SUBSTITUTE(SUBSTITUTE(SUBSTITUTE(D463," ","-"),"/","-"),".",""),",","")),"")</f>
        <v/>
      </c>
      <c r="D463" s="23" t="inlineStr">
        <is>
          <t>MC1 40 201.1.21.74.61</t>
        </is>
      </c>
      <c r="E463" s="23" t="n"/>
      <c r="F463" s="23" t="inlineStr">
        <is>
          <t>SOHIPREN</t>
        </is>
      </c>
      <c r="G463" s="23" t="n"/>
      <c r="H463" s="23" t="inlineStr">
        <is>
          <t>draft</t>
        </is>
      </c>
      <c r="I463" s="23" t="inlineStr">
        <is>
          <t>FIAT ALLIS / FIATAGRI</t>
        </is>
      </c>
      <c r="J463" s="23" t="inlineStr">
        <is>
          <t>EMPILHADEIRA</t>
        </is>
      </c>
      <c r="K463" s="23" t="inlineStr">
        <is>
          <t>PRINCIPAL</t>
        </is>
      </c>
      <c r="L463" s="23" t="inlineStr">
        <is>
          <t>711248200</t>
        </is>
      </c>
      <c r="M463" s="31" t="n"/>
      <c r="N463" s="31" t="n"/>
      <c r="O463" s="31" t="n"/>
      <c r="P463" s="31" t="n"/>
      <c r="Q463" s="31" t="n"/>
      <c r="R463" s="34">
        <f>IFERROR(IF(AND(O463&gt;0,P463&gt;0,Q463&gt;0),(O463*P463*Q463)/6000,""),"")</f>
        <v/>
      </c>
      <c r="S463" s="34">
        <f>IFERROR(IF(AND(N463&gt;0,R463&gt;0),MAX(N463,R463),IF(N463&gt;0,N463,IF(R463&gt;0,R463,""))),"")</f>
        <v/>
      </c>
      <c r="T463" s="36" t="n"/>
      <c r="U463" s="38" t="inlineStr">
        <is>
          <t>FALTA</t>
        </is>
      </c>
      <c r="V463" s="36" t="n">
        <v>1150</v>
      </c>
      <c r="W463" s="39" t="n">
        <v>0.3</v>
      </c>
      <c r="X463" s="41">
        <f>IFERROR(V463+T463,"")</f>
        <v/>
      </c>
      <c r="Y463" s="41">
        <f>IFERROR(IF(W463&lt;1,X463/(1-W463),""),"")</f>
        <v/>
      </c>
      <c r="Z463" s="43">
        <f>'01_CONFIG_GLOBAL'!$C$14</f>
        <v/>
      </c>
      <c r="AA463" s="41">
        <f>IFERROR(Y463*Z463,"")</f>
        <v/>
      </c>
      <c r="AB463" s="41">
        <f>IFERROR(IF(Z463&lt;1,Y463/(1-Z463),""),"")</f>
        <v/>
      </c>
      <c r="AC463" s="23" t="n"/>
      <c r="AD463" s="36" t="n"/>
      <c r="AE463" s="23" t="n"/>
      <c r="AF463" s="36" t="n"/>
      <c r="AG463" s="23" t="n"/>
      <c r="AH463" s="36" t="n"/>
      <c r="AI463" s="41">
        <f>IFERROR(AVERAGE(AD463,AF463,AH463),"")</f>
        <v/>
      </c>
      <c r="AJ463" s="29">
        <f>IFERROR(IF(AI463="","sem dados",IF(AB463&lt;AI463*0.95,"abaixo",IF(AB463&gt;AI463*1.05,"acima","em linha"))),"")</f>
        <v/>
      </c>
      <c r="AK463" s="23" t="inlineStr">
        <is>
          <t>não</t>
        </is>
      </c>
      <c r="AL463" s="23" t="n"/>
      <c r="AM463" s="23" t="n"/>
      <c r="AN463" s="23" t="n"/>
      <c r="AO463" s="44">
        <f>A463</f>
        <v/>
      </c>
      <c r="AP463" s="44">
        <f>D463</f>
        <v/>
      </c>
    </row>
    <row r="464" hidden="1" ht="15.75" customHeight="1" s="93">
      <c r="A464" s="23" t="inlineStr">
        <is>
          <t>5.0220.L027063.0</t>
        </is>
      </c>
      <c r="B464" s="23" t="inlineStr">
        <is>
          <t>L027063</t>
        </is>
      </c>
      <c r="C464" s="29">
        <f>IFERROR(LOWER(SUBSTITUTE(SUBSTITUTE(SUBSTITUTE(SUBSTITUTE(D464," ","-"),"/","-"),".",""),",","")),"")</f>
        <v/>
      </c>
      <c r="D464" s="23" t="inlineStr">
        <is>
          <t>BOD 19 B1.P1.C158/19.A112.L</t>
        </is>
      </c>
      <c r="E464" s="23" t="inlineStr">
        <is>
          <t>Bombas Hidráulicas</t>
        </is>
      </c>
      <c r="F464" s="23" t="inlineStr">
        <is>
          <t>SOHIPREN</t>
        </is>
      </c>
      <c r="G464" s="23" t="n"/>
      <c r="H464" s="23" t="inlineStr">
        <is>
          <t>draft</t>
        </is>
      </c>
      <c r="I464" s="23" t="inlineStr">
        <is>
          <t>FLENIMAC</t>
        </is>
      </c>
      <c r="J464" s="23" t="n"/>
      <c r="K464" s="23" t="n"/>
      <c r="L464" s="23" t="n"/>
      <c r="M464" s="31" t="n"/>
      <c r="N464" s="31" t="n"/>
      <c r="O464" s="31" t="n"/>
      <c r="P464" s="31" t="n"/>
      <c r="Q464" s="31" t="n"/>
      <c r="R464" s="34">
        <f>IFERROR(IF(AND(O464&gt;0,P464&gt;0,Q464&gt;0),(O464*P464*Q464)/6000,""),"")</f>
        <v/>
      </c>
      <c r="S464" s="34">
        <f>IFERROR(IF(AND(N464&gt;0,R464&gt;0),MAX(N464,R464),IF(N464&gt;0,N464,IF(R464&gt;0,R464,""))),"")</f>
        <v/>
      </c>
      <c r="T464" s="36" t="n"/>
      <c r="U464" s="38" t="inlineStr">
        <is>
          <t>FALTA</t>
        </is>
      </c>
      <c r="V464" s="36" t="n">
        <v>1210</v>
      </c>
      <c r="W464" s="39" t="n">
        <v>0.3</v>
      </c>
      <c r="X464" s="41">
        <f>IFERROR(V464+T464,"")</f>
        <v/>
      </c>
      <c r="Y464" s="41">
        <f>IFERROR(IF(W464&lt;1,X464/(1-W464),""),"")</f>
        <v/>
      </c>
      <c r="Z464" s="43">
        <f>'01_CONFIG_GLOBAL'!$C$14</f>
        <v/>
      </c>
      <c r="AA464" s="41">
        <f>IFERROR(Y464*Z464,"")</f>
        <v/>
      </c>
      <c r="AB464" s="41">
        <f>IFERROR(IF(Z464&lt;1,Y464/(1-Z464),""),"")</f>
        <v/>
      </c>
      <c r="AC464" s="23" t="n"/>
      <c r="AD464" s="36" t="n"/>
      <c r="AE464" s="23" t="n"/>
      <c r="AF464" s="36" t="n"/>
      <c r="AG464" s="23" t="n"/>
      <c r="AH464" s="36" t="n"/>
      <c r="AI464" s="41">
        <f>IFERROR(AVERAGE(AD464,AF464,AH464),"")</f>
        <v/>
      </c>
      <c r="AJ464" s="29">
        <f>IFERROR(IF(AI464="","sem dados",IF(AB464&lt;AI464*0.95,"abaixo",IF(AB464&gt;AI464*1.05,"acima","em linha"))),"")</f>
        <v/>
      </c>
      <c r="AK464" s="23" t="inlineStr">
        <is>
          <t>não</t>
        </is>
      </c>
      <c r="AL464" s="23" t="n"/>
      <c r="AM464" s="23" t="n"/>
      <c r="AN464" s="23" t="n"/>
      <c r="AO464" s="44">
        <f>A464</f>
        <v/>
      </c>
      <c r="AP464" s="44">
        <f>D464</f>
        <v/>
      </c>
    </row>
    <row r="465" hidden="1" ht="15.75" customHeight="1" s="93">
      <c r="A465" s="23" t="inlineStr">
        <is>
          <t>6.5001.L080568.7</t>
        </is>
      </c>
      <c r="B465" s="23" t="inlineStr">
        <is>
          <t>L080568</t>
        </is>
      </c>
      <c r="C465" s="29">
        <f>IFERROR(LOWER(SUBSTITUTE(SUBSTITUTE(SUBSTITUTE(SUBSTITUTE(D465," ","-"),"/","-"),".",""),",","")),"")</f>
        <v/>
      </c>
      <c r="D465" s="23" t="inlineStr">
        <is>
          <t>VALVULA CP618-2-B-0-E P/ MRBO TAPA.M</t>
        </is>
      </c>
      <c r="E465" s="23" t="n"/>
      <c r="F465" s="23" t="inlineStr">
        <is>
          <t>SOHIPREN</t>
        </is>
      </c>
      <c r="G465" s="23" t="n"/>
      <c r="H465" s="23" t="inlineStr">
        <is>
          <t>draft</t>
        </is>
      </c>
      <c r="I465" s="23" t="inlineStr">
        <is>
          <t>FLUID POWER</t>
        </is>
      </c>
      <c r="J465" s="23" t="n"/>
      <c r="K465" s="23" t="n"/>
      <c r="L465" s="23" t="inlineStr">
        <is>
          <t>131882</t>
        </is>
      </c>
      <c r="M465" s="31" t="n"/>
      <c r="N465" s="31" t="n"/>
      <c r="O465" s="31" t="n"/>
      <c r="P465" s="31" t="n"/>
      <c r="Q465" s="31" t="n"/>
      <c r="R465" s="34">
        <f>IFERROR(IF(AND(O465&gt;0,P465&gt;0,Q465&gt;0),(O465*P465*Q465)/6000,""),"")</f>
        <v/>
      </c>
      <c r="S465" s="34">
        <f>IFERROR(IF(AND(N465&gt;0,R465&gt;0),MAX(N465,R465),IF(N465&gt;0,N465,IF(R465&gt;0,R465,""))),"")</f>
        <v/>
      </c>
      <c r="T465" s="36" t="n"/>
      <c r="U465" s="38" t="inlineStr">
        <is>
          <t>FALTA</t>
        </is>
      </c>
      <c r="V465" s="36" t="n">
        <v>195</v>
      </c>
      <c r="W465" s="39" t="n">
        <v>0.3</v>
      </c>
      <c r="X465" s="41">
        <f>IFERROR(V465+T465,"")</f>
        <v/>
      </c>
      <c r="Y465" s="41">
        <f>IFERROR(IF(W465&lt;1,X465/(1-W465),""),"")</f>
        <v/>
      </c>
      <c r="Z465" s="43">
        <f>'01_CONFIG_GLOBAL'!$C$14</f>
        <v/>
      </c>
      <c r="AA465" s="41">
        <f>IFERROR(Y465*Z465,"")</f>
        <v/>
      </c>
      <c r="AB465" s="41">
        <f>IFERROR(IF(Z465&lt;1,Y465/(1-Z465),""),"")</f>
        <v/>
      </c>
      <c r="AC465" s="23" t="n"/>
      <c r="AD465" s="36" t="n"/>
      <c r="AE465" s="23" t="n"/>
      <c r="AF465" s="36" t="n"/>
      <c r="AG465" s="23" t="n"/>
      <c r="AH465" s="36" t="n"/>
      <c r="AI465" s="41">
        <f>IFERROR(AVERAGE(AD465,AF465,AH465),"")</f>
        <v/>
      </c>
      <c r="AJ465" s="29">
        <f>IFERROR(IF(AI465="","sem dados",IF(AB465&lt;AI465*0.95,"abaixo",IF(AB465&gt;AI465*1.05,"acima","em linha"))),"")</f>
        <v/>
      </c>
      <c r="AK465" s="23" t="inlineStr">
        <is>
          <t>não</t>
        </is>
      </c>
      <c r="AL465" s="23" t="n"/>
      <c r="AM465" s="23" t="n"/>
      <c r="AN465" s="23" t="n"/>
      <c r="AO465" s="44">
        <f>A465</f>
        <v/>
      </c>
      <c r="AP465" s="44">
        <f>D465</f>
        <v/>
      </c>
    </row>
    <row r="466" hidden="1" ht="15.75" customHeight="1" s="93">
      <c r="A466" s="23" t="inlineStr">
        <is>
          <t>6.5061.L081947.0</t>
        </is>
      </c>
      <c r="B466" s="23" t="inlineStr">
        <is>
          <t>L081947</t>
        </is>
      </c>
      <c r="C466" s="29">
        <f>IFERROR(LOWER(SUBSTITUTE(SUBSTITUTE(SUBSTITUTE(SUBSTITUTE(D466," ","-"),"/","-"),".",""),",","")),"")</f>
        <v/>
      </c>
      <c r="D466" s="23" t="inlineStr">
        <is>
          <t>BLSHP-00025</t>
        </is>
      </c>
      <c r="E466" s="23" t="n"/>
      <c r="F466" s="23" t="inlineStr">
        <is>
          <t>SOHIPREN</t>
        </is>
      </c>
      <c r="G466" s="23" t="n"/>
      <c r="H466" s="23" t="inlineStr">
        <is>
          <t>draft</t>
        </is>
      </c>
      <c r="I466" s="23" t="inlineStr">
        <is>
          <t>FLUID POWER</t>
        </is>
      </c>
      <c r="J466" s="23" t="n"/>
      <c r="K466" s="23" t="n"/>
      <c r="L466" s="23" t="inlineStr">
        <is>
          <t>BLFP4344</t>
        </is>
      </c>
      <c r="M466" s="31" t="n"/>
      <c r="N466" s="31" t="n"/>
      <c r="O466" s="31" t="n"/>
      <c r="P466" s="31" t="n"/>
      <c r="Q466" s="31" t="n"/>
      <c r="R466" s="34">
        <f>IFERROR(IF(AND(O466&gt;0,P466&gt;0,Q466&gt;0),(O466*P466*Q466)/6000,""),"")</f>
        <v/>
      </c>
      <c r="S466" s="34">
        <f>IFERROR(IF(AND(N466&gt;0,R466&gt;0),MAX(N466,R466),IF(N466&gt;0,N466,IF(R466&gt;0,R466,""))),"")</f>
        <v/>
      </c>
      <c r="T466" s="36" t="n"/>
      <c r="U466" s="38" t="inlineStr">
        <is>
          <t>FALTA</t>
        </is>
      </c>
      <c r="V466" s="36" t="n">
        <v>3316</v>
      </c>
      <c r="W466" s="39" t="n">
        <v>0.3</v>
      </c>
      <c r="X466" s="41">
        <f>IFERROR(V466+T466,"")</f>
        <v/>
      </c>
      <c r="Y466" s="41">
        <f>IFERROR(IF(W466&lt;1,X466/(1-W466),""),"")</f>
        <v/>
      </c>
      <c r="Z466" s="43">
        <f>'01_CONFIG_GLOBAL'!$C$14</f>
        <v/>
      </c>
      <c r="AA466" s="41">
        <f>IFERROR(Y466*Z466,"")</f>
        <v/>
      </c>
      <c r="AB466" s="41">
        <f>IFERROR(IF(Z466&lt;1,Y466/(1-Z466),""),"")</f>
        <v/>
      </c>
      <c r="AC466" s="23" t="n"/>
      <c r="AD466" s="36" t="n"/>
      <c r="AE466" s="23" t="n"/>
      <c r="AF466" s="36" t="n"/>
      <c r="AG466" s="23" t="n"/>
      <c r="AH466" s="36" t="n"/>
      <c r="AI466" s="41">
        <f>IFERROR(AVERAGE(AD466,AF466,AH466),"")</f>
        <v/>
      </c>
      <c r="AJ466" s="29">
        <f>IFERROR(IF(AI466="","sem dados",IF(AB466&lt;AI466*0.95,"abaixo",IF(AB466&gt;AI466*1.05,"acima","em linha"))),"")</f>
        <v/>
      </c>
      <c r="AK466" s="23" t="inlineStr">
        <is>
          <t>não</t>
        </is>
      </c>
      <c r="AL466" s="23" t="n"/>
      <c r="AM466" s="23" t="n"/>
      <c r="AN466" s="23" t="n"/>
      <c r="AO466" s="44">
        <f>A466</f>
        <v/>
      </c>
      <c r="AP466" s="44">
        <f>D466</f>
        <v/>
      </c>
    </row>
    <row r="467" hidden="1" ht="15.75" customHeight="1" s="93">
      <c r="A467" s="23" t="inlineStr">
        <is>
          <t>6.5061.L081876.0</t>
        </is>
      </c>
      <c r="B467" s="23" t="inlineStr">
        <is>
          <t>L081876</t>
        </is>
      </c>
      <c r="C467" s="29">
        <f>IFERROR(LOWER(SUBSTITUTE(SUBSTITUTE(SUBSTITUTE(SUBSTITUTE(D467," ","-"),"/","-"),".",""),",","")),"")</f>
        <v/>
      </c>
      <c r="D467" s="23" t="inlineStr">
        <is>
          <t>BLM-2679-4102</t>
        </is>
      </c>
      <c r="E467" s="23" t="n"/>
      <c r="F467" s="23" t="inlineStr">
        <is>
          <t>SOHIPREN</t>
        </is>
      </c>
      <c r="G467" s="23" t="n"/>
      <c r="H467" s="23" t="inlineStr">
        <is>
          <t>draft</t>
        </is>
      </c>
      <c r="I467" s="23" t="inlineStr">
        <is>
          <t>FLUID POWER</t>
        </is>
      </c>
      <c r="J467" s="23" t="n"/>
      <c r="K467" s="23" t="n"/>
      <c r="L467" s="23" t="inlineStr">
        <is>
          <t>BLFP4102</t>
        </is>
      </c>
      <c r="M467" s="31" t="n"/>
      <c r="N467" s="31" t="n"/>
      <c r="O467" s="31" t="n"/>
      <c r="P467" s="31" t="n"/>
      <c r="Q467" s="31" t="n"/>
      <c r="R467" s="34">
        <f>IFERROR(IF(AND(O467&gt;0,P467&gt;0,Q467&gt;0),(O467*P467*Q467)/6000,""),"")</f>
        <v/>
      </c>
      <c r="S467" s="34">
        <f>IFERROR(IF(AND(N467&gt;0,R467&gt;0),MAX(N467,R467),IF(N467&gt;0,N467,IF(R467&gt;0,R467,""))),"")</f>
        <v/>
      </c>
      <c r="T467" s="36" t="n"/>
      <c r="U467" s="38" t="inlineStr">
        <is>
          <t>FALTA</t>
        </is>
      </c>
      <c r="V467" s="36" t="n">
        <v>4083</v>
      </c>
      <c r="W467" s="39" t="n">
        <v>0.3</v>
      </c>
      <c r="X467" s="41">
        <f>IFERROR(V467+T467,"")</f>
        <v/>
      </c>
      <c r="Y467" s="41">
        <f>IFERROR(IF(W467&lt;1,X467/(1-W467),""),"")</f>
        <v/>
      </c>
      <c r="Z467" s="43">
        <f>'01_CONFIG_GLOBAL'!$C$14</f>
        <v/>
      </c>
      <c r="AA467" s="41">
        <f>IFERROR(Y467*Z467,"")</f>
        <v/>
      </c>
      <c r="AB467" s="41">
        <f>IFERROR(IF(Z467&lt;1,Y467/(1-Z467),""),"")</f>
        <v/>
      </c>
      <c r="AC467" s="23" t="n"/>
      <c r="AD467" s="36" t="n"/>
      <c r="AE467" s="23" t="n"/>
      <c r="AF467" s="36" t="n"/>
      <c r="AG467" s="23" t="n"/>
      <c r="AH467" s="36" t="n"/>
      <c r="AI467" s="41">
        <f>IFERROR(AVERAGE(AD467,AF467,AH467),"")</f>
        <v/>
      </c>
      <c r="AJ467" s="29">
        <f>IFERROR(IF(AI467="","sem dados",IF(AB467&lt;AI467*0.95,"abaixo",IF(AB467&gt;AI467*1.05,"acima","em linha"))),"")</f>
        <v/>
      </c>
      <c r="AK467" s="23" t="inlineStr">
        <is>
          <t>não</t>
        </is>
      </c>
      <c r="AL467" s="23" t="n"/>
      <c r="AM467" s="23" t="n"/>
      <c r="AN467" s="23" t="n"/>
      <c r="AO467" s="44">
        <f>A467</f>
        <v/>
      </c>
      <c r="AP467" s="44">
        <f>D467</f>
        <v/>
      </c>
    </row>
    <row r="468" hidden="1" ht="15.75" customHeight="1" s="93">
      <c r="A468" s="23" t="inlineStr">
        <is>
          <t>6.5061.L081875.0</t>
        </is>
      </c>
      <c r="B468" s="23" t="inlineStr">
        <is>
          <t>L081875</t>
        </is>
      </c>
      <c r="C468" s="29">
        <f>IFERROR(LOWER(SUBSTITUTE(SUBSTITUTE(SUBSTITUTE(SUBSTITUTE(D468," ","-"),"/","-"),".",""),",","")),"")</f>
        <v/>
      </c>
      <c r="D468" s="23" t="inlineStr">
        <is>
          <t>BLSHP-00022</t>
        </is>
      </c>
      <c r="E468" s="23" t="n"/>
      <c r="F468" s="23" t="inlineStr">
        <is>
          <t>SOHIPREN</t>
        </is>
      </c>
      <c r="G468" s="23" t="n"/>
      <c r="H468" s="23" t="inlineStr">
        <is>
          <t>draft</t>
        </is>
      </c>
      <c r="I468" s="23" t="inlineStr">
        <is>
          <t>FLUID POWER</t>
        </is>
      </c>
      <c r="J468" s="23" t="n"/>
      <c r="K468" s="23" t="n"/>
      <c r="L468" s="23" t="inlineStr">
        <is>
          <t>BLFP3824</t>
        </is>
      </c>
      <c r="M468" s="31" t="n"/>
      <c r="N468" s="31" t="n"/>
      <c r="O468" s="31" t="n"/>
      <c r="P468" s="31" t="n"/>
      <c r="Q468" s="31" t="n"/>
      <c r="R468" s="34">
        <f>IFERROR(IF(AND(O468&gt;0,P468&gt;0,Q468&gt;0),(O468*P468*Q468)/6000,""),"")</f>
        <v/>
      </c>
      <c r="S468" s="34">
        <f>IFERROR(IF(AND(N468&gt;0,R468&gt;0),MAX(N468,R468),IF(N468&gt;0,N468,IF(R468&gt;0,R468,""))),"")</f>
        <v/>
      </c>
      <c r="T468" s="36" t="n"/>
      <c r="U468" s="38" t="inlineStr">
        <is>
          <t>FALTA</t>
        </is>
      </c>
      <c r="V468" s="36" t="n">
        <v>3076</v>
      </c>
      <c r="W468" s="39" t="n">
        <v>0.3</v>
      </c>
      <c r="X468" s="41">
        <f>IFERROR(V468+T468,"")</f>
        <v/>
      </c>
      <c r="Y468" s="41">
        <f>IFERROR(IF(W468&lt;1,X468/(1-W468),""),"")</f>
        <v/>
      </c>
      <c r="Z468" s="43">
        <f>'01_CONFIG_GLOBAL'!$C$14</f>
        <v/>
      </c>
      <c r="AA468" s="41">
        <f>IFERROR(Y468*Z468,"")</f>
        <v/>
      </c>
      <c r="AB468" s="41">
        <f>IFERROR(IF(Z468&lt;1,Y468/(1-Z468),""),"")</f>
        <v/>
      </c>
      <c r="AC468" s="23" t="n"/>
      <c r="AD468" s="36" t="n"/>
      <c r="AE468" s="23" t="n"/>
      <c r="AF468" s="36" t="n"/>
      <c r="AG468" s="23" t="n"/>
      <c r="AH468" s="36" t="n"/>
      <c r="AI468" s="41">
        <f>IFERROR(AVERAGE(AD468,AF468,AH468),"")</f>
        <v/>
      </c>
      <c r="AJ468" s="29">
        <f>IFERROR(IF(AI468="","sem dados",IF(AB468&lt;AI468*0.95,"abaixo",IF(AB468&gt;AI468*1.05,"acima","em linha"))),"")</f>
        <v/>
      </c>
      <c r="AK468" s="23" t="inlineStr">
        <is>
          <t>não</t>
        </is>
      </c>
      <c r="AL468" s="23" t="n"/>
      <c r="AM468" s="23" t="n"/>
      <c r="AN468" s="23" t="n"/>
      <c r="AO468" s="44">
        <f>A468</f>
        <v/>
      </c>
      <c r="AP468" s="44">
        <f>D468</f>
        <v/>
      </c>
    </row>
    <row r="469" hidden="1" ht="15.75" customHeight="1" s="93">
      <c r="A469" s="23" t="inlineStr">
        <is>
          <t>6.5001.L082221.0</t>
        </is>
      </c>
      <c r="B469" s="23" t="inlineStr">
        <is>
          <t>L082221</t>
        </is>
      </c>
      <c r="C469" s="29">
        <f>IFERROR(LOWER(SUBSTITUTE(SUBSTITUTE(SUBSTITUTE(SUBSTITUTE(D469," ","-"),"/","-"),".",""),",","")),"")</f>
        <v/>
      </c>
      <c r="D469" s="23" t="inlineStr">
        <is>
          <t>VALVULA DE ALIVIO CP208-3-B-0-E-C-XXX</t>
        </is>
      </c>
      <c r="E469" s="23" t="n"/>
      <c r="F469" s="23" t="inlineStr">
        <is>
          <t>SOHIPREN</t>
        </is>
      </c>
      <c r="G469" s="23" t="n"/>
      <c r="H469" s="23" t="inlineStr">
        <is>
          <t>draft</t>
        </is>
      </c>
      <c r="I469" s="23" t="inlineStr">
        <is>
          <t>FLUID POWER</t>
        </is>
      </c>
      <c r="J469" s="23" t="n"/>
      <c r="K469" s="23" t="n"/>
      <c r="L469" s="23" t="inlineStr">
        <is>
          <t>131249000</t>
        </is>
      </c>
      <c r="M469" s="31" t="n"/>
      <c r="N469" s="31" t="n"/>
      <c r="O469" s="31" t="n"/>
      <c r="P469" s="31" t="n"/>
      <c r="Q469" s="31" t="n"/>
      <c r="R469" s="34">
        <f>IFERROR(IF(AND(O469&gt;0,P469&gt;0,Q469&gt;0),(O469*P469*Q469)/6000,""),"")</f>
        <v/>
      </c>
      <c r="S469" s="34">
        <f>IFERROR(IF(AND(N469&gt;0,R469&gt;0),MAX(N469,R469),IF(N469&gt;0,N469,IF(R469&gt;0,R469,""))),"")</f>
        <v/>
      </c>
      <c r="T469" s="36" t="n"/>
      <c r="U469" s="38" t="inlineStr">
        <is>
          <t>FALTA</t>
        </is>
      </c>
      <c r="V469" s="36" t="n">
        <v>79</v>
      </c>
      <c r="W469" s="39" t="n">
        <v>0.3</v>
      </c>
      <c r="X469" s="41">
        <f>IFERROR(V469+T469,"")</f>
        <v/>
      </c>
      <c r="Y469" s="41">
        <f>IFERROR(IF(W469&lt;1,X469/(1-W469),""),"")</f>
        <v/>
      </c>
      <c r="Z469" s="43">
        <f>'01_CONFIG_GLOBAL'!$C$14</f>
        <v/>
      </c>
      <c r="AA469" s="41">
        <f>IFERROR(Y469*Z469,"")</f>
        <v/>
      </c>
      <c r="AB469" s="41">
        <f>IFERROR(IF(Z469&lt;1,Y469/(1-Z469),""),"")</f>
        <v/>
      </c>
      <c r="AC469" s="23" t="n"/>
      <c r="AD469" s="36" t="n"/>
      <c r="AE469" s="23" t="n"/>
      <c r="AF469" s="36" t="n"/>
      <c r="AG469" s="23" t="n"/>
      <c r="AH469" s="36" t="n"/>
      <c r="AI469" s="41">
        <f>IFERROR(AVERAGE(AD469,AF469,AH469),"")</f>
        <v/>
      </c>
      <c r="AJ469" s="29">
        <f>IFERROR(IF(AI469="","sem dados",IF(AB469&lt;AI469*0.95,"abaixo",IF(AB469&gt;AI469*1.05,"acima","em linha"))),"")</f>
        <v/>
      </c>
      <c r="AK469" s="23" t="inlineStr">
        <is>
          <t>não</t>
        </is>
      </c>
      <c r="AL469" s="23" t="n"/>
      <c r="AM469" s="23" t="n"/>
      <c r="AN469" s="23" t="n"/>
      <c r="AO469" s="44">
        <f>A469</f>
        <v/>
      </c>
      <c r="AP469" s="44">
        <f>D469</f>
        <v/>
      </c>
    </row>
    <row r="470" hidden="1" ht="15.75" customHeight="1" s="93">
      <c r="A470" s="23" t="inlineStr">
        <is>
          <t>2.0410.L082210.0</t>
        </is>
      </c>
      <c r="B470" s="23" t="inlineStr">
        <is>
          <t>L082210</t>
        </is>
      </c>
      <c r="C470" s="29">
        <f>IFERROR(LOWER(SUBSTITUTE(SUBSTITUTE(SUBSTITUTE(SUBSTITUTE(D470," ","-"),"/","-"),".",""),",","")),"")</f>
        <v/>
      </c>
      <c r="D470" s="23" t="inlineStr">
        <is>
          <t>ELEMENTO HLE10-CPC-13.0-B-0</t>
        </is>
      </c>
      <c r="E470" s="23" t="n"/>
      <c r="F470" s="23" t="inlineStr">
        <is>
          <t>SOHIPREN</t>
        </is>
      </c>
      <c r="G470" s="23" t="n"/>
      <c r="H470" s="23" t="inlineStr">
        <is>
          <t>draft</t>
        </is>
      </c>
      <c r="I470" s="23" t="inlineStr">
        <is>
          <t>FLUID POWER</t>
        </is>
      </c>
      <c r="J470" s="23" t="n"/>
      <c r="K470" s="23" t="n"/>
      <c r="L470" s="23" t="inlineStr">
        <is>
          <t>83028212</t>
        </is>
      </c>
      <c r="M470" s="31" t="n"/>
      <c r="N470" s="31" t="n"/>
      <c r="O470" s="31" t="n"/>
      <c r="P470" s="31" t="n"/>
      <c r="Q470" s="31" t="n"/>
      <c r="R470" s="34">
        <f>IFERROR(IF(AND(O470&gt;0,P470&gt;0,Q470&gt;0),(O470*P470*Q470)/6000,""),"")</f>
        <v/>
      </c>
      <c r="S470" s="34">
        <f>IFERROR(IF(AND(N470&gt;0,R470&gt;0),MAX(N470,R470),IF(N470&gt;0,N470,IF(R470&gt;0,R470,""))),"")</f>
        <v/>
      </c>
      <c r="T470" s="36" t="n"/>
      <c r="U470" s="38" t="inlineStr">
        <is>
          <t>FALTA</t>
        </is>
      </c>
      <c r="V470" s="36" t="n">
        <v>565</v>
      </c>
      <c r="W470" s="39" t="n">
        <v>0.3</v>
      </c>
      <c r="X470" s="41">
        <f>IFERROR(V470+T470,"")</f>
        <v/>
      </c>
      <c r="Y470" s="41">
        <f>IFERROR(IF(W470&lt;1,X470/(1-W470),""),"")</f>
        <v/>
      </c>
      <c r="Z470" s="43">
        <f>'01_CONFIG_GLOBAL'!$C$14</f>
        <v/>
      </c>
      <c r="AA470" s="41">
        <f>IFERROR(Y470*Z470,"")</f>
        <v/>
      </c>
      <c r="AB470" s="41">
        <f>IFERROR(IF(Z470&lt;1,Y470/(1-Z470),""),"")</f>
        <v/>
      </c>
      <c r="AC470" s="23" t="n"/>
      <c r="AD470" s="36" t="n"/>
      <c r="AE470" s="23" t="n"/>
      <c r="AF470" s="36" t="n"/>
      <c r="AG470" s="23" t="n"/>
      <c r="AH470" s="36" t="n"/>
      <c r="AI470" s="41">
        <f>IFERROR(AVERAGE(AD470,AF470,AH470),"")</f>
        <v/>
      </c>
      <c r="AJ470" s="29">
        <f>IFERROR(IF(AI470="","sem dados",IF(AB470&lt;AI470*0.95,"abaixo",IF(AB470&gt;AI470*1.05,"acima","em linha"))),"")</f>
        <v/>
      </c>
      <c r="AK470" s="23" t="inlineStr">
        <is>
          <t>não</t>
        </is>
      </c>
      <c r="AL470" s="23" t="n"/>
      <c r="AM470" s="23" t="n"/>
      <c r="AN470" s="23" t="n"/>
      <c r="AO470" s="44">
        <f>A470</f>
        <v/>
      </c>
      <c r="AP470" s="44">
        <f>D470</f>
        <v/>
      </c>
    </row>
    <row r="471" hidden="1" ht="15.75" customHeight="1" s="93">
      <c r="A471" s="23" t="inlineStr">
        <is>
          <t>2.0410.L082211.7</t>
        </is>
      </c>
      <c r="B471" s="23" t="inlineStr">
        <is>
          <t>L082211</t>
        </is>
      </c>
      <c r="C471" s="29">
        <f>IFERROR(LOWER(SUBSTITUTE(SUBSTITUTE(SUBSTITUTE(SUBSTITUTE(D471," ","-"),"/","-"),".",""),",","")),"")</f>
        <v/>
      </c>
      <c r="D471" s="23" t="inlineStr">
        <is>
          <t>BOBINA M19P-12D-1.8A-DE - SOLENOIDE</t>
        </is>
      </c>
      <c r="E471" s="23" t="n"/>
      <c r="F471" s="23" t="inlineStr">
        <is>
          <t>SOHIPREN</t>
        </is>
      </c>
      <c r="G471" s="23" t="n"/>
      <c r="H471" s="23" t="inlineStr">
        <is>
          <t>draft</t>
        </is>
      </c>
      <c r="I471" s="23" t="inlineStr">
        <is>
          <t>FLUID POWER</t>
        </is>
      </c>
      <c r="J471" s="23" t="n"/>
      <c r="K471" s="23" t="n"/>
      <c r="L471" s="23" t="inlineStr">
        <is>
          <t>171147519</t>
        </is>
      </c>
      <c r="M471" s="31" t="n"/>
      <c r="N471" s="31" t="n"/>
      <c r="O471" s="31" t="n"/>
      <c r="P471" s="31" t="n"/>
      <c r="Q471" s="31" t="n"/>
      <c r="R471" s="34">
        <f>IFERROR(IF(AND(O471&gt;0,P471&gt;0,Q471&gt;0),(O471*P471*Q471)/6000,""),"")</f>
        <v/>
      </c>
      <c r="S471" s="34">
        <f>IFERROR(IF(AND(N471&gt;0,R471&gt;0),MAX(N471,R471),IF(N471&gt;0,N471,IF(R471&gt;0,R471,""))),"")</f>
        <v/>
      </c>
      <c r="T471" s="36" t="n"/>
      <c r="U471" s="38" t="inlineStr">
        <is>
          <t>FALTA</t>
        </is>
      </c>
      <c r="V471" s="36" t="n">
        <v>565</v>
      </c>
      <c r="W471" s="39" t="n">
        <v>0.3</v>
      </c>
      <c r="X471" s="41">
        <f>IFERROR(V471+T471,"")</f>
        <v/>
      </c>
      <c r="Y471" s="41">
        <f>IFERROR(IF(W471&lt;1,X471/(1-W471),""),"")</f>
        <v/>
      </c>
      <c r="Z471" s="43">
        <f>'01_CONFIG_GLOBAL'!$C$14</f>
        <v/>
      </c>
      <c r="AA471" s="41">
        <f>IFERROR(Y471*Z471,"")</f>
        <v/>
      </c>
      <c r="AB471" s="41">
        <f>IFERROR(IF(Z471&lt;1,Y471/(1-Z471),""),"")</f>
        <v/>
      </c>
      <c r="AC471" s="23" t="n"/>
      <c r="AD471" s="36" t="n"/>
      <c r="AE471" s="23" t="n"/>
      <c r="AF471" s="36" t="n"/>
      <c r="AG471" s="23" t="n"/>
      <c r="AH471" s="36" t="n"/>
      <c r="AI471" s="41">
        <f>IFERROR(AVERAGE(AD471,AF471,AH471),"")</f>
        <v/>
      </c>
      <c r="AJ471" s="29">
        <f>IFERROR(IF(AI471="","sem dados",IF(AB471&lt;AI471*0.95,"abaixo",IF(AB471&gt;AI471*1.05,"acima","em linha"))),"")</f>
        <v/>
      </c>
      <c r="AK471" s="23" t="inlineStr">
        <is>
          <t>não</t>
        </is>
      </c>
      <c r="AL471" s="23" t="n"/>
      <c r="AM471" s="23" t="n"/>
      <c r="AN471" s="23" t="n"/>
      <c r="AO471" s="44">
        <f>A471</f>
        <v/>
      </c>
      <c r="AP471" s="44">
        <f>D471</f>
        <v/>
      </c>
    </row>
    <row r="472" hidden="1" ht="15.75" customHeight="1" s="93">
      <c r="A472" s="23" t="inlineStr">
        <is>
          <t>2.0410.L082155.0</t>
        </is>
      </c>
      <c r="B472" s="23" t="inlineStr">
        <is>
          <t>L082155</t>
        </is>
      </c>
      <c r="C472" s="29">
        <f>IFERROR(LOWER(SUBSTITUTE(SUBSTITUTE(SUBSTITUTE(SUBSTITUTE(D472," ","-"),"/","-"),".",""),",","")),"")</f>
        <v/>
      </c>
      <c r="D472" s="23" t="inlineStr">
        <is>
          <t>ELEMENTO HLE10-CPC-10.B-0</t>
        </is>
      </c>
      <c r="E472" s="23" t="n"/>
      <c r="F472" s="23" t="inlineStr">
        <is>
          <t>SOHIPREN</t>
        </is>
      </c>
      <c r="G472" s="23" t="n"/>
      <c r="H472" s="23" t="inlineStr">
        <is>
          <t>draft</t>
        </is>
      </c>
      <c r="I472" s="23" t="inlineStr">
        <is>
          <t>FLUID POWER</t>
        </is>
      </c>
      <c r="J472" s="23" t="n"/>
      <c r="K472" s="23" t="n"/>
      <c r="L472" s="23" t="inlineStr">
        <is>
          <t>83024163</t>
        </is>
      </c>
      <c r="M472" s="31" t="n"/>
      <c r="N472" s="31" t="n"/>
      <c r="O472" s="31" t="n"/>
      <c r="P472" s="31" t="n"/>
      <c r="Q472" s="31" t="n"/>
      <c r="R472" s="34">
        <f>IFERROR(IF(AND(O472&gt;0,P472&gt;0,Q472&gt;0),(O472*P472*Q472)/6000,""),"")</f>
        <v/>
      </c>
      <c r="S472" s="34">
        <f>IFERROR(IF(AND(N472&gt;0,R472&gt;0),MAX(N472,R472),IF(N472&gt;0,N472,IF(R472&gt;0,R472,""))),"")</f>
        <v/>
      </c>
      <c r="T472" s="36" t="n"/>
      <c r="U472" s="38" t="inlineStr">
        <is>
          <t>FALTA</t>
        </is>
      </c>
      <c r="V472" s="36" t="n">
        <v>467.5</v>
      </c>
      <c r="W472" s="39" t="n">
        <v>0.3</v>
      </c>
      <c r="X472" s="41">
        <f>IFERROR(V472+T472,"")</f>
        <v/>
      </c>
      <c r="Y472" s="41">
        <f>IFERROR(IF(W472&lt;1,X472/(1-W472),""),"")</f>
        <v/>
      </c>
      <c r="Z472" s="43">
        <f>'01_CONFIG_GLOBAL'!$C$14</f>
        <v/>
      </c>
      <c r="AA472" s="41">
        <f>IFERROR(Y472*Z472,"")</f>
        <v/>
      </c>
      <c r="AB472" s="41">
        <f>IFERROR(IF(Z472&lt;1,Y472/(1-Z472),""),"")</f>
        <v/>
      </c>
      <c r="AC472" s="23" t="n"/>
      <c r="AD472" s="36" t="n"/>
      <c r="AE472" s="23" t="n"/>
      <c r="AF472" s="36" t="n"/>
      <c r="AG472" s="23" t="n"/>
      <c r="AH472" s="36" t="n"/>
      <c r="AI472" s="41">
        <f>IFERROR(AVERAGE(AD472,AF472,AH472),"")</f>
        <v/>
      </c>
      <c r="AJ472" s="29">
        <f>IFERROR(IF(AI472="","sem dados",IF(AB472&lt;AI472*0.95,"abaixo",IF(AB472&gt;AI472*1.05,"acima","em linha"))),"")</f>
        <v/>
      </c>
      <c r="AK472" s="23" t="inlineStr">
        <is>
          <t>não</t>
        </is>
      </c>
      <c r="AL472" s="23" t="n"/>
      <c r="AM472" s="23" t="n"/>
      <c r="AN472" s="23" t="n"/>
      <c r="AO472" s="44">
        <f>A472</f>
        <v/>
      </c>
      <c r="AP472" s="44">
        <f>D472</f>
        <v/>
      </c>
    </row>
    <row r="473" hidden="1" ht="15.75" customHeight="1" s="93">
      <c r="A473" s="23" t="inlineStr">
        <is>
          <t>5.0504.L026834.0</t>
        </is>
      </c>
      <c r="B473" s="23" t="inlineStr">
        <is>
          <t>L026834</t>
        </is>
      </c>
      <c r="C473" s="29">
        <f>IFERROR(LOWER(SUBSTITUTE(SUBSTITUTE(SUBSTITUTE(SUBSTITUTE(D473," ","-"),"/","-"),".",""),",","")),"")</f>
        <v/>
      </c>
      <c r="D473" s="23" t="inlineStr">
        <is>
          <t>MC1 40 201.2.37.86.BL</t>
        </is>
      </c>
      <c r="E473" s="23" t="n"/>
      <c r="F473" s="23" t="inlineStr">
        <is>
          <t>SOHIPREN</t>
        </is>
      </c>
      <c r="G473" s="23" t="n"/>
      <c r="H473" s="23" t="inlineStr">
        <is>
          <t>draft</t>
        </is>
      </c>
      <c r="I473" s="23" t="inlineStr">
        <is>
          <t>FLUID POWER</t>
        </is>
      </c>
      <c r="J473" s="23" t="inlineStr">
        <is>
          <t>******</t>
        </is>
      </c>
      <c r="K473" s="23" t="inlineStr">
        <is>
          <t>******</t>
        </is>
      </c>
      <c r="L473" s="23" t="inlineStr">
        <is>
          <t>******</t>
        </is>
      </c>
      <c r="M473" s="31" t="n"/>
      <c r="N473" s="31" t="n"/>
      <c r="O473" s="31" t="n"/>
      <c r="P473" s="31" t="n"/>
      <c r="Q473" s="31" t="n"/>
      <c r="R473" s="34">
        <f>IFERROR(IF(AND(O473&gt;0,P473&gt;0,Q473&gt;0),(O473*P473*Q473)/6000,""),"")</f>
        <v/>
      </c>
      <c r="S473" s="34">
        <f>IFERROR(IF(AND(N473&gt;0,R473&gt;0),MAX(N473,R473),IF(N473&gt;0,N473,IF(R473&gt;0,R473,""))),"")</f>
        <v/>
      </c>
      <c r="T473" s="36" t="n"/>
      <c r="U473" s="38" t="inlineStr">
        <is>
          <t>FALTA</t>
        </is>
      </c>
      <c r="V473" s="36" t="n">
        <v>1045</v>
      </c>
      <c r="W473" s="39" t="n">
        <v>0.3</v>
      </c>
      <c r="X473" s="41">
        <f>IFERROR(V473+T473,"")</f>
        <v/>
      </c>
      <c r="Y473" s="41">
        <f>IFERROR(IF(W473&lt;1,X473/(1-W473),""),"")</f>
        <v/>
      </c>
      <c r="Z473" s="43">
        <f>'01_CONFIG_GLOBAL'!$C$14</f>
        <v/>
      </c>
      <c r="AA473" s="41">
        <f>IFERROR(Y473*Z473,"")</f>
        <v/>
      </c>
      <c r="AB473" s="41">
        <f>IFERROR(IF(Z473&lt;1,Y473/(1-Z473),""),"")</f>
        <v/>
      </c>
      <c r="AC473" s="23" t="n"/>
      <c r="AD473" s="36" t="n"/>
      <c r="AE473" s="23" t="n"/>
      <c r="AF473" s="36" t="n"/>
      <c r="AG473" s="23" t="n"/>
      <c r="AH473" s="36" t="n"/>
      <c r="AI473" s="41">
        <f>IFERROR(AVERAGE(AD473,AF473,AH473),"")</f>
        <v/>
      </c>
      <c r="AJ473" s="29">
        <f>IFERROR(IF(AI473="","sem dados",IF(AB473&lt;AI473*0.95,"abaixo",IF(AB473&gt;AI473*1.05,"acima","em linha"))),"")</f>
        <v/>
      </c>
      <c r="AK473" s="23" t="inlineStr">
        <is>
          <t>não</t>
        </is>
      </c>
      <c r="AL473" s="23" t="n"/>
      <c r="AM473" s="23" t="n"/>
      <c r="AN473" s="23" t="n"/>
      <c r="AO473" s="44">
        <f>A473</f>
        <v/>
      </c>
      <c r="AP473" s="44">
        <f>D473</f>
        <v/>
      </c>
    </row>
    <row r="474" hidden="1" ht="15.75" customHeight="1" s="93">
      <c r="A474" s="23" t="inlineStr">
        <is>
          <t>0.2208.F001285.0</t>
        </is>
      </c>
      <c r="B474" s="23" t="inlineStr">
        <is>
          <t>F001285</t>
        </is>
      </c>
      <c r="C474" s="29">
        <f>IFERROR(LOWER(SUBSTITUTE(SUBSTITUTE(SUBSTITUTE(SUBSTITUTE(D474," ","-"),"/","-"),".",""),",","")),"")</f>
        <v/>
      </c>
      <c r="D474" s="23" t="inlineStr">
        <is>
          <t>GARRA DIREITA - GRAMPEADORA PNEUM. CP BEMAX RZ 19/22</t>
        </is>
      </c>
      <c r="E474" s="23" t="n"/>
      <c r="F474" s="23" t="inlineStr">
        <is>
          <t>SOHIPREN</t>
        </is>
      </c>
      <c r="G474" s="23" t="n"/>
      <c r="H474" s="23" t="inlineStr">
        <is>
          <t>draft</t>
        </is>
      </c>
      <c r="I474" s="23" t="inlineStr">
        <is>
          <t>GLOBAL MAX</t>
        </is>
      </c>
      <c r="J474" s="23" t="n"/>
      <c r="K474" s="23" t="n"/>
      <c r="L474" s="23" t="inlineStr">
        <is>
          <t>91502301</t>
        </is>
      </c>
      <c r="M474" s="31" t="n"/>
      <c r="N474" s="31" t="n"/>
      <c r="O474" s="31" t="n"/>
      <c r="P474" s="31" t="n"/>
      <c r="Q474" s="31" t="n"/>
      <c r="R474" s="34">
        <f>IFERROR(IF(AND(O474&gt;0,P474&gt;0,Q474&gt;0),(O474*P474*Q474)/6000,""),"")</f>
        <v/>
      </c>
      <c r="S474" s="34">
        <f>IFERROR(IF(AND(N474&gt;0,R474&gt;0),MAX(N474,R474),IF(N474&gt;0,N474,IF(R474&gt;0,R474,""))),"")</f>
        <v/>
      </c>
      <c r="T474" s="36" t="n"/>
      <c r="U474" s="38" t="inlineStr">
        <is>
          <t>FALTA</t>
        </is>
      </c>
      <c r="V474" s="36" t="n">
        <v>285</v>
      </c>
      <c r="W474" s="39" t="n">
        <v>0.3</v>
      </c>
      <c r="X474" s="41">
        <f>IFERROR(V474+T474,"")</f>
        <v/>
      </c>
      <c r="Y474" s="41">
        <f>IFERROR(IF(W474&lt;1,X474/(1-W474),""),"")</f>
        <v/>
      </c>
      <c r="Z474" s="43">
        <f>'01_CONFIG_GLOBAL'!$C$14</f>
        <v/>
      </c>
      <c r="AA474" s="41">
        <f>IFERROR(Y474*Z474,"")</f>
        <v/>
      </c>
      <c r="AB474" s="41">
        <f>IFERROR(IF(Z474&lt;1,Y474/(1-Z474),""),"")</f>
        <v/>
      </c>
      <c r="AC474" s="23" t="n"/>
      <c r="AD474" s="36" t="n"/>
      <c r="AE474" s="23" t="n"/>
      <c r="AF474" s="36" t="n"/>
      <c r="AG474" s="23" t="n"/>
      <c r="AH474" s="36" t="n"/>
      <c r="AI474" s="41">
        <f>IFERROR(AVERAGE(AD474,AF474,AH474),"")</f>
        <v/>
      </c>
      <c r="AJ474" s="29">
        <f>IFERROR(IF(AI474="","sem dados",IF(AB474&lt;AI474*0.95,"abaixo",IF(AB474&gt;AI474*1.05,"acima","em linha"))),"")</f>
        <v/>
      </c>
      <c r="AK474" s="23" t="inlineStr">
        <is>
          <t>não</t>
        </is>
      </c>
      <c r="AL474" s="23" t="n"/>
      <c r="AM474" s="23" t="n"/>
      <c r="AN474" s="23" t="n"/>
      <c r="AO474" s="44">
        <f>A474</f>
        <v/>
      </c>
      <c r="AP474" s="44">
        <f>D474</f>
        <v/>
      </c>
    </row>
    <row r="475" hidden="1" ht="15.75" customHeight="1" s="93">
      <c r="A475" s="23" t="inlineStr">
        <is>
          <t>0.2208.F001286.0</t>
        </is>
      </c>
      <c r="B475" s="23" t="inlineStr">
        <is>
          <t>F001286</t>
        </is>
      </c>
      <c r="C475" s="29">
        <f>IFERROR(LOWER(SUBSTITUTE(SUBSTITUTE(SUBSTITUTE(SUBSTITUTE(D475," ","-"),"/","-"),".",""),",","")),"")</f>
        <v/>
      </c>
      <c r="D475" s="23" t="inlineStr">
        <is>
          <t>GARRA ESQUERDA - GRAMPEADORA PNEUM. CP BEMAX RZ 19/22</t>
        </is>
      </c>
      <c r="E475" s="23" t="n"/>
      <c r="F475" s="23" t="inlineStr">
        <is>
          <t>SOHIPREN</t>
        </is>
      </c>
      <c r="G475" s="23" t="n"/>
      <c r="H475" s="23" t="inlineStr">
        <is>
          <t>draft</t>
        </is>
      </c>
      <c r="I475" s="23" t="inlineStr">
        <is>
          <t>GLOBAL MAX</t>
        </is>
      </c>
      <c r="J475" s="23" t="n"/>
      <c r="K475" s="23" t="n"/>
      <c r="L475" s="23" t="inlineStr">
        <is>
          <t>91502401</t>
        </is>
      </c>
      <c r="M475" s="31" t="n"/>
      <c r="N475" s="31" t="n"/>
      <c r="O475" s="31" t="n"/>
      <c r="P475" s="31" t="n"/>
      <c r="Q475" s="31" t="n"/>
      <c r="R475" s="34">
        <f>IFERROR(IF(AND(O475&gt;0,P475&gt;0,Q475&gt;0),(O475*P475*Q475)/6000,""),"")</f>
        <v/>
      </c>
      <c r="S475" s="34">
        <f>IFERROR(IF(AND(N475&gt;0,R475&gt;0),MAX(N475,R475),IF(N475&gt;0,N475,IF(R475&gt;0,R475,""))),"")</f>
        <v/>
      </c>
      <c r="T475" s="36" t="n"/>
      <c r="U475" s="38" t="inlineStr">
        <is>
          <t>FALTA</t>
        </is>
      </c>
      <c r="V475" s="36" t="n">
        <v>285</v>
      </c>
      <c r="W475" s="39" t="n">
        <v>0.3</v>
      </c>
      <c r="X475" s="41">
        <f>IFERROR(V475+T475,"")</f>
        <v/>
      </c>
      <c r="Y475" s="41">
        <f>IFERROR(IF(W475&lt;1,X475/(1-W475),""),"")</f>
        <v/>
      </c>
      <c r="Z475" s="43">
        <f>'01_CONFIG_GLOBAL'!$C$14</f>
        <v/>
      </c>
      <c r="AA475" s="41">
        <f>IFERROR(Y475*Z475,"")</f>
        <v/>
      </c>
      <c r="AB475" s="41">
        <f>IFERROR(IF(Z475&lt;1,Y475/(1-Z475),""),"")</f>
        <v/>
      </c>
      <c r="AC475" s="23" t="n"/>
      <c r="AD475" s="36" t="n"/>
      <c r="AE475" s="23" t="n"/>
      <c r="AF475" s="36" t="n"/>
      <c r="AG475" s="23" t="n"/>
      <c r="AH475" s="36" t="n"/>
      <c r="AI475" s="41">
        <f>IFERROR(AVERAGE(AD475,AF475,AH475),"")</f>
        <v/>
      </c>
      <c r="AJ475" s="29">
        <f>IFERROR(IF(AI475="","sem dados",IF(AB475&lt;AI475*0.95,"abaixo",IF(AB475&gt;AI475*1.05,"acima","em linha"))),"")</f>
        <v/>
      </c>
      <c r="AK475" s="23" t="inlineStr">
        <is>
          <t>não</t>
        </is>
      </c>
      <c r="AL475" s="23" t="n"/>
      <c r="AM475" s="23" t="n"/>
      <c r="AN475" s="23" t="n"/>
      <c r="AO475" s="44">
        <f>A475</f>
        <v/>
      </c>
      <c r="AP475" s="44">
        <f>D475</f>
        <v/>
      </c>
    </row>
    <row r="476" hidden="1" ht="15.75" customHeight="1" s="93">
      <c r="A476" s="23" t="inlineStr">
        <is>
          <t>0.2208.F001287.0</t>
        </is>
      </c>
      <c r="B476" s="23" t="inlineStr">
        <is>
          <t>F001287</t>
        </is>
      </c>
      <c r="C476" s="29">
        <f>IFERROR(LOWER(SUBSTITUTE(SUBSTITUTE(SUBSTITUTE(SUBSTITUTE(D476," ","-"),"/","-"),".",""),",","")),"")</f>
        <v/>
      </c>
      <c r="D476" s="23" t="inlineStr">
        <is>
          <t>MOLA DO EMPURRADOR - GRAMPEADORA PNEUM. CP BEMAX RZ 19/22</t>
        </is>
      </c>
      <c r="E476" s="23" t="n"/>
      <c r="F476" s="23" t="inlineStr">
        <is>
          <t>SOHIPREN</t>
        </is>
      </c>
      <c r="G476" s="23" t="n"/>
      <c r="H476" s="23" t="inlineStr">
        <is>
          <t>draft</t>
        </is>
      </c>
      <c r="I476" s="23" t="inlineStr">
        <is>
          <t>GLOBAL MAX</t>
        </is>
      </c>
      <c r="J476" s="23" t="n"/>
      <c r="K476" s="23" t="n"/>
      <c r="L476" s="23" t="inlineStr">
        <is>
          <t>91003501</t>
        </is>
      </c>
      <c r="M476" s="31" t="n"/>
      <c r="N476" s="31" t="n"/>
      <c r="O476" s="31" t="n"/>
      <c r="P476" s="31" t="n"/>
      <c r="Q476" s="31" t="n"/>
      <c r="R476" s="34">
        <f>IFERROR(IF(AND(O476&gt;0,P476&gt;0,Q476&gt;0),(O476*P476*Q476)/6000,""),"")</f>
        <v/>
      </c>
      <c r="S476" s="34">
        <f>IFERROR(IF(AND(N476&gt;0,R476&gt;0),MAX(N476,R476),IF(N476&gt;0,N476,IF(R476&gt;0,R476,""))),"")</f>
        <v/>
      </c>
      <c r="T476" s="36" t="n"/>
      <c r="U476" s="38" t="inlineStr">
        <is>
          <t>FALTA</t>
        </is>
      </c>
      <c r="V476" s="36" t="n">
        <v>285</v>
      </c>
      <c r="W476" s="39" t="n">
        <v>0.3</v>
      </c>
      <c r="X476" s="41">
        <f>IFERROR(V476+T476,"")</f>
        <v/>
      </c>
      <c r="Y476" s="41">
        <f>IFERROR(IF(W476&lt;1,X476/(1-W476),""),"")</f>
        <v/>
      </c>
      <c r="Z476" s="43">
        <f>'01_CONFIG_GLOBAL'!$C$14</f>
        <v/>
      </c>
      <c r="AA476" s="41">
        <f>IFERROR(Y476*Z476,"")</f>
        <v/>
      </c>
      <c r="AB476" s="41">
        <f>IFERROR(IF(Z476&lt;1,Y476/(1-Z476),""),"")</f>
        <v/>
      </c>
      <c r="AC476" s="23" t="n"/>
      <c r="AD476" s="36" t="n"/>
      <c r="AE476" s="23" t="n"/>
      <c r="AF476" s="36" t="n"/>
      <c r="AG476" s="23" t="n"/>
      <c r="AH476" s="36" t="n"/>
      <c r="AI476" s="41">
        <f>IFERROR(AVERAGE(AD476,AF476,AH476),"")</f>
        <v/>
      </c>
      <c r="AJ476" s="29">
        <f>IFERROR(IF(AI476="","sem dados",IF(AB476&lt;AI476*0.95,"abaixo",IF(AB476&gt;AI476*1.05,"acima","em linha"))),"")</f>
        <v/>
      </c>
      <c r="AK476" s="23" t="inlineStr">
        <is>
          <t>não</t>
        </is>
      </c>
      <c r="AL476" s="23" t="n"/>
      <c r="AM476" s="23" t="n"/>
      <c r="AN476" s="23" t="n"/>
      <c r="AO476" s="44">
        <f>A476</f>
        <v/>
      </c>
      <c r="AP476" s="44">
        <f>D476</f>
        <v/>
      </c>
    </row>
    <row r="477" hidden="1" ht="15.75" customHeight="1" s="93">
      <c r="A477" s="23" t="inlineStr">
        <is>
          <t>0.2208.F001288.0</t>
        </is>
      </c>
      <c r="B477" s="23" t="inlineStr">
        <is>
          <t>F001288</t>
        </is>
      </c>
      <c r="C477" s="29">
        <f>IFERROR(LOWER(SUBSTITUTE(SUBSTITUTE(SUBSTITUTE(SUBSTITUTE(D477," ","-"),"/","-"),".",""),",","")),"")</f>
        <v/>
      </c>
      <c r="D477" s="23" t="inlineStr">
        <is>
          <t>EMPURRADOR - GRAMPEADORA PNEUM. CP BEMAX RZ 19/22</t>
        </is>
      </c>
      <c r="E477" s="23" t="n"/>
      <c r="F477" s="23" t="inlineStr">
        <is>
          <t>SOHIPREN</t>
        </is>
      </c>
      <c r="G477" s="23" t="n"/>
      <c r="H477" s="23" t="inlineStr">
        <is>
          <t>draft</t>
        </is>
      </c>
      <c r="I477" s="23" t="inlineStr">
        <is>
          <t>GLOBAL MAX</t>
        </is>
      </c>
      <c r="J477" s="23" t="n"/>
      <c r="K477" s="23" t="n"/>
      <c r="L477" s="23" t="inlineStr">
        <is>
          <t>91003701</t>
        </is>
      </c>
      <c r="M477" s="31" t="n"/>
      <c r="N477" s="31" t="n"/>
      <c r="O477" s="31" t="n"/>
      <c r="P477" s="31" t="n"/>
      <c r="Q477" s="31" t="n"/>
      <c r="R477" s="34">
        <f>IFERROR(IF(AND(O477&gt;0,P477&gt;0,Q477&gt;0),(O477*P477*Q477)/6000,""),"")</f>
        <v/>
      </c>
      <c r="S477" s="34">
        <f>IFERROR(IF(AND(N477&gt;0,R477&gt;0),MAX(N477,R477),IF(N477&gt;0,N477,IF(R477&gt;0,R477,""))),"")</f>
        <v/>
      </c>
      <c r="T477" s="36" t="n"/>
      <c r="U477" s="38" t="inlineStr">
        <is>
          <t>FALTA</t>
        </is>
      </c>
      <c r="V477" s="36" t="n">
        <v>285</v>
      </c>
      <c r="W477" s="39" t="n">
        <v>0.3</v>
      </c>
      <c r="X477" s="41">
        <f>IFERROR(V477+T477,"")</f>
        <v/>
      </c>
      <c r="Y477" s="41">
        <f>IFERROR(IF(W477&lt;1,X477/(1-W477),""),"")</f>
        <v/>
      </c>
      <c r="Z477" s="43">
        <f>'01_CONFIG_GLOBAL'!$C$14</f>
        <v/>
      </c>
      <c r="AA477" s="41">
        <f>IFERROR(Y477*Z477,"")</f>
        <v/>
      </c>
      <c r="AB477" s="41">
        <f>IFERROR(IF(Z477&lt;1,Y477/(1-Z477),""),"")</f>
        <v/>
      </c>
      <c r="AC477" s="23" t="n"/>
      <c r="AD477" s="36" t="n"/>
      <c r="AE477" s="23" t="n"/>
      <c r="AF477" s="36" t="n"/>
      <c r="AG477" s="23" t="n"/>
      <c r="AH477" s="36" t="n"/>
      <c r="AI477" s="41">
        <f>IFERROR(AVERAGE(AD477,AF477,AH477),"")</f>
        <v/>
      </c>
      <c r="AJ477" s="29">
        <f>IFERROR(IF(AI477="","sem dados",IF(AB477&lt;AI477*0.95,"abaixo",IF(AB477&gt;AI477*1.05,"acima","em linha"))),"")</f>
        <v/>
      </c>
      <c r="AK477" s="23" t="inlineStr">
        <is>
          <t>não</t>
        </is>
      </c>
      <c r="AL477" s="23" t="n"/>
      <c r="AM477" s="23" t="n"/>
      <c r="AN477" s="23" t="n"/>
      <c r="AO477" s="44">
        <f>A477</f>
        <v/>
      </c>
      <c r="AP477" s="44">
        <f>D477</f>
        <v/>
      </c>
    </row>
    <row r="478" hidden="1" ht="15.75" customHeight="1" s="93">
      <c r="A478" s="23" t="inlineStr">
        <is>
          <t>5.1621.0670011.0</t>
        </is>
      </c>
      <c r="B478" s="23" t="inlineStr">
        <is>
          <t>670011</t>
        </is>
      </c>
      <c r="C478" s="29">
        <f>IFERROR(LOWER(SUBSTITUTE(SUBSTITUTE(SUBSTITUTE(SUBSTITUTE(D478," ","-"),"/","-"),".",""),",","")),"")</f>
        <v/>
      </c>
      <c r="D478" s="23" t="inlineStr">
        <is>
          <t>MLS 80 C5.C2.P5</t>
        </is>
      </c>
      <c r="E478" s="23" t="n"/>
      <c r="F478" s="23" t="inlineStr">
        <is>
          <t>SOHIPREN</t>
        </is>
      </c>
      <c r="G478" s="23" t="n"/>
      <c r="H478" s="23" t="inlineStr">
        <is>
          <t>draft</t>
        </is>
      </c>
      <c r="I478" s="23" t="inlineStr">
        <is>
          <t>GOMES</t>
        </is>
      </c>
      <c r="J478" s="23" t="inlineStr">
        <is>
          <t>MOTOR ORBITAL 80  Cm³/Rot ( S )</t>
        </is>
      </c>
      <c r="K478" s="23" t="inlineStr">
        <is>
          <t>EMULSÃO</t>
        </is>
      </c>
      <c r="L478" s="23" t="inlineStr">
        <is>
          <t>7818</t>
        </is>
      </c>
      <c r="M478" s="31" t="n"/>
      <c r="N478" s="31" t="n"/>
      <c r="O478" s="31" t="n"/>
      <c r="P478" s="31" t="n"/>
      <c r="Q478" s="31" t="n"/>
      <c r="R478" s="34">
        <f>IFERROR(IF(AND(O478&gt;0,P478&gt;0,Q478&gt;0),(O478*P478*Q478)/6000,""),"")</f>
        <v/>
      </c>
      <c r="S478" s="34">
        <f>IFERROR(IF(AND(N478&gt;0,R478&gt;0),MAX(N478,R478),IF(N478&gt;0,N478,IF(R478&gt;0,R478,""))),"")</f>
        <v/>
      </c>
      <c r="T478" s="36" t="n"/>
      <c r="U478" s="38" t="inlineStr">
        <is>
          <t>FALTA</t>
        </is>
      </c>
      <c r="V478" s="36" t="n">
        <v>1397.23</v>
      </c>
      <c r="W478" s="39" t="n">
        <v>0.3</v>
      </c>
      <c r="X478" s="41">
        <f>IFERROR(V478+T478,"")</f>
        <v/>
      </c>
      <c r="Y478" s="41">
        <f>IFERROR(IF(W478&lt;1,X478/(1-W478),""),"")</f>
        <v/>
      </c>
      <c r="Z478" s="43">
        <f>'01_CONFIG_GLOBAL'!$C$14</f>
        <v/>
      </c>
      <c r="AA478" s="41">
        <f>IFERROR(Y478*Z478,"")</f>
        <v/>
      </c>
      <c r="AB478" s="41">
        <f>IFERROR(IF(Z478&lt;1,Y478/(1-Z478),""),"")</f>
        <v/>
      </c>
      <c r="AC478" s="23" t="n"/>
      <c r="AD478" s="36" t="n"/>
      <c r="AE478" s="23" t="n"/>
      <c r="AF478" s="36" t="n"/>
      <c r="AG478" s="23" t="n"/>
      <c r="AH478" s="36" t="n"/>
      <c r="AI478" s="41">
        <f>IFERROR(AVERAGE(AD478,AF478,AH478),"")</f>
        <v/>
      </c>
      <c r="AJ478" s="29">
        <f>IFERROR(IF(AI478="","sem dados",IF(AB478&lt;AI478*0.95,"abaixo",IF(AB478&gt;AI478*1.05,"acima","em linha"))),"")</f>
        <v/>
      </c>
      <c r="AK478" s="23" t="inlineStr">
        <is>
          <t>não</t>
        </is>
      </c>
      <c r="AL478" s="23" t="n"/>
      <c r="AM478" s="23" t="n"/>
      <c r="AN478" s="23" t="n"/>
      <c r="AO478" s="44">
        <f>A478</f>
        <v/>
      </c>
      <c r="AP478" s="44">
        <f>D478</f>
        <v/>
      </c>
    </row>
    <row r="479" hidden="1" ht="15.75" customHeight="1" s="93">
      <c r="A479" s="23" t="inlineStr">
        <is>
          <t>6.0402.L060210.0</t>
        </is>
      </c>
      <c r="B479" s="23" t="inlineStr">
        <is>
          <t>L060210</t>
        </is>
      </c>
      <c r="C479" s="29">
        <f>IFERROR(LOWER(SUBSTITUTE(SUBSTITUTE(SUBSTITUTE(SUBSTITUTE(D479," ","-"),"/","-"),".",""),",","")),"")</f>
        <v/>
      </c>
      <c r="D479" s="23" t="inlineStr">
        <is>
          <t>VM50 01 CADD</t>
        </is>
      </c>
      <c r="E479" s="23" t="n"/>
      <c r="F479" s="23" t="inlineStr">
        <is>
          <t>SOHIPREN</t>
        </is>
      </c>
      <c r="G479" s="23" t="n"/>
      <c r="H479" s="23" t="inlineStr">
        <is>
          <t>draft</t>
        </is>
      </c>
      <c r="I479" s="23" t="inlineStr">
        <is>
          <t>GOMES</t>
        </is>
      </c>
      <c r="J479" s="23" t="inlineStr">
        <is>
          <t>COMBOMBA HIDRÁULICA - APLICAÇÃOO</t>
        </is>
      </c>
      <c r="K479" s="23" t="inlineStr">
        <is>
          <t>COMANDO</t>
        </is>
      </c>
      <c r="L479" s="23" t="inlineStr">
        <is>
          <t>7823</t>
        </is>
      </c>
      <c r="M479" s="31" t="n"/>
      <c r="N479" s="31" t="n"/>
      <c r="O479" s="31" t="n"/>
      <c r="P479" s="31" t="n"/>
      <c r="Q479" s="31" t="n"/>
      <c r="R479" s="34">
        <f>IFERROR(IF(AND(O479&gt;0,P479&gt;0,Q479&gt;0),(O479*P479*Q479)/6000,""),"")</f>
        <v/>
      </c>
      <c r="S479" s="34">
        <f>IFERROR(IF(AND(N479&gt;0,R479&gt;0),MAX(N479,R479),IF(N479&gt;0,N479,IF(R479&gt;0,R479,""))),"")</f>
        <v/>
      </c>
      <c r="T479" s="36" t="n"/>
      <c r="U479" s="38" t="inlineStr">
        <is>
          <t>FALTA</t>
        </is>
      </c>
      <c r="V479" s="36" t="n">
        <v>998</v>
      </c>
      <c r="W479" s="39" t="n">
        <v>0.3</v>
      </c>
      <c r="X479" s="41">
        <f>IFERROR(V479+T479,"")</f>
        <v/>
      </c>
      <c r="Y479" s="41">
        <f>IFERROR(IF(W479&lt;1,X479/(1-W479),""),"")</f>
        <v/>
      </c>
      <c r="Z479" s="43">
        <f>'01_CONFIG_GLOBAL'!$C$14</f>
        <v/>
      </c>
      <c r="AA479" s="41">
        <f>IFERROR(Y479*Z479,"")</f>
        <v/>
      </c>
      <c r="AB479" s="41">
        <f>IFERROR(IF(Z479&lt;1,Y479/(1-Z479),""),"")</f>
        <v/>
      </c>
      <c r="AC479" s="23" t="n"/>
      <c r="AD479" s="36" t="n"/>
      <c r="AE479" s="23" t="n"/>
      <c r="AF479" s="36" t="n"/>
      <c r="AG479" s="23" t="n"/>
      <c r="AH479" s="36" t="n"/>
      <c r="AI479" s="41">
        <f>IFERROR(AVERAGE(AD479,AF479,AH479),"")</f>
        <v/>
      </c>
      <c r="AJ479" s="29">
        <f>IFERROR(IF(AI479="","sem dados",IF(AB479&lt;AI479*0.95,"abaixo",IF(AB479&gt;AI479*1.05,"acima","em linha"))),"")</f>
        <v/>
      </c>
      <c r="AK479" s="23" t="inlineStr">
        <is>
          <t>não</t>
        </is>
      </c>
      <c r="AL479" s="23" t="n"/>
      <c r="AM479" s="23" t="n"/>
      <c r="AN479" s="23" t="n"/>
      <c r="AO479" s="44">
        <f>A479</f>
        <v/>
      </c>
      <c r="AP479" s="44">
        <f>D479</f>
        <v/>
      </c>
    </row>
    <row r="480" hidden="1" ht="15.75" customHeight="1" s="93">
      <c r="A480" s="23" t="inlineStr">
        <is>
          <t>6.0501.L060557.0</t>
        </is>
      </c>
      <c r="B480" s="23" t="inlineStr">
        <is>
          <t>L060557</t>
        </is>
      </c>
      <c r="C480" s="29">
        <f>IFERROR(LOWER(SUBSTITUTE(SUBSTITUTE(SUBSTITUTE(SUBSTITUTE(D480," ","-"),"/","-"),".",""),",","")),"")</f>
        <v/>
      </c>
      <c r="D480" s="23" t="inlineStr">
        <is>
          <t>VM100 01 CADD</t>
        </is>
      </c>
      <c r="E480" s="23" t="n"/>
      <c r="F480" s="23" t="inlineStr">
        <is>
          <t>SOHIPREN</t>
        </is>
      </c>
      <c r="G480" s="23" t="n"/>
      <c r="H480" s="23" t="inlineStr">
        <is>
          <t>draft</t>
        </is>
      </c>
      <c r="I480" s="23" t="inlineStr">
        <is>
          <t>GOMES</t>
        </is>
      </c>
      <c r="J480" s="23" t="inlineStr">
        <is>
          <t>CARRO OFICINA</t>
        </is>
      </c>
      <c r="K480" s="23" t="inlineStr">
        <is>
          <t>COMANDO DE ACIONAMENTO DO GERADOR</t>
        </is>
      </c>
      <c r="L480" s="23" t="inlineStr">
        <is>
          <t>9288</t>
        </is>
      </c>
      <c r="M480" s="31" t="n"/>
      <c r="N480" s="31" t="n"/>
      <c r="O480" s="31" t="n"/>
      <c r="P480" s="31" t="n"/>
      <c r="Q480" s="31" t="n"/>
      <c r="R480" s="34">
        <f>IFERROR(IF(AND(O480&gt;0,P480&gt;0,Q480&gt;0),(O480*P480*Q480)/6000,""),"")</f>
        <v/>
      </c>
      <c r="S480" s="34">
        <f>IFERROR(IF(AND(N480&gt;0,R480&gt;0),MAX(N480,R480),IF(N480&gt;0,N480,IF(R480&gt;0,R480,""))),"")</f>
        <v/>
      </c>
      <c r="T480" s="36" t="n"/>
      <c r="U480" s="38" t="inlineStr">
        <is>
          <t>FALTA</t>
        </is>
      </c>
      <c r="V480" s="36" t="n">
        <v>1885</v>
      </c>
      <c r="W480" s="39" t="n">
        <v>0.3</v>
      </c>
      <c r="X480" s="41">
        <f>IFERROR(V480+T480,"")</f>
        <v/>
      </c>
      <c r="Y480" s="41">
        <f>IFERROR(IF(W480&lt;1,X480/(1-W480),""),"")</f>
        <v/>
      </c>
      <c r="Z480" s="43">
        <f>'01_CONFIG_GLOBAL'!$C$14</f>
        <v/>
      </c>
      <c r="AA480" s="41">
        <f>IFERROR(Y480*Z480,"")</f>
        <v/>
      </c>
      <c r="AB480" s="41">
        <f>IFERROR(IF(Z480&lt;1,Y480/(1-Z480),""),"")</f>
        <v/>
      </c>
      <c r="AC480" s="23" t="n"/>
      <c r="AD480" s="36" t="n"/>
      <c r="AE480" s="23" t="n"/>
      <c r="AF480" s="36" t="n"/>
      <c r="AG480" s="23" t="n"/>
      <c r="AH480" s="36" t="n"/>
      <c r="AI480" s="41">
        <f>IFERROR(AVERAGE(AD480,AF480,AH480),"")</f>
        <v/>
      </c>
      <c r="AJ480" s="29">
        <f>IFERROR(IF(AI480="","sem dados",IF(AB480&lt;AI480*0.95,"abaixo",IF(AB480&gt;AI480*1.05,"acima","em linha"))),"")</f>
        <v/>
      </c>
      <c r="AK480" s="23" t="inlineStr">
        <is>
          <t>não</t>
        </is>
      </c>
      <c r="AL480" s="23" t="n"/>
      <c r="AM480" s="23" t="n"/>
      <c r="AN480" s="23" t="n"/>
      <c r="AO480" s="44">
        <f>A480</f>
        <v/>
      </c>
      <c r="AP480" s="44">
        <f>D480</f>
        <v/>
      </c>
    </row>
    <row r="481" hidden="1" ht="15.75" customHeight="1" s="93">
      <c r="A481" s="23" t="inlineStr">
        <is>
          <t>6.0505.L060553.0</t>
        </is>
      </c>
      <c r="B481" s="23" t="inlineStr">
        <is>
          <t>L060553</t>
        </is>
      </c>
      <c r="C481" s="29">
        <f>IFERROR(LOWER(SUBSTITUTE(SUBSTITUTE(SUBSTITUTE(SUBSTITUTE(D481," ","-"),"/","-"),".",""),",","")),"")</f>
        <v/>
      </c>
      <c r="D481" s="23" t="inlineStr">
        <is>
          <t>VM100 05 CADD/CADD/CADD/CADD/CADD-160 BAR</t>
        </is>
      </c>
      <c r="E481" s="23" t="n"/>
      <c r="F481" s="23" t="inlineStr">
        <is>
          <t>SOHIPREN</t>
        </is>
      </c>
      <c r="G481" s="23" t="n"/>
      <c r="H481" s="23" t="inlineStr">
        <is>
          <t>draft</t>
        </is>
      </c>
      <c r="I481" s="23" t="inlineStr">
        <is>
          <t>GOMES</t>
        </is>
      </c>
      <c r="J481" s="23" t="inlineStr">
        <is>
          <t>COMBOMBA HIDRÁULICA - APLICAÇÃOO</t>
        </is>
      </c>
      <c r="K481" s="23" t="inlineStr">
        <is>
          <t>COMANDO</t>
        </is>
      </c>
      <c r="L481" s="23" t="inlineStr">
        <is>
          <t>7824</t>
        </is>
      </c>
      <c r="M481" s="31" t="n"/>
      <c r="N481" s="31" t="n"/>
      <c r="O481" s="31" t="n"/>
      <c r="P481" s="31" t="n"/>
      <c r="Q481" s="31" t="n"/>
      <c r="R481" s="34">
        <f>IFERROR(IF(AND(O481&gt;0,P481&gt;0,Q481&gt;0),(O481*P481*Q481)/6000,""),"")</f>
        <v/>
      </c>
      <c r="S481" s="34">
        <f>IFERROR(IF(AND(N481&gt;0,R481&gt;0),MAX(N481,R481),IF(N481&gt;0,N481,IF(R481&gt;0,R481,""))),"")</f>
        <v/>
      </c>
      <c r="T481" s="36" t="n"/>
      <c r="U481" s="38" t="inlineStr">
        <is>
          <t>FALTA</t>
        </is>
      </c>
      <c r="V481" s="36" t="n">
        <v>2640</v>
      </c>
      <c r="W481" s="39" t="n">
        <v>0.3</v>
      </c>
      <c r="X481" s="41">
        <f>IFERROR(V481+T481,"")</f>
        <v/>
      </c>
      <c r="Y481" s="41">
        <f>IFERROR(IF(W481&lt;1,X481/(1-W481),""),"")</f>
        <v/>
      </c>
      <c r="Z481" s="43">
        <f>'01_CONFIG_GLOBAL'!$C$14</f>
        <v/>
      </c>
      <c r="AA481" s="41">
        <f>IFERROR(Y481*Z481,"")</f>
        <v/>
      </c>
      <c r="AB481" s="41">
        <f>IFERROR(IF(Z481&lt;1,Y481/(1-Z481),""),"")</f>
        <v/>
      </c>
      <c r="AC481" s="23" t="n"/>
      <c r="AD481" s="36" t="n"/>
      <c r="AE481" s="23" t="n"/>
      <c r="AF481" s="36" t="n"/>
      <c r="AG481" s="23" t="n"/>
      <c r="AH481" s="36" t="n"/>
      <c r="AI481" s="41">
        <f>IFERROR(AVERAGE(AD481,AF481,AH481),"")</f>
        <v/>
      </c>
      <c r="AJ481" s="29">
        <f>IFERROR(IF(AI481="","sem dados",IF(AB481&lt;AI481*0.95,"abaixo",IF(AB481&gt;AI481*1.05,"acima","em linha"))),"")</f>
        <v/>
      </c>
      <c r="AK481" s="23" t="inlineStr">
        <is>
          <t>não</t>
        </is>
      </c>
      <c r="AL481" s="23" t="n"/>
      <c r="AM481" s="23" t="n"/>
      <c r="AN481" s="23" t="n"/>
      <c r="AO481" s="44">
        <f>A481</f>
        <v/>
      </c>
      <c r="AP481" s="44">
        <f>D481</f>
        <v/>
      </c>
    </row>
    <row r="482" hidden="1" ht="15.75" customHeight="1" s="93">
      <c r="A482" s="23" t="inlineStr">
        <is>
          <t>6.0506.L060559.0</t>
        </is>
      </c>
      <c r="B482" s="23" t="inlineStr">
        <is>
          <t>L060559</t>
        </is>
      </c>
      <c r="C482" s="29">
        <f>IFERROR(LOWER(SUBSTITUTE(SUBSTITUTE(SUBSTITUTE(SUBSTITUTE(D482," ","-"),"/","-"),".",""),",","")),"")</f>
        <v/>
      </c>
      <c r="D482" s="23" t="inlineStr">
        <is>
          <t>VM100 06 CADD/CADD/CADD/CADD/CADD/CADD-160 BAR</t>
        </is>
      </c>
      <c r="E482" s="23" t="n"/>
      <c r="F482" s="23" t="inlineStr">
        <is>
          <t>SOHIPREN</t>
        </is>
      </c>
      <c r="G482" s="23" t="n"/>
      <c r="H482" s="23" t="inlineStr">
        <is>
          <t>draft</t>
        </is>
      </c>
      <c r="I482" s="23" t="inlineStr">
        <is>
          <t>GOMES</t>
        </is>
      </c>
      <c r="J482" s="23" t="inlineStr">
        <is>
          <t>COMBOMBA HIDRÁULICA - APLICAÇÃOO</t>
        </is>
      </c>
      <c r="K482" s="23" t="inlineStr">
        <is>
          <t>COMANDO FUNÇÕES DE ABASTECIMENTO</t>
        </is>
      </c>
      <c r="L482" s="23" t="inlineStr">
        <is>
          <t>7829</t>
        </is>
      </c>
      <c r="M482" s="31" t="n"/>
      <c r="N482" s="31" t="n"/>
      <c r="O482" s="31" t="n"/>
      <c r="P482" s="31" t="n"/>
      <c r="Q482" s="31" t="n"/>
      <c r="R482" s="34">
        <f>IFERROR(IF(AND(O482&gt;0,P482&gt;0,Q482&gt;0),(O482*P482*Q482)/6000,""),"")</f>
        <v/>
      </c>
      <c r="S482" s="34">
        <f>IFERROR(IF(AND(N482&gt;0,R482&gt;0),MAX(N482,R482),IF(N482&gt;0,N482,IF(R482&gt;0,R482,""))),"")</f>
        <v/>
      </c>
      <c r="T482" s="36" t="n"/>
      <c r="U482" s="38" t="inlineStr">
        <is>
          <t>FALTA</t>
        </is>
      </c>
      <c r="V482" s="36" t="n">
        <v>5300</v>
      </c>
      <c r="W482" s="39" t="n">
        <v>0.3</v>
      </c>
      <c r="X482" s="41">
        <f>IFERROR(V482+T482,"")</f>
        <v/>
      </c>
      <c r="Y482" s="41">
        <f>IFERROR(IF(W482&lt;1,X482/(1-W482),""),"")</f>
        <v/>
      </c>
      <c r="Z482" s="43">
        <f>'01_CONFIG_GLOBAL'!$C$14</f>
        <v/>
      </c>
      <c r="AA482" s="41">
        <f>IFERROR(Y482*Z482,"")</f>
        <v/>
      </c>
      <c r="AB482" s="41">
        <f>IFERROR(IF(Z482&lt;1,Y482/(1-Z482),""),"")</f>
        <v/>
      </c>
      <c r="AC482" s="23" t="n"/>
      <c r="AD482" s="36" t="n"/>
      <c r="AE482" s="23" t="n"/>
      <c r="AF482" s="36" t="n"/>
      <c r="AG482" s="23" t="n"/>
      <c r="AH482" s="36" t="n"/>
      <c r="AI482" s="41">
        <f>IFERROR(AVERAGE(AD482,AF482,AH482),"")</f>
        <v/>
      </c>
      <c r="AJ482" s="29">
        <f>IFERROR(IF(AI482="","sem dados",IF(AB482&lt;AI482*0.95,"abaixo",IF(AB482&gt;AI482*1.05,"acima","em linha"))),"")</f>
        <v/>
      </c>
      <c r="AK482" s="23" t="inlineStr">
        <is>
          <t>não</t>
        </is>
      </c>
      <c r="AL482" s="23" t="n"/>
      <c r="AM482" s="23" t="n"/>
      <c r="AN482" s="23" t="n"/>
      <c r="AO482" s="44">
        <f>A482</f>
        <v/>
      </c>
      <c r="AP482" s="44">
        <f>D482</f>
        <v/>
      </c>
    </row>
    <row r="483" hidden="1" ht="15.75" customHeight="1" s="93">
      <c r="A483" s="23" t="inlineStr">
        <is>
          <t>6.5001.L082553.1</t>
        </is>
      </c>
      <c r="B483" s="23" t="inlineStr">
        <is>
          <t>L082553</t>
        </is>
      </c>
      <c r="C483" s="29">
        <f>IFERROR(LOWER(SUBSTITUTE(SUBSTITUTE(SUBSTITUTE(SUBSTITUTE(D483," ","-"),"/","-"),".",""),",","")),"")</f>
        <v/>
      </c>
      <c r="D483" s="23" t="inlineStr">
        <is>
          <t>VÁLVULA LIMITADORA DE PRESSÃO 1" BSP</t>
        </is>
      </c>
      <c r="E483" s="23" t="n"/>
      <c r="F483" s="23" t="inlineStr">
        <is>
          <t>SOHIPREN</t>
        </is>
      </c>
      <c r="G483" s="23" t="n"/>
      <c r="H483" s="23" t="inlineStr">
        <is>
          <t>draft</t>
        </is>
      </c>
      <c r="I483" s="23" t="inlineStr">
        <is>
          <t>GOMES</t>
        </is>
      </c>
      <c r="J483" s="23" t="inlineStr">
        <is>
          <t>COMBOMBA HIDRÁULICA - APLICAÇÃOO</t>
        </is>
      </c>
      <c r="K483" s="23" t="inlineStr">
        <is>
          <t>VÁLVULA LIMITADOROA DE PRESSÃO ABASTECIMENTO</t>
        </is>
      </c>
      <c r="L483" s="23" t="inlineStr">
        <is>
          <t>7827</t>
        </is>
      </c>
      <c r="M483" s="31" t="n"/>
      <c r="N483" s="31" t="n"/>
      <c r="O483" s="31" t="n"/>
      <c r="P483" s="31" t="n"/>
      <c r="Q483" s="31" t="n"/>
      <c r="R483" s="34">
        <f>IFERROR(IF(AND(O483&gt;0,P483&gt;0,Q483&gt;0),(O483*P483*Q483)/6000,""),"")</f>
        <v/>
      </c>
      <c r="S483" s="34">
        <f>IFERROR(IF(AND(N483&gt;0,R483&gt;0),MAX(N483,R483),IF(N483&gt;0,N483,IF(R483&gt;0,R483,""))),"")</f>
        <v/>
      </c>
      <c r="T483" s="36" t="n"/>
      <c r="U483" s="38" t="inlineStr">
        <is>
          <t>FALTA</t>
        </is>
      </c>
      <c r="V483" s="36" t="n">
        <v>187</v>
      </c>
      <c r="W483" s="39" t="n">
        <v>0.3</v>
      </c>
      <c r="X483" s="41">
        <f>IFERROR(V483+T483,"")</f>
        <v/>
      </c>
      <c r="Y483" s="41">
        <f>IFERROR(IF(W483&lt;1,X483/(1-W483),""),"")</f>
        <v/>
      </c>
      <c r="Z483" s="43">
        <f>'01_CONFIG_GLOBAL'!$C$14</f>
        <v/>
      </c>
      <c r="AA483" s="41">
        <f>IFERROR(Y483*Z483,"")</f>
        <v/>
      </c>
      <c r="AB483" s="41">
        <f>IFERROR(IF(Z483&lt;1,Y483/(1-Z483),""),"")</f>
        <v/>
      </c>
      <c r="AC483" s="23" t="n"/>
      <c r="AD483" s="36" t="n"/>
      <c r="AE483" s="23" t="n"/>
      <c r="AF483" s="36" t="n"/>
      <c r="AG483" s="23" t="n"/>
      <c r="AH483" s="36" t="n"/>
      <c r="AI483" s="41">
        <f>IFERROR(AVERAGE(AD483,AF483,AH483),"")</f>
        <v/>
      </c>
      <c r="AJ483" s="29">
        <f>IFERROR(IF(AI483="","sem dados",IF(AB483&lt;AI483*0.95,"abaixo",IF(AB483&gt;AI483*1.05,"acima","em linha"))),"")</f>
        <v/>
      </c>
      <c r="AK483" s="23" t="inlineStr">
        <is>
          <t>não</t>
        </is>
      </c>
      <c r="AL483" s="23" t="n"/>
      <c r="AM483" s="23" t="n"/>
      <c r="AN483" s="23" t="n"/>
      <c r="AO483" s="44">
        <f>A483</f>
        <v/>
      </c>
      <c r="AP483" s="44">
        <f>D483</f>
        <v/>
      </c>
    </row>
    <row r="484" hidden="1" ht="15.75" customHeight="1" s="93">
      <c r="A484" s="23" t="inlineStr">
        <is>
          <t>0.2207.L082276.1</t>
        </is>
      </c>
      <c r="B484" s="23" t="inlineStr">
        <is>
          <t>L082276.1</t>
        </is>
      </c>
      <c r="C484" s="29">
        <f>IFERROR(LOWER(SUBSTITUTE(SUBSTITUTE(SUBSTITUTE(SUBSTITUTE(D484," ","-"),"/","-"),".",""),",","")),"")</f>
        <v/>
      </c>
      <c r="D484" s="23" t="inlineStr">
        <is>
          <t>FILTRO DE RETORNO 80 LPM - TANQUE 1'' BSP</t>
        </is>
      </c>
      <c r="E484" s="23" t="n"/>
      <c r="F484" s="23" t="inlineStr">
        <is>
          <t>SOHIPREN</t>
        </is>
      </c>
      <c r="G484" s="23" t="n"/>
      <c r="H484" s="23" t="inlineStr">
        <is>
          <t>draft</t>
        </is>
      </c>
      <c r="I484" s="23" t="inlineStr">
        <is>
          <t>GOMES</t>
        </is>
      </c>
      <c r="J484" s="23" t="inlineStr">
        <is>
          <t>COMBOMBA HIDRÁULICA - APLICAÇÃOO</t>
        </is>
      </c>
      <c r="K484" s="23" t="inlineStr">
        <is>
          <t>FILTRO DE RETORNO MOTOBOMBA</t>
        </is>
      </c>
      <c r="L484" s="23" t="inlineStr">
        <is>
          <t>7826</t>
        </is>
      </c>
      <c r="M484" s="31" t="n"/>
      <c r="N484" s="31" t="n"/>
      <c r="O484" s="31" t="n"/>
      <c r="P484" s="31" t="n"/>
      <c r="Q484" s="31" t="n"/>
      <c r="R484" s="34">
        <f>IFERROR(IF(AND(O484&gt;0,P484&gt;0,Q484&gt;0),(O484*P484*Q484)/6000,""),"")</f>
        <v/>
      </c>
      <c r="S484" s="34">
        <f>IFERROR(IF(AND(N484&gt;0,R484&gt;0),MAX(N484,R484),IF(N484&gt;0,N484,IF(R484&gt;0,R484,""))),"")</f>
        <v/>
      </c>
      <c r="T484" s="36" t="n"/>
      <c r="U484" s="38" t="inlineStr">
        <is>
          <t>FALTA</t>
        </is>
      </c>
      <c r="V484" s="36" t="n">
        <v>187</v>
      </c>
      <c r="W484" s="39" t="n">
        <v>0.3</v>
      </c>
      <c r="X484" s="41">
        <f>IFERROR(V484+T484,"")</f>
        <v/>
      </c>
      <c r="Y484" s="41">
        <f>IFERROR(IF(W484&lt;1,X484/(1-W484),""),"")</f>
        <v/>
      </c>
      <c r="Z484" s="43">
        <f>'01_CONFIG_GLOBAL'!$C$14</f>
        <v/>
      </c>
      <c r="AA484" s="41">
        <f>IFERROR(Y484*Z484,"")</f>
        <v/>
      </c>
      <c r="AB484" s="41">
        <f>IFERROR(IF(Z484&lt;1,Y484/(1-Z484),""),"")</f>
        <v/>
      </c>
      <c r="AC484" s="23" t="n"/>
      <c r="AD484" s="36" t="n"/>
      <c r="AE484" s="23" t="n"/>
      <c r="AF484" s="36" t="n"/>
      <c r="AG484" s="23" t="n"/>
      <c r="AH484" s="36" t="n"/>
      <c r="AI484" s="41">
        <f>IFERROR(AVERAGE(AD484,AF484,AH484),"")</f>
        <v/>
      </c>
      <c r="AJ484" s="29">
        <f>IFERROR(IF(AI484="","sem dados",IF(AB484&lt;AI484*0.95,"abaixo",IF(AB484&gt;AI484*1.05,"acima","em linha"))),"")</f>
        <v/>
      </c>
      <c r="AK484" s="23" t="inlineStr">
        <is>
          <t>não</t>
        </is>
      </c>
      <c r="AL484" s="23" t="n"/>
      <c r="AM484" s="23" t="n"/>
      <c r="AN484" s="23" t="n"/>
      <c r="AO484" s="44">
        <f>A484</f>
        <v/>
      </c>
      <c r="AP484" s="44">
        <f>D484</f>
        <v/>
      </c>
    </row>
    <row r="485" hidden="1" ht="15.75" customHeight="1" s="93">
      <c r="A485" s="23" t="inlineStr">
        <is>
          <t>5.5208.L008180.0</t>
        </is>
      </c>
      <c r="B485" s="23" t="inlineStr">
        <is>
          <t>L00818</t>
        </is>
      </c>
      <c r="C485" s="29">
        <f>IFERROR(LOWER(SUBSTITUTE(SUBSTITUTE(SUBSTITUTE(SUBSTITUTE(D485," ","-"),"/","-"),".",""),",","")),"")</f>
        <v/>
      </c>
      <c r="D485" s="23" t="inlineStr">
        <is>
          <t>MUI BO 19 C11.C.C1.L</t>
        </is>
      </c>
      <c r="E485" s="23" t="n"/>
      <c r="F485" s="23" t="inlineStr">
        <is>
          <t>SOHIPREN</t>
        </is>
      </c>
      <c r="G485" s="23" t="n"/>
      <c r="H485" s="23" t="inlineStr">
        <is>
          <t>draft</t>
        </is>
      </c>
      <c r="I485" s="23" t="inlineStr">
        <is>
          <t>GOMES</t>
        </is>
      </c>
      <c r="J485" s="23" t="inlineStr">
        <is>
          <t>COMBOMBA HIDRÁULICA - APLICAÇÃOO</t>
        </is>
      </c>
      <c r="K485" s="23" t="inlineStr">
        <is>
          <t>MOTOR</t>
        </is>
      </c>
      <c r="L485" s="23" t="inlineStr">
        <is>
          <t>7821</t>
        </is>
      </c>
      <c r="M485" s="31" t="n"/>
      <c r="N485" s="31" t="n"/>
      <c r="O485" s="31" t="n"/>
      <c r="P485" s="31" t="n"/>
      <c r="Q485" s="31" t="n"/>
      <c r="R485" s="34">
        <f>IFERROR(IF(AND(O485&gt;0,P485&gt;0,Q485&gt;0),(O485*P485*Q485)/6000,""),"")</f>
        <v/>
      </c>
      <c r="S485" s="34">
        <f>IFERROR(IF(AND(N485&gt;0,R485&gt;0),MAX(N485,R485),IF(N485&gt;0,N485,IF(R485&gt;0,R485,""))),"")</f>
        <v/>
      </c>
      <c r="T485" s="36" t="n"/>
      <c r="U485" s="38" t="inlineStr">
        <is>
          <t>FALTA</t>
        </is>
      </c>
      <c r="V485" s="36" t="n">
        <v>544.5</v>
      </c>
      <c r="W485" s="39" t="n">
        <v>0.3</v>
      </c>
      <c r="X485" s="41">
        <f>IFERROR(V485+T485,"")</f>
        <v/>
      </c>
      <c r="Y485" s="41">
        <f>IFERROR(IF(W485&lt;1,X485/(1-W485),""),"")</f>
        <v/>
      </c>
      <c r="Z485" s="43">
        <f>'01_CONFIG_GLOBAL'!$C$14</f>
        <v/>
      </c>
      <c r="AA485" s="41">
        <f>IFERROR(Y485*Z485,"")</f>
        <v/>
      </c>
      <c r="AB485" s="41">
        <f>IFERROR(IF(Z485&lt;1,Y485/(1-Z485),""),"")</f>
        <v/>
      </c>
      <c r="AC485" s="23" t="n"/>
      <c r="AD485" s="36" t="n"/>
      <c r="AE485" s="23" t="n"/>
      <c r="AF485" s="36" t="n"/>
      <c r="AG485" s="23" t="n"/>
      <c r="AH485" s="36" t="n"/>
      <c r="AI485" s="41">
        <f>IFERROR(AVERAGE(AD485,AF485,AH485),"")</f>
        <v/>
      </c>
      <c r="AJ485" s="29">
        <f>IFERROR(IF(AI485="","sem dados",IF(AB485&lt;AI485*0.95,"abaixo",IF(AB485&gt;AI485*1.05,"acima","em linha"))),"")</f>
        <v/>
      </c>
      <c r="AK485" s="23" t="inlineStr">
        <is>
          <t>não</t>
        </is>
      </c>
      <c r="AL485" s="23" t="n"/>
      <c r="AM485" s="23" t="n"/>
      <c r="AN485" s="23" t="n"/>
      <c r="AO485" s="44">
        <f>A485</f>
        <v/>
      </c>
      <c r="AP485" s="44">
        <f>D485</f>
        <v/>
      </c>
    </row>
    <row r="486" hidden="1" ht="15.75" customHeight="1" s="93">
      <c r="A486" s="23" t="inlineStr">
        <is>
          <t>5.0506.L007460.0</t>
        </is>
      </c>
      <c r="B486" s="23" t="inlineStr">
        <is>
          <t>L00746</t>
        </is>
      </c>
      <c r="C486" s="29">
        <f>IFERROR(LOWER(SUBSTITUTE(SUBSTITUTE(SUBSTITUTE(SUBSTITUTE(D486," ","-"),"/","-"),".",""),",","")),"")</f>
        <v/>
      </c>
      <c r="D486" s="23" t="inlineStr">
        <is>
          <t>MUI MC1 32 201.1.37.323.61</t>
        </is>
      </c>
      <c r="E486" s="23" t="n"/>
      <c r="F486" s="23" t="inlineStr">
        <is>
          <t>SOHIPREN</t>
        </is>
      </c>
      <c r="G486" s="23" t="n"/>
      <c r="H486" s="23" t="inlineStr">
        <is>
          <t>draft</t>
        </is>
      </c>
      <c r="I486" s="23" t="inlineStr">
        <is>
          <t>GOMES</t>
        </is>
      </c>
      <c r="J486" s="23" t="inlineStr">
        <is>
          <t>COMBOMBA HIDRÁULICA - APLICAÇÃOO</t>
        </is>
      </c>
      <c r="K486" s="23" t="inlineStr">
        <is>
          <t>MOTOR BOMBA KRAFT</t>
        </is>
      </c>
      <c r="L486" s="23" t="inlineStr">
        <is>
          <t>7822</t>
        </is>
      </c>
      <c r="M486" s="31" t="n"/>
      <c r="N486" s="31" t="n"/>
      <c r="O486" s="31" t="n"/>
      <c r="P486" s="31" t="n"/>
      <c r="Q486" s="31" t="n"/>
      <c r="R486" s="34">
        <f>IFERROR(IF(AND(O486&gt;0,P486&gt;0,Q486&gt;0),(O486*P486*Q486)/6000,""),"")</f>
        <v/>
      </c>
      <c r="S486" s="34">
        <f>IFERROR(IF(AND(N486&gt;0,R486&gt;0),MAX(N486,R486),IF(N486&gt;0,N486,IF(R486&gt;0,R486,""))),"")</f>
        <v/>
      </c>
      <c r="T486" s="36" t="n"/>
      <c r="U486" s="38" t="inlineStr">
        <is>
          <t>FALTA</t>
        </is>
      </c>
      <c r="V486" s="36" t="n">
        <v>1198</v>
      </c>
      <c r="W486" s="39" t="n">
        <v>0.3</v>
      </c>
      <c r="X486" s="41">
        <f>IFERROR(V486+T486,"")</f>
        <v/>
      </c>
      <c r="Y486" s="41">
        <f>IFERROR(IF(W486&lt;1,X486/(1-W486),""),"")</f>
        <v/>
      </c>
      <c r="Z486" s="43">
        <f>'01_CONFIG_GLOBAL'!$C$14</f>
        <v/>
      </c>
      <c r="AA486" s="41">
        <f>IFERROR(Y486*Z486,"")</f>
        <v/>
      </c>
      <c r="AB486" s="41">
        <f>IFERROR(IF(Z486&lt;1,Y486/(1-Z486),""),"")</f>
        <v/>
      </c>
      <c r="AC486" s="23" t="n"/>
      <c r="AD486" s="36" t="n"/>
      <c r="AE486" s="23" t="n"/>
      <c r="AF486" s="36" t="n"/>
      <c r="AG486" s="23" t="n"/>
      <c r="AH486" s="36" t="n"/>
      <c r="AI486" s="41">
        <f>IFERROR(AVERAGE(AD486,AF486,AH486),"")</f>
        <v/>
      </c>
      <c r="AJ486" s="29">
        <f>IFERROR(IF(AI486="","sem dados",IF(AB486&lt;AI486*0.95,"abaixo",IF(AB486&gt;AI486*1.05,"acima","em linha"))),"")</f>
        <v/>
      </c>
      <c r="AK486" s="23" t="inlineStr">
        <is>
          <t>não</t>
        </is>
      </c>
      <c r="AL486" s="23" t="n"/>
      <c r="AM486" s="23" t="n"/>
      <c r="AN486" s="23" t="n"/>
      <c r="AO486" s="44">
        <f>A486</f>
        <v/>
      </c>
      <c r="AP486" s="44">
        <f>D486</f>
        <v/>
      </c>
    </row>
    <row r="487" hidden="1" ht="15.75" customHeight="1" s="93">
      <c r="A487" s="23" t="inlineStr">
        <is>
          <t>5.5504.L013190.0</t>
        </is>
      </c>
      <c r="B487" s="23" t="inlineStr">
        <is>
          <t>L01319</t>
        </is>
      </c>
      <c r="C487" s="29">
        <f>IFERROR(LOWER(SUBSTITUTE(SUBSTITUTE(SUBSTITUTE(SUBSTITUTE(D487," ","-"),"/","-"),".",""),",","")),"")</f>
        <v/>
      </c>
      <c r="D487" s="23" t="inlineStr">
        <is>
          <t>MUD MC1 40 201.2.37.77.61</t>
        </is>
      </c>
      <c r="E487" s="23" t="n"/>
      <c r="F487" s="23" t="inlineStr">
        <is>
          <t>SOHIPREN</t>
        </is>
      </c>
      <c r="G487" s="23" t="n"/>
      <c r="H487" s="23" t="inlineStr">
        <is>
          <t>draft</t>
        </is>
      </c>
      <c r="I487" s="23" t="inlineStr">
        <is>
          <t>GOMES</t>
        </is>
      </c>
      <c r="J487" s="23" t="inlineStr">
        <is>
          <t>CARRO PARA OFICINA</t>
        </is>
      </c>
      <c r="K487" s="23" t="inlineStr">
        <is>
          <t>MOTOR DO GERARDOR BAMBOZZI</t>
        </is>
      </c>
      <c r="L487" s="23" t="inlineStr">
        <is>
          <t>9287</t>
        </is>
      </c>
      <c r="M487" s="31" t="n"/>
      <c r="N487" s="31" t="n"/>
      <c r="O487" s="31" t="n"/>
      <c r="P487" s="31" t="n"/>
      <c r="Q487" s="31" t="n"/>
      <c r="R487" s="34">
        <f>IFERROR(IF(AND(O487&gt;0,P487&gt;0,Q487&gt;0),(O487*P487*Q487)/6000,""),"")</f>
        <v/>
      </c>
      <c r="S487" s="34">
        <f>IFERROR(IF(AND(N487&gt;0,R487&gt;0),MAX(N487,R487),IF(N487&gt;0,N487,IF(R487&gt;0,R487,""))),"")</f>
        <v/>
      </c>
      <c r="T487" s="36" t="n"/>
      <c r="U487" s="38" t="inlineStr">
        <is>
          <t>FALTA</t>
        </is>
      </c>
      <c r="V487" s="36" t="n">
        <v>90</v>
      </c>
      <c r="W487" s="39" t="n">
        <v>0.3</v>
      </c>
      <c r="X487" s="41">
        <f>IFERROR(V487+T487,"")</f>
        <v/>
      </c>
      <c r="Y487" s="41">
        <f>IFERROR(IF(W487&lt;1,X487/(1-W487),""),"")</f>
        <v/>
      </c>
      <c r="Z487" s="43">
        <f>'01_CONFIG_GLOBAL'!$C$14</f>
        <v/>
      </c>
      <c r="AA487" s="41">
        <f>IFERROR(Y487*Z487,"")</f>
        <v/>
      </c>
      <c r="AB487" s="41">
        <f>IFERROR(IF(Z487&lt;1,Y487/(1-Z487),""),"")</f>
        <v/>
      </c>
      <c r="AC487" s="23" t="n"/>
      <c r="AD487" s="36" t="n"/>
      <c r="AE487" s="23" t="n"/>
      <c r="AF487" s="36" t="n"/>
      <c r="AG487" s="23" t="n"/>
      <c r="AH487" s="36" t="n"/>
      <c r="AI487" s="41">
        <f>IFERROR(AVERAGE(AD487,AF487,AH487),"")</f>
        <v/>
      </c>
      <c r="AJ487" s="29">
        <f>IFERROR(IF(AI487="","sem dados",IF(AB487&lt;AI487*0.95,"abaixo",IF(AB487&gt;AI487*1.05,"acima","em linha"))),"")</f>
        <v/>
      </c>
      <c r="AK487" s="23" t="inlineStr">
        <is>
          <t>não</t>
        </is>
      </c>
      <c r="AL487" s="23" t="n"/>
      <c r="AM487" s="23" t="n"/>
      <c r="AN487" s="23" t="n"/>
      <c r="AO487" s="44">
        <f>A487</f>
        <v/>
      </c>
      <c r="AP487" s="44">
        <f>D487</f>
        <v/>
      </c>
    </row>
    <row r="488" hidden="1" ht="15.75" customHeight="1" s="93">
      <c r="A488" s="23" t="inlineStr">
        <is>
          <t>5.5211.L012970.0</t>
        </is>
      </c>
      <c r="B488" s="23" t="inlineStr">
        <is>
          <t>L01297</t>
        </is>
      </c>
      <c r="C488" s="29">
        <f>IFERROR(LOWER(SUBSTITUTE(SUBSTITUTE(SUBSTITUTE(SUBSTITUTE(D488," ","-"),"/","-"),".",""),",","")),"")</f>
        <v/>
      </c>
      <c r="D488" s="23" t="inlineStr">
        <is>
          <t>MUD BO 26 A6.C43/40.74.61</t>
        </is>
      </c>
      <c r="E488" s="23" t="n"/>
      <c r="F488" s="23" t="inlineStr">
        <is>
          <t>SOHIPREN</t>
        </is>
      </c>
      <c r="G488" s="23" t="n"/>
      <c r="H488" s="23" t="inlineStr">
        <is>
          <t>draft</t>
        </is>
      </c>
      <c r="I488" s="23" t="inlineStr">
        <is>
          <t>GOMES</t>
        </is>
      </c>
      <c r="J488" s="23" t="inlineStr">
        <is>
          <t>COMBOMBA HIDRÁULICA - APLICAÇÃOO</t>
        </is>
      </c>
      <c r="K488" s="23" t="inlineStr">
        <is>
          <t>MOTO/BOMBA</t>
        </is>
      </c>
      <c r="L488" s="23" t="inlineStr">
        <is>
          <t>7820</t>
        </is>
      </c>
      <c r="M488" s="31" t="n"/>
      <c r="N488" s="31" t="n"/>
      <c r="O488" s="31" t="n"/>
      <c r="P488" s="31" t="n"/>
      <c r="Q488" s="31" t="n"/>
      <c r="R488" s="34">
        <f>IFERROR(IF(AND(O488&gt;0,P488&gt;0,Q488&gt;0),(O488*P488*Q488)/6000,""),"")</f>
        <v/>
      </c>
      <c r="S488" s="34">
        <f>IFERROR(IF(AND(N488&gt;0,R488&gt;0),MAX(N488,R488),IF(N488&gt;0,N488,IF(R488&gt;0,R488,""))),"")</f>
        <v/>
      </c>
      <c r="T488" s="36" t="n"/>
      <c r="U488" s="38" t="inlineStr">
        <is>
          <t>FALTA</t>
        </is>
      </c>
      <c r="V488" s="36" t="n">
        <v>1762</v>
      </c>
      <c r="W488" s="39" t="n">
        <v>0.3</v>
      </c>
      <c r="X488" s="41">
        <f>IFERROR(V488+T488,"")</f>
        <v/>
      </c>
      <c r="Y488" s="41">
        <f>IFERROR(IF(W488&lt;1,X488/(1-W488),""),"")</f>
        <v/>
      </c>
      <c r="Z488" s="43">
        <f>'01_CONFIG_GLOBAL'!$C$14</f>
        <v/>
      </c>
      <c r="AA488" s="41">
        <f>IFERROR(Y488*Z488,"")</f>
        <v/>
      </c>
      <c r="AB488" s="41">
        <f>IFERROR(IF(Z488&lt;1,Y488/(1-Z488),""),"")</f>
        <v/>
      </c>
      <c r="AC488" s="23" t="n"/>
      <c r="AD488" s="36" t="n"/>
      <c r="AE488" s="23" t="n"/>
      <c r="AF488" s="36" t="n"/>
      <c r="AG488" s="23" t="n"/>
      <c r="AH488" s="36" t="n"/>
      <c r="AI488" s="41">
        <f>IFERROR(AVERAGE(AD488,AF488,AH488),"")</f>
        <v/>
      </c>
      <c r="AJ488" s="29">
        <f>IFERROR(IF(AI488="","sem dados",IF(AB488&lt;AI488*0.95,"abaixo",IF(AB488&gt;AI488*1.05,"acima","em linha"))),"")</f>
        <v/>
      </c>
      <c r="AK488" s="23" t="inlineStr">
        <is>
          <t>não</t>
        </is>
      </c>
      <c r="AL488" s="23" t="n"/>
      <c r="AM488" s="23" t="n"/>
      <c r="AN488" s="23" t="n"/>
      <c r="AO488" s="44">
        <f>A488</f>
        <v/>
      </c>
      <c r="AP488" s="44">
        <f>D488</f>
        <v/>
      </c>
    </row>
    <row r="489" hidden="1" ht="15.75" customHeight="1" s="93">
      <c r="A489" s="23" t="inlineStr">
        <is>
          <t>5.1301.L026869.0</t>
        </is>
      </c>
      <c r="B489" s="23" t="inlineStr">
        <is>
          <t>L026869</t>
        </is>
      </c>
      <c r="C489" s="29">
        <f>IFERROR(LOWER(SUBSTITUTE(SUBSTITUTE(SUBSTITUTE(SUBSTITUTE(D489," ","-"),"/","-"),".",""),",","")),"")</f>
        <v/>
      </c>
      <c r="D489" s="23" t="inlineStr">
        <is>
          <t>BOMBA DE ENGRENAGENS 60 - DIN 5462- 17697</t>
        </is>
      </c>
      <c r="E489" s="23" t="inlineStr">
        <is>
          <t>Bombas Hidráulicas</t>
        </is>
      </c>
      <c r="F489" s="23" t="inlineStr">
        <is>
          <t>SOHIPREN</t>
        </is>
      </c>
      <c r="G489" s="23" t="n"/>
      <c r="H489" s="23" t="inlineStr">
        <is>
          <t>draft</t>
        </is>
      </c>
      <c r="I489" s="23" t="inlineStr">
        <is>
          <t>GOMES</t>
        </is>
      </c>
      <c r="J489" s="23" t="inlineStr">
        <is>
          <t>CARRO OFICINA</t>
        </is>
      </c>
      <c r="K489" s="23" t="inlineStr">
        <is>
          <t>BOMBA PRINCIPAL - TOMADA DIN 5462</t>
        </is>
      </c>
      <c r="L489" s="23" t="inlineStr">
        <is>
          <t>9289</t>
        </is>
      </c>
      <c r="M489" s="31" t="n"/>
      <c r="N489" s="31" t="n"/>
      <c r="O489" s="31" t="n"/>
      <c r="P489" s="31" t="n"/>
      <c r="Q489" s="31" t="n"/>
      <c r="R489" s="34">
        <f>IFERROR(IF(AND(O489&gt;0,P489&gt;0,Q489&gt;0),(O489*P489*Q489)/6000,""),"")</f>
        <v/>
      </c>
      <c r="S489" s="34">
        <f>IFERROR(IF(AND(N489&gt;0,R489&gt;0),MAX(N489,R489),IF(N489&gt;0,N489,IF(R489&gt;0,R489,""))),"")</f>
        <v/>
      </c>
      <c r="T489" s="36" t="n"/>
      <c r="U489" s="38" t="inlineStr">
        <is>
          <t>FALTA</t>
        </is>
      </c>
      <c r="V489" s="36" t="n">
        <v>2010</v>
      </c>
      <c r="W489" s="39" t="n">
        <v>0.3</v>
      </c>
      <c r="X489" s="41">
        <f>IFERROR(V489+T489,"")</f>
        <v/>
      </c>
      <c r="Y489" s="41">
        <f>IFERROR(IF(W489&lt;1,X489/(1-W489),""),"")</f>
        <v/>
      </c>
      <c r="Z489" s="43">
        <f>'01_CONFIG_GLOBAL'!$C$14</f>
        <v/>
      </c>
      <c r="AA489" s="41">
        <f>IFERROR(Y489*Z489,"")</f>
        <v/>
      </c>
      <c r="AB489" s="41">
        <f>IFERROR(IF(Z489&lt;1,Y489/(1-Z489),""),"")</f>
        <v/>
      </c>
      <c r="AC489" s="23" t="n"/>
      <c r="AD489" s="36" t="n"/>
      <c r="AE489" s="23" t="n"/>
      <c r="AF489" s="36" t="n"/>
      <c r="AG489" s="23" t="n"/>
      <c r="AH489" s="36" t="n"/>
      <c r="AI489" s="41">
        <f>IFERROR(AVERAGE(AD489,AF489,AH489),"")</f>
        <v/>
      </c>
      <c r="AJ489" s="29">
        <f>IFERROR(IF(AI489="","sem dados",IF(AB489&lt;AI489*0.95,"abaixo",IF(AB489&gt;AI489*1.05,"acima","em linha"))),"")</f>
        <v/>
      </c>
      <c r="AK489" s="23" t="inlineStr">
        <is>
          <t>não</t>
        </is>
      </c>
      <c r="AL489" s="23" t="n"/>
      <c r="AM489" s="23" t="n"/>
      <c r="AN489" s="23" t="n"/>
      <c r="AO489" s="44">
        <f>A489</f>
        <v/>
      </c>
      <c r="AP489" s="44">
        <f>D489</f>
        <v/>
      </c>
    </row>
    <row r="490" hidden="1" ht="15.75" customHeight="1" s="93">
      <c r="A490" s="23" t="inlineStr">
        <is>
          <t>6.0460.L082574.0</t>
        </is>
      </c>
      <c r="B490" s="23" t="inlineStr">
        <is>
          <t>L082574</t>
        </is>
      </c>
      <c r="C490" s="29">
        <f>IFERROR(LOWER(SUBSTITUTE(SUBSTITUTE(SUBSTITUTE(SUBSTITUTE(D490," ","-"),"/","-"),".",""),",","")),"")</f>
        <v/>
      </c>
      <c r="D490" s="23" t="inlineStr">
        <is>
          <t>BLSHP-00053</t>
        </is>
      </c>
      <c r="E490" s="23" t="n"/>
      <c r="F490" s="23" t="inlineStr">
        <is>
          <t>SOHIPREN</t>
        </is>
      </c>
      <c r="G490" s="23" t="n"/>
      <c r="H490" s="23" t="inlineStr">
        <is>
          <t>draft</t>
        </is>
      </c>
      <c r="I490" s="23" t="inlineStr">
        <is>
          <t>GTM</t>
        </is>
      </c>
      <c r="J490" s="23" t="inlineStr">
        <is>
          <t>CARREGADOR DE LARANJA AUTOMOTRIZ</t>
        </is>
      </c>
      <c r="K490" s="23" t="inlineStr">
        <is>
          <t>REDUTORA DE PRESSÃO - PILOTO FREIO</t>
        </is>
      </c>
      <c r="L490" s="23" t="n"/>
      <c r="M490" s="31" t="n"/>
      <c r="N490" s="31" t="n"/>
      <c r="O490" s="31" t="n"/>
      <c r="P490" s="31" t="n"/>
      <c r="Q490" s="31" t="n"/>
      <c r="R490" s="34">
        <f>IFERROR(IF(AND(O490&gt;0,P490&gt;0,Q490&gt;0),(O490*P490*Q490)/6000,""),"")</f>
        <v/>
      </c>
      <c r="S490" s="34">
        <f>IFERROR(IF(AND(N490&gt;0,R490&gt;0),MAX(N490,R490),IF(N490&gt;0,N490,IF(R490&gt;0,R490,""))),"")</f>
        <v/>
      </c>
      <c r="T490" s="36" t="n"/>
      <c r="U490" s="38" t="inlineStr">
        <is>
          <t>FALTA</t>
        </is>
      </c>
      <c r="V490" s="36" t="n">
        <v>289</v>
      </c>
      <c r="W490" s="39" t="n">
        <v>0.3</v>
      </c>
      <c r="X490" s="41">
        <f>IFERROR(V490+T490,"")</f>
        <v/>
      </c>
      <c r="Y490" s="41">
        <f>IFERROR(IF(W490&lt;1,X490/(1-W490),""),"")</f>
        <v/>
      </c>
      <c r="Z490" s="43">
        <f>'01_CONFIG_GLOBAL'!$C$14</f>
        <v/>
      </c>
      <c r="AA490" s="41">
        <f>IFERROR(Y490*Z490,"")</f>
        <v/>
      </c>
      <c r="AB490" s="41">
        <f>IFERROR(IF(Z490&lt;1,Y490/(1-Z490),""),"")</f>
        <v/>
      </c>
      <c r="AC490" s="23" t="n"/>
      <c r="AD490" s="36" t="n"/>
      <c r="AE490" s="23" t="n"/>
      <c r="AF490" s="36" t="n"/>
      <c r="AG490" s="23" t="n"/>
      <c r="AH490" s="36" t="n"/>
      <c r="AI490" s="41">
        <f>IFERROR(AVERAGE(AD490,AF490,AH490),"")</f>
        <v/>
      </c>
      <c r="AJ490" s="29">
        <f>IFERROR(IF(AI490="","sem dados",IF(AB490&lt;AI490*0.95,"abaixo",IF(AB490&gt;AI490*1.05,"acima","em linha"))),"")</f>
        <v/>
      </c>
      <c r="AK490" s="23" t="inlineStr">
        <is>
          <t>não</t>
        </is>
      </c>
      <c r="AL490" s="23" t="n"/>
      <c r="AM490" s="23" t="n"/>
      <c r="AN490" s="23" t="n"/>
      <c r="AO490" s="44">
        <f>A490</f>
        <v/>
      </c>
      <c r="AP490" s="44">
        <f>D490</f>
        <v/>
      </c>
    </row>
    <row r="491" hidden="1" ht="15.75" customHeight="1" s="93">
      <c r="A491" s="23" t="inlineStr">
        <is>
          <t>0.0168.0096800.0</t>
        </is>
      </c>
      <c r="B491" s="23" t="inlineStr">
        <is>
          <t>96800</t>
        </is>
      </c>
      <c r="C491" s="29">
        <f>IFERROR(LOWER(SUBSTITUTE(SUBSTITUTE(SUBSTITUTE(SUBSTITUTE(D491," ","-"),"/","-"),".",""),",","")),"")</f>
        <v/>
      </c>
      <c r="D491" s="23" t="inlineStr">
        <is>
          <t>CONECTOR CODO 90º M-H SAE OR/ISO6149 (1 3/16 UN)(M27X2)</t>
        </is>
      </c>
      <c r="E491" s="23" t="n"/>
      <c r="F491" s="23" t="inlineStr">
        <is>
          <t>SOHIPREN</t>
        </is>
      </c>
      <c r="G491" s="23" t="n"/>
      <c r="H491" s="23" t="inlineStr">
        <is>
          <t>draft</t>
        </is>
      </c>
      <c r="I491" s="23" t="inlineStr">
        <is>
          <t>HEBERFLEX</t>
        </is>
      </c>
      <c r="J491" s="23" t="n"/>
      <c r="K491" s="23" t="inlineStr">
        <is>
          <t>REPUESTO KIT LEITE</t>
        </is>
      </c>
      <c r="L491" s="23" t="inlineStr">
        <is>
          <t>0.2206.F000827.0</t>
        </is>
      </c>
      <c r="M491" s="31" t="n"/>
      <c r="N491" s="31" t="n"/>
      <c r="O491" s="31" t="n"/>
      <c r="P491" s="31" t="n"/>
      <c r="Q491" s="31" t="n"/>
      <c r="R491" s="34">
        <f>IFERROR(IF(AND(O491&gt;0,P491&gt;0,Q491&gt;0),(O491*P491*Q491)/6000,""),"")</f>
        <v/>
      </c>
      <c r="S491" s="34">
        <f>IFERROR(IF(AND(N491&gt;0,R491&gt;0),MAX(N491,R491),IF(N491&gt;0,N491,IF(R491&gt;0,R491,""))),"")</f>
        <v/>
      </c>
      <c r="T491" s="36" t="n"/>
      <c r="U491" s="38" t="inlineStr">
        <is>
          <t>FALTA</t>
        </is>
      </c>
      <c r="V491" s="36" t="n">
        <v>59</v>
      </c>
      <c r="W491" s="39" t="n">
        <v>0.3</v>
      </c>
      <c r="X491" s="41">
        <f>IFERROR(V491+T491,"")</f>
        <v/>
      </c>
      <c r="Y491" s="41">
        <f>IFERROR(IF(W491&lt;1,X491/(1-W491),""),"")</f>
        <v/>
      </c>
      <c r="Z491" s="43">
        <f>'01_CONFIG_GLOBAL'!$C$14</f>
        <v/>
      </c>
      <c r="AA491" s="41">
        <f>IFERROR(Y491*Z491,"")</f>
        <v/>
      </c>
      <c r="AB491" s="41">
        <f>IFERROR(IF(Z491&lt;1,Y491/(1-Z491),""),"")</f>
        <v/>
      </c>
      <c r="AC491" s="23" t="n"/>
      <c r="AD491" s="36" t="n"/>
      <c r="AE491" s="23" t="n"/>
      <c r="AF491" s="36" t="n"/>
      <c r="AG491" s="23" t="n"/>
      <c r="AH491" s="36" t="n"/>
      <c r="AI491" s="41">
        <f>IFERROR(AVERAGE(AD491,AF491,AH491),"")</f>
        <v/>
      </c>
      <c r="AJ491" s="29">
        <f>IFERROR(IF(AI491="","sem dados",IF(AB491&lt;AI491*0.95,"abaixo",IF(AB491&gt;AI491*1.05,"acima","em linha"))),"")</f>
        <v/>
      </c>
      <c r="AK491" s="23" t="inlineStr">
        <is>
          <t>não</t>
        </is>
      </c>
      <c r="AL491" s="23" t="n"/>
      <c r="AM491" s="23" t="n"/>
      <c r="AN491" s="23" t="n"/>
      <c r="AO491" s="44">
        <f>A491</f>
        <v/>
      </c>
      <c r="AP491" s="44">
        <f>D491</f>
        <v/>
      </c>
    </row>
    <row r="492" hidden="1" ht="15.75" customHeight="1" s="93">
      <c r="A492" s="23" t="inlineStr">
        <is>
          <t>5.0220.L026203.0</t>
        </is>
      </c>
      <c r="B492" s="23" t="inlineStr">
        <is>
          <t>L026203</t>
        </is>
      </c>
      <c r="C492" s="29">
        <f>IFERROR(LOWER(SUBSTITUTE(SUBSTITUTE(SUBSTITUTE(SUBSTITUTE(D492," ","-"),"/","-"),".",""),",","")),"")</f>
        <v/>
      </c>
      <c r="D492" s="23" t="inlineStr">
        <is>
          <t>BOD 8 B.P1.G/4.G.L</t>
        </is>
      </c>
      <c r="E492" s="23" t="inlineStr">
        <is>
          <t>Bombas Hidráulicas</t>
        </is>
      </c>
      <c r="F492" s="23" t="inlineStr">
        <is>
          <t>SOHIPREN</t>
        </is>
      </c>
      <c r="G492" s="23" t="n"/>
      <c r="H492" s="23" t="inlineStr">
        <is>
          <t>draft</t>
        </is>
      </c>
      <c r="I492" s="23" t="inlineStr">
        <is>
          <t>HELLER</t>
        </is>
      </c>
      <c r="J492" s="23" t="n"/>
      <c r="K492" s="23" t="n"/>
      <c r="L492" s="23" t="n"/>
      <c r="M492" s="31" t="n"/>
      <c r="N492" s="31" t="n"/>
      <c r="O492" s="31" t="n"/>
      <c r="P492" s="31" t="n"/>
      <c r="Q492" s="31" t="n"/>
      <c r="R492" s="34">
        <f>IFERROR(IF(AND(O492&gt;0,P492&gt;0,Q492&gt;0),(O492*P492*Q492)/6000,""),"")</f>
        <v/>
      </c>
      <c r="S492" s="34">
        <f>IFERROR(IF(AND(N492&gt;0,R492&gt;0),MAX(N492,R492),IF(N492&gt;0,N492,IF(R492&gt;0,R492,""))),"")</f>
        <v/>
      </c>
      <c r="T492" s="36" t="n"/>
      <c r="U492" s="38" t="inlineStr">
        <is>
          <t>FALTA</t>
        </is>
      </c>
      <c r="V492" s="36" t="n">
        <v>1650</v>
      </c>
      <c r="W492" s="39" t="n">
        <v>0.3</v>
      </c>
      <c r="X492" s="41">
        <f>IFERROR(V492+T492,"")</f>
        <v/>
      </c>
      <c r="Y492" s="41">
        <f>IFERROR(IF(W492&lt;1,X492/(1-W492),""),"")</f>
        <v/>
      </c>
      <c r="Z492" s="43">
        <f>'01_CONFIG_GLOBAL'!$C$14</f>
        <v/>
      </c>
      <c r="AA492" s="41">
        <f>IFERROR(Y492*Z492,"")</f>
        <v/>
      </c>
      <c r="AB492" s="41">
        <f>IFERROR(IF(Z492&lt;1,Y492/(1-Z492),""),"")</f>
        <v/>
      </c>
      <c r="AC492" s="23" t="n"/>
      <c r="AD492" s="36" t="n"/>
      <c r="AE492" s="23" t="n"/>
      <c r="AF492" s="36" t="n"/>
      <c r="AG492" s="23" t="n"/>
      <c r="AH492" s="36" t="n"/>
      <c r="AI492" s="41">
        <f>IFERROR(AVERAGE(AD492,AF492,AH492),"")</f>
        <v/>
      </c>
      <c r="AJ492" s="29">
        <f>IFERROR(IF(AI492="","sem dados",IF(AB492&lt;AI492*0.95,"abaixo",IF(AB492&gt;AI492*1.05,"acima","em linha"))),"")</f>
        <v/>
      </c>
      <c r="AK492" s="23" t="inlineStr">
        <is>
          <t>não</t>
        </is>
      </c>
      <c r="AL492" s="23" t="n"/>
      <c r="AM492" s="23" t="n"/>
      <c r="AN492" s="23" t="n"/>
      <c r="AO492" s="44">
        <f>A492</f>
        <v/>
      </c>
      <c r="AP492" s="44">
        <f>D492</f>
        <v/>
      </c>
    </row>
    <row r="493" hidden="1" ht="15.75" customHeight="1" s="93">
      <c r="A493" s="23" t="inlineStr">
        <is>
          <t>5.0502.L026205.0</t>
        </is>
      </c>
      <c r="B493" s="23" t="inlineStr">
        <is>
          <t>L026205</t>
        </is>
      </c>
      <c r="C493" s="29">
        <f>IFERROR(LOWER(SUBSTITUTE(SUBSTITUTE(SUBSTITUTE(SUBSTITUTE(D493," ","-"),"/","-"),".",""),",","")),"")</f>
        <v/>
      </c>
      <c r="D493" s="23" t="inlineStr">
        <is>
          <t>MC1 26 201.2.21.83.61</t>
        </is>
      </c>
      <c r="E493" s="23" t="n"/>
      <c r="F493" s="23" t="inlineStr">
        <is>
          <t>SOHIPREN</t>
        </is>
      </c>
      <c r="G493" s="23" t="n"/>
      <c r="H493" s="23" t="inlineStr">
        <is>
          <t>draft</t>
        </is>
      </c>
      <c r="I493" s="23" t="inlineStr">
        <is>
          <t>HELLER</t>
        </is>
      </c>
      <c r="J493" s="23" t="n"/>
      <c r="K493" s="23" t="n"/>
      <c r="L493" s="23" t="n"/>
      <c r="M493" s="31" t="n"/>
      <c r="N493" s="31" t="n"/>
      <c r="O493" s="31" t="n"/>
      <c r="P493" s="31" t="n"/>
      <c r="Q493" s="31" t="n"/>
      <c r="R493" s="34">
        <f>IFERROR(IF(AND(O493&gt;0,P493&gt;0,Q493&gt;0),(O493*P493*Q493)/6000,""),"")</f>
        <v/>
      </c>
      <c r="S493" s="34">
        <f>IFERROR(IF(AND(N493&gt;0,R493&gt;0),MAX(N493,R493),IF(N493&gt;0,N493,IF(R493&gt;0,R493,""))),"")</f>
        <v/>
      </c>
      <c r="T493" s="36" t="n"/>
      <c r="U493" s="38" t="inlineStr">
        <is>
          <t>FALTA</t>
        </is>
      </c>
      <c r="V493" s="36" t="n">
        <v>790.9</v>
      </c>
      <c r="W493" s="39" t="n">
        <v>0.3</v>
      </c>
      <c r="X493" s="41">
        <f>IFERROR(V493+T493,"")</f>
        <v/>
      </c>
      <c r="Y493" s="41">
        <f>IFERROR(IF(W493&lt;1,X493/(1-W493),""),"")</f>
        <v/>
      </c>
      <c r="Z493" s="43">
        <f>'01_CONFIG_GLOBAL'!$C$14</f>
        <v/>
      </c>
      <c r="AA493" s="41">
        <f>IFERROR(Y493*Z493,"")</f>
        <v/>
      </c>
      <c r="AB493" s="41">
        <f>IFERROR(IF(Z493&lt;1,Y493/(1-Z493),""),"")</f>
        <v/>
      </c>
      <c r="AC493" s="23" t="n"/>
      <c r="AD493" s="36" t="n"/>
      <c r="AE493" s="23" t="n"/>
      <c r="AF493" s="36" t="n"/>
      <c r="AG493" s="23" t="n"/>
      <c r="AH493" s="36" t="n"/>
      <c r="AI493" s="41">
        <f>IFERROR(AVERAGE(AD493,AF493,AH493),"")</f>
        <v/>
      </c>
      <c r="AJ493" s="29">
        <f>IFERROR(IF(AI493="","sem dados",IF(AB493&lt;AI493*0.95,"abaixo",IF(AB493&gt;AI493*1.05,"acima","em linha"))),"")</f>
        <v/>
      </c>
      <c r="AK493" s="23" t="inlineStr">
        <is>
          <t>não</t>
        </is>
      </c>
      <c r="AL493" s="23" t="n"/>
      <c r="AM493" s="23" t="n"/>
      <c r="AN493" s="23" t="n"/>
      <c r="AO493" s="44">
        <f>A493</f>
        <v/>
      </c>
      <c r="AP493" s="44">
        <f>D493</f>
        <v/>
      </c>
    </row>
    <row r="494" hidden="1" ht="15.75" customHeight="1" s="93">
      <c r="A494" s="23" t="inlineStr">
        <is>
          <t>5.0207.L026125.0</t>
        </is>
      </c>
      <c r="B494" s="23" t="n"/>
      <c r="C494" s="29">
        <f>IFERROR(LOWER(SUBSTITUTE(SUBSTITUTE(SUBSTITUTE(SUBSTITUTE(D494," ","-"),"/","-"),".",""),",","")),"")</f>
        <v/>
      </c>
      <c r="D494" s="23" t="inlineStr">
        <is>
          <t>NAO USAR</t>
        </is>
      </c>
      <c r="E494" s="23" t="n"/>
      <c r="F494" s="23" t="inlineStr">
        <is>
          <t>SOHIPREN</t>
        </is>
      </c>
      <c r="G494" s="23" t="n"/>
      <c r="H494" s="23" t="inlineStr">
        <is>
          <t>draft</t>
        </is>
      </c>
      <c r="I494" s="23" t="inlineStr">
        <is>
          <t>HELLER</t>
        </is>
      </c>
      <c r="J494" s="23" t="inlineStr">
        <is>
          <t>MÁQUINA OPERATRIZ</t>
        </is>
      </c>
      <c r="K494" s="23" t="inlineStr">
        <is>
          <t>MOVIMENTAÇÃO</t>
        </is>
      </c>
      <c r="L494" s="23" t="inlineStr">
        <is>
          <t>1040785</t>
        </is>
      </c>
      <c r="M494" s="31" t="n"/>
      <c r="N494" s="31" t="n"/>
      <c r="O494" s="31" t="n"/>
      <c r="P494" s="31" t="n"/>
      <c r="Q494" s="31" t="n"/>
      <c r="R494" s="34">
        <f>IFERROR(IF(AND(O494&gt;0,P494&gt;0,Q494&gt;0),(O494*P494*Q494)/6000,""),"")</f>
        <v/>
      </c>
      <c r="S494" s="34">
        <f>IFERROR(IF(AND(N494&gt;0,R494&gt;0),MAX(N494,R494),IF(N494&gt;0,N494,IF(R494&gt;0,R494,""))),"")</f>
        <v/>
      </c>
      <c r="T494" s="36" t="n"/>
      <c r="U494" s="38" t="inlineStr">
        <is>
          <t>FALTA</t>
        </is>
      </c>
      <c r="V494" s="36" t="n">
        <v>465.98</v>
      </c>
      <c r="W494" s="39" t="n">
        <v>0.3</v>
      </c>
      <c r="X494" s="41">
        <f>IFERROR(V494+T494,"")</f>
        <v/>
      </c>
      <c r="Y494" s="41">
        <f>IFERROR(IF(W494&lt;1,X494/(1-W494),""),"")</f>
        <v/>
      </c>
      <c r="Z494" s="43">
        <f>'01_CONFIG_GLOBAL'!$C$14</f>
        <v/>
      </c>
      <c r="AA494" s="41">
        <f>IFERROR(Y494*Z494,"")</f>
        <v/>
      </c>
      <c r="AB494" s="41">
        <f>IFERROR(IF(Z494&lt;1,Y494/(1-Z494),""),"")</f>
        <v/>
      </c>
      <c r="AC494" s="23" t="n"/>
      <c r="AD494" s="36" t="n"/>
      <c r="AE494" s="23" t="n"/>
      <c r="AF494" s="36" t="n"/>
      <c r="AG494" s="23" t="n"/>
      <c r="AH494" s="36" t="n"/>
      <c r="AI494" s="41">
        <f>IFERROR(AVERAGE(AD494,AF494,AH494),"")</f>
        <v/>
      </c>
      <c r="AJ494" s="29">
        <f>IFERROR(IF(AI494="","sem dados",IF(AB494&lt;AI494*0.95,"abaixo",IF(AB494&gt;AI494*1.05,"acima","em linha"))),"")</f>
        <v/>
      </c>
      <c r="AK494" s="23" t="inlineStr">
        <is>
          <t>não</t>
        </is>
      </c>
      <c r="AL494" s="23" t="n"/>
      <c r="AM494" s="23" t="n"/>
      <c r="AN494" s="23" t="n"/>
      <c r="AO494" s="44">
        <f>A494</f>
        <v/>
      </c>
      <c r="AP494" s="44">
        <f>D494</f>
        <v/>
      </c>
    </row>
    <row r="495" hidden="1" ht="15.75" customHeight="1" s="93">
      <c r="A495" s="23" t="inlineStr">
        <is>
          <t>5.0521.L026231.0</t>
        </is>
      </c>
      <c r="B495" s="23" t="n"/>
      <c r="C495" s="29">
        <f>IFERROR(LOWER(SUBSTITUTE(SUBSTITUTE(SUBSTITUTE(SUBSTITUTE(D495," ","-"),"/","-"),".",""),",","")),"")</f>
        <v/>
      </c>
      <c r="D495" s="23" t="inlineStr">
        <is>
          <t>NAO USAR</t>
        </is>
      </c>
      <c r="E495" s="23" t="n"/>
      <c r="F495" s="23" t="inlineStr">
        <is>
          <t>SOHIPREN</t>
        </is>
      </c>
      <c r="G495" s="23" t="n"/>
      <c r="H495" s="23" t="inlineStr">
        <is>
          <t>draft</t>
        </is>
      </c>
      <c r="I495" s="23" t="inlineStr">
        <is>
          <t>HELLER</t>
        </is>
      </c>
      <c r="J495" s="23" t="inlineStr">
        <is>
          <t>MÁQUINA OPERATRIZ</t>
        </is>
      </c>
      <c r="K495" s="23" t="inlineStr">
        <is>
          <t>MOVIMENTAÇÃO</t>
        </is>
      </c>
      <c r="L495" s="23" t="inlineStr">
        <is>
          <t>1040785</t>
        </is>
      </c>
      <c r="M495" s="31" t="n"/>
      <c r="N495" s="31" t="n"/>
      <c r="O495" s="31" t="n"/>
      <c r="P495" s="31" t="n"/>
      <c r="Q495" s="31" t="n"/>
      <c r="R495" s="34">
        <f>IFERROR(IF(AND(O495&gt;0,P495&gt;0,Q495&gt;0),(O495*P495*Q495)/6000,""),"")</f>
        <v/>
      </c>
      <c r="S495" s="34">
        <f>IFERROR(IF(AND(N495&gt;0,R495&gt;0),MAX(N495,R495),IF(N495&gt;0,N495,IF(R495&gt;0,R495,""))),"")</f>
        <v/>
      </c>
      <c r="T495" s="36" t="n"/>
      <c r="U495" s="38" t="inlineStr">
        <is>
          <t>FALTA</t>
        </is>
      </c>
      <c r="V495" s="36" t="n">
        <v>2094.4</v>
      </c>
      <c r="W495" s="39" t="n">
        <v>0.3</v>
      </c>
      <c r="X495" s="41">
        <f>IFERROR(V495+T495,"")</f>
        <v/>
      </c>
      <c r="Y495" s="41">
        <f>IFERROR(IF(W495&lt;1,X495/(1-W495),""),"")</f>
        <v/>
      </c>
      <c r="Z495" s="43">
        <f>'01_CONFIG_GLOBAL'!$C$14</f>
        <v/>
      </c>
      <c r="AA495" s="41">
        <f>IFERROR(Y495*Z495,"")</f>
        <v/>
      </c>
      <c r="AB495" s="41">
        <f>IFERROR(IF(Z495&lt;1,Y495/(1-Z495),""),"")</f>
        <v/>
      </c>
      <c r="AC495" s="23" t="n"/>
      <c r="AD495" s="36" t="n"/>
      <c r="AE495" s="23" t="n"/>
      <c r="AF495" s="36" t="n"/>
      <c r="AG495" s="23" t="n"/>
      <c r="AH495" s="36" t="n"/>
      <c r="AI495" s="41">
        <f>IFERROR(AVERAGE(AD495,AF495,AH495),"")</f>
        <v/>
      </c>
      <c r="AJ495" s="29">
        <f>IFERROR(IF(AI495="","sem dados",IF(AB495&lt;AI495*0.95,"abaixo",IF(AB495&gt;AI495*1.05,"acima","em linha"))),"")</f>
        <v/>
      </c>
      <c r="AK495" s="23" t="inlineStr">
        <is>
          <t>não</t>
        </is>
      </c>
      <c r="AL495" s="23" t="n"/>
      <c r="AM495" s="23" t="n"/>
      <c r="AN495" s="23" t="n"/>
      <c r="AO495" s="44">
        <f>A495</f>
        <v/>
      </c>
      <c r="AP495" s="44">
        <f>D495</f>
        <v/>
      </c>
    </row>
    <row r="496" hidden="1" ht="15.75" customHeight="1" s="93">
      <c r="A496" s="23" t="inlineStr">
        <is>
          <t>0.2206.F001176.0</t>
        </is>
      </c>
      <c r="B496" s="23" t="inlineStr">
        <is>
          <t>F001176</t>
        </is>
      </c>
      <c r="C496" s="29">
        <f>IFERROR(LOWER(SUBSTITUTE(SUBSTITUTE(SUBSTITUTE(SUBSTITUTE(D496," ","-"),"/","-"),".",""),",","")),"")</f>
        <v/>
      </c>
      <c r="D496" s="23" t="inlineStr">
        <is>
          <t>ADAPTADOR MF 1/4" NPT X 1/4" BSP</t>
        </is>
      </c>
      <c r="E496" s="23" t="n"/>
      <c r="F496" s="23" t="inlineStr">
        <is>
          <t>SOHIPREN</t>
        </is>
      </c>
      <c r="G496" s="23" t="n"/>
      <c r="H496" s="23" t="inlineStr">
        <is>
          <t>draft</t>
        </is>
      </c>
      <c r="I496" s="23" t="inlineStr">
        <is>
          <t>HENNINGS</t>
        </is>
      </c>
      <c r="J496" s="23" t="n"/>
      <c r="K496" s="23" t="n"/>
      <c r="L496" s="23" t="inlineStr">
        <is>
          <t>17010001</t>
        </is>
      </c>
      <c r="M496" s="31" t="n"/>
      <c r="N496" s="31" t="n"/>
      <c r="O496" s="31" t="n"/>
      <c r="P496" s="31" t="n"/>
      <c r="Q496" s="31" t="n"/>
      <c r="R496" s="34">
        <f>IFERROR(IF(AND(O496&gt;0,P496&gt;0,Q496&gt;0),(O496*P496*Q496)/6000,""),"")</f>
        <v/>
      </c>
      <c r="S496" s="34">
        <f>IFERROR(IF(AND(N496&gt;0,R496&gt;0),MAX(N496,R496),IF(N496&gt;0,N496,IF(R496&gt;0,R496,""))),"")</f>
        <v/>
      </c>
      <c r="T496" s="36" t="n"/>
      <c r="U496" s="38" t="inlineStr">
        <is>
          <t>FALTA</t>
        </is>
      </c>
      <c r="V496" s="36" t="n">
        <v>335.5</v>
      </c>
      <c r="W496" s="39" t="n">
        <v>0.3</v>
      </c>
      <c r="X496" s="41">
        <f>IFERROR(V496+T496,"")</f>
        <v/>
      </c>
      <c r="Y496" s="41">
        <f>IFERROR(IF(W496&lt;1,X496/(1-W496),""),"")</f>
        <v/>
      </c>
      <c r="Z496" s="43">
        <f>'01_CONFIG_GLOBAL'!$C$14</f>
        <v/>
      </c>
      <c r="AA496" s="41">
        <f>IFERROR(Y496*Z496,"")</f>
        <v/>
      </c>
      <c r="AB496" s="41">
        <f>IFERROR(IF(Z496&lt;1,Y496/(1-Z496),""),"")</f>
        <v/>
      </c>
      <c r="AC496" s="23" t="n"/>
      <c r="AD496" s="36" t="n"/>
      <c r="AE496" s="23" t="n"/>
      <c r="AF496" s="36" t="n"/>
      <c r="AG496" s="23" t="n"/>
      <c r="AH496" s="36" t="n"/>
      <c r="AI496" s="41">
        <f>IFERROR(AVERAGE(AD496,AF496,AH496),"")</f>
        <v/>
      </c>
      <c r="AJ496" s="29">
        <f>IFERROR(IF(AI496="","sem dados",IF(AB496&lt;AI496*0.95,"abaixo",IF(AB496&gt;AI496*1.05,"acima","em linha"))),"")</f>
        <v/>
      </c>
      <c r="AK496" s="23" t="inlineStr">
        <is>
          <t>não</t>
        </is>
      </c>
      <c r="AL496" s="23" t="n"/>
      <c r="AM496" s="23" t="n"/>
      <c r="AN496" s="23" t="n"/>
      <c r="AO496" s="44">
        <f>A496</f>
        <v/>
      </c>
      <c r="AP496" s="44">
        <f>D496</f>
        <v/>
      </c>
    </row>
    <row r="497" hidden="1" ht="15.75" customHeight="1" s="93">
      <c r="A497" s="23" t="inlineStr">
        <is>
          <t>0.2206.F001177.0</t>
        </is>
      </c>
      <c r="B497" s="23" t="inlineStr">
        <is>
          <t>F001177</t>
        </is>
      </c>
      <c r="C497" s="29">
        <f>IFERROR(LOWER(SUBSTITUTE(SUBSTITUTE(SUBSTITUTE(SUBSTITUTE(D497," ","-"),"/","-"),".",""),",","")),"")</f>
        <v/>
      </c>
      <c r="D497" s="23" t="inlineStr">
        <is>
          <t>ADAPTADOR MF 1/2" NPT X 1/4" BSP</t>
        </is>
      </c>
      <c r="E497" s="23" t="n"/>
      <c r="F497" s="23" t="inlineStr">
        <is>
          <t>SOHIPREN</t>
        </is>
      </c>
      <c r="G497" s="23" t="n"/>
      <c r="H497" s="23" t="inlineStr">
        <is>
          <t>draft</t>
        </is>
      </c>
      <c r="I497" s="23" t="inlineStr">
        <is>
          <t>HENNINGS</t>
        </is>
      </c>
      <c r="J497" s="23" t="n"/>
      <c r="K497" s="23" t="n"/>
      <c r="L497" s="23" t="inlineStr">
        <is>
          <t>17010001</t>
        </is>
      </c>
      <c r="M497" s="31" t="n"/>
      <c r="N497" s="31" t="n"/>
      <c r="O497" s="31" t="n"/>
      <c r="P497" s="31" t="n"/>
      <c r="Q497" s="31" t="n"/>
      <c r="R497" s="34">
        <f>IFERROR(IF(AND(O497&gt;0,P497&gt;0,Q497&gt;0),(O497*P497*Q497)/6000,""),"")</f>
        <v/>
      </c>
      <c r="S497" s="34">
        <f>IFERROR(IF(AND(N497&gt;0,R497&gt;0),MAX(N497,R497),IF(N497&gt;0,N497,IF(R497&gt;0,R497,""))),"")</f>
        <v/>
      </c>
      <c r="T497" s="36" t="n"/>
      <c r="U497" s="38" t="inlineStr">
        <is>
          <t>FALTA</t>
        </is>
      </c>
      <c r="V497" s="36" t="n">
        <v>335.5</v>
      </c>
      <c r="W497" s="39" t="n">
        <v>0.3</v>
      </c>
      <c r="X497" s="41">
        <f>IFERROR(V497+T497,"")</f>
        <v/>
      </c>
      <c r="Y497" s="41">
        <f>IFERROR(IF(W497&lt;1,X497/(1-W497),""),"")</f>
        <v/>
      </c>
      <c r="Z497" s="43">
        <f>'01_CONFIG_GLOBAL'!$C$14</f>
        <v/>
      </c>
      <c r="AA497" s="41">
        <f>IFERROR(Y497*Z497,"")</f>
        <v/>
      </c>
      <c r="AB497" s="41">
        <f>IFERROR(IF(Z497&lt;1,Y497/(1-Z497),""),"")</f>
        <v/>
      </c>
      <c r="AC497" s="23" t="n"/>
      <c r="AD497" s="36" t="n"/>
      <c r="AE497" s="23" t="n"/>
      <c r="AF497" s="36" t="n"/>
      <c r="AG497" s="23" t="n"/>
      <c r="AH497" s="36" t="n"/>
      <c r="AI497" s="41">
        <f>IFERROR(AVERAGE(AD497,AF497,AH497),"")</f>
        <v/>
      </c>
      <c r="AJ497" s="29">
        <f>IFERROR(IF(AI497="","sem dados",IF(AB497&lt;AI497*0.95,"abaixo",IF(AB497&gt;AI497*1.05,"acima","em linha"))),"")</f>
        <v/>
      </c>
      <c r="AK497" s="23" t="inlineStr">
        <is>
          <t>não</t>
        </is>
      </c>
      <c r="AL497" s="23" t="n"/>
      <c r="AM497" s="23" t="n"/>
      <c r="AN497" s="23" t="n"/>
      <c r="AO497" s="44">
        <f>A497</f>
        <v/>
      </c>
      <c r="AP497" s="44">
        <f>D497</f>
        <v/>
      </c>
    </row>
    <row r="498" hidden="1" ht="15.75" customHeight="1" s="93">
      <c r="A498" s="23" t="inlineStr">
        <is>
          <t>0.2206.F001175.0</t>
        </is>
      </c>
      <c r="B498" s="23" t="inlineStr">
        <is>
          <t>F001175</t>
        </is>
      </c>
      <c r="C498" s="29">
        <f>IFERROR(LOWER(SUBSTITUTE(SUBSTITUTE(SUBSTITUTE(SUBSTITUTE(D498," ","-"),"/","-"),".",""),",","")),"")</f>
        <v/>
      </c>
      <c r="D498" s="23" t="inlineStr">
        <is>
          <t>TOMADOR DE PRESSÃO M16 - 1/8" BSP</t>
        </is>
      </c>
      <c r="E498" s="23" t="n"/>
      <c r="F498" s="23" t="inlineStr">
        <is>
          <t>SOHIPREN</t>
        </is>
      </c>
      <c r="G498" s="23" t="n"/>
      <c r="H498" s="23" t="inlineStr">
        <is>
          <t>draft</t>
        </is>
      </c>
      <c r="I498" s="23" t="inlineStr">
        <is>
          <t>HENNINGS</t>
        </is>
      </c>
      <c r="J498" s="23" t="n"/>
      <c r="K498" s="23" t="n"/>
      <c r="L498" s="23" t="inlineStr">
        <is>
          <t>17010001</t>
        </is>
      </c>
      <c r="M498" s="31" t="n"/>
      <c r="N498" s="31" t="n"/>
      <c r="O498" s="31" t="n"/>
      <c r="P498" s="31" t="n"/>
      <c r="Q498" s="31" t="n"/>
      <c r="R498" s="34">
        <f>IFERROR(IF(AND(O498&gt;0,P498&gt;0,Q498&gt;0),(O498*P498*Q498)/6000,""),"")</f>
        <v/>
      </c>
      <c r="S498" s="34">
        <f>IFERROR(IF(AND(N498&gt;0,R498&gt;0),MAX(N498,R498),IF(N498&gt;0,N498,IF(R498&gt;0,R498,""))),"")</f>
        <v/>
      </c>
      <c r="T498" s="36" t="n"/>
      <c r="U498" s="38" t="inlineStr">
        <is>
          <t>FALTA</t>
        </is>
      </c>
      <c r="V498" s="36" t="n">
        <v>335.5</v>
      </c>
      <c r="W498" s="39" t="n">
        <v>0.3</v>
      </c>
      <c r="X498" s="41">
        <f>IFERROR(V498+T498,"")</f>
        <v/>
      </c>
      <c r="Y498" s="41">
        <f>IFERROR(IF(W498&lt;1,X498/(1-W498),""),"")</f>
        <v/>
      </c>
      <c r="Z498" s="43">
        <f>'01_CONFIG_GLOBAL'!$C$14</f>
        <v/>
      </c>
      <c r="AA498" s="41">
        <f>IFERROR(Y498*Z498,"")</f>
        <v/>
      </c>
      <c r="AB498" s="41">
        <f>IFERROR(IF(Z498&lt;1,Y498/(1-Z498),""),"")</f>
        <v/>
      </c>
      <c r="AC498" s="23" t="n"/>
      <c r="AD498" s="36" t="n"/>
      <c r="AE498" s="23" t="n"/>
      <c r="AF498" s="36" t="n"/>
      <c r="AG498" s="23" t="n"/>
      <c r="AH498" s="36" t="n"/>
      <c r="AI498" s="41">
        <f>IFERROR(AVERAGE(AD498,AF498,AH498),"")</f>
        <v/>
      </c>
      <c r="AJ498" s="29">
        <f>IFERROR(IF(AI498="","sem dados",IF(AB498&lt;AI498*0.95,"abaixo",IF(AB498&gt;AI498*1.05,"acima","em linha"))),"")</f>
        <v/>
      </c>
      <c r="AK498" s="23" t="inlineStr">
        <is>
          <t>não</t>
        </is>
      </c>
      <c r="AL498" s="23" t="n"/>
      <c r="AM498" s="23" t="n"/>
      <c r="AN498" s="23" t="n"/>
      <c r="AO498" s="44">
        <f>A498</f>
        <v/>
      </c>
      <c r="AP498" s="44">
        <f>D498</f>
        <v/>
      </c>
    </row>
    <row r="499" hidden="1" ht="15.75" customHeight="1" s="93">
      <c r="A499" s="23" t="inlineStr">
        <is>
          <t>6.0460.L082410.0</t>
        </is>
      </c>
      <c r="B499" s="23" t="inlineStr">
        <is>
          <t>L082410</t>
        </is>
      </c>
      <c r="C499" s="29">
        <f>IFERROR(LOWER(SUBSTITUTE(SUBSTITUTE(SUBSTITUTE(SUBSTITUTE(D499," ","-"),"/","-"),".",""),",","")),"")</f>
        <v/>
      </c>
      <c r="D499" s="23" t="inlineStr">
        <is>
          <t>BLSHP-00051</t>
        </is>
      </c>
      <c r="E499" s="23" t="n"/>
      <c r="F499" s="23" t="inlineStr">
        <is>
          <t>SOHIPREN</t>
        </is>
      </c>
      <c r="G499" s="23" t="n"/>
      <c r="H499" s="23" t="inlineStr">
        <is>
          <t>draft</t>
        </is>
      </c>
      <c r="I499" s="23" t="inlineStr">
        <is>
          <t>HORSCH</t>
        </is>
      </c>
      <c r="J499" s="23" t="inlineStr">
        <is>
          <t>PLANTADDEIRA</t>
        </is>
      </c>
      <c r="K499" s="23" t="inlineStr">
        <is>
          <t>BLOCO CROSSOVER</t>
        </is>
      </c>
      <c r="L499" s="23" t="inlineStr">
        <is>
          <t>60178802</t>
        </is>
      </c>
      <c r="M499" s="31" t="n"/>
      <c r="N499" s="31" t="n"/>
      <c r="O499" s="31" t="n"/>
      <c r="P499" s="31" t="n"/>
      <c r="Q499" s="31" t="n"/>
      <c r="R499" s="34">
        <f>IFERROR(IF(AND(O499&gt;0,P499&gt;0,Q499&gt;0),(O499*P499*Q499)/6000,""),"")</f>
        <v/>
      </c>
      <c r="S499" s="34">
        <f>IFERROR(IF(AND(N499&gt;0,R499&gt;0),MAX(N499,R499),IF(N499&gt;0,N499,IF(R499&gt;0,R499,""))),"")</f>
        <v/>
      </c>
      <c r="T499" s="36" t="n"/>
      <c r="U499" s="38" t="inlineStr">
        <is>
          <t>FALTA</t>
        </is>
      </c>
      <c r="V499" s="36" t="n">
        <v>195</v>
      </c>
      <c r="W499" s="39" t="n">
        <v>0.3</v>
      </c>
      <c r="X499" s="41">
        <f>IFERROR(V499+T499,"")</f>
        <v/>
      </c>
      <c r="Y499" s="41">
        <f>IFERROR(IF(W499&lt;1,X499/(1-W499),""),"")</f>
        <v/>
      </c>
      <c r="Z499" s="43">
        <f>'01_CONFIG_GLOBAL'!$C$14</f>
        <v/>
      </c>
      <c r="AA499" s="41">
        <f>IFERROR(Y499*Z499,"")</f>
        <v/>
      </c>
      <c r="AB499" s="41">
        <f>IFERROR(IF(Z499&lt;1,Y499/(1-Z499),""),"")</f>
        <v/>
      </c>
      <c r="AC499" s="23" t="n"/>
      <c r="AD499" s="36" t="n"/>
      <c r="AE499" s="23" t="n"/>
      <c r="AF499" s="36" t="n"/>
      <c r="AG499" s="23" t="n"/>
      <c r="AH499" s="36" t="n"/>
      <c r="AI499" s="41">
        <f>IFERROR(AVERAGE(AD499,AF499,AH499),"")</f>
        <v/>
      </c>
      <c r="AJ499" s="29">
        <f>IFERROR(IF(AI499="","sem dados",IF(AB499&lt;AI499*0.95,"abaixo",IF(AB499&gt;AI499*1.05,"acima","em linha"))),"")</f>
        <v/>
      </c>
      <c r="AK499" s="23" t="inlineStr">
        <is>
          <t>não</t>
        </is>
      </c>
      <c r="AL499" s="23" t="n"/>
      <c r="AM499" s="23" t="n"/>
      <c r="AN499" s="23" t="n"/>
      <c r="AO499" s="44">
        <f>A499</f>
        <v/>
      </c>
      <c r="AP499" s="44">
        <f>D499</f>
        <v/>
      </c>
    </row>
    <row r="500" hidden="1" ht="15.75" customHeight="1" s="93">
      <c r="A500" s="23" t="inlineStr">
        <is>
          <t>5.0202.0540001.0</t>
        </is>
      </c>
      <c r="B500" s="23" t="inlineStr">
        <is>
          <t>540001</t>
        </is>
      </c>
      <c r="C500" s="29">
        <f>IFERROR(LOWER(SUBSTITUTE(SUBSTITUTE(SUBSTITUTE(SUBSTITUTE(D500," ","-"),"/","-"),".",""),",","")),"")</f>
        <v/>
      </c>
      <c r="D500" s="23" t="inlineStr">
        <is>
          <t>BOD 4 C11.C.C3.L</t>
        </is>
      </c>
      <c r="E500" s="23" t="inlineStr">
        <is>
          <t>Bombas Hidráulicas</t>
        </is>
      </c>
      <c r="F500" s="23" t="inlineStr">
        <is>
          <t>SOHIPREN</t>
        </is>
      </c>
      <c r="G500" s="23" t="n"/>
      <c r="H500" s="23" t="inlineStr">
        <is>
          <t>draft</t>
        </is>
      </c>
      <c r="I500" s="23" t="inlineStr">
        <is>
          <t>HUBTEX</t>
        </is>
      </c>
      <c r="J500" s="23" t="inlineStr">
        <is>
          <t>EMPILHADEIRA ELETRICA</t>
        </is>
      </c>
      <c r="K500" s="23" t="inlineStr">
        <is>
          <t>DIREÇÃO</t>
        </is>
      </c>
      <c r="L500" s="23" t="inlineStr">
        <is>
          <t>4510080204</t>
        </is>
      </c>
      <c r="M500" s="31" t="n"/>
      <c r="N500" s="31" t="n"/>
      <c r="O500" s="31" t="n"/>
      <c r="P500" s="31" t="n"/>
      <c r="Q500" s="31" t="n"/>
      <c r="R500" s="34">
        <f>IFERROR(IF(AND(O500&gt;0,P500&gt;0,Q500&gt;0),(O500*P500*Q500)/6000,""),"")</f>
        <v/>
      </c>
      <c r="S500" s="34">
        <f>IFERROR(IF(AND(N500&gt;0,R500&gt;0),MAX(N500,R500),IF(N500&gt;0,N500,IF(R500&gt;0,R500,""))),"")</f>
        <v/>
      </c>
      <c r="T500" s="36" t="n"/>
      <c r="U500" s="38" t="inlineStr">
        <is>
          <t>FALTA</t>
        </is>
      </c>
      <c r="V500" s="36" t="n">
        <v>665</v>
      </c>
      <c r="W500" s="39" t="n">
        <v>0.3</v>
      </c>
      <c r="X500" s="41">
        <f>IFERROR(V500+T500,"")</f>
        <v/>
      </c>
      <c r="Y500" s="41">
        <f>IFERROR(IF(W500&lt;1,X500/(1-W500),""),"")</f>
        <v/>
      </c>
      <c r="Z500" s="43">
        <f>'01_CONFIG_GLOBAL'!$C$14</f>
        <v/>
      </c>
      <c r="AA500" s="41">
        <f>IFERROR(Y500*Z500,"")</f>
        <v/>
      </c>
      <c r="AB500" s="41">
        <f>IFERROR(IF(Z500&lt;1,Y500/(1-Z500),""),"")</f>
        <v/>
      </c>
      <c r="AC500" s="23" t="n"/>
      <c r="AD500" s="36" t="n"/>
      <c r="AE500" s="23" t="n"/>
      <c r="AF500" s="36" t="n"/>
      <c r="AG500" s="23" t="n"/>
      <c r="AH500" s="36" t="n"/>
      <c r="AI500" s="41">
        <f>IFERROR(AVERAGE(AD500,AF500,AH500),"")</f>
        <v/>
      </c>
      <c r="AJ500" s="29">
        <f>IFERROR(IF(AI500="","sem dados",IF(AB500&lt;AI500*0.95,"abaixo",IF(AB500&gt;AI500*1.05,"acima","em linha"))),"")</f>
        <v/>
      </c>
      <c r="AK500" s="23" t="inlineStr">
        <is>
          <t>não</t>
        </is>
      </c>
      <c r="AL500" s="23" t="n"/>
      <c r="AM500" s="23" t="n"/>
      <c r="AN500" s="23" t="n"/>
      <c r="AO500" s="44">
        <f>A500</f>
        <v/>
      </c>
      <c r="AP500" s="44">
        <f>D500</f>
        <v/>
      </c>
    </row>
    <row r="501" hidden="1" ht="15.75" customHeight="1" s="93">
      <c r="A501" s="23" t="inlineStr">
        <is>
          <t>5.0521.L027128.0</t>
        </is>
      </c>
      <c r="B501" s="23" t="inlineStr">
        <is>
          <t>L027128</t>
        </is>
      </c>
      <c r="C501" s="29">
        <f>IFERROR(LOWER(SUBSTITUTE(SUBSTITUTE(SUBSTITUTE(SUBSTITUTE(D501," ","-"),"/","-"),".",""),",","")),"")</f>
        <v/>
      </c>
      <c r="D501" s="23" t="inlineStr">
        <is>
          <t>MC1 40 201.2.21.74/16.C134.L</t>
        </is>
      </c>
      <c r="E501" s="23" t="n"/>
      <c r="F501" s="23" t="inlineStr">
        <is>
          <t>SOHIPREN</t>
        </is>
      </c>
      <c r="G501" s="23" t="n"/>
      <c r="H501" s="23" t="inlineStr">
        <is>
          <t>draft</t>
        </is>
      </c>
      <c r="I501" s="23" t="inlineStr">
        <is>
          <t>HYBEL</t>
        </is>
      </c>
      <c r="J501" s="23" t="inlineStr">
        <is>
          <t>DIVERSOS</t>
        </is>
      </c>
      <c r="K501" s="23" t="n"/>
      <c r="L501" s="23" t="inlineStr">
        <is>
          <t>17102038219</t>
        </is>
      </c>
      <c r="M501" s="31" t="n"/>
      <c r="N501" s="31" t="n"/>
      <c r="O501" s="31" t="n"/>
      <c r="P501" s="31" t="n"/>
      <c r="Q501" s="31" t="n"/>
      <c r="R501" s="34">
        <f>IFERROR(IF(AND(O501&gt;0,P501&gt;0,Q501&gt;0),(O501*P501*Q501)/6000,""),"")</f>
        <v/>
      </c>
      <c r="S501" s="34">
        <f>IFERROR(IF(AND(N501&gt;0,R501&gt;0),MAX(N501,R501),IF(N501&gt;0,N501,IF(R501&gt;0,R501,""))),"")</f>
        <v/>
      </c>
      <c r="T501" s="36" t="n"/>
      <c r="U501" s="38" t="inlineStr">
        <is>
          <t>FALTA</t>
        </is>
      </c>
      <c r="V501" s="36" t="n">
        <v>1815</v>
      </c>
      <c r="W501" s="39" t="n">
        <v>0.3</v>
      </c>
      <c r="X501" s="41">
        <f>IFERROR(V501+T501,"")</f>
        <v/>
      </c>
      <c r="Y501" s="41">
        <f>IFERROR(IF(W501&lt;1,X501/(1-W501),""),"")</f>
        <v/>
      </c>
      <c r="Z501" s="43">
        <f>'01_CONFIG_GLOBAL'!$C$14</f>
        <v/>
      </c>
      <c r="AA501" s="41">
        <f>IFERROR(Y501*Z501,"")</f>
        <v/>
      </c>
      <c r="AB501" s="41">
        <f>IFERROR(IF(Z501&lt;1,Y501/(1-Z501),""),"")</f>
        <v/>
      </c>
      <c r="AC501" s="23" t="n"/>
      <c r="AD501" s="36" t="n"/>
      <c r="AE501" s="23" t="n"/>
      <c r="AF501" s="36" t="n"/>
      <c r="AG501" s="23" t="n"/>
      <c r="AH501" s="36" t="n"/>
      <c r="AI501" s="41">
        <f>IFERROR(AVERAGE(AD501,AF501,AH501),"")</f>
        <v/>
      </c>
      <c r="AJ501" s="29">
        <f>IFERROR(IF(AI501="","sem dados",IF(AB501&lt;AI501*0.95,"abaixo",IF(AB501&gt;AI501*1.05,"acima","em linha"))),"")</f>
        <v/>
      </c>
      <c r="AK501" s="23" t="inlineStr">
        <is>
          <t>não</t>
        </is>
      </c>
      <c r="AL501" s="23" t="n"/>
      <c r="AM501" s="23" t="n"/>
      <c r="AN501" s="23" t="n"/>
      <c r="AO501" s="44">
        <f>A501</f>
        <v/>
      </c>
      <c r="AP501" s="44">
        <f>D501</f>
        <v/>
      </c>
    </row>
    <row r="502" hidden="1" ht="15.75" customHeight="1" s="93">
      <c r="A502" s="23" t="inlineStr">
        <is>
          <t>0.2207.L082528.0</t>
        </is>
      </c>
      <c r="B502" s="23" t="inlineStr">
        <is>
          <t>L082528</t>
        </is>
      </c>
      <c r="C502" s="29">
        <f>IFERROR(LOWER(SUBSTITUTE(SUBSTITUTE(SUBSTITUTE(SUBSTITUTE(D502," ","-"),"/","-"),".",""),",","")),"")</f>
        <v/>
      </c>
      <c r="D502" s="23" t="inlineStr">
        <is>
          <t>KIT MEDICAO HYDAC HMG 4000-000-E</t>
        </is>
      </c>
      <c r="E502" s="23" t="n"/>
      <c r="F502" s="23" t="inlineStr">
        <is>
          <t>SOHIPREN</t>
        </is>
      </c>
      <c r="G502" s="23" t="n"/>
      <c r="H502" s="23" t="inlineStr">
        <is>
          <t>draft</t>
        </is>
      </c>
      <c r="I502" s="23" t="inlineStr">
        <is>
          <t>HYDAC</t>
        </is>
      </c>
      <c r="J502" s="23" t="n"/>
      <c r="K502" s="23" t="n"/>
      <c r="L502" s="23" t="inlineStr">
        <is>
          <t>925279</t>
        </is>
      </c>
      <c r="M502" s="31" t="n"/>
      <c r="N502" s="31" t="n"/>
      <c r="O502" s="31" t="n"/>
      <c r="P502" s="31" t="n"/>
      <c r="Q502" s="31" t="n"/>
      <c r="R502" s="34">
        <f>IFERROR(IF(AND(O502&gt;0,P502&gt;0,Q502&gt;0),(O502*P502*Q502)/6000,""),"")</f>
        <v/>
      </c>
      <c r="S502" s="34">
        <f>IFERROR(IF(AND(N502&gt;0,R502&gt;0),MAX(N502,R502),IF(N502&gt;0,N502,IF(R502&gt;0,R502,""))),"")</f>
        <v/>
      </c>
      <c r="T502" s="36" t="n"/>
      <c r="U502" s="38" t="inlineStr">
        <is>
          <t>FALTA</t>
        </is>
      </c>
      <c r="V502" s="36" t="n">
        <v>285</v>
      </c>
      <c r="W502" s="39" t="n">
        <v>0.3</v>
      </c>
      <c r="X502" s="41">
        <f>IFERROR(V502+T502,"")</f>
        <v/>
      </c>
      <c r="Y502" s="41">
        <f>IFERROR(IF(W502&lt;1,X502/(1-W502),""),"")</f>
        <v/>
      </c>
      <c r="Z502" s="43">
        <f>'01_CONFIG_GLOBAL'!$C$14</f>
        <v/>
      </c>
      <c r="AA502" s="41">
        <f>IFERROR(Y502*Z502,"")</f>
        <v/>
      </c>
      <c r="AB502" s="41">
        <f>IFERROR(IF(Z502&lt;1,Y502/(1-Z502),""),"")</f>
        <v/>
      </c>
      <c r="AC502" s="23" t="n"/>
      <c r="AD502" s="36" t="n"/>
      <c r="AE502" s="23" t="n"/>
      <c r="AF502" s="36" t="n"/>
      <c r="AG502" s="23" t="n"/>
      <c r="AH502" s="36" t="n"/>
      <c r="AI502" s="41">
        <f>IFERROR(AVERAGE(AD502,AF502,AH502),"")</f>
        <v/>
      </c>
      <c r="AJ502" s="29">
        <f>IFERROR(IF(AI502="","sem dados",IF(AB502&lt;AI502*0.95,"abaixo",IF(AB502&gt;AI502*1.05,"acima","em linha"))),"")</f>
        <v/>
      </c>
      <c r="AK502" s="23" t="inlineStr">
        <is>
          <t>não</t>
        </is>
      </c>
      <c r="AL502" s="23" t="n"/>
      <c r="AM502" s="23" t="n"/>
      <c r="AN502" s="23" t="n"/>
      <c r="AO502" s="44">
        <f>A502</f>
        <v/>
      </c>
      <c r="AP502" s="44">
        <f>D502</f>
        <v/>
      </c>
    </row>
    <row r="503" hidden="1" ht="15.75" customHeight="1" s="93">
      <c r="A503" s="23" t="inlineStr">
        <is>
          <t>0.8002.L082051.0</t>
        </is>
      </c>
      <c r="B503" s="23" t="inlineStr">
        <is>
          <t>L082051</t>
        </is>
      </c>
      <c r="C503" s="29">
        <f>IFERROR(LOWER(SUBSTITUTE(SUBSTITUTE(SUBSTITUTE(SUBSTITUTE(D503," ","-"),"/","-"),".",""),",","")),"")</f>
        <v/>
      </c>
      <c r="D503" s="23" t="inlineStr">
        <is>
          <t>SENSOR HDS 1000-002(PLUG M12X1 PARA HMG 3000)</t>
        </is>
      </c>
      <c r="E503" s="23" t="n"/>
      <c r="F503" s="23" t="inlineStr">
        <is>
          <t>SOHIPREN</t>
        </is>
      </c>
      <c r="G503" s="23" t="n"/>
      <c r="H503" s="23" t="inlineStr">
        <is>
          <t>draft</t>
        </is>
      </c>
      <c r="I503" s="23" t="inlineStr">
        <is>
          <t>HYDAC</t>
        </is>
      </c>
      <c r="J503" s="23" t="n"/>
      <c r="K503" s="23" t="n"/>
      <c r="L503" s="23" t="inlineStr">
        <is>
          <t>909436</t>
        </is>
      </c>
      <c r="M503" s="31" t="n"/>
      <c r="N503" s="31" t="n"/>
      <c r="O503" s="31" t="n"/>
      <c r="P503" s="31" t="n"/>
      <c r="Q503" s="31" t="n"/>
      <c r="R503" s="34">
        <f>IFERROR(IF(AND(O503&gt;0,P503&gt;0,Q503&gt;0),(O503*P503*Q503)/6000,""),"")</f>
        <v/>
      </c>
      <c r="S503" s="34">
        <f>IFERROR(IF(AND(N503&gt;0,R503&gt;0),MAX(N503,R503),IF(N503&gt;0,N503,IF(R503&gt;0,R503,""))),"")</f>
        <v/>
      </c>
      <c r="T503" s="36" t="n"/>
      <c r="U503" s="38" t="inlineStr">
        <is>
          <t>FALTA</t>
        </is>
      </c>
      <c r="V503" s="36" t="n">
        <v>285</v>
      </c>
      <c r="W503" s="39" t="n">
        <v>0.3</v>
      </c>
      <c r="X503" s="41">
        <f>IFERROR(V503+T503,"")</f>
        <v/>
      </c>
      <c r="Y503" s="41">
        <f>IFERROR(IF(W503&lt;1,X503/(1-W503),""),"")</f>
        <v/>
      </c>
      <c r="Z503" s="43">
        <f>'01_CONFIG_GLOBAL'!$C$14</f>
        <v/>
      </c>
      <c r="AA503" s="41">
        <f>IFERROR(Y503*Z503,"")</f>
        <v/>
      </c>
      <c r="AB503" s="41">
        <f>IFERROR(IF(Z503&lt;1,Y503/(1-Z503),""),"")</f>
        <v/>
      </c>
      <c r="AC503" s="23" t="n"/>
      <c r="AD503" s="36" t="n"/>
      <c r="AE503" s="23" t="n"/>
      <c r="AF503" s="36" t="n"/>
      <c r="AG503" s="23" t="n"/>
      <c r="AH503" s="36" t="n"/>
      <c r="AI503" s="41">
        <f>IFERROR(AVERAGE(AD503,AF503,AH503),"")</f>
        <v/>
      </c>
      <c r="AJ503" s="29">
        <f>IFERROR(IF(AI503="","sem dados",IF(AB503&lt;AI503*0.95,"abaixo",IF(AB503&gt;AI503*1.05,"acima","em linha"))),"")</f>
        <v/>
      </c>
      <c r="AK503" s="23" t="inlineStr">
        <is>
          <t>não</t>
        </is>
      </c>
      <c r="AL503" s="23" t="n"/>
      <c r="AM503" s="23" t="n"/>
      <c r="AN503" s="23" t="n"/>
      <c r="AO503" s="44">
        <f>A503</f>
        <v/>
      </c>
      <c r="AP503" s="44">
        <f>D503</f>
        <v/>
      </c>
    </row>
    <row r="504" hidden="1" ht="15.75" customHeight="1" s="93">
      <c r="A504" s="23" t="inlineStr">
        <is>
          <t>0.8002.L082050.0</t>
        </is>
      </c>
      <c r="B504" s="23" t="inlineStr">
        <is>
          <t>L082050</t>
        </is>
      </c>
      <c r="C504" s="29">
        <f>IFERROR(LOWER(SUBSTITUTE(SUBSTITUTE(SUBSTITUTE(SUBSTITUTE(D504," ","-"),"/","-"),".",""),",","")),"")</f>
        <v/>
      </c>
      <c r="D504" s="23" t="inlineStr">
        <is>
          <t>PN 909752 - UVM 3000 (Universal adaptor HMG 3x/4x)</t>
        </is>
      </c>
      <c r="E504" s="23" t="n"/>
      <c r="F504" s="23" t="inlineStr">
        <is>
          <t>SOHIPREN</t>
        </is>
      </c>
      <c r="G504" s="23" t="n"/>
      <c r="H504" s="23" t="inlineStr">
        <is>
          <t>draft</t>
        </is>
      </c>
      <c r="I504" s="23" t="inlineStr">
        <is>
          <t>HYDAC</t>
        </is>
      </c>
      <c r="J504" s="23" t="n"/>
      <c r="K504" s="23" t="n"/>
      <c r="L504" s="23" t="inlineStr">
        <is>
          <t>PROD37</t>
        </is>
      </c>
      <c r="M504" s="31" t="n"/>
      <c r="N504" s="31" t="n"/>
      <c r="O504" s="31" t="n"/>
      <c r="P504" s="31" t="n"/>
      <c r="Q504" s="31" t="n"/>
      <c r="R504" s="34">
        <f>IFERROR(IF(AND(O504&gt;0,P504&gt;0,Q504&gt;0),(O504*P504*Q504)/6000,""),"")</f>
        <v/>
      </c>
      <c r="S504" s="34">
        <f>IFERROR(IF(AND(N504&gt;0,R504&gt;0),MAX(N504,R504),IF(N504&gt;0,N504,IF(R504&gt;0,R504,""))),"")</f>
        <v/>
      </c>
      <c r="T504" s="36" t="n"/>
      <c r="U504" s="38" t="inlineStr">
        <is>
          <t>FALTA</t>
        </is>
      </c>
      <c r="V504" s="36" t="n">
        <v>285</v>
      </c>
      <c r="W504" s="39" t="n">
        <v>0.3</v>
      </c>
      <c r="X504" s="41">
        <f>IFERROR(V504+T504,"")</f>
        <v/>
      </c>
      <c r="Y504" s="41">
        <f>IFERROR(IF(W504&lt;1,X504/(1-W504),""),"")</f>
        <v/>
      </c>
      <c r="Z504" s="43">
        <f>'01_CONFIG_GLOBAL'!$C$14</f>
        <v/>
      </c>
      <c r="AA504" s="41">
        <f>IFERROR(Y504*Z504,"")</f>
        <v/>
      </c>
      <c r="AB504" s="41">
        <f>IFERROR(IF(Z504&lt;1,Y504/(1-Z504),""),"")</f>
        <v/>
      </c>
      <c r="AC504" s="23" t="n"/>
      <c r="AD504" s="36" t="n"/>
      <c r="AE504" s="23" t="n"/>
      <c r="AF504" s="36" t="n"/>
      <c r="AG504" s="23" t="n"/>
      <c r="AH504" s="36" t="n"/>
      <c r="AI504" s="41">
        <f>IFERROR(AVERAGE(AD504,AF504,AH504),"")</f>
        <v/>
      </c>
      <c r="AJ504" s="29">
        <f>IFERROR(IF(AI504="","sem dados",IF(AB504&lt;AI504*0.95,"abaixo",IF(AB504&gt;AI504*1.05,"acima","em linha"))),"")</f>
        <v/>
      </c>
      <c r="AK504" s="23" t="inlineStr">
        <is>
          <t>não</t>
        </is>
      </c>
      <c r="AL504" s="23" t="n"/>
      <c r="AM504" s="23" t="n"/>
      <c r="AN504" s="23" t="n"/>
      <c r="AO504" s="44">
        <f>A504</f>
        <v/>
      </c>
      <c r="AP504" s="44">
        <f>D504</f>
        <v/>
      </c>
    </row>
    <row r="505" hidden="1" ht="15.75" customHeight="1" s="93">
      <c r="A505" s="23" t="inlineStr">
        <is>
          <t>0.8002.L082004.0</t>
        </is>
      </c>
      <c r="B505" s="23" t="inlineStr">
        <is>
          <t>L082004</t>
        </is>
      </c>
      <c r="C505" s="29">
        <f>IFERROR(LOWER(SUBSTITUTE(SUBSTITUTE(SUBSTITUTE(SUBSTITUTE(D505," ","-"),"/","-"),".",""),",","")),"")</f>
        <v/>
      </c>
      <c r="D505" s="23" t="inlineStr">
        <is>
          <t>PLUG CONECTOR ZBE 30-05</t>
        </is>
      </c>
      <c r="E505" s="23" t="n"/>
      <c r="F505" s="23" t="inlineStr">
        <is>
          <t>SOHIPREN</t>
        </is>
      </c>
      <c r="G505" s="23" t="n"/>
      <c r="H505" s="23" t="inlineStr">
        <is>
          <t>draft</t>
        </is>
      </c>
      <c r="I505" s="23" t="inlineStr">
        <is>
          <t>HYDAC</t>
        </is>
      </c>
      <c r="J505" s="23" t="n"/>
      <c r="K505" s="23" t="n"/>
      <c r="L505" s="23" t="inlineStr">
        <is>
          <t>6040852</t>
        </is>
      </c>
      <c r="M505" s="31" t="n"/>
      <c r="N505" s="31" t="n"/>
      <c r="O505" s="31" t="n"/>
      <c r="P505" s="31" t="n"/>
      <c r="Q505" s="31" t="n"/>
      <c r="R505" s="34">
        <f>IFERROR(IF(AND(O505&gt;0,P505&gt;0,Q505&gt;0),(O505*P505*Q505)/6000,""),"")</f>
        <v/>
      </c>
      <c r="S505" s="34">
        <f>IFERROR(IF(AND(N505&gt;0,R505&gt;0),MAX(N505,R505),IF(N505&gt;0,N505,IF(R505&gt;0,R505,""))),"")</f>
        <v/>
      </c>
      <c r="T505" s="36" t="n"/>
      <c r="U505" s="38" t="inlineStr">
        <is>
          <t>FALTA</t>
        </is>
      </c>
      <c r="V505" s="36" t="n">
        <v>285</v>
      </c>
      <c r="W505" s="39" t="n">
        <v>0.3</v>
      </c>
      <c r="X505" s="41">
        <f>IFERROR(V505+T505,"")</f>
        <v/>
      </c>
      <c r="Y505" s="41">
        <f>IFERROR(IF(W505&lt;1,X505/(1-W505),""),"")</f>
        <v/>
      </c>
      <c r="Z505" s="43">
        <f>'01_CONFIG_GLOBAL'!$C$14</f>
        <v/>
      </c>
      <c r="AA505" s="41">
        <f>IFERROR(Y505*Z505,"")</f>
        <v/>
      </c>
      <c r="AB505" s="41">
        <f>IFERROR(IF(Z505&lt;1,Y505/(1-Z505),""),"")</f>
        <v/>
      </c>
      <c r="AC505" s="23" t="n"/>
      <c r="AD505" s="36" t="n"/>
      <c r="AE505" s="23" t="n"/>
      <c r="AF505" s="36" t="n"/>
      <c r="AG505" s="23" t="n"/>
      <c r="AH505" s="36" t="n"/>
      <c r="AI505" s="41">
        <f>IFERROR(AVERAGE(AD505,AF505,AH505),"")</f>
        <v/>
      </c>
      <c r="AJ505" s="29">
        <f>IFERROR(IF(AI505="","sem dados",IF(AB505&lt;AI505*0.95,"abaixo",IF(AB505&gt;AI505*1.05,"acima","em linha"))),"")</f>
        <v/>
      </c>
      <c r="AK505" s="23" t="inlineStr">
        <is>
          <t>não</t>
        </is>
      </c>
      <c r="AL505" s="23" t="n"/>
      <c r="AM505" s="23" t="n"/>
      <c r="AN505" s="23" t="n"/>
      <c r="AO505" s="44">
        <f>A505</f>
        <v/>
      </c>
      <c r="AP505" s="44">
        <f>D505</f>
        <v/>
      </c>
    </row>
    <row r="506" hidden="1" ht="15.75" customHeight="1" s="93">
      <c r="A506" s="23" t="inlineStr">
        <is>
          <t>6.5001.L082178.0</t>
        </is>
      </c>
      <c r="B506" s="23" t="inlineStr">
        <is>
          <t>L082178</t>
        </is>
      </c>
      <c r="C506" s="29">
        <f>IFERROR(LOWER(SUBSTITUTE(SUBSTITUTE(SUBSTITUTE(SUBSTITUTE(D506," ","-"),"/","-"),".",""),",","")),"")</f>
        <v/>
      </c>
      <c r="D506" s="23" t="inlineStr">
        <is>
          <t>VALVULA DE RETENCAO - VJ01-06/SG 002-1 (G1/4 - RETEM 2-1)</t>
        </is>
      </c>
      <c r="E506" s="23" t="n"/>
      <c r="F506" s="23" t="inlineStr">
        <is>
          <t>SOHIPREN</t>
        </is>
      </c>
      <c r="G506" s="23" t="n"/>
      <c r="H506" s="23" t="inlineStr">
        <is>
          <t>draft</t>
        </is>
      </c>
      <c r="I506" s="23" t="inlineStr">
        <is>
          <t>HYDRO-B</t>
        </is>
      </c>
      <c r="J506" s="23" t="n"/>
      <c r="K506" s="23" t="n"/>
      <c r="L506" s="23" t="inlineStr">
        <is>
          <t>15949400</t>
        </is>
      </c>
      <c r="M506" s="31" t="n"/>
      <c r="N506" s="31" t="n"/>
      <c r="O506" s="31" t="n"/>
      <c r="P506" s="31" t="n"/>
      <c r="Q506" s="31" t="n"/>
      <c r="R506" s="34">
        <f>IFERROR(IF(AND(O506&gt;0,P506&gt;0,Q506&gt;0),(O506*P506*Q506)/6000,""),"")</f>
        <v/>
      </c>
      <c r="S506" s="34">
        <f>IFERROR(IF(AND(N506&gt;0,R506&gt;0),MAX(N506,R506),IF(N506&gt;0,N506,IF(R506&gt;0,R506,""))),"")</f>
        <v/>
      </c>
      <c r="T506" s="36" t="n"/>
      <c r="U506" s="38" t="inlineStr">
        <is>
          <t>FALTA</t>
        </is>
      </c>
      <c r="V506" s="36" t="n">
        <v>79</v>
      </c>
      <c r="W506" s="39" t="n">
        <v>0.3</v>
      </c>
      <c r="X506" s="41">
        <f>IFERROR(V506+T506,"")</f>
        <v/>
      </c>
      <c r="Y506" s="41">
        <f>IFERROR(IF(W506&lt;1,X506/(1-W506),""),"")</f>
        <v/>
      </c>
      <c r="Z506" s="43">
        <f>'01_CONFIG_GLOBAL'!$C$14</f>
        <v/>
      </c>
      <c r="AA506" s="41">
        <f>IFERROR(Y506*Z506,"")</f>
        <v/>
      </c>
      <c r="AB506" s="41">
        <f>IFERROR(IF(Z506&lt;1,Y506/(1-Z506),""),"")</f>
        <v/>
      </c>
      <c r="AC506" s="23" t="n"/>
      <c r="AD506" s="36" t="n"/>
      <c r="AE506" s="23" t="n"/>
      <c r="AF506" s="36" t="n"/>
      <c r="AG506" s="23" t="n"/>
      <c r="AH506" s="36" t="n"/>
      <c r="AI506" s="41">
        <f>IFERROR(AVERAGE(AD506,AF506,AH506),"")</f>
        <v/>
      </c>
      <c r="AJ506" s="29">
        <f>IFERROR(IF(AI506="","sem dados",IF(AB506&lt;AI506*0.95,"abaixo",IF(AB506&gt;AI506*1.05,"acima","em linha"))),"")</f>
        <v/>
      </c>
      <c r="AK506" s="23" t="inlineStr">
        <is>
          <t>não</t>
        </is>
      </c>
      <c r="AL506" s="23" t="n"/>
      <c r="AM506" s="23" t="n"/>
      <c r="AN506" s="23" t="n"/>
      <c r="AO506" s="44">
        <f>A506</f>
        <v/>
      </c>
      <c r="AP506" s="44">
        <f>D506</f>
        <v/>
      </c>
    </row>
    <row r="507" hidden="1" ht="15.75" customHeight="1" s="93">
      <c r="A507" s="23" t="inlineStr">
        <is>
          <t>5.0401.0575004.0</t>
        </is>
      </c>
      <c r="B507" s="23" t="inlineStr">
        <is>
          <t>575004</t>
        </is>
      </c>
      <c r="C507" s="29">
        <f>IFERROR(LOWER(SUBSTITUTE(SUBSTITUTE(SUBSTITUTE(SUBSTITUTE(D507," ","-"),"/","-"),".",""),",","")),"")</f>
        <v/>
      </c>
      <c r="D507" s="23" t="inlineStr">
        <is>
          <t>BNI 22 E1.C.C1.D2  9-120 BAR</t>
        </is>
      </c>
      <c r="E507" s="23" t="n"/>
      <c r="F507" s="23" t="inlineStr">
        <is>
          <t>SOHIPREN</t>
        </is>
      </c>
      <c r="G507" s="23" t="n"/>
      <c r="H507" s="23" t="inlineStr">
        <is>
          <t>draft</t>
        </is>
      </c>
      <c r="I507" s="23" t="inlineStr">
        <is>
          <t>HYSTER</t>
        </is>
      </c>
      <c r="J507" s="23" t="inlineStr">
        <is>
          <t>EMPILHADEIRA</t>
        </is>
      </c>
      <c r="K507" s="23" t="inlineStr">
        <is>
          <t>PRINCPAL E DIREÇÃO</t>
        </is>
      </c>
      <c r="L507" s="23" t="inlineStr">
        <is>
          <t>2037189 / 1355160</t>
        </is>
      </c>
      <c r="M507" s="31" t="n"/>
      <c r="N507" s="31" t="n"/>
      <c r="O507" s="31" t="n"/>
      <c r="P507" s="31" t="n"/>
      <c r="Q507" s="31" t="n"/>
      <c r="R507" s="34">
        <f>IFERROR(IF(AND(O507&gt;0,P507&gt;0,Q507&gt;0),(O507*P507*Q507)/6000,""),"")</f>
        <v/>
      </c>
      <c r="S507" s="34">
        <f>IFERROR(IF(AND(N507&gt;0,R507&gt;0),MAX(N507,R507),IF(N507&gt;0,N507,IF(R507&gt;0,R507,""))),"")</f>
        <v/>
      </c>
      <c r="T507" s="36" t="n"/>
      <c r="U507" s="38" t="inlineStr">
        <is>
          <t>FALTA</t>
        </is>
      </c>
      <c r="V507" s="36" t="n">
        <v>665</v>
      </c>
      <c r="W507" s="39" t="n">
        <v>0.3</v>
      </c>
      <c r="X507" s="41">
        <f>IFERROR(V507+T507,"")</f>
        <v/>
      </c>
      <c r="Y507" s="41">
        <f>IFERROR(IF(W507&lt;1,X507/(1-W507),""),"")</f>
        <v/>
      </c>
      <c r="Z507" s="43">
        <f>'01_CONFIG_GLOBAL'!$C$14</f>
        <v/>
      </c>
      <c r="AA507" s="41">
        <f>IFERROR(Y507*Z507,"")</f>
        <v/>
      </c>
      <c r="AB507" s="41">
        <f>IFERROR(IF(Z507&lt;1,Y507/(1-Z507),""),"")</f>
        <v/>
      </c>
      <c r="AC507" s="23" t="n"/>
      <c r="AD507" s="36" t="n"/>
      <c r="AE507" s="23" t="n"/>
      <c r="AF507" s="36" t="n"/>
      <c r="AG507" s="23" t="n"/>
      <c r="AH507" s="36" t="n"/>
      <c r="AI507" s="41">
        <f>IFERROR(AVERAGE(AD507,AF507,AH507),"")</f>
        <v/>
      </c>
      <c r="AJ507" s="29">
        <f>IFERROR(IF(AI507="","sem dados",IF(AB507&lt;AI507*0.95,"abaixo",IF(AB507&gt;AI507*1.05,"acima","em linha"))),"")</f>
        <v/>
      </c>
      <c r="AK507" s="23" t="inlineStr">
        <is>
          <t>não</t>
        </is>
      </c>
      <c r="AL507" s="23" t="n"/>
      <c r="AM507" s="23" t="n"/>
      <c r="AN507" s="23" t="n"/>
      <c r="AO507" s="44">
        <f>A507</f>
        <v/>
      </c>
      <c r="AP507" s="44">
        <f>D507</f>
        <v/>
      </c>
    </row>
    <row r="508" hidden="1" ht="15.75" customHeight="1" s="93">
      <c r="A508" s="23" t="inlineStr">
        <is>
          <t>5.0210.L018890.0</t>
        </is>
      </c>
      <c r="B508" s="23" t="inlineStr">
        <is>
          <t>L01889</t>
        </is>
      </c>
      <c r="C508" s="29">
        <f>IFERROR(LOWER(SUBSTITUTE(SUBSTITUTE(SUBSTITUTE(SUBSTITUTE(D508," ","-"),"/","-"),".",""),",","")),"")</f>
        <v/>
      </c>
      <c r="D508" s="23" t="inlineStr">
        <is>
          <t>BOMBA HIDRÁULICA - APLICAÇÃO 22,5 E19.C.C100.D3</t>
        </is>
      </c>
      <c r="E508" s="23" t="inlineStr">
        <is>
          <t>Bombas Hidráulicas</t>
        </is>
      </c>
      <c r="F508" s="23" t="inlineStr">
        <is>
          <t>SOHIPREN</t>
        </is>
      </c>
      <c r="G508" s="23" t="n"/>
      <c r="H508" s="23" t="inlineStr">
        <is>
          <t>draft</t>
        </is>
      </c>
      <c r="I508" s="23" t="inlineStr">
        <is>
          <t>HYSTER</t>
        </is>
      </c>
      <c r="J508" s="23" t="inlineStr">
        <is>
          <t>EMPILHADEIRA</t>
        </is>
      </c>
      <c r="K508" s="23" t="inlineStr">
        <is>
          <t>PRINCIPAL E DIRECAO</t>
        </is>
      </c>
      <c r="L508" s="23" t="inlineStr">
        <is>
          <t>1375160/2037189/1355160/1455404</t>
        </is>
      </c>
      <c r="M508" s="31" t="n"/>
      <c r="N508" s="31" t="n"/>
      <c r="O508" s="31" t="n"/>
      <c r="P508" s="31" t="n"/>
      <c r="Q508" s="31" t="n"/>
      <c r="R508" s="34">
        <f>IFERROR(IF(AND(O508&gt;0,P508&gt;0,Q508&gt;0),(O508*P508*Q508)/6000,""),"")</f>
        <v/>
      </c>
      <c r="S508" s="34">
        <f>IFERROR(IF(AND(N508&gt;0,R508&gt;0),MAX(N508,R508),IF(N508&gt;0,N508,IF(R508&gt;0,R508,""))),"")</f>
        <v/>
      </c>
      <c r="T508" s="36" t="n"/>
      <c r="U508" s="38" t="inlineStr">
        <is>
          <t>FALTA</t>
        </is>
      </c>
      <c r="V508" s="36" t="n">
        <v>425.18</v>
      </c>
      <c r="W508" s="39" t="n">
        <v>0.3</v>
      </c>
      <c r="X508" s="41">
        <f>IFERROR(V508+T508,"")</f>
        <v/>
      </c>
      <c r="Y508" s="41">
        <f>IFERROR(IF(W508&lt;1,X508/(1-W508),""),"")</f>
        <v/>
      </c>
      <c r="Z508" s="43">
        <f>'01_CONFIG_GLOBAL'!$C$14</f>
        <v/>
      </c>
      <c r="AA508" s="41">
        <f>IFERROR(Y508*Z508,"")</f>
        <v/>
      </c>
      <c r="AB508" s="41">
        <f>IFERROR(IF(Z508&lt;1,Y508/(1-Z508),""),"")</f>
        <v/>
      </c>
      <c r="AC508" s="23" t="n"/>
      <c r="AD508" s="36" t="n"/>
      <c r="AE508" s="23" t="n"/>
      <c r="AF508" s="36" t="n"/>
      <c r="AG508" s="23" t="n"/>
      <c r="AH508" s="36" t="n"/>
      <c r="AI508" s="41">
        <f>IFERROR(AVERAGE(AD508,AF508,AH508),"")</f>
        <v/>
      </c>
      <c r="AJ508" s="29">
        <f>IFERROR(IF(AI508="","sem dados",IF(AB508&lt;AI508*0.95,"abaixo",IF(AB508&gt;AI508*1.05,"acima","em linha"))),"")</f>
        <v/>
      </c>
      <c r="AK508" s="23" t="inlineStr">
        <is>
          <t>não</t>
        </is>
      </c>
      <c r="AL508" s="23" t="n"/>
      <c r="AM508" s="23" t="n"/>
      <c r="AN508" s="23" t="n"/>
      <c r="AO508" s="44">
        <f>A508</f>
        <v/>
      </c>
      <c r="AP508" s="44">
        <f>D508</f>
        <v/>
      </c>
    </row>
    <row r="509" hidden="1" ht="15.75" customHeight="1" s="93">
      <c r="A509" s="23" t="inlineStr">
        <is>
          <t>5.0210.L025469.0</t>
        </is>
      </c>
      <c r="B509" s="23" t="inlineStr">
        <is>
          <t>L025469</t>
        </is>
      </c>
      <c r="C509" s="29">
        <f>IFERROR(LOWER(SUBSTITUTE(SUBSTITUTE(SUBSTITUTE(SUBSTITUTE(D509," ","-"),"/","-"),".",""),",","")),"")</f>
        <v/>
      </c>
      <c r="D509" s="23" t="inlineStr">
        <is>
          <t>BOD 22,5 E19.C.G.G7</t>
        </is>
      </c>
      <c r="E509" s="23" t="inlineStr">
        <is>
          <t>Bombas Hidráulicas</t>
        </is>
      </c>
      <c r="F509" s="23" t="inlineStr">
        <is>
          <t>SOHIPREN</t>
        </is>
      </c>
      <c r="G509" s="23" t="n"/>
      <c r="H509" s="23" t="inlineStr">
        <is>
          <t>draft</t>
        </is>
      </c>
      <c r="I509" s="23" t="inlineStr">
        <is>
          <t>HYSTER</t>
        </is>
      </c>
      <c r="J509" s="23" t="inlineStr">
        <is>
          <t>HYSTER</t>
        </is>
      </c>
      <c r="K509" s="23" t="inlineStr">
        <is>
          <t>PRINCIPAL</t>
        </is>
      </c>
      <c r="L509" s="23" t="inlineStr">
        <is>
          <t>2067800/12101023086</t>
        </is>
      </c>
      <c r="M509" s="31" t="n"/>
      <c r="N509" s="31" t="n"/>
      <c r="O509" s="31" t="n"/>
      <c r="P509" s="31" t="n"/>
      <c r="Q509" s="31" t="n"/>
      <c r="R509" s="34">
        <f>IFERROR(IF(AND(O509&gt;0,P509&gt;0,Q509&gt;0),(O509*P509*Q509)/6000,""),"")</f>
        <v/>
      </c>
      <c r="S509" s="34">
        <f>IFERROR(IF(AND(N509&gt;0,R509&gt;0),MAX(N509,R509),IF(N509&gt;0,N509,IF(R509&gt;0,R509,""))),"")</f>
        <v/>
      </c>
      <c r="T509" s="36" t="n"/>
      <c r="U509" s="38" t="inlineStr">
        <is>
          <t>FALTA</t>
        </is>
      </c>
      <c r="V509" s="36" t="n">
        <v>715</v>
      </c>
      <c r="W509" s="39" t="n">
        <v>0.3</v>
      </c>
      <c r="X509" s="41">
        <f>IFERROR(V509+T509,"")</f>
        <v/>
      </c>
      <c r="Y509" s="41">
        <f>IFERROR(IF(W509&lt;1,X509/(1-W509),""),"")</f>
        <v/>
      </c>
      <c r="Z509" s="43">
        <f>'01_CONFIG_GLOBAL'!$C$14</f>
        <v/>
      </c>
      <c r="AA509" s="41">
        <f>IFERROR(Y509*Z509,"")</f>
        <v/>
      </c>
      <c r="AB509" s="41">
        <f>IFERROR(IF(Z509&lt;1,Y509/(1-Z509),""),"")</f>
        <v/>
      </c>
      <c r="AC509" s="23" t="n"/>
      <c r="AD509" s="36" t="n"/>
      <c r="AE509" s="23" t="n"/>
      <c r="AF509" s="36" t="n"/>
      <c r="AG509" s="23" t="n"/>
      <c r="AH509" s="36" t="n"/>
      <c r="AI509" s="41">
        <f>IFERROR(AVERAGE(AD509,AF509,AH509),"")</f>
        <v/>
      </c>
      <c r="AJ509" s="29">
        <f>IFERROR(IF(AI509="","sem dados",IF(AB509&lt;AI509*0.95,"abaixo",IF(AB509&gt;AI509*1.05,"acima","em linha"))),"")</f>
        <v/>
      </c>
      <c r="AK509" s="23" t="inlineStr">
        <is>
          <t>não</t>
        </is>
      </c>
      <c r="AL509" s="23" t="n"/>
      <c r="AM509" s="23" t="n"/>
      <c r="AN509" s="23" t="n"/>
      <c r="AO509" s="44">
        <f>A509</f>
        <v/>
      </c>
      <c r="AP509" s="44">
        <f>D509</f>
        <v/>
      </c>
    </row>
    <row r="510" hidden="1" ht="15.75" customHeight="1" s="93">
      <c r="A510" s="23" t="inlineStr">
        <is>
          <t>5.0506.0505061.0</t>
        </is>
      </c>
      <c r="B510" s="23" t="inlineStr">
        <is>
          <t>505061</t>
        </is>
      </c>
      <c r="C510" s="29">
        <f>IFERROR(LOWER(SUBSTITUTE(SUBSTITUTE(SUBSTITUTE(SUBSTITUTE(D510," ","-"),"/","-"),".",""),",","")),"")</f>
        <v/>
      </c>
      <c r="D510" s="23" t="inlineStr">
        <is>
          <t>MC1 60 201.1.32.95.61</t>
        </is>
      </c>
      <c r="E510" s="23" t="n"/>
      <c r="F510" s="23" t="inlineStr">
        <is>
          <t>SOHIPREN</t>
        </is>
      </c>
      <c r="G510" s="23" t="n"/>
      <c r="H510" s="23" t="inlineStr">
        <is>
          <t>draft</t>
        </is>
      </c>
      <c r="I510" s="23" t="inlineStr">
        <is>
          <t>HYSTER</t>
        </is>
      </c>
      <c r="J510" s="23" t="inlineStr">
        <is>
          <t>EMPILHADEIRA</t>
        </is>
      </c>
      <c r="K510" s="23" t="inlineStr">
        <is>
          <t>PRINCIPAL</t>
        </is>
      </c>
      <c r="L510" s="23" t="inlineStr">
        <is>
          <t>172914</t>
        </is>
      </c>
      <c r="M510" s="31" t="n"/>
      <c r="N510" s="31" t="n"/>
      <c r="O510" s="31" t="n"/>
      <c r="P510" s="31" t="n"/>
      <c r="Q510" s="31" t="n"/>
      <c r="R510" s="34">
        <f>IFERROR(IF(AND(O510&gt;0,P510&gt;0,Q510&gt;0),(O510*P510*Q510)/6000,""),"")</f>
        <v/>
      </c>
      <c r="S510" s="34">
        <f>IFERROR(IF(AND(N510&gt;0,R510&gt;0),MAX(N510,R510),IF(N510&gt;0,N510,IF(R510&gt;0,R510,""))),"")</f>
        <v/>
      </c>
      <c r="T510" s="36" t="n"/>
      <c r="U510" s="38" t="inlineStr">
        <is>
          <t>FALTA</t>
        </is>
      </c>
      <c r="V510" s="36" t="n">
        <v>826.55</v>
      </c>
      <c r="W510" s="39" t="n">
        <v>0.3</v>
      </c>
      <c r="X510" s="41">
        <f>IFERROR(V510+T510,"")</f>
        <v/>
      </c>
      <c r="Y510" s="41">
        <f>IFERROR(IF(W510&lt;1,X510/(1-W510),""),"")</f>
        <v/>
      </c>
      <c r="Z510" s="43">
        <f>'01_CONFIG_GLOBAL'!$C$14</f>
        <v/>
      </c>
      <c r="AA510" s="41">
        <f>IFERROR(Y510*Z510,"")</f>
        <v/>
      </c>
      <c r="AB510" s="41">
        <f>IFERROR(IF(Z510&lt;1,Y510/(1-Z510),""),"")</f>
        <v/>
      </c>
      <c r="AC510" s="23" t="n"/>
      <c r="AD510" s="36" t="n"/>
      <c r="AE510" s="23" t="n"/>
      <c r="AF510" s="36" t="n"/>
      <c r="AG510" s="23" t="n"/>
      <c r="AH510" s="36" t="n"/>
      <c r="AI510" s="41">
        <f>IFERROR(AVERAGE(AD510,AF510,AH510),"")</f>
        <v/>
      </c>
      <c r="AJ510" s="29">
        <f>IFERROR(IF(AI510="","sem dados",IF(AB510&lt;AI510*0.95,"abaixo",IF(AB510&gt;AI510*1.05,"acima","em linha"))),"")</f>
        <v/>
      </c>
      <c r="AK510" s="23" t="inlineStr">
        <is>
          <t>não</t>
        </is>
      </c>
      <c r="AL510" s="23" t="n"/>
      <c r="AM510" s="23" t="n"/>
      <c r="AN510" s="23" t="n"/>
      <c r="AO510" s="44">
        <f>A510</f>
        <v/>
      </c>
      <c r="AP510" s="44">
        <f>D510</f>
        <v/>
      </c>
    </row>
    <row r="511" hidden="1" ht="15.75" customHeight="1" s="93">
      <c r="A511" s="23" t="inlineStr">
        <is>
          <t>5.0210.0546514.0</t>
        </is>
      </c>
      <c r="B511" s="23" t="inlineStr">
        <is>
          <t>546514</t>
        </is>
      </c>
      <c r="C511" s="29">
        <f>IFERROR(LOWER(SUBSTITUTE(SUBSTITUTE(SUBSTITUTE(SUBSTITUTE(D511," ","-"),"/","-"),".",""),",","")),"")</f>
        <v/>
      </c>
      <c r="D511" s="23" t="inlineStr">
        <is>
          <t>BOD 22,5 B1.C.C150.D10  10-105 BAR</t>
        </is>
      </c>
      <c r="E511" s="23" t="inlineStr">
        <is>
          <t>Bombas Hidráulicas</t>
        </is>
      </c>
      <c r="F511" s="23" t="inlineStr">
        <is>
          <t>SOHIPREN</t>
        </is>
      </c>
      <c r="G511" s="23" t="n"/>
      <c r="H511" s="23" t="inlineStr">
        <is>
          <t>draft</t>
        </is>
      </c>
      <c r="I511" s="23" t="inlineStr">
        <is>
          <t>HYSTER</t>
        </is>
      </c>
      <c r="J511" s="23" t="inlineStr">
        <is>
          <t>EMPILHADEIRA</t>
        </is>
      </c>
      <c r="K511" s="23" t="inlineStr">
        <is>
          <t>PRINCPAL E DIREÇÃO</t>
        </is>
      </c>
      <c r="L511" s="23" t="inlineStr">
        <is>
          <t>845106</t>
        </is>
      </c>
      <c r="M511" s="31" t="n"/>
      <c r="N511" s="31" t="n"/>
      <c r="O511" s="31" t="n"/>
      <c r="P511" s="31" t="n"/>
      <c r="Q511" s="31" t="n"/>
      <c r="R511" s="34">
        <f>IFERROR(IF(AND(O511&gt;0,P511&gt;0,Q511&gt;0),(O511*P511*Q511)/6000,""),"")</f>
        <v/>
      </c>
      <c r="S511" s="34">
        <f>IFERROR(IF(AND(N511&gt;0,R511&gt;0),MAX(N511,R511),IF(N511&gt;0,N511,IF(R511&gt;0,R511,""))),"")</f>
        <v/>
      </c>
      <c r="T511" s="36" t="n"/>
      <c r="U511" s="38" t="inlineStr">
        <is>
          <t>FALTA</t>
        </is>
      </c>
      <c r="V511" s="36" t="n">
        <v>775.5</v>
      </c>
      <c r="W511" s="39" t="n">
        <v>0.3</v>
      </c>
      <c r="X511" s="41">
        <f>IFERROR(V511+T511,"")</f>
        <v/>
      </c>
      <c r="Y511" s="41">
        <f>IFERROR(IF(W511&lt;1,X511/(1-W511),""),"")</f>
        <v/>
      </c>
      <c r="Z511" s="43">
        <f>'01_CONFIG_GLOBAL'!$C$14</f>
        <v/>
      </c>
      <c r="AA511" s="41">
        <f>IFERROR(Y511*Z511,"")</f>
        <v/>
      </c>
      <c r="AB511" s="41">
        <f>IFERROR(IF(Z511&lt;1,Y511/(1-Z511),""),"")</f>
        <v/>
      </c>
      <c r="AC511" s="23" t="n"/>
      <c r="AD511" s="36" t="n"/>
      <c r="AE511" s="23" t="n"/>
      <c r="AF511" s="36" t="n"/>
      <c r="AG511" s="23" t="n"/>
      <c r="AH511" s="36" t="n"/>
      <c r="AI511" s="41">
        <f>IFERROR(AVERAGE(AD511,AF511,AH511),"")</f>
        <v/>
      </c>
      <c r="AJ511" s="29">
        <f>IFERROR(IF(AI511="","sem dados",IF(AB511&lt;AI511*0.95,"abaixo",IF(AB511&gt;AI511*1.05,"acima","em linha"))),"")</f>
        <v/>
      </c>
      <c r="AK511" s="23" t="inlineStr">
        <is>
          <t>não</t>
        </is>
      </c>
      <c r="AL511" s="23" t="n"/>
      <c r="AM511" s="23" t="n"/>
      <c r="AN511" s="23" t="n"/>
      <c r="AO511" s="44">
        <f>A511</f>
        <v/>
      </c>
      <c r="AP511" s="44">
        <f>D511</f>
        <v/>
      </c>
    </row>
    <row r="512" hidden="1" ht="15.75" customHeight="1" s="93">
      <c r="A512" s="23" t="inlineStr">
        <is>
          <t>5.0210.0546413.0</t>
        </is>
      </c>
      <c r="B512" s="23" t="inlineStr">
        <is>
          <t>546413</t>
        </is>
      </c>
      <c r="C512" s="29">
        <f>IFERROR(LOWER(SUBSTITUTE(SUBSTITUTE(SUBSTITUTE(SUBSTITUTE(D512," ","-"),"/","-"),".",""),",","")),"")</f>
        <v/>
      </c>
      <c r="D512" s="23" t="inlineStr">
        <is>
          <t>BOMBA HIDRÁULICA - APLICAÇÃO 22,5 F4.A2.A7.D  10-80 BAR</t>
        </is>
      </c>
      <c r="E512" s="23" t="inlineStr">
        <is>
          <t>Bombas Hidráulicas</t>
        </is>
      </c>
      <c r="F512" s="23" t="inlineStr">
        <is>
          <t>SOHIPREN</t>
        </is>
      </c>
      <c r="G512" s="23" t="n"/>
      <c r="H512" s="23" t="inlineStr">
        <is>
          <t>draft</t>
        </is>
      </c>
      <c r="I512" s="23" t="inlineStr">
        <is>
          <t>HYSTER</t>
        </is>
      </c>
      <c r="J512" s="23" t="inlineStr">
        <is>
          <t>EMPILHADEIRA</t>
        </is>
      </c>
      <c r="K512" s="23" t="inlineStr">
        <is>
          <t>PRINCIPAL</t>
        </is>
      </c>
      <c r="L512" s="23" t="inlineStr">
        <is>
          <t>845486</t>
        </is>
      </c>
      <c r="M512" s="31" t="n"/>
      <c r="N512" s="31" t="n"/>
      <c r="O512" s="31" t="n"/>
      <c r="P512" s="31" t="n"/>
      <c r="Q512" s="31" t="n"/>
      <c r="R512" s="34">
        <f>IFERROR(IF(AND(O512&gt;0,P512&gt;0,Q512&gt;0),(O512*P512*Q512)/6000,""),"")</f>
        <v/>
      </c>
      <c r="S512" s="34">
        <f>IFERROR(IF(AND(N512&gt;0,R512&gt;0),MAX(N512,R512),IF(N512&gt;0,N512,IF(R512&gt;0,R512,""))),"")</f>
        <v/>
      </c>
      <c r="T512" s="36" t="n"/>
      <c r="U512" s="38" t="inlineStr">
        <is>
          <t>FALTA</t>
        </is>
      </c>
      <c r="V512" s="36" t="n">
        <v>517</v>
      </c>
      <c r="W512" s="39" t="n">
        <v>0.3</v>
      </c>
      <c r="X512" s="41">
        <f>IFERROR(V512+T512,"")</f>
        <v/>
      </c>
      <c r="Y512" s="41">
        <f>IFERROR(IF(W512&lt;1,X512/(1-W512),""),"")</f>
        <v/>
      </c>
      <c r="Z512" s="43">
        <f>'01_CONFIG_GLOBAL'!$C$14</f>
        <v/>
      </c>
      <c r="AA512" s="41">
        <f>IFERROR(Y512*Z512,"")</f>
        <v/>
      </c>
      <c r="AB512" s="41">
        <f>IFERROR(IF(Z512&lt;1,Y512/(1-Z512),""),"")</f>
        <v/>
      </c>
      <c r="AC512" s="23" t="n"/>
      <c r="AD512" s="36" t="n"/>
      <c r="AE512" s="23" t="n"/>
      <c r="AF512" s="36" t="n"/>
      <c r="AG512" s="23" t="n"/>
      <c r="AH512" s="36" t="n"/>
      <c r="AI512" s="41">
        <f>IFERROR(AVERAGE(AD512,AF512,AH512),"")</f>
        <v/>
      </c>
      <c r="AJ512" s="29">
        <f>IFERROR(IF(AI512="","sem dados",IF(AB512&lt;AI512*0.95,"abaixo",IF(AB512&gt;AI512*1.05,"acima","em linha"))),"")</f>
        <v/>
      </c>
      <c r="AK512" s="23" t="inlineStr">
        <is>
          <t>não</t>
        </is>
      </c>
      <c r="AL512" s="23" t="n"/>
      <c r="AM512" s="23" t="n"/>
      <c r="AN512" s="23" t="n"/>
      <c r="AO512" s="44">
        <f>A512</f>
        <v/>
      </c>
      <c r="AP512" s="44">
        <f>D512</f>
        <v/>
      </c>
    </row>
    <row r="513" hidden="1" ht="15.75" customHeight="1" s="93">
      <c r="A513" s="23" t="inlineStr">
        <is>
          <t>5.0504.0503088.0</t>
        </is>
      </c>
      <c r="B513" s="23" t="inlineStr">
        <is>
          <t>503088</t>
        </is>
      </c>
      <c r="C513" s="29">
        <f>IFERROR(LOWER(SUBSTITUTE(SUBSTITUTE(SUBSTITUTE(SUBSTITUTE(D513," ","-"),"/","-"),".",""),",","")),"")</f>
        <v/>
      </c>
      <c r="D513" s="23" t="inlineStr">
        <is>
          <t>MC1 40 201.1.32.82.61</t>
        </is>
      </c>
      <c r="E513" s="23" t="n"/>
      <c r="F513" s="23" t="inlineStr">
        <is>
          <t>SOHIPREN</t>
        </is>
      </c>
      <c r="G513" s="23" t="n"/>
      <c r="H513" s="23" t="inlineStr">
        <is>
          <t>draft</t>
        </is>
      </c>
      <c r="I513" s="23" t="inlineStr">
        <is>
          <t>HYSTER</t>
        </is>
      </c>
      <c r="J513" s="23" t="inlineStr">
        <is>
          <t>EMPILHADEIRA</t>
        </is>
      </c>
      <c r="K513" s="23" t="inlineStr">
        <is>
          <t>PRINCIPAL</t>
        </is>
      </c>
      <c r="L513" s="23" t="inlineStr">
        <is>
          <t>1367711</t>
        </is>
      </c>
      <c r="M513" s="31" t="n"/>
      <c r="N513" s="31" t="n"/>
      <c r="O513" s="31" t="n"/>
      <c r="P513" s="31" t="n"/>
      <c r="Q513" s="31" t="n"/>
      <c r="R513" s="34">
        <f>IFERROR(IF(AND(O513&gt;0,P513&gt;0,Q513&gt;0),(O513*P513*Q513)/6000,""),"")</f>
        <v/>
      </c>
      <c r="S513" s="34">
        <f>IFERROR(IF(AND(N513&gt;0,R513&gt;0),MAX(N513,R513),IF(N513&gt;0,N513,IF(R513&gt;0,R513,""))),"")</f>
        <v/>
      </c>
      <c r="T513" s="36" t="n"/>
      <c r="U513" s="38" t="inlineStr">
        <is>
          <t>FALTA</t>
        </is>
      </c>
      <c r="V513" s="36" t="n">
        <v>1150</v>
      </c>
      <c r="W513" s="39" t="n">
        <v>0.3</v>
      </c>
      <c r="X513" s="41">
        <f>IFERROR(V513+T513,"")</f>
        <v/>
      </c>
      <c r="Y513" s="41">
        <f>IFERROR(IF(W513&lt;1,X513/(1-W513),""),"")</f>
        <v/>
      </c>
      <c r="Z513" s="43">
        <f>'01_CONFIG_GLOBAL'!$C$14</f>
        <v/>
      </c>
      <c r="AA513" s="41">
        <f>IFERROR(Y513*Z513,"")</f>
        <v/>
      </c>
      <c r="AB513" s="41">
        <f>IFERROR(IF(Z513&lt;1,Y513/(1-Z513),""),"")</f>
        <v/>
      </c>
      <c r="AC513" s="23" t="n"/>
      <c r="AD513" s="36" t="n"/>
      <c r="AE513" s="23" t="n"/>
      <c r="AF513" s="36" t="n"/>
      <c r="AG513" s="23" t="n"/>
      <c r="AH513" s="36" t="n"/>
      <c r="AI513" s="41">
        <f>IFERROR(AVERAGE(AD513,AF513,AH513),"")</f>
        <v/>
      </c>
      <c r="AJ513" s="29">
        <f>IFERROR(IF(AI513="","sem dados",IF(AB513&lt;AI513*0.95,"abaixo",IF(AB513&gt;AI513*1.05,"acima","em linha"))),"")</f>
        <v/>
      </c>
      <c r="AK513" s="23" t="inlineStr">
        <is>
          <t>não</t>
        </is>
      </c>
      <c r="AL513" s="23" t="n"/>
      <c r="AM513" s="23" t="n"/>
      <c r="AN513" s="23" t="n"/>
      <c r="AO513" s="44">
        <f>A513</f>
        <v/>
      </c>
      <c r="AP513" s="44">
        <f>D513</f>
        <v/>
      </c>
    </row>
    <row r="514" hidden="1" ht="15.75" customHeight="1" s="93">
      <c r="A514" s="23" t="inlineStr">
        <is>
          <t>5.5210.L010080.0</t>
        </is>
      </c>
      <c r="B514" s="23" t="inlineStr">
        <is>
          <t>L01008</t>
        </is>
      </c>
      <c r="C514" s="29">
        <f>IFERROR(LOWER(SUBSTITUTE(SUBSTITUTE(SUBSTITUTE(SUBSTITUTE(D514," ","-"),"/","-"),".",""),",","")),"")</f>
        <v/>
      </c>
      <c r="D514" s="23" t="inlineStr">
        <is>
          <t>MUD 22,5 F4.A2.C119.BL - 24V</t>
        </is>
      </c>
      <c r="E514" s="23" t="n"/>
      <c r="F514" s="23" t="inlineStr">
        <is>
          <t>SOHIPREN</t>
        </is>
      </c>
      <c r="G514" s="23" t="n"/>
      <c r="H514" s="23" t="inlineStr">
        <is>
          <t>draft</t>
        </is>
      </c>
      <c r="I514" s="23" t="inlineStr">
        <is>
          <t>HYUNDAI</t>
        </is>
      </c>
      <c r="J514" s="23" t="inlineStr">
        <is>
          <t>PÁ CARREGADEIRA</t>
        </is>
      </c>
      <c r="K514" s="23" t="inlineStr">
        <is>
          <t>MOTOR DO VENTILADOR</t>
        </is>
      </c>
      <c r="L514" s="23" t="inlineStr">
        <is>
          <t>11LD30112</t>
        </is>
      </c>
      <c r="M514" s="31" t="n"/>
      <c r="N514" s="31" t="n"/>
      <c r="O514" s="31" t="n"/>
      <c r="P514" s="31" t="n"/>
      <c r="Q514" s="31" t="n"/>
      <c r="R514" s="34">
        <f>IFERROR(IF(AND(O514&gt;0,P514&gt;0,Q514&gt;0),(O514*P514*Q514)/6000,""),"")</f>
        <v/>
      </c>
      <c r="S514" s="34">
        <f>IFERROR(IF(AND(N514&gt;0,R514&gt;0),MAX(N514,R514),IF(N514&gt;0,N514,IF(R514&gt;0,R514,""))),"")</f>
        <v/>
      </c>
      <c r="T514" s="36" t="n"/>
      <c r="U514" s="38" t="inlineStr">
        <is>
          <t>FALTA</t>
        </is>
      </c>
      <c r="V514" s="36" t="n">
        <v>537.86</v>
      </c>
      <c r="W514" s="39" t="n">
        <v>0.3</v>
      </c>
      <c r="X514" s="41">
        <f>IFERROR(V514+T514,"")</f>
        <v/>
      </c>
      <c r="Y514" s="41">
        <f>IFERROR(IF(W514&lt;1,X514/(1-W514),""),"")</f>
        <v/>
      </c>
      <c r="Z514" s="43">
        <f>'01_CONFIG_GLOBAL'!$C$14</f>
        <v/>
      </c>
      <c r="AA514" s="41">
        <f>IFERROR(Y514*Z514,"")</f>
        <v/>
      </c>
      <c r="AB514" s="41">
        <f>IFERROR(IF(Z514&lt;1,Y514/(1-Z514),""),"")</f>
        <v/>
      </c>
      <c r="AC514" s="23" t="n"/>
      <c r="AD514" s="36" t="n"/>
      <c r="AE514" s="23" t="n"/>
      <c r="AF514" s="36" t="n"/>
      <c r="AG514" s="23" t="n"/>
      <c r="AH514" s="36" t="n"/>
      <c r="AI514" s="41">
        <f>IFERROR(AVERAGE(AD514,AF514,AH514),"")</f>
        <v/>
      </c>
      <c r="AJ514" s="29">
        <f>IFERROR(IF(AI514="","sem dados",IF(AB514&lt;AI514*0.95,"abaixo",IF(AB514&gt;AI514*1.05,"acima","em linha"))),"")</f>
        <v/>
      </c>
      <c r="AK514" s="23" t="inlineStr">
        <is>
          <t>não</t>
        </is>
      </c>
      <c r="AL514" s="23" t="n"/>
      <c r="AM514" s="23" t="n"/>
      <c r="AN514" s="23" t="n"/>
      <c r="AO514" s="44">
        <f>A514</f>
        <v/>
      </c>
      <c r="AP514" s="44">
        <f>D514</f>
        <v/>
      </c>
    </row>
    <row r="515" hidden="1" ht="15.75" customHeight="1" s="93">
      <c r="A515" s="23" t="inlineStr">
        <is>
          <t>5.5208.L010090.0</t>
        </is>
      </c>
      <c r="B515" s="23" t="inlineStr">
        <is>
          <t>L01009</t>
        </is>
      </c>
      <c r="C515" s="29">
        <f>IFERROR(LOWER(SUBSTITUTE(SUBSTITUTE(SUBSTITUTE(SUBSTITUTE(D515," ","-"),"/","-"),".",""),",","")),"")</f>
        <v/>
      </c>
      <c r="D515" s="23" t="inlineStr">
        <is>
          <t>MUD 16 F4.A2.C118.BL - 24V</t>
        </is>
      </c>
      <c r="E515" s="23" t="n"/>
      <c r="F515" s="23" t="inlineStr">
        <is>
          <t>SOHIPREN</t>
        </is>
      </c>
      <c r="G515" s="23" t="n"/>
      <c r="H515" s="23" t="inlineStr">
        <is>
          <t>draft</t>
        </is>
      </c>
      <c r="I515" s="23" t="inlineStr">
        <is>
          <t>HYUNDAI</t>
        </is>
      </c>
      <c r="J515" s="23" t="inlineStr">
        <is>
          <t>PÁ CARREGADEIRA</t>
        </is>
      </c>
      <c r="K515" s="23" t="inlineStr">
        <is>
          <t>MOTOR DO VENTILADOR</t>
        </is>
      </c>
      <c r="L515" s="23" t="inlineStr">
        <is>
          <t>11LG30010/11LG30011</t>
        </is>
      </c>
      <c r="M515" s="31" t="n"/>
      <c r="N515" s="31" t="n"/>
      <c r="O515" s="31" t="n"/>
      <c r="P515" s="31" t="n"/>
      <c r="Q515" s="31" t="n"/>
      <c r="R515" s="34">
        <f>IFERROR(IF(AND(O515&gt;0,P515&gt;0,Q515&gt;0),(O515*P515*Q515)/6000,""),"")</f>
        <v/>
      </c>
      <c r="S515" s="34">
        <f>IFERROR(IF(AND(N515&gt;0,R515&gt;0),MAX(N515,R515),IF(N515&gt;0,N515,IF(R515&gt;0,R515,""))),"")</f>
        <v/>
      </c>
      <c r="T515" s="36" t="n"/>
      <c r="U515" s="38" t="inlineStr">
        <is>
          <t>FALTA</t>
        </is>
      </c>
      <c r="V515" s="36" t="n">
        <v>645</v>
      </c>
      <c r="W515" s="39" t="n">
        <v>0.3</v>
      </c>
      <c r="X515" s="41">
        <f>IFERROR(V515+T515,"")</f>
        <v/>
      </c>
      <c r="Y515" s="41">
        <f>IFERROR(IF(W515&lt;1,X515/(1-W515),""),"")</f>
        <v/>
      </c>
      <c r="Z515" s="43">
        <f>'01_CONFIG_GLOBAL'!$C$14</f>
        <v/>
      </c>
      <c r="AA515" s="41">
        <f>IFERROR(Y515*Z515,"")</f>
        <v/>
      </c>
      <c r="AB515" s="41">
        <f>IFERROR(IF(Z515&lt;1,Y515/(1-Z515),""),"")</f>
        <v/>
      </c>
      <c r="AC515" s="23" t="n"/>
      <c r="AD515" s="36" t="n"/>
      <c r="AE515" s="23" t="n"/>
      <c r="AF515" s="36" t="n"/>
      <c r="AG515" s="23" t="n"/>
      <c r="AH515" s="36" t="n"/>
      <c r="AI515" s="41">
        <f>IFERROR(AVERAGE(AD515,AF515,AH515),"")</f>
        <v/>
      </c>
      <c r="AJ515" s="29">
        <f>IFERROR(IF(AI515="","sem dados",IF(AB515&lt;AI515*0.95,"abaixo",IF(AB515&gt;AI515*1.05,"acima","em linha"))),"")</f>
        <v/>
      </c>
      <c r="AK515" s="23" t="inlineStr">
        <is>
          <t>não</t>
        </is>
      </c>
      <c r="AL515" s="23" t="n"/>
      <c r="AM515" s="23" t="n"/>
      <c r="AN515" s="23" t="n"/>
      <c r="AO515" s="44">
        <f>A515</f>
        <v/>
      </c>
      <c r="AP515" s="44">
        <f>D515</f>
        <v/>
      </c>
    </row>
    <row r="516" hidden="1" ht="15.75" customHeight="1" s="93">
      <c r="A516" s="23" t="inlineStr">
        <is>
          <t>5.0220.L026009.0</t>
        </is>
      </c>
      <c r="B516" s="23" t="inlineStr">
        <is>
          <t>L026009</t>
        </is>
      </c>
      <c r="C516" s="29">
        <f>IFERROR(LOWER(SUBSTITUTE(SUBSTITUTE(SUBSTITUTE(SUBSTITUTE(D516," ","-"),"/","-"),".",""),",","")),"")</f>
        <v/>
      </c>
      <c r="D516" s="23" t="inlineStr">
        <is>
          <t>BOMBA HIDRÁULICA - APLICAÇÃO 16 E19.C7.C114/11.C112/8.C1.L</t>
        </is>
      </c>
      <c r="E516" s="23" t="inlineStr">
        <is>
          <t>Bombas Hidráulicas</t>
        </is>
      </c>
      <c r="F516" s="23" t="inlineStr">
        <is>
          <t>SOHIPREN</t>
        </is>
      </c>
      <c r="G516" s="23" t="n"/>
      <c r="H516" s="23" t="inlineStr">
        <is>
          <t>draft</t>
        </is>
      </c>
      <c r="I516" s="23" t="inlineStr">
        <is>
          <t>HYUNDAI</t>
        </is>
      </c>
      <c r="J516" s="23" t="inlineStr">
        <is>
          <t>EMPILHADEIRA</t>
        </is>
      </c>
      <c r="K516" s="23" t="inlineStr">
        <is>
          <t>AUXILIAR, DIREÇÃO E FREIO</t>
        </is>
      </c>
      <c r="L516" s="23" t="n"/>
      <c r="M516" s="31" t="n"/>
      <c r="N516" s="31" t="n"/>
      <c r="O516" s="31" t="n"/>
      <c r="P516" s="31" t="n"/>
      <c r="Q516" s="31" t="n"/>
      <c r="R516" s="34">
        <f>IFERROR(IF(AND(O516&gt;0,P516&gt;0,Q516&gt;0),(O516*P516*Q516)/6000,""),"")</f>
        <v/>
      </c>
      <c r="S516" s="34">
        <f>IFERROR(IF(AND(N516&gt;0,R516&gt;0),MAX(N516,R516),IF(N516&gt;0,N516,IF(R516&gt;0,R516,""))),"")</f>
        <v/>
      </c>
      <c r="T516" s="36" t="n"/>
      <c r="U516" s="38" t="inlineStr">
        <is>
          <t>FALTA</t>
        </is>
      </c>
      <c r="V516" s="36" t="n">
        <v>1340</v>
      </c>
      <c r="W516" s="39" t="n">
        <v>0.3</v>
      </c>
      <c r="X516" s="41">
        <f>IFERROR(V516+T516,"")</f>
        <v/>
      </c>
      <c r="Y516" s="41">
        <f>IFERROR(IF(W516&lt;1,X516/(1-W516),""),"")</f>
        <v/>
      </c>
      <c r="Z516" s="43">
        <f>'01_CONFIG_GLOBAL'!$C$14</f>
        <v/>
      </c>
      <c r="AA516" s="41">
        <f>IFERROR(Y516*Z516,"")</f>
        <v/>
      </c>
      <c r="AB516" s="41">
        <f>IFERROR(IF(Z516&lt;1,Y516/(1-Z516),""),"")</f>
        <v/>
      </c>
      <c r="AC516" s="23" t="n"/>
      <c r="AD516" s="36" t="n"/>
      <c r="AE516" s="23" t="n"/>
      <c r="AF516" s="36" t="n"/>
      <c r="AG516" s="23" t="n"/>
      <c r="AH516" s="36" t="n"/>
      <c r="AI516" s="41">
        <f>IFERROR(AVERAGE(AD516,AF516,AH516),"")</f>
        <v/>
      </c>
      <c r="AJ516" s="29">
        <f>IFERROR(IF(AI516="","sem dados",IF(AB516&lt;AI516*0.95,"abaixo",IF(AB516&gt;AI516*1.05,"acima","em linha"))),"")</f>
        <v/>
      </c>
      <c r="AK516" s="23" t="inlineStr">
        <is>
          <t>não</t>
        </is>
      </c>
      <c r="AL516" s="23" t="n"/>
      <c r="AM516" s="23" t="n"/>
      <c r="AN516" s="23" t="n"/>
      <c r="AO516" s="44">
        <f>A516</f>
        <v/>
      </c>
      <c r="AP516" s="44">
        <f>D516</f>
        <v/>
      </c>
    </row>
    <row r="517" hidden="1" ht="15.75" customHeight="1" s="93">
      <c r="A517" s="23" t="inlineStr">
        <is>
          <t>5.0220.L026181.0</t>
        </is>
      </c>
      <c r="B517" s="23" t="inlineStr">
        <is>
          <t>L026181</t>
        </is>
      </c>
      <c r="C517" s="29">
        <f>IFERROR(LOWER(SUBSTITUTE(SUBSTITUTE(SUBSTITUTE(SUBSTITUTE(D517," ","-"),"/","-"),".",""),",","")),"")</f>
        <v/>
      </c>
      <c r="D517" s="23" t="inlineStr">
        <is>
          <t>MUD 16 F4.A2.C116.BL- 24V</t>
        </is>
      </c>
      <c r="E517" s="23" t="n"/>
      <c r="F517" s="23" t="inlineStr">
        <is>
          <t>SOHIPREN</t>
        </is>
      </c>
      <c r="G517" s="23" t="n"/>
      <c r="H517" s="23" t="inlineStr">
        <is>
          <t>draft</t>
        </is>
      </c>
      <c r="I517" s="23" t="inlineStr">
        <is>
          <t>HYUNDAI</t>
        </is>
      </c>
      <c r="J517" s="23" t="inlineStr">
        <is>
          <t>740-7A</t>
        </is>
      </c>
      <c r="K517" s="23" t="inlineStr">
        <is>
          <t>MOTOR VENTILADOR</t>
        </is>
      </c>
      <c r="L517" s="23" t="inlineStr">
        <is>
          <t>11LN30160/ PV108324</t>
        </is>
      </c>
      <c r="M517" s="31" t="n"/>
      <c r="N517" s="31" t="n"/>
      <c r="O517" s="31" t="n"/>
      <c r="P517" s="31" t="n"/>
      <c r="Q517" s="31" t="n"/>
      <c r="R517" s="34">
        <f>IFERROR(IF(AND(O517&gt;0,P517&gt;0,Q517&gt;0),(O517*P517*Q517)/6000,""),"")</f>
        <v/>
      </c>
      <c r="S517" s="34">
        <f>IFERROR(IF(AND(N517&gt;0,R517&gt;0),MAX(N517,R517),IF(N517&gt;0,N517,IF(R517&gt;0,R517,""))),"")</f>
        <v/>
      </c>
      <c r="T517" s="36" t="n"/>
      <c r="U517" s="38" t="inlineStr">
        <is>
          <t>FALTA</t>
        </is>
      </c>
      <c r="V517" s="36" t="n">
        <v>1058.2</v>
      </c>
      <c r="W517" s="39" t="n">
        <v>0.3</v>
      </c>
      <c r="X517" s="41">
        <f>IFERROR(V517+T517,"")</f>
        <v/>
      </c>
      <c r="Y517" s="41">
        <f>IFERROR(IF(W517&lt;1,X517/(1-W517),""),"")</f>
        <v/>
      </c>
      <c r="Z517" s="43">
        <f>'01_CONFIG_GLOBAL'!$C$14</f>
        <v/>
      </c>
      <c r="AA517" s="41">
        <f>IFERROR(Y517*Z517,"")</f>
        <v/>
      </c>
      <c r="AB517" s="41">
        <f>IFERROR(IF(Z517&lt;1,Y517/(1-Z517),""),"")</f>
        <v/>
      </c>
      <c r="AC517" s="23" t="n"/>
      <c r="AD517" s="36" t="n"/>
      <c r="AE517" s="23" t="n"/>
      <c r="AF517" s="36" t="n"/>
      <c r="AG517" s="23" t="n"/>
      <c r="AH517" s="36" t="n"/>
      <c r="AI517" s="41">
        <f>IFERROR(AVERAGE(AD517,AF517,AH517),"")</f>
        <v/>
      </c>
      <c r="AJ517" s="29">
        <f>IFERROR(IF(AI517="","sem dados",IF(AB517&lt;AI517*0.95,"abaixo",IF(AB517&gt;AI517*1.05,"acima","em linha"))),"")</f>
        <v/>
      </c>
      <c r="AK517" s="23" t="inlineStr">
        <is>
          <t>não</t>
        </is>
      </c>
      <c r="AL517" s="23" t="n"/>
      <c r="AM517" s="23" t="n"/>
      <c r="AN517" s="23" t="n"/>
      <c r="AO517" s="44">
        <f>A517</f>
        <v/>
      </c>
      <c r="AP517" s="44">
        <f>D517</f>
        <v/>
      </c>
    </row>
    <row r="518" hidden="1" ht="15.75" customHeight="1" s="93">
      <c r="A518" s="23" t="inlineStr">
        <is>
          <t>5.0220.L026142.0</t>
        </is>
      </c>
      <c r="B518" s="23" t="inlineStr">
        <is>
          <t>L026142</t>
        </is>
      </c>
      <c r="C518" s="29">
        <f>IFERROR(LOWER(SUBSTITUTE(SUBSTITUTE(SUBSTITUTE(SUBSTITUTE(D518," ","-"),"/","-"),".",""),",","")),"")</f>
        <v/>
      </c>
      <c r="D518" s="23" t="inlineStr">
        <is>
          <t>BOD 19 E19.C.C112/19.C111.L</t>
        </is>
      </c>
      <c r="E518" s="23" t="inlineStr">
        <is>
          <t>Bombas Hidráulicas</t>
        </is>
      </c>
      <c r="F518" s="23" t="inlineStr">
        <is>
          <t>SOHIPREN</t>
        </is>
      </c>
      <c r="G518" s="23" t="n"/>
      <c r="H518" s="23" t="inlineStr">
        <is>
          <t>draft</t>
        </is>
      </c>
      <c r="I518" s="23" t="inlineStr">
        <is>
          <t>HYUNDAI</t>
        </is>
      </c>
      <c r="J518" s="23" t="inlineStr">
        <is>
          <t>HL740-9B/HL7409SB</t>
        </is>
      </c>
      <c r="K518" s="23" t="inlineStr">
        <is>
          <t>MOVIMENTAÇÃO</t>
        </is>
      </c>
      <c r="L518" s="23" t="inlineStr">
        <is>
          <t>31LF40530-PV107595</t>
        </is>
      </c>
      <c r="M518" s="31" t="n"/>
      <c r="N518" s="31" t="n"/>
      <c r="O518" s="31" t="n"/>
      <c r="P518" s="31" t="n"/>
      <c r="Q518" s="31" t="n"/>
      <c r="R518" s="34">
        <f>IFERROR(IF(AND(O518&gt;0,P518&gt;0,Q518&gt;0),(O518*P518*Q518)/6000,""),"")</f>
        <v/>
      </c>
      <c r="S518" s="34">
        <f>IFERROR(IF(AND(N518&gt;0,R518&gt;0),MAX(N518,R518),IF(N518&gt;0,N518,IF(R518&gt;0,R518,""))),"")</f>
        <v/>
      </c>
      <c r="T518" s="36" t="n"/>
      <c r="U518" s="38" t="inlineStr">
        <is>
          <t>FALTA</t>
        </is>
      </c>
      <c r="V518" s="36" t="n">
        <v>1474</v>
      </c>
      <c r="W518" s="39" t="n">
        <v>0.3</v>
      </c>
      <c r="X518" s="41">
        <f>IFERROR(V518+T518,"")</f>
        <v/>
      </c>
      <c r="Y518" s="41">
        <f>IFERROR(IF(W518&lt;1,X518/(1-W518),""),"")</f>
        <v/>
      </c>
      <c r="Z518" s="43">
        <f>'01_CONFIG_GLOBAL'!$C$14</f>
        <v/>
      </c>
      <c r="AA518" s="41">
        <f>IFERROR(Y518*Z518,"")</f>
        <v/>
      </c>
      <c r="AB518" s="41">
        <f>IFERROR(IF(Z518&lt;1,Y518/(1-Z518),""),"")</f>
        <v/>
      </c>
      <c r="AC518" s="23" t="n"/>
      <c r="AD518" s="36" t="n"/>
      <c r="AE518" s="23" t="n"/>
      <c r="AF518" s="36" t="n"/>
      <c r="AG518" s="23" t="n"/>
      <c r="AH518" s="36" t="n"/>
      <c r="AI518" s="41">
        <f>IFERROR(AVERAGE(AD518,AF518,AH518),"")</f>
        <v/>
      </c>
      <c r="AJ518" s="29">
        <f>IFERROR(IF(AI518="","sem dados",IF(AB518&lt;AI518*0.95,"abaixo",IF(AB518&gt;AI518*1.05,"acima","em linha"))),"")</f>
        <v/>
      </c>
      <c r="AK518" s="23" t="inlineStr">
        <is>
          <t>não</t>
        </is>
      </c>
      <c r="AL518" s="23" t="n"/>
      <c r="AM518" s="23" t="n"/>
      <c r="AN518" s="23" t="n"/>
      <c r="AO518" s="44">
        <f>A518</f>
        <v/>
      </c>
      <c r="AP518" s="44">
        <f>D518</f>
        <v/>
      </c>
    </row>
    <row r="519" hidden="1" ht="15.75" customHeight="1" s="93">
      <c r="A519" s="23" t="inlineStr">
        <is>
          <t>5.0220.L025963.0</t>
        </is>
      </c>
      <c r="B519" s="23" t="inlineStr">
        <is>
          <t>L025963</t>
        </is>
      </c>
      <c r="C519" s="29">
        <f>IFERROR(LOWER(SUBSTITUTE(SUBSTITUTE(SUBSTITUTE(SUBSTITUTE(D519," ","-"),"/","-"),".",""),",","")),"")</f>
        <v/>
      </c>
      <c r="D519" s="23" t="inlineStr">
        <is>
          <t>BOD 19 E19.C.C111/8.C112.L</t>
        </is>
      </c>
      <c r="E519" s="23" t="inlineStr">
        <is>
          <t>Bombas Hidráulicas</t>
        </is>
      </c>
      <c r="F519" s="23" t="inlineStr">
        <is>
          <t>SOHIPREN</t>
        </is>
      </c>
      <c r="G519" s="23" t="n"/>
      <c r="H519" s="23" t="inlineStr">
        <is>
          <t>draft</t>
        </is>
      </c>
      <c r="I519" s="23" t="inlineStr">
        <is>
          <t>HYUNDAI</t>
        </is>
      </c>
      <c r="J519" s="23" t="inlineStr">
        <is>
          <t>HL740</t>
        </is>
      </c>
      <c r="K519" s="23" t="inlineStr">
        <is>
          <t>VENTILADOR E JOYSTICK</t>
        </is>
      </c>
      <c r="L519" s="23" t="inlineStr">
        <is>
          <t>31LF40500</t>
        </is>
      </c>
      <c r="M519" s="31" t="n"/>
      <c r="N519" s="31" t="n"/>
      <c r="O519" s="31" t="n"/>
      <c r="P519" s="31" t="n"/>
      <c r="Q519" s="31" t="n"/>
      <c r="R519" s="34">
        <f>IFERROR(IF(AND(O519&gt;0,P519&gt;0,Q519&gt;0),(O519*P519*Q519)/6000,""),"")</f>
        <v/>
      </c>
      <c r="S519" s="34">
        <f>IFERROR(IF(AND(N519&gt;0,R519&gt;0),MAX(N519,R519),IF(N519&gt;0,N519,IF(R519&gt;0,R519,""))),"")</f>
        <v/>
      </c>
      <c r="T519" s="36" t="n"/>
      <c r="U519" s="38" t="inlineStr">
        <is>
          <t>FALTA</t>
        </is>
      </c>
      <c r="V519" s="36" t="n">
        <v>1455.45</v>
      </c>
      <c r="W519" s="39" t="n">
        <v>0.3</v>
      </c>
      <c r="X519" s="41">
        <f>IFERROR(V519+T519,"")</f>
        <v/>
      </c>
      <c r="Y519" s="41">
        <f>IFERROR(IF(W519&lt;1,X519/(1-W519),""),"")</f>
        <v/>
      </c>
      <c r="Z519" s="43">
        <f>'01_CONFIG_GLOBAL'!$C$14</f>
        <v/>
      </c>
      <c r="AA519" s="41">
        <f>IFERROR(Y519*Z519,"")</f>
        <v/>
      </c>
      <c r="AB519" s="41">
        <f>IFERROR(IF(Z519&lt;1,Y519/(1-Z519),""),"")</f>
        <v/>
      </c>
      <c r="AC519" s="23" t="n"/>
      <c r="AD519" s="36" t="n"/>
      <c r="AE519" s="23" t="n"/>
      <c r="AF519" s="36" t="n"/>
      <c r="AG519" s="23" t="n"/>
      <c r="AH519" s="36" t="n"/>
      <c r="AI519" s="41">
        <f>IFERROR(AVERAGE(AD519,AF519,AH519),"")</f>
        <v/>
      </c>
      <c r="AJ519" s="29">
        <f>IFERROR(IF(AI519="","sem dados",IF(AB519&lt;AI519*0.95,"abaixo",IF(AB519&gt;AI519*1.05,"acima","em linha"))),"")</f>
        <v/>
      </c>
      <c r="AK519" s="23" t="inlineStr">
        <is>
          <t>não</t>
        </is>
      </c>
      <c r="AL519" s="23" t="n"/>
      <c r="AM519" s="23" t="n"/>
      <c r="AN519" s="23" t="n"/>
      <c r="AO519" s="44">
        <f>A519</f>
        <v/>
      </c>
      <c r="AP519" s="44">
        <f>D519</f>
        <v/>
      </c>
    </row>
    <row r="520" hidden="1" ht="15.75" customHeight="1" s="93">
      <c r="A520" s="23" t="inlineStr">
        <is>
          <t>5.0220.L025964.0</t>
        </is>
      </c>
      <c r="B520" s="23" t="inlineStr">
        <is>
          <t>L025964</t>
        </is>
      </c>
      <c r="C520" s="29">
        <f>IFERROR(LOWER(SUBSTITUTE(SUBSTITUTE(SUBSTITUTE(SUBSTITUTE(D520," ","-"),"/","-"),".",""),",","")),"")</f>
        <v/>
      </c>
      <c r="D520" s="23" t="inlineStr">
        <is>
          <t>BOMBA HIDRÁULICA - APLICAÇÃO 11 E19.C.C112/19.C111.L</t>
        </is>
      </c>
      <c r="E520" s="23" t="inlineStr">
        <is>
          <t>Bombas Hidráulicas</t>
        </is>
      </c>
      <c r="F520" s="23" t="inlineStr">
        <is>
          <t>SOHIPREN</t>
        </is>
      </c>
      <c r="G520" s="23" t="n"/>
      <c r="H520" s="23" t="inlineStr">
        <is>
          <t>draft</t>
        </is>
      </c>
      <c r="I520" s="23" t="inlineStr">
        <is>
          <t>HYUNDAI</t>
        </is>
      </c>
      <c r="J520" s="23" t="inlineStr">
        <is>
          <t>HL757-9S</t>
        </is>
      </c>
      <c r="K520" s="23" t="inlineStr">
        <is>
          <t>VENTILADOR E JOYSTICK</t>
        </is>
      </c>
      <c r="L520" s="23" t="inlineStr">
        <is>
          <t>31LD40500/12112011018/PV104366/31LG40500</t>
        </is>
      </c>
      <c r="M520" s="31" t="n"/>
      <c r="N520" s="31" t="n"/>
      <c r="O520" s="31" t="n"/>
      <c r="P520" s="31" t="n"/>
      <c r="Q520" s="31" t="n"/>
      <c r="R520" s="34">
        <f>IFERROR(IF(AND(O520&gt;0,P520&gt;0,Q520&gt;0),(O520*P520*Q520)/6000,""),"")</f>
        <v/>
      </c>
      <c r="S520" s="34">
        <f>IFERROR(IF(AND(N520&gt;0,R520&gt;0),MAX(N520,R520),IF(N520&gt;0,N520,IF(R520&gt;0,R520,""))),"")</f>
        <v/>
      </c>
      <c r="T520" s="36" t="n"/>
      <c r="U520" s="38" t="inlineStr">
        <is>
          <t>FALTA</t>
        </is>
      </c>
      <c r="V520" s="36" t="n">
        <v>1330</v>
      </c>
      <c r="W520" s="39" t="n">
        <v>0.3</v>
      </c>
      <c r="X520" s="41">
        <f>IFERROR(V520+T520,"")</f>
        <v/>
      </c>
      <c r="Y520" s="41">
        <f>IFERROR(IF(W520&lt;1,X520/(1-W520),""),"")</f>
        <v/>
      </c>
      <c r="Z520" s="43">
        <f>'01_CONFIG_GLOBAL'!$C$14</f>
        <v/>
      </c>
      <c r="AA520" s="41">
        <f>IFERROR(Y520*Z520,"")</f>
        <v/>
      </c>
      <c r="AB520" s="41">
        <f>IFERROR(IF(Z520&lt;1,Y520/(1-Z520),""),"")</f>
        <v/>
      </c>
      <c r="AC520" s="23" t="n"/>
      <c r="AD520" s="36" t="n"/>
      <c r="AE520" s="23" t="n"/>
      <c r="AF520" s="36" t="n"/>
      <c r="AG520" s="23" t="n"/>
      <c r="AH520" s="36" t="n"/>
      <c r="AI520" s="41">
        <f>IFERROR(AVERAGE(AD520,AF520,AH520),"")</f>
        <v/>
      </c>
      <c r="AJ520" s="29">
        <f>IFERROR(IF(AI520="","sem dados",IF(AB520&lt;AI520*0.95,"abaixo",IF(AB520&gt;AI520*1.05,"acima","em linha"))),"")</f>
        <v/>
      </c>
      <c r="AK520" s="23" t="inlineStr">
        <is>
          <t>não</t>
        </is>
      </c>
      <c r="AL520" s="23" t="n"/>
      <c r="AM520" s="23" t="n"/>
      <c r="AN520" s="23" t="n"/>
      <c r="AO520" s="44">
        <f>A520</f>
        <v/>
      </c>
      <c r="AP520" s="44">
        <f>D520</f>
        <v/>
      </c>
    </row>
    <row r="521" hidden="1" ht="15.75" customHeight="1" s="93">
      <c r="A521" s="23" t="inlineStr">
        <is>
          <t>5.0220.L025965.0</t>
        </is>
      </c>
      <c r="B521" s="23" t="inlineStr">
        <is>
          <t>L025965</t>
        </is>
      </c>
      <c r="C521" s="29">
        <f>IFERROR(LOWER(SUBSTITUTE(SUBSTITUTE(SUBSTITUTE(SUBSTITUTE(D521," ","-"),"/","-"),".",""),",","")),"")</f>
        <v/>
      </c>
      <c r="D521" s="23" t="inlineStr">
        <is>
          <t>BOMBA HIDRÁULICA - APLICAÇÃO 11 E19.C.C112/16.C111.L</t>
        </is>
      </c>
      <c r="E521" s="23" t="inlineStr">
        <is>
          <t>Bombas Hidráulicas</t>
        </is>
      </c>
      <c r="F521" s="23" t="inlineStr">
        <is>
          <t>SOHIPREN</t>
        </is>
      </c>
      <c r="G521" s="23" t="n"/>
      <c r="H521" s="23" t="inlineStr">
        <is>
          <t>draft</t>
        </is>
      </c>
      <c r="I521" s="23" t="inlineStr">
        <is>
          <t>HYUNDAI</t>
        </is>
      </c>
      <c r="J521" s="23" t="inlineStr">
        <is>
          <t>HL740-7A</t>
        </is>
      </c>
      <c r="K521" s="23" t="inlineStr">
        <is>
          <t>VENTILADOR E JOYSTICK</t>
        </is>
      </c>
      <c r="L521" s="23" t="inlineStr">
        <is>
          <t>31LG40100/12112009002</t>
        </is>
      </c>
      <c r="M521" s="31" t="n"/>
      <c r="N521" s="31" t="n"/>
      <c r="O521" s="31" t="n"/>
      <c r="P521" s="31" t="n"/>
      <c r="Q521" s="31" t="n"/>
      <c r="R521" s="34">
        <f>IFERROR(IF(AND(O521&gt;0,P521&gt;0,Q521&gt;0),(O521*P521*Q521)/6000,""),"")</f>
        <v/>
      </c>
      <c r="S521" s="34">
        <f>IFERROR(IF(AND(N521&gt;0,R521&gt;0),MAX(N521,R521),IF(N521&gt;0,N521,IF(R521&gt;0,R521,""))),"")</f>
        <v/>
      </c>
      <c r="T521" s="36" t="n"/>
      <c r="U521" s="38" t="inlineStr">
        <is>
          <t>FALTA</t>
        </is>
      </c>
      <c r="V521" s="36" t="n">
        <v>1330</v>
      </c>
      <c r="W521" s="39" t="n">
        <v>0.3</v>
      </c>
      <c r="X521" s="41">
        <f>IFERROR(V521+T521,"")</f>
        <v/>
      </c>
      <c r="Y521" s="41">
        <f>IFERROR(IF(W521&lt;1,X521/(1-W521),""),"")</f>
        <v/>
      </c>
      <c r="Z521" s="43">
        <f>'01_CONFIG_GLOBAL'!$C$14</f>
        <v/>
      </c>
      <c r="AA521" s="41">
        <f>IFERROR(Y521*Z521,"")</f>
        <v/>
      </c>
      <c r="AB521" s="41">
        <f>IFERROR(IF(Z521&lt;1,Y521/(1-Z521),""),"")</f>
        <v/>
      </c>
      <c r="AC521" s="23" t="n"/>
      <c r="AD521" s="36" t="n"/>
      <c r="AE521" s="23" t="n"/>
      <c r="AF521" s="36" t="n"/>
      <c r="AG521" s="23" t="n"/>
      <c r="AH521" s="36" t="n"/>
      <c r="AI521" s="41">
        <f>IFERROR(AVERAGE(AD521,AF521,AH521),"")</f>
        <v/>
      </c>
      <c r="AJ521" s="29">
        <f>IFERROR(IF(AI521="","sem dados",IF(AB521&lt;AI521*0.95,"abaixo",IF(AB521&gt;AI521*1.05,"acima","em linha"))),"")</f>
        <v/>
      </c>
      <c r="AK521" s="23" t="inlineStr">
        <is>
          <t>não</t>
        </is>
      </c>
      <c r="AL521" s="23" t="n"/>
      <c r="AM521" s="23" t="n"/>
      <c r="AN521" s="23" t="n"/>
      <c r="AO521" s="44">
        <f>A521</f>
        <v/>
      </c>
      <c r="AP521" s="44">
        <f>D521</f>
        <v/>
      </c>
    </row>
    <row r="522" hidden="1" ht="15.75" customHeight="1" s="93">
      <c r="A522" s="23" t="inlineStr">
        <is>
          <t>5.0220.L026293.0</t>
        </is>
      </c>
      <c r="B522" s="23" t="inlineStr">
        <is>
          <t>L026293</t>
        </is>
      </c>
      <c r="C522" s="29">
        <f>IFERROR(LOWER(SUBSTITUTE(SUBSTITUTE(SUBSTITUTE(SUBSTITUTE(D522," ","-"),"/","-"),".",""),",","")),"")</f>
        <v/>
      </c>
      <c r="D522" s="23" t="inlineStr">
        <is>
          <t>BOMBA HIDRÁULICA - APLICAÇÃO 33 E19.C.C16/22,5.C1.L</t>
        </is>
      </c>
      <c r="E522" s="23" t="inlineStr">
        <is>
          <t>Bombas Hidráulicas</t>
        </is>
      </c>
      <c r="F522" s="23" t="inlineStr">
        <is>
          <t>SOHIPREN</t>
        </is>
      </c>
      <c r="G522" s="23" t="n"/>
      <c r="H522" s="23" t="inlineStr">
        <is>
          <t>draft</t>
        </is>
      </c>
      <c r="I522" s="23" t="inlineStr">
        <is>
          <t>HYUNDAI</t>
        </is>
      </c>
      <c r="J522" s="23" t="inlineStr">
        <is>
          <t>EQUIPAMENTO MOBIL</t>
        </is>
      </c>
      <c r="K522" s="23" t="inlineStr">
        <is>
          <t>BOMBA DO FREIO</t>
        </is>
      </c>
      <c r="L522" s="23" t="inlineStr">
        <is>
          <t>31LC40400</t>
        </is>
      </c>
      <c r="M522" s="31" t="n"/>
      <c r="N522" s="31" t="n"/>
      <c r="O522" s="31" t="n"/>
      <c r="P522" s="31" t="n"/>
      <c r="Q522" s="31" t="n"/>
      <c r="R522" s="34">
        <f>IFERROR(IF(AND(O522&gt;0,P522&gt;0,Q522&gt;0),(O522*P522*Q522)/6000,""),"")</f>
        <v/>
      </c>
      <c r="S522" s="34">
        <f>IFERROR(IF(AND(N522&gt;0,R522&gt;0),MAX(N522,R522),IF(N522&gt;0,N522,IF(R522&gt;0,R522,""))),"")</f>
        <v/>
      </c>
      <c r="T522" s="36" t="n"/>
      <c r="U522" s="38" t="inlineStr">
        <is>
          <t>FALTA</t>
        </is>
      </c>
      <c r="V522" s="36" t="n">
        <v>1034</v>
      </c>
      <c r="W522" s="39" t="n">
        <v>0.3</v>
      </c>
      <c r="X522" s="41">
        <f>IFERROR(V522+T522,"")</f>
        <v/>
      </c>
      <c r="Y522" s="41">
        <f>IFERROR(IF(W522&lt;1,X522/(1-W522),""),"")</f>
        <v/>
      </c>
      <c r="Z522" s="43">
        <f>'01_CONFIG_GLOBAL'!$C$14</f>
        <v/>
      </c>
      <c r="AA522" s="41">
        <f>IFERROR(Y522*Z522,"")</f>
        <v/>
      </c>
      <c r="AB522" s="41">
        <f>IFERROR(IF(Z522&lt;1,Y522/(1-Z522),""),"")</f>
        <v/>
      </c>
      <c r="AC522" s="23" t="n"/>
      <c r="AD522" s="36" t="n"/>
      <c r="AE522" s="23" t="n"/>
      <c r="AF522" s="36" t="n"/>
      <c r="AG522" s="23" t="n"/>
      <c r="AH522" s="36" t="n"/>
      <c r="AI522" s="41">
        <f>IFERROR(AVERAGE(AD522,AF522,AH522),"")</f>
        <v/>
      </c>
      <c r="AJ522" s="29">
        <f>IFERROR(IF(AI522="","sem dados",IF(AB522&lt;AI522*0.95,"abaixo",IF(AB522&gt;AI522*1.05,"acima","em linha"))),"")</f>
        <v/>
      </c>
      <c r="AK522" s="23" t="inlineStr">
        <is>
          <t>não</t>
        </is>
      </c>
      <c r="AL522" s="23" t="n"/>
      <c r="AM522" s="23" t="n"/>
      <c r="AN522" s="23" t="n"/>
      <c r="AO522" s="44">
        <f>A522</f>
        <v/>
      </c>
      <c r="AP522" s="44">
        <f>D522</f>
        <v/>
      </c>
    </row>
    <row r="523" hidden="1" ht="15.75" customHeight="1" s="93">
      <c r="A523" s="23" t="inlineStr">
        <is>
          <t>5.0220.L025273.0</t>
        </is>
      </c>
      <c r="B523" s="23" t="inlineStr">
        <is>
          <t>L025273</t>
        </is>
      </c>
      <c r="C523" s="29">
        <f>IFERROR(LOWER(SUBSTITUTE(SUBSTITUTE(SUBSTITUTE(SUBSTITUTE(D523," ","-"),"/","-"),".",""),",","")),"")</f>
        <v/>
      </c>
      <c r="D523" s="23" t="inlineStr">
        <is>
          <t>BOD 19 E19.C.C16/11.C1.L</t>
        </is>
      </c>
      <c r="E523" s="23" t="inlineStr">
        <is>
          <t>Bombas Hidráulicas</t>
        </is>
      </c>
      <c r="F523" s="23" t="inlineStr">
        <is>
          <t>SOHIPREN</t>
        </is>
      </c>
      <c r="G523" s="23" t="n"/>
      <c r="H523" s="23" t="inlineStr">
        <is>
          <t>draft</t>
        </is>
      </c>
      <c r="I523" s="23" t="inlineStr">
        <is>
          <t>HYUNDAI</t>
        </is>
      </c>
      <c r="J523" s="23" t="inlineStr">
        <is>
          <t>HL757</t>
        </is>
      </c>
      <c r="K523" s="23" t="inlineStr">
        <is>
          <t>VENTILADOR E JOYSTICK</t>
        </is>
      </c>
      <c r="L523" s="23" t="inlineStr">
        <is>
          <t>165402/300611/PV107361/12102019106/31LD40010</t>
        </is>
      </c>
      <c r="M523" s="31" t="n"/>
      <c r="N523" s="31" t="n"/>
      <c r="O523" s="31" t="n"/>
      <c r="P523" s="31" t="n"/>
      <c r="Q523" s="31" t="n"/>
      <c r="R523" s="34">
        <f>IFERROR(IF(AND(O523&gt;0,P523&gt;0,Q523&gt;0),(O523*P523*Q523)/6000,""),"")</f>
        <v/>
      </c>
      <c r="S523" s="34">
        <f>IFERROR(IF(AND(N523&gt;0,R523&gt;0),MAX(N523,R523),IF(N523&gt;0,N523,IF(R523&gt;0,R523,""))),"")</f>
        <v/>
      </c>
      <c r="T523" s="36" t="n"/>
      <c r="U523" s="38" t="inlineStr">
        <is>
          <t>FALTA</t>
        </is>
      </c>
      <c r="V523" s="36" t="n">
        <v>979</v>
      </c>
      <c r="W523" s="39" t="n">
        <v>0.3</v>
      </c>
      <c r="X523" s="41">
        <f>IFERROR(V523+T523,"")</f>
        <v/>
      </c>
      <c r="Y523" s="41">
        <f>IFERROR(IF(W523&lt;1,X523/(1-W523),""),"")</f>
        <v/>
      </c>
      <c r="Z523" s="43">
        <f>'01_CONFIG_GLOBAL'!$C$14</f>
        <v/>
      </c>
      <c r="AA523" s="41">
        <f>IFERROR(Y523*Z523,"")</f>
        <v/>
      </c>
      <c r="AB523" s="41">
        <f>IFERROR(IF(Z523&lt;1,Y523/(1-Z523),""),"")</f>
        <v/>
      </c>
      <c r="AC523" s="23" t="n"/>
      <c r="AD523" s="36" t="n"/>
      <c r="AE523" s="23" t="n"/>
      <c r="AF523" s="36" t="n"/>
      <c r="AG523" s="23" t="n"/>
      <c r="AH523" s="36" t="n"/>
      <c r="AI523" s="41">
        <f>IFERROR(AVERAGE(AD523,AF523,AH523),"")</f>
        <v/>
      </c>
      <c r="AJ523" s="29">
        <f>IFERROR(IF(AI523="","sem dados",IF(AB523&lt;AI523*0.95,"abaixo",IF(AB523&gt;AI523*1.05,"acima","em linha"))),"")</f>
        <v/>
      </c>
      <c r="AK523" s="23" t="inlineStr">
        <is>
          <t>não</t>
        </is>
      </c>
      <c r="AL523" s="23" t="n"/>
      <c r="AM523" s="23" t="n"/>
      <c r="AN523" s="23" t="n"/>
      <c r="AO523" s="44">
        <f>A523</f>
        <v/>
      </c>
      <c r="AP523" s="44">
        <f>D523</f>
        <v/>
      </c>
    </row>
    <row r="524" hidden="1" ht="15.75" customHeight="1" s="93">
      <c r="A524" s="23" t="inlineStr">
        <is>
          <t>5.0220.L025103.0</t>
        </is>
      </c>
      <c r="B524" s="23" t="inlineStr">
        <is>
          <t>L025103</t>
        </is>
      </c>
      <c r="C524" s="29">
        <f>IFERROR(LOWER(SUBSTITUTE(SUBSTITUTE(SUBSTITUTE(SUBSTITUTE(D524," ","-"),"/","-"),".",""),",","")),"")</f>
        <v/>
      </c>
      <c r="D524" s="23" t="inlineStr">
        <is>
          <t>BOMBA HIDRÁULICA - APLICAÇÃO 14 E19.C.C114/11.C112/8.C1.L</t>
        </is>
      </c>
      <c r="E524" s="23" t="inlineStr">
        <is>
          <t>Bombas Hidráulicas</t>
        </is>
      </c>
      <c r="F524" s="23" t="inlineStr">
        <is>
          <t>SOHIPREN</t>
        </is>
      </c>
      <c r="G524" s="23" t="n"/>
      <c r="H524" s="23" t="inlineStr">
        <is>
          <t>draft</t>
        </is>
      </c>
      <c r="I524" s="23" t="inlineStr">
        <is>
          <t>HYUNDAI</t>
        </is>
      </c>
      <c r="J524" s="23" t="inlineStr">
        <is>
          <t>EMPILHADEIRA</t>
        </is>
      </c>
      <c r="K524" s="23" t="inlineStr">
        <is>
          <t>AUXILIAR, DIREÇÃO E FREIO</t>
        </is>
      </c>
      <c r="L524" s="23" t="inlineStr">
        <is>
          <t>31FT-01300</t>
        </is>
      </c>
      <c r="M524" s="31" t="n"/>
      <c r="N524" s="31" t="n"/>
      <c r="O524" s="31" t="n"/>
      <c r="P524" s="31" t="n"/>
      <c r="Q524" s="31" t="n"/>
      <c r="R524" s="34">
        <f>IFERROR(IF(AND(O524&gt;0,P524&gt;0,Q524&gt;0),(O524*P524*Q524)/6000,""),"")</f>
        <v/>
      </c>
      <c r="S524" s="34">
        <f>IFERROR(IF(AND(N524&gt;0,R524&gt;0),MAX(N524,R524),IF(N524&gt;0,N524,IF(R524&gt;0,R524,""))),"")</f>
        <v/>
      </c>
      <c r="T524" s="36" t="n"/>
      <c r="U524" s="38" t="inlineStr">
        <is>
          <t>FALTA</t>
        </is>
      </c>
      <c r="V524" s="36" t="n">
        <v>990</v>
      </c>
      <c r="W524" s="39" t="n">
        <v>0.3</v>
      </c>
      <c r="X524" s="41">
        <f>IFERROR(V524+T524,"")</f>
        <v/>
      </c>
      <c r="Y524" s="41">
        <f>IFERROR(IF(W524&lt;1,X524/(1-W524),""),"")</f>
        <v/>
      </c>
      <c r="Z524" s="43">
        <f>'01_CONFIG_GLOBAL'!$C$14</f>
        <v/>
      </c>
      <c r="AA524" s="41">
        <f>IFERROR(Y524*Z524,"")</f>
        <v/>
      </c>
      <c r="AB524" s="41">
        <f>IFERROR(IF(Z524&lt;1,Y524/(1-Z524),""),"")</f>
        <v/>
      </c>
      <c r="AC524" s="23" t="n"/>
      <c r="AD524" s="36" t="n"/>
      <c r="AE524" s="23" t="n"/>
      <c r="AF524" s="36" t="n"/>
      <c r="AG524" s="23" t="n"/>
      <c r="AH524" s="36" t="n"/>
      <c r="AI524" s="41">
        <f>IFERROR(AVERAGE(AD524,AF524,AH524),"")</f>
        <v/>
      </c>
      <c r="AJ524" s="29">
        <f>IFERROR(IF(AI524="","sem dados",IF(AB524&lt;AI524*0.95,"abaixo",IF(AB524&gt;AI524*1.05,"acima","em linha"))),"")</f>
        <v/>
      </c>
      <c r="AK524" s="23" t="inlineStr">
        <is>
          <t>não</t>
        </is>
      </c>
      <c r="AL524" s="23" t="n"/>
      <c r="AM524" s="23" t="n"/>
      <c r="AN524" s="23" t="n"/>
      <c r="AO524" s="44">
        <f>A524</f>
        <v/>
      </c>
      <c r="AP524" s="44">
        <f>D524</f>
        <v/>
      </c>
    </row>
    <row r="525" hidden="1" ht="15.75" customHeight="1" s="93">
      <c r="A525" s="23" t="inlineStr">
        <is>
          <t>5.0238.0547551.0</t>
        </is>
      </c>
      <c r="B525" s="23" t="inlineStr">
        <is>
          <t>547551</t>
        </is>
      </c>
      <c r="C525" s="29">
        <f>IFERROR(LOWER(SUBSTITUTE(SUBSTITUTE(SUBSTITUTE(SUBSTITUTE(D525," ","-"),"/","-"),".",""),",","")),"")</f>
        <v/>
      </c>
      <c r="D525" s="23" t="inlineStr">
        <is>
          <t>KIT.BO.19.B1.A14</t>
        </is>
      </c>
      <c r="E525" s="23" t="n"/>
      <c r="F525" s="23" t="inlineStr">
        <is>
          <t>SOHIPREN</t>
        </is>
      </c>
      <c r="G525" s="23" t="n"/>
      <c r="H525" s="23" t="inlineStr">
        <is>
          <t>draft</t>
        </is>
      </c>
      <c r="I525" s="23" t="inlineStr">
        <is>
          <t>IDEAL</t>
        </is>
      </c>
      <c r="J525" s="23" t="inlineStr">
        <is>
          <t>COLHEDEIRA IDEAL</t>
        </is>
      </c>
      <c r="K525" s="23" t="n"/>
      <c r="L525" s="23" t="n"/>
      <c r="M525" s="31" t="n"/>
      <c r="N525" s="31" t="n"/>
      <c r="O525" s="31" t="n"/>
      <c r="P525" s="31" t="n"/>
      <c r="Q525" s="31" t="n"/>
      <c r="R525" s="34">
        <f>IFERROR(IF(AND(O525&gt;0,P525&gt;0,Q525&gt;0),(O525*P525*Q525)/6000,""),"")</f>
        <v/>
      </c>
      <c r="S525" s="34">
        <f>IFERROR(IF(AND(N525&gt;0,R525&gt;0),MAX(N525,R525),IF(N525&gt;0,N525,IF(R525&gt;0,R525,""))),"")</f>
        <v/>
      </c>
      <c r="T525" s="36" t="n"/>
      <c r="U525" s="38" t="inlineStr">
        <is>
          <t>FALTA</t>
        </is>
      </c>
      <c r="V525" s="36" t="n">
        <v>468</v>
      </c>
      <c r="W525" s="39" t="n">
        <v>0.3</v>
      </c>
      <c r="X525" s="41">
        <f>IFERROR(V525+T525,"")</f>
        <v/>
      </c>
      <c r="Y525" s="41">
        <f>IFERROR(IF(W525&lt;1,X525/(1-W525),""),"")</f>
        <v/>
      </c>
      <c r="Z525" s="43">
        <f>'01_CONFIG_GLOBAL'!$C$14</f>
        <v/>
      </c>
      <c r="AA525" s="41">
        <f>IFERROR(Y525*Z525,"")</f>
        <v/>
      </c>
      <c r="AB525" s="41">
        <f>IFERROR(IF(Z525&lt;1,Y525/(1-Z525),""),"")</f>
        <v/>
      </c>
      <c r="AC525" s="23" t="n"/>
      <c r="AD525" s="36" t="n"/>
      <c r="AE525" s="23" t="n"/>
      <c r="AF525" s="36" t="n"/>
      <c r="AG525" s="23" t="n"/>
      <c r="AH525" s="36" t="n"/>
      <c r="AI525" s="41">
        <f>IFERROR(AVERAGE(AD525,AF525,AH525),"")</f>
        <v/>
      </c>
      <c r="AJ525" s="29">
        <f>IFERROR(IF(AI525="","sem dados",IF(AB525&lt;AI525*0.95,"abaixo",IF(AB525&gt;AI525*1.05,"acima","em linha"))),"")</f>
        <v/>
      </c>
      <c r="AK525" s="23" t="inlineStr">
        <is>
          <t>não</t>
        </is>
      </c>
      <c r="AL525" s="23" t="n"/>
      <c r="AM525" s="23" t="n"/>
      <c r="AN525" s="23" t="n"/>
      <c r="AO525" s="44">
        <f>A525</f>
        <v/>
      </c>
      <c r="AP525" s="44">
        <f>D525</f>
        <v/>
      </c>
    </row>
    <row r="526" hidden="1" ht="15.75" customHeight="1" s="93">
      <c r="A526" s="23" t="inlineStr">
        <is>
          <t>5.0237.0547501.0</t>
        </is>
      </c>
      <c r="B526" s="23" t="inlineStr">
        <is>
          <t>547501</t>
        </is>
      </c>
      <c r="C526" s="29">
        <f>IFERROR(LOWER(SUBSTITUTE(SUBSTITUTE(SUBSTITUTE(SUBSTITUTE(D526," ","-"),"/","-"),".",""),",","")),"")</f>
        <v/>
      </c>
      <c r="D526" s="23" t="inlineStr">
        <is>
          <t>KIT.BO.16.B2.A14 (TOMA B4-B5-C4-C15-P4-P5)</t>
        </is>
      </c>
      <c r="E526" s="23" t="n"/>
      <c r="F526" s="23" t="inlineStr">
        <is>
          <t>SOHIPREN</t>
        </is>
      </c>
      <c r="G526" s="23" t="n"/>
      <c r="H526" s="23" t="inlineStr">
        <is>
          <t>draft</t>
        </is>
      </c>
      <c r="I526" s="23" t="inlineStr">
        <is>
          <t>IDEAL</t>
        </is>
      </c>
      <c r="J526" s="23" t="inlineStr">
        <is>
          <t>COLHEDEIRA IDEAL</t>
        </is>
      </c>
      <c r="K526" s="23" t="n"/>
      <c r="L526" s="23" t="n"/>
      <c r="M526" s="31" t="n"/>
      <c r="N526" s="31" t="n"/>
      <c r="O526" s="31" t="n"/>
      <c r="P526" s="31" t="n"/>
      <c r="Q526" s="31" t="n"/>
      <c r="R526" s="34">
        <f>IFERROR(IF(AND(O526&gt;0,P526&gt;0,Q526&gt;0),(O526*P526*Q526)/6000,""),"")</f>
        <v/>
      </c>
      <c r="S526" s="34">
        <f>IFERROR(IF(AND(N526&gt;0,R526&gt;0),MAX(N526,R526),IF(N526&gt;0,N526,IF(R526&gt;0,R526,""))),"")</f>
        <v/>
      </c>
      <c r="T526" s="36" t="n"/>
      <c r="U526" s="38" t="inlineStr">
        <is>
          <t>FALTA</t>
        </is>
      </c>
      <c r="V526" s="36" t="n">
        <v>538</v>
      </c>
      <c r="W526" s="39" t="n">
        <v>0.3</v>
      </c>
      <c r="X526" s="41">
        <f>IFERROR(V526+T526,"")</f>
        <v/>
      </c>
      <c r="Y526" s="41">
        <f>IFERROR(IF(W526&lt;1,X526/(1-W526),""),"")</f>
        <v/>
      </c>
      <c r="Z526" s="43">
        <f>'01_CONFIG_GLOBAL'!$C$14</f>
        <v/>
      </c>
      <c r="AA526" s="41">
        <f>IFERROR(Y526*Z526,"")</f>
        <v/>
      </c>
      <c r="AB526" s="41">
        <f>IFERROR(IF(Z526&lt;1,Y526/(1-Z526),""),"")</f>
        <v/>
      </c>
      <c r="AC526" s="23" t="n"/>
      <c r="AD526" s="36" t="n"/>
      <c r="AE526" s="23" t="n"/>
      <c r="AF526" s="36" t="n"/>
      <c r="AG526" s="23" t="n"/>
      <c r="AH526" s="36" t="n"/>
      <c r="AI526" s="41">
        <f>IFERROR(AVERAGE(AD526,AF526,AH526),"")</f>
        <v/>
      </c>
      <c r="AJ526" s="29">
        <f>IFERROR(IF(AI526="","sem dados",IF(AB526&lt;AI526*0.95,"abaixo",IF(AB526&gt;AI526*1.05,"acima","em linha"))),"")</f>
        <v/>
      </c>
      <c r="AK526" s="23" t="inlineStr">
        <is>
          <t>não</t>
        </is>
      </c>
      <c r="AL526" s="23" t="n"/>
      <c r="AM526" s="23" t="n"/>
      <c r="AN526" s="23" t="n"/>
      <c r="AO526" s="44">
        <f>A526</f>
        <v/>
      </c>
      <c r="AP526" s="44">
        <f>D526</f>
        <v/>
      </c>
    </row>
    <row r="527" hidden="1" ht="15.75" customHeight="1" s="93">
      <c r="A527" s="23" t="inlineStr">
        <is>
          <t>5.0206.0543262.0</t>
        </is>
      </c>
      <c r="B527" s="23" t="inlineStr">
        <is>
          <t>543262</t>
        </is>
      </c>
      <c r="C527" s="29">
        <f>IFERROR(LOWER(SUBSTITUTE(SUBSTITUTE(SUBSTITUTE(SUBSTITUTE(D527," ","-"),"/","-"),".",""),",","")),"")</f>
        <v/>
      </c>
      <c r="D527" s="23" t="inlineStr">
        <is>
          <t>BOMBA HIDRÁULICA - APLICAÇÃO 11 B1.B12.A4.L</t>
        </is>
      </c>
      <c r="E527" s="23" t="inlineStr">
        <is>
          <t>Bombas Hidráulicas</t>
        </is>
      </c>
      <c r="F527" s="23" t="inlineStr">
        <is>
          <t>SOHIPREN</t>
        </is>
      </c>
      <c r="G527" s="23" t="n"/>
      <c r="H527" s="23" t="inlineStr">
        <is>
          <t>draft</t>
        </is>
      </c>
      <c r="I527" s="23" t="inlineStr">
        <is>
          <t>IDEAL</t>
        </is>
      </c>
      <c r="J527" s="23" t="inlineStr">
        <is>
          <t>TRATOR</t>
        </is>
      </c>
      <c r="K527" s="23" t="inlineStr">
        <is>
          <t>PRINCIPAL</t>
        </is>
      </c>
      <c r="L527" s="23" t="inlineStr">
        <is>
          <t>AL15149</t>
        </is>
      </c>
      <c r="M527" s="31" t="n"/>
      <c r="N527" s="31" t="n"/>
      <c r="O527" s="31" t="n"/>
      <c r="P527" s="31" t="n"/>
      <c r="Q527" s="31" t="n"/>
      <c r="R527" s="34">
        <f>IFERROR(IF(AND(O527&gt;0,P527&gt;0,Q527&gt;0),(O527*P527*Q527)/6000,""),"")</f>
        <v/>
      </c>
      <c r="S527" s="34">
        <f>IFERROR(IF(AND(N527&gt;0,R527&gt;0),MAX(N527,R527),IF(N527&gt;0,N527,IF(R527&gt;0,R527,""))),"")</f>
        <v/>
      </c>
      <c r="T527" s="36" t="n"/>
      <c r="U527" s="38" t="inlineStr">
        <is>
          <t>FALTA</t>
        </is>
      </c>
      <c r="V527" s="36" t="n">
        <v>517</v>
      </c>
      <c r="W527" s="39" t="n">
        <v>0.3</v>
      </c>
      <c r="X527" s="41">
        <f>IFERROR(V527+T527,"")</f>
        <v/>
      </c>
      <c r="Y527" s="41">
        <f>IFERROR(IF(W527&lt;1,X527/(1-W527),""),"")</f>
        <v/>
      </c>
      <c r="Z527" s="43">
        <f>'01_CONFIG_GLOBAL'!$C$14</f>
        <v/>
      </c>
      <c r="AA527" s="41">
        <f>IFERROR(Y527*Z527,"")</f>
        <v/>
      </c>
      <c r="AB527" s="41">
        <f>IFERROR(IF(Z527&lt;1,Y527/(1-Z527),""),"")</f>
        <v/>
      </c>
      <c r="AC527" s="23" t="n"/>
      <c r="AD527" s="36" t="n"/>
      <c r="AE527" s="23" t="n"/>
      <c r="AF527" s="36" t="n"/>
      <c r="AG527" s="23" t="n"/>
      <c r="AH527" s="36" t="n"/>
      <c r="AI527" s="41">
        <f>IFERROR(AVERAGE(AD527,AF527,AH527),"")</f>
        <v/>
      </c>
      <c r="AJ527" s="29">
        <f>IFERROR(IF(AI527="","sem dados",IF(AB527&lt;AI527*0.95,"abaixo",IF(AB527&gt;AI527*1.05,"acima","em linha"))),"")</f>
        <v/>
      </c>
      <c r="AK527" s="23" t="inlineStr">
        <is>
          <t>não</t>
        </is>
      </c>
      <c r="AL527" s="23" t="n"/>
      <c r="AM527" s="23" t="n"/>
      <c r="AN527" s="23" t="n"/>
      <c r="AO527" s="44">
        <f>A527</f>
        <v/>
      </c>
      <c r="AP527" s="44">
        <f>D527</f>
        <v/>
      </c>
    </row>
    <row r="528" hidden="1" ht="15.75" customHeight="1" s="93">
      <c r="A528" s="23" t="inlineStr">
        <is>
          <t>5.0205.0542402.0</t>
        </is>
      </c>
      <c r="B528" s="23" t="inlineStr">
        <is>
          <t>542402</t>
        </is>
      </c>
      <c r="C528" s="29">
        <f>IFERROR(LOWER(SUBSTITUTE(SUBSTITUTE(SUBSTITUTE(SUBSTITUTE(D528," ","-"),"/","-"),".",""),",","")),"")</f>
        <v/>
      </c>
      <c r="D528" s="23" t="inlineStr">
        <is>
          <t>BOMBA HIDRÁULICA - APLICAÇÃO 8 F4.A2.A.L</t>
        </is>
      </c>
      <c r="E528" s="23" t="inlineStr">
        <is>
          <t>Bombas Hidráulicas</t>
        </is>
      </c>
      <c r="F528" s="23" t="inlineStr">
        <is>
          <t>SOHIPREN</t>
        </is>
      </c>
      <c r="G528" s="23" t="n"/>
      <c r="H528" s="23" t="inlineStr">
        <is>
          <t>draft</t>
        </is>
      </c>
      <c r="I528" s="23" t="inlineStr">
        <is>
          <t>IDEAL</t>
        </is>
      </c>
      <c r="J528" s="23" t="inlineStr">
        <is>
          <t>COLHEDEIRA</t>
        </is>
      </c>
      <c r="K528" s="23" t="inlineStr">
        <is>
          <t>PRINCIPAL</t>
        </is>
      </c>
      <c r="L528" s="23" t="inlineStr">
        <is>
          <t>49117522010400</t>
        </is>
      </c>
      <c r="M528" s="31" t="n"/>
      <c r="N528" s="31" t="n"/>
      <c r="O528" s="31" t="n"/>
      <c r="P528" s="31" t="n"/>
      <c r="Q528" s="31" t="n"/>
      <c r="R528" s="34">
        <f>IFERROR(IF(AND(O528&gt;0,P528&gt;0,Q528&gt;0),(O528*P528*Q528)/6000,""),"")</f>
        <v/>
      </c>
      <c r="S528" s="34">
        <f>IFERROR(IF(AND(N528&gt;0,R528&gt;0),MAX(N528,R528),IF(N528&gt;0,N528,IF(R528&gt;0,R528,""))),"")</f>
        <v/>
      </c>
      <c r="T528" s="36" t="n"/>
      <c r="U528" s="38" t="inlineStr">
        <is>
          <t>FALTA</t>
        </is>
      </c>
      <c r="V528" s="36" t="n">
        <v>517</v>
      </c>
      <c r="W528" s="39" t="n">
        <v>0.3</v>
      </c>
      <c r="X528" s="41">
        <f>IFERROR(V528+T528,"")</f>
        <v/>
      </c>
      <c r="Y528" s="41">
        <f>IFERROR(IF(W528&lt;1,X528/(1-W528),""),"")</f>
        <v/>
      </c>
      <c r="Z528" s="43">
        <f>'01_CONFIG_GLOBAL'!$C$14</f>
        <v/>
      </c>
      <c r="AA528" s="41">
        <f>IFERROR(Y528*Z528,"")</f>
        <v/>
      </c>
      <c r="AB528" s="41">
        <f>IFERROR(IF(Z528&lt;1,Y528/(1-Z528),""),"")</f>
        <v/>
      </c>
      <c r="AC528" s="23" t="n"/>
      <c r="AD528" s="36" t="n"/>
      <c r="AE528" s="23" t="n"/>
      <c r="AF528" s="36" t="n"/>
      <c r="AG528" s="23" t="n"/>
      <c r="AH528" s="36" t="n"/>
      <c r="AI528" s="41">
        <f>IFERROR(AVERAGE(AD528,AF528,AH528),"")</f>
        <v/>
      </c>
      <c r="AJ528" s="29">
        <f>IFERROR(IF(AI528="","sem dados",IF(AB528&lt;AI528*0.95,"abaixo",IF(AB528&gt;AI528*1.05,"acima","em linha"))),"")</f>
        <v/>
      </c>
      <c r="AK528" s="23" t="inlineStr">
        <is>
          <t>não</t>
        </is>
      </c>
      <c r="AL528" s="23" t="n"/>
      <c r="AM528" s="23" t="n"/>
      <c r="AN528" s="23" t="n"/>
      <c r="AO528" s="44">
        <f>A528</f>
        <v/>
      </c>
      <c r="AP528" s="44">
        <f>D528</f>
        <v/>
      </c>
    </row>
    <row r="529" hidden="1" ht="15.75" customHeight="1" s="93">
      <c r="A529" s="23" t="inlineStr">
        <is>
          <t>5.0206.0543210.0</t>
        </is>
      </c>
      <c r="B529" s="23" t="inlineStr">
        <is>
          <t>543210</t>
        </is>
      </c>
      <c r="C529" s="29">
        <f>IFERROR(LOWER(SUBSTITUTE(SUBSTITUTE(SUBSTITUTE(SUBSTITUTE(D529," ","-"),"/","-"),".",""),",","")),"")</f>
        <v/>
      </c>
      <c r="D529" s="23" t="inlineStr">
        <is>
          <t>BOMBA HIDRÁULICA - APLICAÇÃO 11 B1.B10.A14.D5  9-90+10 BAR</t>
        </is>
      </c>
      <c r="E529" s="23" t="inlineStr">
        <is>
          <t>Bombas Hidráulicas</t>
        </is>
      </c>
      <c r="F529" s="23" t="inlineStr">
        <is>
          <t>SOHIPREN</t>
        </is>
      </c>
      <c r="G529" s="23" t="n"/>
      <c r="H529" s="23" t="inlineStr">
        <is>
          <t>draft</t>
        </is>
      </c>
      <c r="I529" s="23" t="inlineStr">
        <is>
          <t>IDEAL</t>
        </is>
      </c>
      <c r="J529" s="23" t="inlineStr">
        <is>
          <t>COLHEDEIRA</t>
        </is>
      </c>
      <c r="K529" s="23" t="inlineStr">
        <is>
          <t>PRINCIPAL</t>
        </is>
      </c>
      <c r="L529" s="23" t="inlineStr">
        <is>
          <t>85.0000.900.005.00</t>
        </is>
      </c>
      <c r="M529" s="31" t="n"/>
      <c r="N529" s="31" t="n"/>
      <c r="O529" s="31" t="n"/>
      <c r="P529" s="31" t="n"/>
      <c r="Q529" s="31" t="n"/>
      <c r="R529" s="34">
        <f>IFERROR(IF(AND(O529&gt;0,P529&gt;0,Q529&gt;0),(O529*P529*Q529)/6000,""),"")</f>
        <v/>
      </c>
      <c r="S529" s="34">
        <f>IFERROR(IF(AND(N529&gt;0,R529&gt;0),MAX(N529,R529),IF(N529&gt;0,N529,IF(R529&gt;0,R529,""))),"")</f>
        <v/>
      </c>
      <c r="T529" s="36" t="n"/>
      <c r="U529" s="38" t="inlineStr">
        <is>
          <t>FALTA</t>
        </is>
      </c>
      <c r="V529" s="36" t="n">
        <v>945</v>
      </c>
      <c r="W529" s="39" t="n">
        <v>0.3</v>
      </c>
      <c r="X529" s="41">
        <f>IFERROR(V529+T529,"")</f>
        <v/>
      </c>
      <c r="Y529" s="41">
        <f>IFERROR(IF(W529&lt;1,X529/(1-W529),""),"")</f>
        <v/>
      </c>
      <c r="Z529" s="43">
        <f>'01_CONFIG_GLOBAL'!$C$14</f>
        <v/>
      </c>
      <c r="AA529" s="41">
        <f>IFERROR(Y529*Z529,"")</f>
        <v/>
      </c>
      <c r="AB529" s="41">
        <f>IFERROR(IF(Z529&lt;1,Y529/(1-Z529),""),"")</f>
        <v/>
      </c>
      <c r="AC529" s="23" t="n"/>
      <c r="AD529" s="36" t="n"/>
      <c r="AE529" s="23" t="n"/>
      <c r="AF529" s="36" t="n"/>
      <c r="AG529" s="23" t="n"/>
      <c r="AH529" s="36" t="n"/>
      <c r="AI529" s="41">
        <f>IFERROR(AVERAGE(AD529,AF529,AH529),"")</f>
        <v/>
      </c>
      <c r="AJ529" s="29">
        <f>IFERROR(IF(AI529="","sem dados",IF(AB529&lt;AI529*0.95,"abaixo",IF(AB529&gt;AI529*1.05,"acima","em linha"))),"")</f>
        <v/>
      </c>
      <c r="AK529" s="23" t="inlineStr">
        <is>
          <t>não</t>
        </is>
      </c>
      <c r="AL529" s="23" t="n"/>
      <c r="AM529" s="23" t="n"/>
      <c r="AN529" s="23" t="n"/>
      <c r="AO529" s="44">
        <f>A529</f>
        <v/>
      </c>
      <c r="AP529" s="44">
        <f>D529</f>
        <v/>
      </c>
    </row>
    <row r="530" hidden="1" ht="15.75" customHeight="1" s="93">
      <c r="A530" s="23" t="inlineStr">
        <is>
          <t>5.0208.0544807.0</t>
        </is>
      </c>
      <c r="B530" s="23" t="inlineStr">
        <is>
          <t>544807</t>
        </is>
      </c>
      <c r="C530" s="29">
        <f>IFERROR(LOWER(SUBSTITUTE(SUBSTITUTE(SUBSTITUTE(SUBSTITUTE(D530," ","-"),"/","-"),".",""),",","")),"")</f>
        <v/>
      </c>
      <c r="D530" s="23" t="inlineStr">
        <is>
          <t>BOMBA HIDRÁULICA - APLICAÇÃO 16 B2.P4.A14.D5  9-110+10 BAR</t>
        </is>
      </c>
      <c r="E530" s="23" t="inlineStr">
        <is>
          <t>Bombas Hidráulicas</t>
        </is>
      </c>
      <c r="F530" s="23" t="inlineStr">
        <is>
          <t>SOHIPREN</t>
        </is>
      </c>
      <c r="G530" s="23" t="n"/>
      <c r="H530" s="23" t="inlineStr">
        <is>
          <t>draft</t>
        </is>
      </c>
      <c r="I530" s="23" t="inlineStr">
        <is>
          <t>IDEAL</t>
        </is>
      </c>
      <c r="J530" s="23" t="inlineStr">
        <is>
          <t>COLHEDEIRA</t>
        </is>
      </c>
      <c r="K530" s="23" t="inlineStr">
        <is>
          <t>PRINCIPAL</t>
        </is>
      </c>
      <c r="L530" s="23" t="inlineStr">
        <is>
          <t>85.000090.0.018</t>
        </is>
      </c>
      <c r="M530" s="31" t="n"/>
      <c r="N530" s="31" t="n"/>
      <c r="O530" s="31" t="n"/>
      <c r="P530" s="31" t="n"/>
      <c r="Q530" s="31" t="n"/>
      <c r="R530" s="34">
        <f>IFERROR(IF(AND(O530&gt;0,P530&gt;0,Q530&gt;0),(O530*P530*Q530)/6000,""),"")</f>
        <v/>
      </c>
      <c r="S530" s="34">
        <f>IFERROR(IF(AND(N530&gt;0,R530&gt;0),MAX(N530,R530),IF(N530&gt;0,N530,IF(R530&gt;0,R530,""))),"")</f>
        <v/>
      </c>
      <c r="T530" s="36" t="n"/>
      <c r="U530" s="38" t="inlineStr">
        <is>
          <t>FALTA</t>
        </is>
      </c>
      <c r="V530" s="36" t="n">
        <v>605</v>
      </c>
      <c r="W530" s="39" t="n">
        <v>0.3</v>
      </c>
      <c r="X530" s="41">
        <f>IFERROR(V530+T530,"")</f>
        <v/>
      </c>
      <c r="Y530" s="41">
        <f>IFERROR(IF(W530&lt;1,X530/(1-W530),""),"")</f>
        <v/>
      </c>
      <c r="Z530" s="43">
        <f>'01_CONFIG_GLOBAL'!$C$14</f>
        <v/>
      </c>
      <c r="AA530" s="41">
        <f>IFERROR(Y530*Z530,"")</f>
        <v/>
      </c>
      <c r="AB530" s="41">
        <f>IFERROR(IF(Z530&lt;1,Y530/(1-Z530),""),"")</f>
        <v/>
      </c>
      <c r="AC530" s="23" t="n"/>
      <c r="AD530" s="36" t="n"/>
      <c r="AE530" s="23" t="n"/>
      <c r="AF530" s="36" t="n"/>
      <c r="AG530" s="23" t="n"/>
      <c r="AH530" s="36" t="n"/>
      <c r="AI530" s="41">
        <f>IFERROR(AVERAGE(AD530,AF530,AH530),"")</f>
        <v/>
      </c>
      <c r="AJ530" s="29">
        <f>IFERROR(IF(AI530="","sem dados",IF(AB530&lt;AI530*0.95,"abaixo",IF(AB530&gt;AI530*1.05,"acima","em linha"))),"")</f>
        <v/>
      </c>
      <c r="AK530" s="23" t="inlineStr">
        <is>
          <t>não</t>
        </is>
      </c>
      <c r="AL530" s="23" t="n"/>
      <c r="AM530" s="23" t="n"/>
      <c r="AN530" s="23" t="n"/>
      <c r="AO530" s="44">
        <f>A530</f>
        <v/>
      </c>
      <c r="AP530" s="44">
        <f>D530</f>
        <v/>
      </c>
    </row>
    <row r="531" hidden="1" ht="15.75" customHeight="1" s="93">
      <c r="A531" s="23" t="inlineStr">
        <is>
          <t>5.0209.0545607.0</t>
        </is>
      </c>
      <c r="B531" s="23" t="inlineStr">
        <is>
          <t>545607</t>
        </is>
      </c>
      <c r="C531" s="29">
        <f>IFERROR(LOWER(SUBSTITUTE(SUBSTITUTE(SUBSTITUTE(SUBSTITUTE(D531," ","-"),"/","-"),".",""),",","")),"")</f>
        <v/>
      </c>
      <c r="D531" s="23" t="inlineStr">
        <is>
          <t>BOMBA HIDRÁULICA - APLICAÇÃO 19 B2.P4.A14.D5  9-90+10 BAR</t>
        </is>
      </c>
      <c r="E531" s="23" t="inlineStr">
        <is>
          <t>Bombas Hidráulicas</t>
        </is>
      </c>
      <c r="F531" s="23" t="inlineStr">
        <is>
          <t>SOHIPREN</t>
        </is>
      </c>
      <c r="G531" s="23" t="n"/>
      <c r="H531" s="23" t="inlineStr">
        <is>
          <t>draft</t>
        </is>
      </c>
      <c r="I531" s="23" t="inlineStr">
        <is>
          <t>IDEAL</t>
        </is>
      </c>
      <c r="J531" s="23" t="inlineStr">
        <is>
          <t>COLHEDEIRA</t>
        </is>
      </c>
      <c r="K531" s="23" t="inlineStr">
        <is>
          <t>PRINCIPAL</t>
        </is>
      </c>
      <c r="L531" s="23" t="inlineStr">
        <is>
          <t>85000090090020</t>
        </is>
      </c>
      <c r="M531" s="31" t="n"/>
      <c r="N531" s="31" t="n"/>
      <c r="O531" s="31" t="n"/>
      <c r="P531" s="31" t="n"/>
      <c r="Q531" s="31" t="n"/>
      <c r="R531" s="34">
        <f>IFERROR(IF(AND(O531&gt;0,P531&gt;0,Q531&gt;0),(O531*P531*Q531)/6000,""),"")</f>
        <v/>
      </c>
      <c r="S531" s="34">
        <f>IFERROR(IF(AND(N531&gt;0,R531&gt;0),MAX(N531,R531),IF(N531&gt;0,N531,IF(R531&gt;0,R531,""))),"")</f>
        <v/>
      </c>
      <c r="T531" s="36" t="n"/>
      <c r="U531" s="38" t="inlineStr">
        <is>
          <t>FALTA</t>
        </is>
      </c>
      <c r="V531" s="36" t="n">
        <v>517</v>
      </c>
      <c r="W531" s="39" t="n">
        <v>0.3</v>
      </c>
      <c r="X531" s="41">
        <f>IFERROR(V531+T531,"")</f>
        <v/>
      </c>
      <c r="Y531" s="41">
        <f>IFERROR(IF(W531&lt;1,X531/(1-W531),""),"")</f>
        <v/>
      </c>
      <c r="Z531" s="43">
        <f>'01_CONFIG_GLOBAL'!$C$14</f>
        <v/>
      </c>
      <c r="AA531" s="41">
        <f>IFERROR(Y531*Z531,"")</f>
        <v/>
      </c>
      <c r="AB531" s="41">
        <f>IFERROR(IF(Z531&lt;1,Y531/(1-Z531),""),"")</f>
        <v/>
      </c>
      <c r="AC531" s="23" t="n"/>
      <c r="AD531" s="36" t="n"/>
      <c r="AE531" s="23" t="n"/>
      <c r="AF531" s="36" t="n"/>
      <c r="AG531" s="23" t="n"/>
      <c r="AH531" s="36" t="n"/>
      <c r="AI531" s="41">
        <f>IFERROR(AVERAGE(AD531,AF531,AH531),"")</f>
        <v/>
      </c>
      <c r="AJ531" s="29">
        <f>IFERROR(IF(AI531="","sem dados",IF(AB531&lt;AI531*0.95,"abaixo",IF(AB531&gt;AI531*1.05,"acima","em linha"))),"")</f>
        <v/>
      </c>
      <c r="AK531" s="23" t="inlineStr">
        <is>
          <t>não</t>
        </is>
      </c>
      <c r="AL531" s="23" t="n"/>
      <c r="AM531" s="23" t="n"/>
      <c r="AN531" s="23" t="n"/>
      <c r="AO531" s="44">
        <f>A531</f>
        <v/>
      </c>
      <c r="AP531" s="44">
        <f>D531</f>
        <v/>
      </c>
    </row>
    <row r="532" hidden="1" ht="15.75" customHeight="1" s="93">
      <c r="A532" s="23" t="inlineStr">
        <is>
          <t>5.0209.0545612.0</t>
        </is>
      </c>
      <c r="B532" s="23" t="inlineStr">
        <is>
          <t>545612</t>
        </is>
      </c>
      <c r="C532" s="29">
        <f>IFERROR(LOWER(SUBSTITUTE(SUBSTITUTE(SUBSTITUTE(SUBSTITUTE(D532," ","-"),"/","-"),".",""),",","")),"")</f>
        <v/>
      </c>
      <c r="D532" s="23" t="inlineStr">
        <is>
          <t>BOMBA HIDRÁULICA - APLICAÇÃO 19 B1.P1.A4.L</t>
        </is>
      </c>
      <c r="E532" s="23" t="inlineStr">
        <is>
          <t>Bombas Hidráulicas</t>
        </is>
      </c>
      <c r="F532" s="23" t="inlineStr">
        <is>
          <t>SOHIPREN</t>
        </is>
      </c>
      <c r="G532" s="23" t="n"/>
      <c r="H532" s="23" t="inlineStr">
        <is>
          <t>draft</t>
        </is>
      </c>
      <c r="I532" s="23" t="inlineStr">
        <is>
          <t>IDEAL</t>
        </is>
      </c>
      <c r="J532" s="23" t="inlineStr">
        <is>
          <t>COLHEDEIRA</t>
        </is>
      </c>
      <c r="K532" s="23" t="inlineStr">
        <is>
          <t>TRAÇÃO E MOLINETE</t>
        </is>
      </c>
      <c r="L532" s="23" t="inlineStr">
        <is>
          <t>85.000090.0.019</t>
        </is>
      </c>
      <c r="M532" s="31" t="n"/>
      <c r="N532" s="31" t="n"/>
      <c r="O532" s="31" t="n"/>
      <c r="P532" s="31" t="n"/>
      <c r="Q532" s="31" t="n"/>
      <c r="R532" s="34">
        <f>IFERROR(IF(AND(O532&gt;0,P532&gt;0,Q532&gt;0),(O532*P532*Q532)/6000,""),"")</f>
        <v/>
      </c>
      <c r="S532" s="34">
        <f>IFERROR(IF(AND(N532&gt;0,R532&gt;0),MAX(N532,R532),IF(N532&gt;0,N532,IF(R532&gt;0,R532,""))),"")</f>
        <v/>
      </c>
      <c r="T532" s="36" t="n"/>
      <c r="U532" s="38" t="inlineStr">
        <is>
          <t>FALTA</t>
        </is>
      </c>
      <c r="V532" s="36" t="n">
        <v>925</v>
      </c>
      <c r="W532" s="39" t="n">
        <v>0.3</v>
      </c>
      <c r="X532" s="41">
        <f>IFERROR(V532+T532,"")</f>
        <v/>
      </c>
      <c r="Y532" s="41">
        <f>IFERROR(IF(W532&lt;1,X532/(1-W532),""),"")</f>
        <v/>
      </c>
      <c r="Z532" s="43">
        <f>'01_CONFIG_GLOBAL'!$C$14</f>
        <v/>
      </c>
      <c r="AA532" s="41">
        <f>IFERROR(Y532*Z532,"")</f>
        <v/>
      </c>
      <c r="AB532" s="41">
        <f>IFERROR(IF(Z532&lt;1,Y532/(1-Z532),""),"")</f>
        <v/>
      </c>
      <c r="AC532" s="23" t="n"/>
      <c r="AD532" s="36" t="n"/>
      <c r="AE532" s="23" t="n"/>
      <c r="AF532" s="36" t="n"/>
      <c r="AG532" s="23" t="n"/>
      <c r="AH532" s="36" t="n"/>
      <c r="AI532" s="41">
        <f>IFERROR(AVERAGE(AD532,AF532,AH532),"")</f>
        <v/>
      </c>
      <c r="AJ532" s="29">
        <f>IFERROR(IF(AI532="","sem dados",IF(AB532&lt;AI532*0.95,"abaixo",IF(AB532&gt;AI532*1.05,"acima","em linha"))),"")</f>
        <v/>
      </c>
      <c r="AK532" s="23" t="inlineStr">
        <is>
          <t>não</t>
        </is>
      </c>
      <c r="AL532" s="23" t="n"/>
      <c r="AM532" s="23" t="n"/>
      <c r="AN532" s="23" t="n"/>
      <c r="AO532" s="44">
        <f>A532</f>
        <v/>
      </c>
      <c r="AP532" s="44">
        <f>D532</f>
        <v/>
      </c>
    </row>
    <row r="533" hidden="1" ht="15.75" customHeight="1" s="93">
      <c r="A533" s="23" t="inlineStr">
        <is>
          <t>5.0906.0580554.0</t>
        </is>
      </c>
      <c r="B533" s="23" t="inlineStr">
        <is>
          <t>580554</t>
        </is>
      </c>
      <c r="C533" s="29">
        <f>IFERROR(LOWER(SUBSTITUTE(SUBSTITUTE(SUBSTITUTE(SUBSTITUTE(D533," ","-"),"/","-"),".",""),",","")),"")</f>
        <v/>
      </c>
      <c r="D533" s="23" t="inlineStr">
        <is>
          <t>APR 50 201.2.21.68</t>
        </is>
      </c>
      <c r="E533" s="23" t="n"/>
      <c r="F533" s="23" t="inlineStr">
        <is>
          <t>SOHIPREN</t>
        </is>
      </c>
      <c r="G533" s="23" t="n"/>
      <c r="H533" s="23" t="inlineStr">
        <is>
          <t>draft</t>
        </is>
      </c>
      <c r="I533" s="23" t="inlineStr">
        <is>
          <t>IMAP</t>
        </is>
      </c>
      <c r="J533" s="23" t="inlineStr">
        <is>
          <t>GUINCHO</t>
        </is>
      </c>
      <c r="K533" s="23" t="inlineStr">
        <is>
          <t>PRINCIPAL</t>
        </is>
      </c>
      <c r="L533" s="23" t="n"/>
      <c r="M533" s="31" t="n"/>
      <c r="N533" s="31" t="n"/>
      <c r="O533" s="31" t="n"/>
      <c r="P533" s="31" t="n"/>
      <c r="Q533" s="31" t="n"/>
      <c r="R533" s="34">
        <f>IFERROR(IF(AND(O533&gt;0,P533&gt;0,Q533&gt;0),(O533*P533*Q533)/6000,""),"")</f>
        <v/>
      </c>
      <c r="S533" s="34">
        <f>IFERROR(IF(AND(N533&gt;0,R533&gt;0),MAX(N533,R533),IF(N533&gt;0,N533,IF(R533&gt;0,R533,""))),"")</f>
        <v/>
      </c>
      <c r="T533" s="36" t="n"/>
      <c r="U533" s="38" t="inlineStr">
        <is>
          <t>FALTA</t>
        </is>
      </c>
      <c r="V533" s="36" t="n">
        <v>1018.22</v>
      </c>
      <c r="W533" s="39" t="n">
        <v>0.3</v>
      </c>
      <c r="X533" s="41">
        <f>IFERROR(V533+T533,"")</f>
        <v/>
      </c>
      <c r="Y533" s="41">
        <f>IFERROR(IF(W533&lt;1,X533/(1-W533),""),"")</f>
        <v/>
      </c>
      <c r="Z533" s="43">
        <f>'01_CONFIG_GLOBAL'!$C$14</f>
        <v/>
      </c>
      <c r="AA533" s="41">
        <f>IFERROR(Y533*Z533,"")</f>
        <v/>
      </c>
      <c r="AB533" s="41">
        <f>IFERROR(IF(Z533&lt;1,Y533/(1-Z533),""),"")</f>
        <v/>
      </c>
      <c r="AC533" s="23" t="n"/>
      <c r="AD533" s="36" t="n"/>
      <c r="AE533" s="23" t="n"/>
      <c r="AF533" s="36" t="n"/>
      <c r="AG533" s="23" t="n"/>
      <c r="AH533" s="36" t="n"/>
      <c r="AI533" s="41">
        <f>IFERROR(AVERAGE(AD533,AF533,AH533),"")</f>
        <v/>
      </c>
      <c r="AJ533" s="29">
        <f>IFERROR(IF(AI533="","sem dados",IF(AB533&lt;AI533*0.95,"abaixo",IF(AB533&gt;AI533*1.05,"acima","em linha"))),"")</f>
        <v/>
      </c>
      <c r="AK533" s="23" t="inlineStr">
        <is>
          <t>não</t>
        </is>
      </c>
      <c r="AL533" s="23" t="n"/>
      <c r="AM533" s="23" t="n"/>
      <c r="AN533" s="23" t="n"/>
      <c r="AO533" s="44">
        <f>A533</f>
        <v/>
      </c>
      <c r="AP533" s="44">
        <f>D533</f>
        <v/>
      </c>
    </row>
    <row r="534" hidden="1" ht="15.75" customHeight="1" s="93">
      <c r="A534" s="23" t="inlineStr">
        <is>
          <t>5.0520.0506246.0</t>
        </is>
      </c>
      <c r="B534" s="23" t="inlineStr">
        <is>
          <t>506246</t>
        </is>
      </c>
      <c r="C534" s="29">
        <f>IFERROR(LOWER(SUBSTITUTE(SUBSTITUTE(SUBSTITUTE(SUBSTITUTE(D534," ","-"),"/","-"),".",""),",","")),"")</f>
        <v/>
      </c>
      <c r="D534" s="23" t="inlineStr">
        <is>
          <t>MC1 40 201.1.37.83/40 83.61</t>
        </is>
      </c>
      <c r="E534" s="23" t="n"/>
      <c r="F534" s="23" t="inlineStr">
        <is>
          <t>SOHIPREN</t>
        </is>
      </c>
      <c r="G534" s="23" t="n"/>
      <c r="H534" s="23" t="inlineStr">
        <is>
          <t>draft</t>
        </is>
      </c>
      <c r="I534" s="23" t="inlineStr">
        <is>
          <t>IMPLEMATER</t>
        </is>
      </c>
      <c r="J534" s="23" t="inlineStr">
        <is>
          <t>CARREGADOR FLORESTAL</t>
        </is>
      </c>
      <c r="K534" s="23" t="inlineStr">
        <is>
          <t>PRINCIPAL</t>
        </is>
      </c>
      <c r="L534" s="23" t="inlineStr">
        <is>
          <t>61012</t>
        </is>
      </c>
      <c r="M534" s="31" t="n"/>
      <c r="N534" s="31" t="n"/>
      <c r="O534" s="31" t="n"/>
      <c r="P534" s="31" t="n"/>
      <c r="Q534" s="31" t="n"/>
      <c r="R534" s="34">
        <f>IFERROR(IF(AND(O534&gt;0,P534&gt;0,Q534&gt;0),(O534*P534*Q534)/6000,""),"")</f>
        <v/>
      </c>
      <c r="S534" s="34">
        <f>IFERROR(IF(AND(N534&gt;0,R534&gt;0),MAX(N534,R534),IF(N534&gt;0,N534,IF(R534&gt;0,R534,""))),"")</f>
        <v/>
      </c>
      <c r="T534" s="36" t="n"/>
      <c r="U534" s="38" t="inlineStr">
        <is>
          <t>FALTA</t>
        </is>
      </c>
      <c r="V534" s="36" t="n">
        <v>2090</v>
      </c>
      <c r="W534" s="39" t="n">
        <v>0.3</v>
      </c>
      <c r="X534" s="41">
        <f>IFERROR(V534+T534,"")</f>
        <v/>
      </c>
      <c r="Y534" s="41">
        <f>IFERROR(IF(W534&lt;1,X534/(1-W534),""),"")</f>
        <v/>
      </c>
      <c r="Z534" s="43">
        <f>'01_CONFIG_GLOBAL'!$C$14</f>
        <v/>
      </c>
      <c r="AA534" s="41">
        <f>IFERROR(Y534*Z534,"")</f>
        <v/>
      </c>
      <c r="AB534" s="41">
        <f>IFERROR(IF(Z534&lt;1,Y534/(1-Z534),""),"")</f>
        <v/>
      </c>
      <c r="AC534" s="23" t="n"/>
      <c r="AD534" s="36" t="n"/>
      <c r="AE534" s="23" t="n"/>
      <c r="AF534" s="36" t="n"/>
      <c r="AG534" s="23" t="n"/>
      <c r="AH534" s="36" t="n"/>
      <c r="AI534" s="41">
        <f>IFERROR(AVERAGE(AD534,AF534,AH534),"")</f>
        <v/>
      </c>
      <c r="AJ534" s="29">
        <f>IFERROR(IF(AI534="","sem dados",IF(AB534&lt;AI534*0.95,"abaixo",IF(AB534&gt;AI534*1.05,"acima","em linha"))),"")</f>
        <v/>
      </c>
      <c r="AK534" s="23" t="inlineStr">
        <is>
          <t>não</t>
        </is>
      </c>
      <c r="AL534" s="23" t="n"/>
      <c r="AM534" s="23" t="n"/>
      <c r="AN534" s="23" t="n"/>
      <c r="AO534" s="44">
        <f>A534</f>
        <v/>
      </c>
      <c r="AP534" s="44">
        <f>D534</f>
        <v/>
      </c>
    </row>
    <row r="535" hidden="1" ht="15.75" customHeight="1" s="93">
      <c r="A535" s="23" t="inlineStr">
        <is>
          <t>5.1301.L027086.0</t>
        </is>
      </c>
      <c r="B535" s="23" t="inlineStr">
        <is>
          <t>L027086</t>
        </is>
      </c>
      <c r="C535" s="29">
        <f>IFERROR(LOWER(SUBSTITUTE(SUBSTITUTE(SUBSTITUTE(SUBSTITUTE(D535," ","-"),"/","-"),".",""),",","")),"")</f>
        <v/>
      </c>
      <c r="D535" s="23" t="inlineStr">
        <is>
          <t>14312-BOMBA HID BHT 9105 01 B 043L-13Z _x0002_ (COMPRA L027085)</t>
        </is>
      </c>
      <c r="E535" s="23" t="inlineStr">
        <is>
          <t>Bombas Hidráulicas</t>
        </is>
      </c>
      <c r="F535" s="23" t="inlineStr">
        <is>
          <t>SOHIPREN</t>
        </is>
      </c>
      <c r="G535" s="23" t="n"/>
      <c r="H535" s="23" t="inlineStr">
        <is>
          <t>draft</t>
        </is>
      </c>
      <c r="I535" s="23" t="inlineStr">
        <is>
          <t>IMTERPUMP</t>
        </is>
      </c>
      <c r="J535" s="23" t="n"/>
      <c r="K535" s="23" t="n"/>
      <c r="L535" s="23" t="inlineStr">
        <is>
          <t>14312</t>
        </is>
      </c>
      <c r="M535" s="31" t="n"/>
      <c r="N535" s="31" t="n"/>
      <c r="O535" s="31" t="n"/>
      <c r="P535" s="31" t="n"/>
      <c r="Q535" s="31" t="n"/>
      <c r="R535" s="34">
        <f>IFERROR(IF(AND(O535&gt;0,P535&gt;0,Q535&gt;0),(O535*P535*Q535)/6000,""),"")</f>
        <v/>
      </c>
      <c r="S535" s="34">
        <f>IFERROR(IF(AND(N535&gt;0,R535&gt;0),MAX(N535,R535),IF(N535&gt;0,N535,IF(R535&gt;0,R535,""))),"")</f>
        <v/>
      </c>
      <c r="T535" s="36" t="n"/>
      <c r="U535" s="38" t="inlineStr">
        <is>
          <t>FALTA</t>
        </is>
      </c>
      <c r="V535" s="36" t="n">
        <v>1901</v>
      </c>
      <c r="W535" s="39" t="n">
        <v>0.3</v>
      </c>
      <c r="X535" s="41">
        <f>IFERROR(V535+T535,"")</f>
        <v/>
      </c>
      <c r="Y535" s="41">
        <f>IFERROR(IF(W535&lt;1,X535/(1-W535),""),"")</f>
        <v/>
      </c>
      <c r="Z535" s="43">
        <f>'01_CONFIG_GLOBAL'!$C$14</f>
        <v/>
      </c>
      <c r="AA535" s="41">
        <f>IFERROR(Y535*Z535,"")</f>
        <v/>
      </c>
      <c r="AB535" s="41">
        <f>IFERROR(IF(Z535&lt;1,Y535/(1-Z535),""),"")</f>
        <v/>
      </c>
      <c r="AC535" s="23" t="n"/>
      <c r="AD535" s="36" t="n"/>
      <c r="AE535" s="23" t="n"/>
      <c r="AF535" s="36" t="n"/>
      <c r="AG535" s="23" t="n"/>
      <c r="AH535" s="36" t="n"/>
      <c r="AI535" s="41">
        <f>IFERROR(AVERAGE(AD535,AF535,AH535),"")</f>
        <v/>
      </c>
      <c r="AJ535" s="29">
        <f>IFERROR(IF(AI535="","sem dados",IF(AB535&lt;AI535*0.95,"abaixo",IF(AB535&gt;AI535*1.05,"acima","em linha"))),"")</f>
        <v/>
      </c>
      <c r="AK535" s="23" t="inlineStr">
        <is>
          <t>não</t>
        </is>
      </c>
      <c r="AL535" s="23" t="n"/>
      <c r="AM535" s="23" t="n"/>
      <c r="AN535" s="23" t="n"/>
      <c r="AO535" s="44">
        <f>A535</f>
        <v/>
      </c>
      <c r="AP535" s="44">
        <f>D535</f>
        <v/>
      </c>
    </row>
    <row r="536" hidden="1" ht="15.75" customHeight="1" s="93">
      <c r="A536" s="23" t="inlineStr">
        <is>
          <t>5.1301.L027094.0</t>
        </is>
      </c>
      <c r="B536" s="23" t="inlineStr">
        <is>
          <t>L027094</t>
        </is>
      </c>
      <c r="C536" s="29">
        <f>IFERROR(LOWER(SUBSTITUTE(SUBSTITUTE(SUBSTITUTE(SUBSTITUTE(D536," ","-"),"/","-"),".",""),",","")),"")</f>
        <v/>
      </c>
      <c r="D536" s="23" t="inlineStr">
        <is>
          <t>14316-BOMBA HID BHT 9105 06 B043 - 8Z (COMPRA L027093)</t>
        </is>
      </c>
      <c r="E536" s="23" t="inlineStr">
        <is>
          <t>Bombas Hidráulicas</t>
        </is>
      </c>
      <c r="F536" s="23" t="inlineStr">
        <is>
          <t>SOHIPREN</t>
        </is>
      </c>
      <c r="G536" s="23" t="n"/>
      <c r="H536" s="23" t="inlineStr">
        <is>
          <t>draft</t>
        </is>
      </c>
      <c r="I536" s="23" t="inlineStr">
        <is>
          <t>IMTERPUMP</t>
        </is>
      </c>
      <c r="J536" s="23" t="n"/>
      <c r="K536" s="23" t="n"/>
      <c r="L536" s="23" t="inlineStr">
        <is>
          <t>14316</t>
        </is>
      </c>
      <c r="M536" s="31" t="n"/>
      <c r="N536" s="31" t="n"/>
      <c r="O536" s="31" t="n"/>
      <c r="P536" s="31" t="n"/>
      <c r="Q536" s="31" t="n"/>
      <c r="R536" s="34">
        <f>IFERROR(IF(AND(O536&gt;0,P536&gt;0,Q536&gt;0),(O536*P536*Q536)/6000,""),"")</f>
        <v/>
      </c>
      <c r="S536" s="34">
        <f>IFERROR(IF(AND(N536&gt;0,R536&gt;0),MAX(N536,R536),IF(N536&gt;0,N536,IF(R536&gt;0,R536,""))),"")</f>
        <v/>
      </c>
      <c r="T536" s="36" t="n"/>
      <c r="U536" s="38" t="inlineStr">
        <is>
          <t>FALTA</t>
        </is>
      </c>
      <c r="V536" s="36" t="n">
        <v>1900</v>
      </c>
      <c r="W536" s="39" t="n">
        <v>0.3</v>
      </c>
      <c r="X536" s="41">
        <f>IFERROR(V536+T536,"")</f>
        <v/>
      </c>
      <c r="Y536" s="41">
        <f>IFERROR(IF(W536&lt;1,X536/(1-W536),""),"")</f>
        <v/>
      </c>
      <c r="Z536" s="43">
        <f>'01_CONFIG_GLOBAL'!$C$14</f>
        <v/>
      </c>
      <c r="AA536" s="41">
        <f>IFERROR(Y536*Z536,"")</f>
        <v/>
      </c>
      <c r="AB536" s="41">
        <f>IFERROR(IF(Z536&lt;1,Y536/(1-Z536),""),"")</f>
        <v/>
      </c>
      <c r="AC536" s="23" t="n"/>
      <c r="AD536" s="36" t="n"/>
      <c r="AE536" s="23" t="n"/>
      <c r="AF536" s="36" t="n"/>
      <c r="AG536" s="23" t="n"/>
      <c r="AH536" s="36" t="n"/>
      <c r="AI536" s="41">
        <f>IFERROR(AVERAGE(AD536,AF536,AH536),"")</f>
        <v/>
      </c>
      <c r="AJ536" s="29">
        <f>IFERROR(IF(AI536="","sem dados",IF(AB536&lt;AI536*0.95,"abaixo",IF(AB536&gt;AI536*1.05,"acima","em linha"))),"")</f>
        <v/>
      </c>
      <c r="AK536" s="23" t="inlineStr">
        <is>
          <t>não</t>
        </is>
      </c>
      <c r="AL536" s="23" t="n"/>
      <c r="AM536" s="23" t="n"/>
      <c r="AN536" s="23" t="n"/>
      <c r="AO536" s="44">
        <f>A536</f>
        <v/>
      </c>
      <c r="AP536" s="44">
        <f>D536</f>
        <v/>
      </c>
    </row>
    <row r="537" hidden="1" ht="15.75" customHeight="1" s="93">
      <c r="A537" s="23" t="inlineStr">
        <is>
          <t>5.0107.0572504.0</t>
        </is>
      </c>
      <c r="B537" s="23" t="inlineStr">
        <is>
          <t>572504</t>
        </is>
      </c>
      <c r="C537" s="29">
        <f>IFERROR(LOWER(SUBSTITUTE(SUBSTITUTE(SUBSTITUTE(SUBSTITUTE(D537," ","-"),"/","-"),".",""),",","")),"")</f>
        <v/>
      </c>
      <c r="D537" s="23" t="inlineStr">
        <is>
          <t>B1D 5 C.C.C8.L</t>
        </is>
      </c>
      <c r="E537" s="23" t="n"/>
      <c r="F537" s="23" t="inlineStr">
        <is>
          <t>SOHIPREN</t>
        </is>
      </c>
      <c r="G537" s="23" t="n"/>
      <c r="H537" s="23" t="inlineStr">
        <is>
          <t>draft</t>
        </is>
      </c>
      <c r="I537" s="23" t="inlineStr">
        <is>
          <t>INDUSTRIAL</t>
        </is>
      </c>
      <c r="J537" s="23" t="inlineStr">
        <is>
          <t>UNIDADE HIDRÁULICA</t>
        </is>
      </c>
      <c r="K537" s="23" t="inlineStr">
        <is>
          <t>PRINCIPAL</t>
        </is>
      </c>
      <c r="L537" s="23" t="inlineStr">
        <is>
          <t>10C5X906U39</t>
        </is>
      </c>
      <c r="M537" s="31" t="n"/>
      <c r="N537" s="31" t="n"/>
      <c r="O537" s="31" t="n"/>
      <c r="P537" s="31" t="n"/>
      <c r="Q537" s="31" t="n"/>
      <c r="R537" s="34">
        <f>IFERROR(IF(AND(O537&gt;0,P537&gt;0,Q537&gt;0),(O537*P537*Q537)/6000,""),"")</f>
        <v/>
      </c>
      <c r="S537" s="34">
        <f>IFERROR(IF(AND(N537&gt;0,R537&gt;0),MAX(N537,R537),IF(N537&gt;0,N537,IF(R537&gt;0,R537,""))),"")</f>
        <v/>
      </c>
      <c r="T537" s="36" t="n"/>
      <c r="U537" s="38" t="inlineStr">
        <is>
          <t>FALTA</t>
        </is>
      </c>
      <c r="V537" s="36" t="n">
        <v>540</v>
      </c>
      <c r="W537" s="39" t="n">
        <v>0.3</v>
      </c>
      <c r="X537" s="41">
        <f>IFERROR(V537+T537,"")</f>
        <v/>
      </c>
      <c r="Y537" s="41">
        <f>IFERROR(IF(W537&lt;1,X537/(1-W537),""),"")</f>
        <v/>
      </c>
      <c r="Z537" s="43">
        <f>'01_CONFIG_GLOBAL'!$C$14</f>
        <v/>
      </c>
      <c r="AA537" s="41">
        <f>IFERROR(Y537*Z537,"")</f>
        <v/>
      </c>
      <c r="AB537" s="41">
        <f>IFERROR(IF(Z537&lt;1,Y537/(1-Z537),""),"")</f>
        <v/>
      </c>
      <c r="AC537" s="23" t="n"/>
      <c r="AD537" s="36" t="n"/>
      <c r="AE537" s="23" t="n"/>
      <c r="AF537" s="36" t="n"/>
      <c r="AG537" s="23" t="n"/>
      <c r="AH537" s="36" t="n"/>
      <c r="AI537" s="41">
        <f>IFERROR(AVERAGE(AD537,AF537,AH537),"")</f>
        <v/>
      </c>
      <c r="AJ537" s="29">
        <f>IFERROR(IF(AI537="","sem dados",IF(AB537&lt;AI537*0.95,"abaixo",IF(AB537&gt;AI537*1.05,"acima","em linha"))),"")</f>
        <v/>
      </c>
      <c r="AK537" s="23" t="inlineStr">
        <is>
          <t>não</t>
        </is>
      </c>
      <c r="AL537" s="23" t="n"/>
      <c r="AM537" s="23" t="n"/>
      <c r="AN537" s="23" t="n"/>
      <c r="AO537" s="44">
        <f>A537</f>
        <v/>
      </c>
      <c r="AP537" s="44">
        <f>D537</f>
        <v/>
      </c>
    </row>
    <row r="538" hidden="1" ht="15.75" customHeight="1" s="93">
      <c r="A538" s="23" t="inlineStr">
        <is>
          <t>5.0107.0572506.0</t>
        </is>
      </c>
      <c r="B538" s="23" t="inlineStr">
        <is>
          <t>572506</t>
        </is>
      </c>
      <c r="C538" s="29">
        <f>IFERROR(LOWER(SUBSTITUTE(SUBSTITUTE(SUBSTITUTE(SUBSTITUTE(D538," ","-"),"/","-"),".",""),",","")),"")</f>
        <v/>
      </c>
      <c r="D538" s="23" t="inlineStr">
        <is>
          <t>B1I 5 A2.C.G.G1</t>
        </is>
      </c>
      <c r="E538" s="23" t="n"/>
      <c r="F538" s="23" t="inlineStr">
        <is>
          <t>SOHIPREN</t>
        </is>
      </c>
      <c r="G538" s="23" t="n"/>
      <c r="H538" s="23" t="inlineStr">
        <is>
          <t>draft</t>
        </is>
      </c>
      <c r="I538" s="23" t="inlineStr">
        <is>
          <t>INDUSTRIAL</t>
        </is>
      </c>
      <c r="J538" s="23" t="inlineStr">
        <is>
          <t>UNIDADE FLUHYDRO</t>
        </is>
      </c>
      <c r="K538" s="23" t="inlineStr">
        <is>
          <t>PRINCIPAL</t>
        </is>
      </c>
      <c r="L538" s="23" t="n"/>
      <c r="M538" s="31" t="n"/>
      <c r="N538" s="31" t="n"/>
      <c r="O538" s="31" t="n"/>
      <c r="P538" s="31" t="n"/>
      <c r="Q538" s="31" t="n"/>
      <c r="R538" s="34">
        <f>IFERROR(IF(AND(O538&gt;0,P538&gt;0,Q538&gt;0),(O538*P538*Q538)/6000,""),"")</f>
        <v/>
      </c>
      <c r="S538" s="34">
        <f>IFERROR(IF(AND(N538&gt;0,R538&gt;0),MAX(N538,R538),IF(N538&gt;0,N538,IF(R538&gt;0,R538,""))),"")</f>
        <v/>
      </c>
      <c r="T538" s="36" t="n"/>
      <c r="U538" s="38" t="inlineStr">
        <is>
          <t>FALTA</t>
        </is>
      </c>
      <c r="V538" s="36" t="n">
        <v>640</v>
      </c>
      <c r="W538" s="39" t="n">
        <v>0.3</v>
      </c>
      <c r="X538" s="41">
        <f>IFERROR(V538+T538,"")</f>
        <v/>
      </c>
      <c r="Y538" s="41">
        <f>IFERROR(IF(W538&lt;1,X538/(1-W538),""),"")</f>
        <v/>
      </c>
      <c r="Z538" s="43">
        <f>'01_CONFIG_GLOBAL'!$C$14</f>
        <v/>
      </c>
      <c r="AA538" s="41">
        <f>IFERROR(Y538*Z538,"")</f>
        <v/>
      </c>
      <c r="AB538" s="41">
        <f>IFERROR(IF(Z538&lt;1,Y538/(1-Z538),""),"")</f>
        <v/>
      </c>
      <c r="AC538" s="23" t="n"/>
      <c r="AD538" s="36" t="n"/>
      <c r="AE538" s="23" t="n"/>
      <c r="AF538" s="36" t="n"/>
      <c r="AG538" s="23" t="n"/>
      <c r="AH538" s="36" t="n"/>
      <c r="AI538" s="41">
        <f>IFERROR(AVERAGE(AD538,AF538,AH538),"")</f>
        <v/>
      </c>
      <c r="AJ538" s="29">
        <f>IFERROR(IF(AI538="","sem dados",IF(AB538&lt;AI538*0.95,"abaixo",IF(AB538&gt;AI538*1.05,"acima","em linha"))),"")</f>
        <v/>
      </c>
      <c r="AK538" s="23" t="inlineStr">
        <is>
          <t>não</t>
        </is>
      </c>
      <c r="AL538" s="23" t="n"/>
      <c r="AM538" s="23" t="n"/>
      <c r="AN538" s="23" t="n"/>
      <c r="AO538" s="44">
        <f>A538</f>
        <v/>
      </c>
      <c r="AP538" s="44">
        <f>D538</f>
        <v/>
      </c>
    </row>
    <row r="539" hidden="1" ht="15.75" customHeight="1" s="93">
      <c r="A539" s="23" t="inlineStr">
        <is>
          <t>5.0108.0573005.0</t>
        </is>
      </c>
      <c r="B539" s="23" t="inlineStr">
        <is>
          <t>573005</t>
        </is>
      </c>
      <c r="C539" s="29">
        <f>IFERROR(LOWER(SUBSTITUTE(SUBSTITUTE(SUBSTITUTE(SUBSTITUTE(D539," ","-"),"/","-"),".",""),",","")),"")</f>
        <v/>
      </c>
      <c r="D539" s="23" t="inlineStr">
        <is>
          <t>B1D 6 C.C.C8.L</t>
        </is>
      </c>
      <c r="E539" s="23" t="n"/>
      <c r="F539" s="23" t="inlineStr">
        <is>
          <t>SOHIPREN</t>
        </is>
      </c>
      <c r="G539" s="23" t="n"/>
      <c r="H539" s="23" t="inlineStr">
        <is>
          <t>draft</t>
        </is>
      </c>
      <c r="I539" s="23" t="inlineStr">
        <is>
          <t>INDUSTRIAL</t>
        </is>
      </c>
      <c r="J539" s="23" t="inlineStr">
        <is>
          <t>UNIDADE HIDRÁULICA</t>
        </is>
      </c>
      <c r="K539" s="23" t="inlineStr">
        <is>
          <t>PRINICPAL</t>
        </is>
      </c>
      <c r="L539" s="23" t="inlineStr">
        <is>
          <t>10C6X906U39</t>
        </is>
      </c>
      <c r="M539" s="31" t="n"/>
      <c r="N539" s="31" t="n"/>
      <c r="O539" s="31" t="n"/>
      <c r="P539" s="31" t="n"/>
      <c r="Q539" s="31" t="n"/>
      <c r="R539" s="34">
        <f>IFERROR(IF(AND(O539&gt;0,P539&gt;0,Q539&gt;0),(O539*P539*Q539)/6000,""),"")</f>
        <v/>
      </c>
      <c r="S539" s="34">
        <f>IFERROR(IF(AND(N539&gt;0,R539&gt;0),MAX(N539,R539),IF(N539&gt;0,N539,IF(R539&gt;0,R539,""))),"")</f>
        <v/>
      </c>
      <c r="T539" s="36" t="n"/>
      <c r="U539" s="38" t="inlineStr">
        <is>
          <t>FALTA</t>
        </is>
      </c>
      <c r="V539" s="36" t="n">
        <v>540</v>
      </c>
      <c r="W539" s="39" t="n">
        <v>0.3</v>
      </c>
      <c r="X539" s="41">
        <f>IFERROR(V539+T539,"")</f>
        <v/>
      </c>
      <c r="Y539" s="41">
        <f>IFERROR(IF(W539&lt;1,X539/(1-W539),""),"")</f>
        <v/>
      </c>
      <c r="Z539" s="43">
        <f>'01_CONFIG_GLOBAL'!$C$14</f>
        <v/>
      </c>
      <c r="AA539" s="41">
        <f>IFERROR(Y539*Z539,"")</f>
        <v/>
      </c>
      <c r="AB539" s="41">
        <f>IFERROR(IF(Z539&lt;1,Y539/(1-Z539),""),"")</f>
        <v/>
      </c>
      <c r="AC539" s="23" t="n"/>
      <c r="AD539" s="36" t="n"/>
      <c r="AE539" s="23" t="n"/>
      <c r="AF539" s="36" t="n"/>
      <c r="AG539" s="23" t="n"/>
      <c r="AH539" s="36" t="n"/>
      <c r="AI539" s="41">
        <f>IFERROR(AVERAGE(AD539,AF539,AH539),"")</f>
        <v/>
      </c>
      <c r="AJ539" s="29">
        <f>IFERROR(IF(AI539="","sem dados",IF(AB539&lt;AI539*0.95,"abaixo",IF(AB539&gt;AI539*1.05,"acima","em linha"))),"")</f>
        <v/>
      </c>
      <c r="AK539" s="23" t="inlineStr">
        <is>
          <t>não</t>
        </is>
      </c>
      <c r="AL539" s="23" t="n"/>
      <c r="AM539" s="23" t="n"/>
      <c r="AN539" s="23" t="n"/>
      <c r="AO539" s="44">
        <f>A539</f>
        <v/>
      </c>
      <c r="AP539" s="44">
        <f>D539</f>
        <v/>
      </c>
    </row>
    <row r="540" hidden="1" ht="15.75" customHeight="1" s="93">
      <c r="A540" s="23" t="inlineStr">
        <is>
          <t>5.0110.0574007.0</t>
        </is>
      </c>
      <c r="B540" s="23" t="inlineStr">
        <is>
          <t>574007</t>
        </is>
      </c>
      <c r="C540" s="29">
        <f>IFERROR(LOWER(SUBSTITUTE(SUBSTITUTE(SUBSTITUTE(SUBSTITUTE(D540," ","-"),"/","-"),".",""),",","")),"")</f>
        <v/>
      </c>
      <c r="D540" s="23" t="inlineStr">
        <is>
          <t>B1D 8 B.B.B.L</t>
        </is>
      </c>
      <c r="E540" s="23" t="n"/>
      <c r="F540" s="23" t="inlineStr">
        <is>
          <t>SOHIPREN</t>
        </is>
      </c>
      <c r="G540" s="23" t="n"/>
      <c r="H540" s="23" t="inlineStr">
        <is>
          <t>draft</t>
        </is>
      </c>
      <c r="I540" s="23" t="inlineStr">
        <is>
          <t>INDUSTRIAL</t>
        </is>
      </c>
      <c r="J540" s="23" t="inlineStr">
        <is>
          <t>UNIDADE HIDRÁULICA</t>
        </is>
      </c>
      <c r="K540" s="23" t="inlineStr">
        <is>
          <t>PRINCIPAL</t>
        </is>
      </c>
      <c r="L540" s="23" t="inlineStr">
        <is>
          <t>10C8X056E</t>
        </is>
      </c>
      <c r="M540" s="31" t="n"/>
      <c r="N540" s="31" t="n"/>
      <c r="O540" s="31" t="n"/>
      <c r="P540" s="31" t="n"/>
      <c r="Q540" s="31" t="n"/>
      <c r="R540" s="34">
        <f>IFERROR(IF(AND(O540&gt;0,P540&gt;0,Q540&gt;0),(O540*P540*Q540)/6000,""),"")</f>
        <v/>
      </c>
      <c r="S540" s="34">
        <f>IFERROR(IF(AND(N540&gt;0,R540&gt;0),MAX(N540,R540),IF(N540&gt;0,N540,IF(R540&gt;0,R540,""))),"")</f>
        <v/>
      </c>
      <c r="T540" s="36" t="n"/>
      <c r="U540" s="38" t="inlineStr">
        <is>
          <t>FALTA</t>
        </is>
      </c>
      <c r="V540" s="36" t="n">
        <v>595</v>
      </c>
      <c r="W540" s="39" t="n">
        <v>0.3</v>
      </c>
      <c r="X540" s="41">
        <f>IFERROR(V540+T540,"")</f>
        <v/>
      </c>
      <c r="Y540" s="41">
        <f>IFERROR(IF(W540&lt;1,X540/(1-W540),""),"")</f>
        <v/>
      </c>
      <c r="Z540" s="43">
        <f>'01_CONFIG_GLOBAL'!$C$14</f>
        <v/>
      </c>
      <c r="AA540" s="41">
        <f>IFERROR(Y540*Z540,"")</f>
        <v/>
      </c>
      <c r="AB540" s="41">
        <f>IFERROR(IF(Z540&lt;1,Y540/(1-Z540),""),"")</f>
        <v/>
      </c>
      <c r="AC540" s="23" t="n"/>
      <c r="AD540" s="36" t="n"/>
      <c r="AE540" s="23" t="n"/>
      <c r="AF540" s="36" t="n"/>
      <c r="AG540" s="23" t="n"/>
      <c r="AH540" s="36" t="n"/>
      <c r="AI540" s="41">
        <f>IFERROR(AVERAGE(AD540,AF540,AH540),"")</f>
        <v/>
      </c>
      <c r="AJ540" s="29">
        <f>IFERROR(IF(AI540="","sem dados",IF(AB540&lt;AI540*0.95,"abaixo",IF(AB540&gt;AI540*1.05,"acima","em linha"))),"")</f>
        <v/>
      </c>
      <c r="AK540" s="23" t="inlineStr">
        <is>
          <t>não</t>
        </is>
      </c>
      <c r="AL540" s="23" t="n"/>
      <c r="AM540" s="23" t="n"/>
      <c r="AN540" s="23" t="n"/>
      <c r="AO540" s="44">
        <f>A540</f>
        <v/>
      </c>
      <c r="AP540" s="44">
        <f>D540</f>
        <v/>
      </c>
    </row>
    <row r="541" hidden="1" ht="15.75" customHeight="1" s="93">
      <c r="A541" s="23" t="inlineStr">
        <is>
          <t>5.0108.0573008.0</t>
        </is>
      </c>
      <c r="B541" s="23" t="inlineStr">
        <is>
          <t>573008</t>
        </is>
      </c>
      <c r="C541" s="29">
        <f>IFERROR(LOWER(SUBSTITUTE(SUBSTITUTE(SUBSTITUTE(SUBSTITUTE(D541," ","-"),"/","-"),".",""),",","")),"")</f>
        <v/>
      </c>
      <c r="D541" s="23" t="inlineStr">
        <is>
          <t>B1I 6 A2.C.G.G1</t>
        </is>
      </c>
      <c r="E541" s="23" t="n"/>
      <c r="F541" s="23" t="inlineStr">
        <is>
          <t>SOHIPREN</t>
        </is>
      </c>
      <c r="G541" s="23" t="n"/>
      <c r="H541" s="23" t="inlineStr">
        <is>
          <t>draft</t>
        </is>
      </c>
      <c r="I541" s="23" t="inlineStr">
        <is>
          <t>INDUSTRIAL</t>
        </is>
      </c>
      <c r="J541" s="23" t="inlineStr">
        <is>
          <t>UNIDADE FLUHYDRO</t>
        </is>
      </c>
      <c r="K541" s="23" t="inlineStr">
        <is>
          <t>PRINCIPAL</t>
        </is>
      </c>
      <c r="L541" s="23" t="n"/>
      <c r="M541" s="31" t="n"/>
      <c r="N541" s="31" t="n"/>
      <c r="O541" s="31" t="n"/>
      <c r="P541" s="31" t="n"/>
      <c r="Q541" s="31" t="n"/>
      <c r="R541" s="34">
        <f>IFERROR(IF(AND(O541&gt;0,P541&gt;0,Q541&gt;0),(O541*P541*Q541)/6000,""),"")</f>
        <v/>
      </c>
      <c r="S541" s="34">
        <f>IFERROR(IF(AND(N541&gt;0,R541&gt;0),MAX(N541,R541),IF(N541&gt;0,N541,IF(R541&gt;0,R541,""))),"")</f>
        <v/>
      </c>
      <c r="T541" s="36" t="n"/>
      <c r="U541" s="38" t="inlineStr">
        <is>
          <t>FALTA</t>
        </is>
      </c>
      <c r="V541" s="36" t="n">
        <v>640</v>
      </c>
      <c r="W541" s="39" t="n">
        <v>0.3</v>
      </c>
      <c r="X541" s="41">
        <f>IFERROR(V541+T541,"")</f>
        <v/>
      </c>
      <c r="Y541" s="41">
        <f>IFERROR(IF(W541&lt;1,X541/(1-W541),""),"")</f>
        <v/>
      </c>
      <c r="Z541" s="43">
        <f>'01_CONFIG_GLOBAL'!$C$14</f>
        <v/>
      </c>
      <c r="AA541" s="41">
        <f>IFERROR(Y541*Z541,"")</f>
        <v/>
      </c>
      <c r="AB541" s="41">
        <f>IFERROR(IF(Z541&lt;1,Y541/(1-Z541),""),"")</f>
        <v/>
      </c>
      <c r="AC541" s="23" t="n"/>
      <c r="AD541" s="36" t="n"/>
      <c r="AE541" s="23" t="n"/>
      <c r="AF541" s="36" t="n"/>
      <c r="AG541" s="23" t="n"/>
      <c r="AH541" s="36" t="n"/>
      <c r="AI541" s="41">
        <f>IFERROR(AVERAGE(AD541,AF541,AH541),"")</f>
        <v/>
      </c>
      <c r="AJ541" s="29">
        <f>IFERROR(IF(AI541="","sem dados",IF(AB541&lt;AI541*0.95,"abaixo",IF(AB541&gt;AI541*1.05,"acima","em linha"))),"")</f>
        <v/>
      </c>
      <c r="AK541" s="23" t="inlineStr">
        <is>
          <t>não</t>
        </is>
      </c>
      <c r="AL541" s="23" t="n"/>
      <c r="AM541" s="23" t="n"/>
      <c r="AN541" s="23" t="n"/>
      <c r="AO541" s="44">
        <f>A541</f>
        <v/>
      </c>
      <c r="AP541" s="44">
        <f>D541</f>
        <v/>
      </c>
    </row>
    <row r="542" hidden="1" ht="15.75" customHeight="1" s="93">
      <c r="A542" s="23" t="inlineStr">
        <is>
          <t>5.0109.0573506.0</t>
        </is>
      </c>
      <c r="B542" s="23" t="inlineStr">
        <is>
          <t>573506</t>
        </is>
      </c>
      <c r="C542" s="29">
        <f>IFERROR(LOWER(SUBSTITUTE(SUBSTITUTE(SUBSTITUTE(SUBSTITUTE(D542," ","-"),"/","-"),".",""),",","")),"")</f>
        <v/>
      </c>
      <c r="D542" s="23" t="inlineStr">
        <is>
          <t>B1D 7 C.C.C8.L</t>
        </is>
      </c>
      <c r="E542" s="23" t="n"/>
      <c r="F542" s="23" t="inlineStr">
        <is>
          <t>SOHIPREN</t>
        </is>
      </c>
      <c r="G542" s="23" t="n"/>
      <c r="H542" s="23" t="inlineStr">
        <is>
          <t>draft</t>
        </is>
      </c>
      <c r="I542" s="23" t="inlineStr">
        <is>
          <t>INDUSTRIAL</t>
        </is>
      </c>
      <c r="J542" s="23" t="inlineStr">
        <is>
          <t>UNIDADE HIDRÁULICA</t>
        </is>
      </c>
      <c r="K542" s="23" t="inlineStr">
        <is>
          <t>PRINCIPAL</t>
        </is>
      </c>
      <c r="L542" s="23" t="inlineStr">
        <is>
          <t>10C7X906U39</t>
        </is>
      </c>
      <c r="M542" s="31" t="n"/>
      <c r="N542" s="31" t="n"/>
      <c r="O542" s="31" t="n"/>
      <c r="P542" s="31" t="n"/>
      <c r="Q542" s="31" t="n"/>
      <c r="R542" s="34">
        <f>IFERROR(IF(AND(O542&gt;0,P542&gt;0,Q542&gt;0),(O542*P542*Q542)/6000,""),"")</f>
        <v/>
      </c>
      <c r="S542" s="34">
        <f>IFERROR(IF(AND(N542&gt;0,R542&gt;0),MAX(N542,R542),IF(N542&gt;0,N542,IF(R542&gt;0,R542,""))),"")</f>
        <v/>
      </c>
      <c r="T542" s="36" t="n"/>
      <c r="U542" s="38" t="inlineStr">
        <is>
          <t>FALTA</t>
        </is>
      </c>
      <c r="V542" s="36" t="n">
        <v>347.39</v>
      </c>
      <c r="W542" s="39" t="n">
        <v>0.3</v>
      </c>
      <c r="X542" s="41">
        <f>IFERROR(V542+T542,"")</f>
        <v/>
      </c>
      <c r="Y542" s="41">
        <f>IFERROR(IF(W542&lt;1,X542/(1-W542),""),"")</f>
        <v/>
      </c>
      <c r="Z542" s="43">
        <f>'01_CONFIG_GLOBAL'!$C$14</f>
        <v/>
      </c>
      <c r="AA542" s="41">
        <f>IFERROR(Y542*Z542,"")</f>
        <v/>
      </c>
      <c r="AB542" s="41">
        <f>IFERROR(IF(Z542&lt;1,Y542/(1-Z542),""),"")</f>
        <v/>
      </c>
      <c r="AC542" s="23" t="n"/>
      <c r="AD542" s="36" t="n"/>
      <c r="AE542" s="23" t="n"/>
      <c r="AF542" s="36" t="n"/>
      <c r="AG542" s="23" t="n"/>
      <c r="AH542" s="36" t="n"/>
      <c r="AI542" s="41">
        <f>IFERROR(AVERAGE(AD542,AF542,AH542),"")</f>
        <v/>
      </c>
      <c r="AJ542" s="29">
        <f>IFERROR(IF(AI542="","sem dados",IF(AB542&lt;AI542*0.95,"abaixo",IF(AB542&gt;AI542*1.05,"acima","em linha"))),"")</f>
        <v/>
      </c>
      <c r="AK542" s="23" t="inlineStr">
        <is>
          <t>não</t>
        </is>
      </c>
      <c r="AL542" s="23" t="n"/>
      <c r="AM542" s="23" t="n"/>
      <c r="AN542" s="23" t="n"/>
      <c r="AO542" s="44">
        <f>A542</f>
        <v/>
      </c>
      <c r="AP542" s="44">
        <f>D542</f>
        <v/>
      </c>
    </row>
    <row r="543" hidden="1" ht="15.75" customHeight="1" s="93">
      <c r="A543" s="23" t="inlineStr">
        <is>
          <t>5.0105.0571017.0</t>
        </is>
      </c>
      <c r="B543" s="23" t="inlineStr">
        <is>
          <t>571017</t>
        </is>
      </c>
      <c r="C543" s="29">
        <f>IFERROR(LOWER(SUBSTITUTE(SUBSTITUTE(SUBSTITUTE(SUBSTITUTE(D543," ","-"),"/","-"),".",""),",","")),"")</f>
        <v/>
      </c>
      <c r="D543" s="23" t="inlineStr">
        <is>
          <t>B1I 3,2 A2.C.G.G1</t>
        </is>
      </c>
      <c r="E543" s="23" t="n"/>
      <c r="F543" s="23" t="inlineStr">
        <is>
          <t>SOHIPREN</t>
        </is>
      </c>
      <c r="G543" s="23" t="n"/>
      <c r="H543" s="23" t="inlineStr">
        <is>
          <t>draft</t>
        </is>
      </c>
      <c r="I543" s="23" t="inlineStr">
        <is>
          <t>INDUSTRIAL</t>
        </is>
      </c>
      <c r="J543" s="23" t="inlineStr">
        <is>
          <t>UNIDADE HIDRÁULICA</t>
        </is>
      </c>
      <c r="K543" s="23" t="inlineStr">
        <is>
          <t>PRINCIPAL</t>
        </is>
      </c>
      <c r="L543" s="23" t="inlineStr">
        <is>
          <t>10A3,15X907W-NPT</t>
        </is>
      </c>
      <c r="M543" s="31" t="n"/>
      <c r="N543" s="31" t="n"/>
      <c r="O543" s="31" t="n"/>
      <c r="P543" s="31" t="n"/>
      <c r="Q543" s="31" t="n"/>
      <c r="R543" s="34">
        <f>IFERROR(IF(AND(O543&gt;0,P543&gt;0,Q543&gt;0),(O543*P543*Q543)/6000,""),"")</f>
        <v/>
      </c>
      <c r="S543" s="34">
        <f>IFERROR(IF(AND(N543&gt;0,R543&gt;0),MAX(N543,R543),IF(N543&gt;0,N543,IF(R543&gt;0,R543,""))),"")</f>
        <v/>
      </c>
      <c r="T543" s="36" t="n"/>
      <c r="U543" s="38" t="inlineStr">
        <is>
          <t>FALTA</t>
        </is>
      </c>
      <c r="V543" s="36" t="n">
        <v>495</v>
      </c>
      <c r="W543" s="39" t="n">
        <v>0.3</v>
      </c>
      <c r="X543" s="41">
        <f>IFERROR(V543+T543,"")</f>
        <v/>
      </c>
      <c r="Y543" s="41">
        <f>IFERROR(IF(W543&lt;1,X543/(1-W543),""),"")</f>
        <v/>
      </c>
      <c r="Z543" s="43">
        <f>'01_CONFIG_GLOBAL'!$C$14</f>
        <v/>
      </c>
      <c r="AA543" s="41">
        <f>IFERROR(Y543*Z543,"")</f>
        <v/>
      </c>
      <c r="AB543" s="41">
        <f>IFERROR(IF(Z543&lt;1,Y543/(1-Z543),""),"")</f>
        <v/>
      </c>
      <c r="AC543" s="23" t="n"/>
      <c r="AD543" s="36" t="n"/>
      <c r="AE543" s="23" t="n"/>
      <c r="AF543" s="36" t="n"/>
      <c r="AG543" s="23" t="n"/>
      <c r="AH543" s="36" t="n"/>
      <c r="AI543" s="41">
        <f>IFERROR(AVERAGE(AD543,AF543,AH543),"")</f>
        <v/>
      </c>
      <c r="AJ543" s="29">
        <f>IFERROR(IF(AI543="","sem dados",IF(AB543&lt;AI543*0.95,"abaixo",IF(AB543&gt;AI543*1.05,"acima","em linha"))),"")</f>
        <v/>
      </c>
      <c r="AK543" s="23" t="inlineStr">
        <is>
          <t>não</t>
        </is>
      </c>
      <c r="AL543" s="23" t="n"/>
      <c r="AM543" s="23" t="n"/>
      <c r="AN543" s="23" t="n"/>
      <c r="AO543" s="44">
        <f>A543</f>
        <v/>
      </c>
      <c r="AP543" s="44">
        <f>D543</f>
        <v/>
      </c>
    </row>
    <row r="544" hidden="1" ht="15.75" customHeight="1" s="93">
      <c r="A544" s="23" t="inlineStr">
        <is>
          <t>5.0105.0571008.0</t>
        </is>
      </c>
      <c r="B544" s="23" t="inlineStr">
        <is>
          <t>571008</t>
        </is>
      </c>
      <c r="C544" s="29">
        <f>IFERROR(LOWER(SUBSTITUTE(SUBSTITUTE(SUBSTITUTE(SUBSTITUTE(D544," ","-"),"/","-"),".",""),",","")),"")</f>
        <v/>
      </c>
      <c r="D544" s="23" t="inlineStr">
        <is>
          <t>B1D 3,2 C.C.C8.L</t>
        </is>
      </c>
      <c r="E544" s="23" t="n"/>
      <c r="F544" s="23" t="inlineStr">
        <is>
          <t>SOHIPREN</t>
        </is>
      </c>
      <c r="G544" s="23" t="n"/>
      <c r="H544" s="23" t="inlineStr">
        <is>
          <t>draft</t>
        </is>
      </c>
      <c r="I544" s="23" t="inlineStr">
        <is>
          <t>INDUSTRIAL</t>
        </is>
      </c>
      <c r="J544" s="23" t="inlineStr">
        <is>
          <t>UNIDADE INDUSTRIAL</t>
        </is>
      </c>
      <c r="K544" s="23" t="inlineStr">
        <is>
          <t>PRINCIPAL</t>
        </is>
      </c>
      <c r="L544" s="23" t="n"/>
      <c r="M544" s="31" t="n"/>
      <c r="N544" s="31" t="n"/>
      <c r="O544" s="31" t="n"/>
      <c r="P544" s="31" t="n"/>
      <c r="Q544" s="31" t="n"/>
      <c r="R544" s="34">
        <f>IFERROR(IF(AND(O544&gt;0,P544&gt;0,Q544&gt;0),(O544*P544*Q544)/6000,""),"")</f>
        <v/>
      </c>
      <c r="S544" s="34">
        <f>IFERROR(IF(AND(N544&gt;0,R544&gt;0),MAX(N544,R544),IF(N544&gt;0,N544,IF(R544&gt;0,R544,""))),"")</f>
        <v/>
      </c>
      <c r="T544" s="36" t="n"/>
      <c r="U544" s="38" t="inlineStr">
        <is>
          <t>FALTA</t>
        </is>
      </c>
      <c r="V544" s="36" t="n">
        <v>383.9</v>
      </c>
      <c r="W544" s="39" t="n">
        <v>0.3</v>
      </c>
      <c r="X544" s="41">
        <f>IFERROR(V544+T544,"")</f>
        <v/>
      </c>
      <c r="Y544" s="41">
        <f>IFERROR(IF(W544&lt;1,X544/(1-W544),""),"")</f>
        <v/>
      </c>
      <c r="Z544" s="43">
        <f>'01_CONFIG_GLOBAL'!$C$14</f>
        <v/>
      </c>
      <c r="AA544" s="41">
        <f>IFERROR(Y544*Z544,"")</f>
        <v/>
      </c>
      <c r="AB544" s="41">
        <f>IFERROR(IF(Z544&lt;1,Y544/(1-Z544),""),"")</f>
        <v/>
      </c>
      <c r="AC544" s="23" t="n"/>
      <c r="AD544" s="36" t="n"/>
      <c r="AE544" s="23" t="n"/>
      <c r="AF544" s="36" t="n"/>
      <c r="AG544" s="23" t="n"/>
      <c r="AH544" s="36" t="n"/>
      <c r="AI544" s="41">
        <f>IFERROR(AVERAGE(AD544,AF544,AH544),"")</f>
        <v/>
      </c>
      <c r="AJ544" s="29">
        <f>IFERROR(IF(AI544="","sem dados",IF(AB544&lt;AI544*0.95,"abaixo",IF(AB544&gt;AI544*1.05,"acima","em linha"))),"")</f>
        <v/>
      </c>
      <c r="AK544" s="23" t="inlineStr">
        <is>
          <t>não</t>
        </is>
      </c>
      <c r="AL544" s="23" t="n"/>
      <c r="AM544" s="23" t="n"/>
      <c r="AN544" s="23" t="n"/>
      <c r="AO544" s="44">
        <f>A544</f>
        <v/>
      </c>
      <c r="AP544" s="44">
        <f>D544</f>
        <v/>
      </c>
    </row>
    <row r="545" hidden="1" ht="15.75" customHeight="1" s="93">
      <c r="A545" s="23" t="inlineStr">
        <is>
          <t>5.0106.0571506.0</t>
        </is>
      </c>
      <c r="B545" s="23" t="inlineStr">
        <is>
          <t>571506</t>
        </is>
      </c>
      <c r="C545" s="29">
        <f>IFERROR(LOWER(SUBSTITUTE(SUBSTITUTE(SUBSTITUTE(SUBSTITUTE(D545," ","-"),"/","-"),".",""),",","")),"")</f>
        <v/>
      </c>
      <c r="D545" s="23" t="inlineStr">
        <is>
          <t>B1D 4 C.C.C8.L</t>
        </is>
      </c>
      <c r="E545" s="23" t="n"/>
      <c r="F545" s="23" t="inlineStr">
        <is>
          <t>SOHIPREN</t>
        </is>
      </c>
      <c r="G545" s="23" t="n"/>
      <c r="H545" s="23" t="inlineStr">
        <is>
          <t>draft</t>
        </is>
      </c>
      <c r="I545" s="23" t="inlineStr">
        <is>
          <t>INDUSTRIAL</t>
        </is>
      </c>
      <c r="J545" s="23" t="inlineStr">
        <is>
          <t>UNIDAE HIDRÁULICA</t>
        </is>
      </c>
      <c r="K545" s="23" t="inlineStr">
        <is>
          <t>PRINCIPAL</t>
        </is>
      </c>
      <c r="L545" s="23" t="inlineStr">
        <is>
          <t>10C4X906U39</t>
        </is>
      </c>
      <c r="M545" s="31" t="n"/>
      <c r="N545" s="31" t="n"/>
      <c r="O545" s="31" t="n"/>
      <c r="P545" s="31" t="n"/>
      <c r="Q545" s="31" t="n"/>
      <c r="R545" s="34">
        <f>IFERROR(IF(AND(O545&gt;0,P545&gt;0,Q545&gt;0),(O545*P545*Q545)/6000,""),"")</f>
        <v/>
      </c>
      <c r="S545" s="34">
        <f>IFERROR(IF(AND(N545&gt;0,R545&gt;0),MAX(N545,R545),IF(N545&gt;0,N545,IF(R545&gt;0,R545,""))),"")</f>
        <v/>
      </c>
      <c r="T545" s="36" t="n"/>
      <c r="U545" s="38" t="inlineStr">
        <is>
          <t>FALTA</t>
        </is>
      </c>
      <c r="V545" s="36" t="n">
        <v>451.61</v>
      </c>
      <c r="W545" s="39" t="n">
        <v>0.3</v>
      </c>
      <c r="X545" s="41">
        <f>IFERROR(V545+T545,"")</f>
        <v/>
      </c>
      <c r="Y545" s="41">
        <f>IFERROR(IF(W545&lt;1,X545/(1-W545),""),"")</f>
        <v/>
      </c>
      <c r="Z545" s="43">
        <f>'01_CONFIG_GLOBAL'!$C$14</f>
        <v/>
      </c>
      <c r="AA545" s="41">
        <f>IFERROR(Y545*Z545,"")</f>
        <v/>
      </c>
      <c r="AB545" s="41">
        <f>IFERROR(IF(Z545&lt;1,Y545/(1-Z545),""),"")</f>
        <v/>
      </c>
      <c r="AC545" s="23" t="n"/>
      <c r="AD545" s="36" t="n"/>
      <c r="AE545" s="23" t="n"/>
      <c r="AF545" s="36" t="n"/>
      <c r="AG545" s="23" t="n"/>
      <c r="AH545" s="36" t="n"/>
      <c r="AI545" s="41">
        <f>IFERROR(AVERAGE(AD545,AF545,AH545),"")</f>
        <v/>
      </c>
      <c r="AJ545" s="29">
        <f>IFERROR(IF(AI545="","sem dados",IF(AB545&lt;AI545*0.95,"abaixo",IF(AB545&gt;AI545*1.05,"acima","em linha"))),"")</f>
        <v/>
      </c>
      <c r="AK545" s="23" t="inlineStr">
        <is>
          <t>não</t>
        </is>
      </c>
      <c r="AL545" s="23" t="n"/>
      <c r="AM545" s="23" t="n"/>
      <c r="AN545" s="23" t="n"/>
      <c r="AO545" s="44">
        <f>A545</f>
        <v/>
      </c>
      <c r="AP545" s="44">
        <f>D545</f>
        <v/>
      </c>
    </row>
    <row r="546" hidden="1" ht="15.75" customHeight="1" s="93">
      <c r="A546" s="23" t="inlineStr">
        <is>
          <t>5.0106.0571514.0</t>
        </is>
      </c>
      <c r="B546" s="23" t="inlineStr">
        <is>
          <t>571514</t>
        </is>
      </c>
      <c r="C546" s="29">
        <f>IFERROR(LOWER(SUBSTITUTE(SUBSTITUTE(SUBSTITUTE(SUBSTITUTE(D546," ","-"),"/","-"),".",""),",","")),"")</f>
        <v/>
      </c>
      <c r="D546" s="23" t="inlineStr">
        <is>
          <t>B1D 4 B.B.B.L</t>
        </is>
      </c>
      <c r="E546" s="23" t="n"/>
      <c r="F546" s="23" t="inlineStr">
        <is>
          <t>SOHIPREN</t>
        </is>
      </c>
      <c r="G546" s="23" t="n"/>
      <c r="H546" s="23" t="inlineStr">
        <is>
          <t>draft</t>
        </is>
      </c>
      <c r="I546" s="23" t="inlineStr">
        <is>
          <t>INDUSTRIAL</t>
        </is>
      </c>
      <c r="J546" s="23" t="inlineStr">
        <is>
          <t>UNIDADE HIDRÁULICA</t>
        </is>
      </c>
      <c r="K546" s="23" t="inlineStr">
        <is>
          <t>PRINCIPAL</t>
        </is>
      </c>
      <c r="L546" s="23" t="inlineStr">
        <is>
          <t>10C4X056E</t>
        </is>
      </c>
      <c r="M546" s="31" t="n"/>
      <c r="N546" s="31" t="n"/>
      <c r="O546" s="31" t="n"/>
      <c r="P546" s="31" t="n"/>
      <c r="Q546" s="31" t="n"/>
      <c r="R546" s="34">
        <f>IFERROR(IF(AND(O546&gt;0,P546&gt;0,Q546&gt;0),(O546*P546*Q546)/6000,""),"")</f>
        <v/>
      </c>
      <c r="S546" s="34">
        <f>IFERROR(IF(AND(N546&gt;0,R546&gt;0),MAX(N546,R546),IF(N546&gt;0,N546,IF(R546&gt;0,R546,""))),"")</f>
        <v/>
      </c>
      <c r="T546" s="36" t="n"/>
      <c r="U546" s="38" t="inlineStr">
        <is>
          <t>FALTA</t>
        </is>
      </c>
      <c r="V546" s="36" t="n">
        <v>515</v>
      </c>
      <c r="W546" s="39" t="n">
        <v>0.3</v>
      </c>
      <c r="X546" s="41">
        <f>IFERROR(V546+T546,"")</f>
        <v/>
      </c>
      <c r="Y546" s="41">
        <f>IFERROR(IF(W546&lt;1,X546/(1-W546),""),"")</f>
        <v/>
      </c>
      <c r="Z546" s="43">
        <f>'01_CONFIG_GLOBAL'!$C$14</f>
        <v/>
      </c>
      <c r="AA546" s="41">
        <f>IFERROR(Y546*Z546,"")</f>
        <v/>
      </c>
      <c r="AB546" s="41">
        <f>IFERROR(IF(Z546&lt;1,Y546/(1-Z546),""),"")</f>
        <v/>
      </c>
      <c r="AC546" s="23" t="n"/>
      <c r="AD546" s="36" t="n"/>
      <c r="AE546" s="23" t="n"/>
      <c r="AF546" s="36" t="n"/>
      <c r="AG546" s="23" t="n"/>
      <c r="AH546" s="36" t="n"/>
      <c r="AI546" s="41">
        <f>IFERROR(AVERAGE(AD546,AF546,AH546),"")</f>
        <v/>
      </c>
      <c r="AJ546" s="29">
        <f>IFERROR(IF(AI546="","sem dados",IF(AB546&lt;AI546*0.95,"abaixo",IF(AB546&gt;AI546*1.05,"acima","em linha"))),"")</f>
        <v/>
      </c>
      <c r="AK546" s="23" t="inlineStr">
        <is>
          <t>não</t>
        </is>
      </c>
      <c r="AL546" s="23" t="n"/>
      <c r="AM546" s="23" t="n"/>
      <c r="AN546" s="23" t="n"/>
      <c r="AO546" s="44">
        <f>A546</f>
        <v/>
      </c>
      <c r="AP546" s="44">
        <f>D546</f>
        <v/>
      </c>
    </row>
    <row r="547" hidden="1" ht="15.75" customHeight="1" s="93">
      <c r="A547" s="23" t="inlineStr">
        <is>
          <t>5.0101.0568004.0</t>
        </is>
      </c>
      <c r="B547" s="23" t="inlineStr">
        <is>
          <t>568004</t>
        </is>
      </c>
      <c r="C547" s="29">
        <f>IFERROR(LOWER(SUBSTITUTE(SUBSTITUTE(SUBSTITUTE(SUBSTITUTE(D547," ","-"),"/","-"),".",""),",","")),"")</f>
        <v/>
      </c>
      <c r="D547" s="23" t="inlineStr">
        <is>
          <t>B1D 1,1 C.C.C8.L</t>
        </is>
      </c>
      <c r="E547" s="23" t="n"/>
      <c r="F547" s="23" t="inlineStr">
        <is>
          <t>SOHIPREN</t>
        </is>
      </c>
      <c r="G547" s="23" t="n"/>
      <c r="H547" s="23" t="inlineStr">
        <is>
          <t>draft</t>
        </is>
      </c>
      <c r="I547" s="23" t="inlineStr">
        <is>
          <t>INDUSTRIAL</t>
        </is>
      </c>
      <c r="J547" s="23" t="inlineStr">
        <is>
          <t>UNIDADE INDUSTRIAL</t>
        </is>
      </c>
      <c r="K547" s="23" t="inlineStr">
        <is>
          <t>PRINCIPAL</t>
        </is>
      </c>
      <c r="L547" s="23" t="n"/>
      <c r="M547" s="31" t="n"/>
      <c r="N547" s="31" t="n"/>
      <c r="O547" s="31" t="n"/>
      <c r="P547" s="31" t="n"/>
      <c r="Q547" s="31" t="n"/>
      <c r="R547" s="34">
        <f>IFERROR(IF(AND(O547&gt;0,P547&gt;0,Q547&gt;0),(O547*P547*Q547)/6000,""),"")</f>
        <v/>
      </c>
      <c r="S547" s="34">
        <f>IFERROR(IF(AND(N547&gt;0,R547&gt;0),MAX(N547,R547),IF(N547&gt;0,N547,IF(R547&gt;0,R547,""))),"")</f>
        <v/>
      </c>
      <c r="T547" s="36" t="n"/>
      <c r="U547" s="38" t="inlineStr">
        <is>
          <t>FALTA</t>
        </is>
      </c>
      <c r="V547" s="36" t="n">
        <v>1645.6</v>
      </c>
      <c r="W547" s="39" t="n">
        <v>0.3</v>
      </c>
      <c r="X547" s="41">
        <f>IFERROR(V547+T547,"")</f>
        <v/>
      </c>
      <c r="Y547" s="41">
        <f>IFERROR(IF(W547&lt;1,X547/(1-W547),""),"")</f>
        <v/>
      </c>
      <c r="Z547" s="43">
        <f>'01_CONFIG_GLOBAL'!$C$14</f>
        <v/>
      </c>
      <c r="AA547" s="41">
        <f>IFERROR(Y547*Z547,"")</f>
        <v/>
      </c>
      <c r="AB547" s="41">
        <f>IFERROR(IF(Z547&lt;1,Y547/(1-Z547),""),"")</f>
        <v/>
      </c>
      <c r="AC547" s="23" t="n"/>
      <c r="AD547" s="36" t="n"/>
      <c r="AE547" s="23" t="n"/>
      <c r="AF547" s="36" t="n"/>
      <c r="AG547" s="23" t="n"/>
      <c r="AH547" s="36" t="n"/>
      <c r="AI547" s="41">
        <f>IFERROR(AVERAGE(AD547,AF547,AH547),"")</f>
        <v/>
      </c>
      <c r="AJ547" s="29">
        <f>IFERROR(IF(AI547="","sem dados",IF(AB547&lt;AI547*0.95,"abaixo",IF(AB547&gt;AI547*1.05,"acima","em linha"))),"")</f>
        <v/>
      </c>
      <c r="AK547" s="23" t="inlineStr">
        <is>
          <t>não</t>
        </is>
      </c>
      <c r="AL547" s="23" t="n"/>
      <c r="AM547" s="23" t="n"/>
      <c r="AN547" s="23" t="n"/>
      <c r="AO547" s="44">
        <f>A547</f>
        <v/>
      </c>
      <c r="AP547" s="44">
        <f>D547</f>
        <v/>
      </c>
    </row>
    <row r="548" hidden="1" ht="15.75" customHeight="1" s="93">
      <c r="A548" s="23" t="inlineStr">
        <is>
          <t>5.0101.0568004.1</t>
        </is>
      </c>
      <c r="B548" s="23" t="inlineStr">
        <is>
          <t>568004.1</t>
        </is>
      </c>
      <c r="C548" s="29">
        <f>IFERROR(LOWER(SUBSTITUTE(SUBSTITUTE(SUBSTITUTE(SUBSTITUTE(D548," ","-"),"/","-"),".",""),",","")),"")</f>
        <v/>
      </c>
      <c r="D548" s="23" t="inlineStr">
        <is>
          <t>B1D 1,1 C.C.C8.L</t>
        </is>
      </c>
      <c r="E548" s="23" t="n"/>
      <c r="F548" s="23" t="inlineStr">
        <is>
          <t>SOHIPREN</t>
        </is>
      </c>
      <c r="G548" s="23" t="n"/>
      <c r="H548" s="23" t="inlineStr">
        <is>
          <t>draft</t>
        </is>
      </c>
      <c r="I548" s="23" t="inlineStr">
        <is>
          <t>INDUSTRIAL</t>
        </is>
      </c>
      <c r="J548" s="23" t="inlineStr">
        <is>
          <t>UNIDADE INDUSTRIAL</t>
        </is>
      </c>
      <c r="K548" s="23" t="inlineStr">
        <is>
          <t>PRINCIPAL</t>
        </is>
      </c>
      <c r="L548" s="23" t="n"/>
      <c r="M548" s="31" t="n"/>
      <c r="N548" s="31" t="n"/>
      <c r="O548" s="31" t="n"/>
      <c r="P548" s="31" t="n"/>
      <c r="Q548" s="31" t="n"/>
      <c r="R548" s="34">
        <f>IFERROR(IF(AND(O548&gt;0,P548&gt;0,Q548&gt;0),(O548*P548*Q548)/6000,""),"")</f>
        <v/>
      </c>
      <c r="S548" s="34">
        <f>IFERROR(IF(AND(N548&gt;0,R548&gt;0),MAX(N548,R548),IF(N548&gt;0,N548,IF(R548&gt;0,R548,""))),"")</f>
        <v/>
      </c>
      <c r="T548" s="36" t="n"/>
      <c r="U548" s="38" t="inlineStr">
        <is>
          <t>FALTA</t>
        </is>
      </c>
      <c r="V548" s="36" t="n">
        <v>419.27</v>
      </c>
      <c r="W548" s="39" t="n">
        <v>0.3</v>
      </c>
      <c r="X548" s="41">
        <f>IFERROR(V548+T548,"")</f>
        <v/>
      </c>
      <c r="Y548" s="41">
        <f>IFERROR(IF(W548&lt;1,X548/(1-W548),""),"")</f>
        <v/>
      </c>
      <c r="Z548" s="43">
        <f>'01_CONFIG_GLOBAL'!$C$14</f>
        <v/>
      </c>
      <c r="AA548" s="41">
        <f>IFERROR(Y548*Z548,"")</f>
        <v/>
      </c>
      <c r="AB548" s="41">
        <f>IFERROR(IF(Z548&lt;1,Y548/(1-Z548),""),"")</f>
        <v/>
      </c>
      <c r="AC548" s="23" t="n"/>
      <c r="AD548" s="36" t="n"/>
      <c r="AE548" s="23" t="n"/>
      <c r="AF548" s="36" t="n"/>
      <c r="AG548" s="23" t="n"/>
      <c r="AH548" s="36" t="n"/>
      <c r="AI548" s="41">
        <f>IFERROR(AVERAGE(AD548,AF548,AH548),"")</f>
        <v/>
      </c>
      <c r="AJ548" s="29">
        <f>IFERROR(IF(AI548="","sem dados",IF(AB548&lt;AI548*0.95,"abaixo",IF(AB548&gt;AI548*1.05,"acima","em linha"))),"")</f>
        <v/>
      </c>
      <c r="AK548" s="23" t="inlineStr">
        <is>
          <t>não</t>
        </is>
      </c>
      <c r="AL548" s="23" t="n"/>
      <c r="AM548" s="23" t="n"/>
      <c r="AN548" s="23" t="n"/>
      <c r="AO548" s="44">
        <f>A548</f>
        <v/>
      </c>
      <c r="AP548" s="44">
        <f>D548</f>
        <v/>
      </c>
    </row>
    <row r="549" hidden="1" ht="15.75" customHeight="1" s="93">
      <c r="A549" s="23" t="inlineStr">
        <is>
          <t>5.0102.0568506.0</t>
        </is>
      </c>
      <c r="B549" s="23" t="inlineStr">
        <is>
          <t>568506</t>
        </is>
      </c>
      <c r="C549" s="29">
        <f>IFERROR(LOWER(SUBSTITUTE(SUBSTITUTE(SUBSTITUTE(SUBSTITUTE(D549," ","-"),"/","-"),".",""),",","")),"")</f>
        <v/>
      </c>
      <c r="D549" s="23" t="inlineStr">
        <is>
          <t>B1D 1,5 C.C.C2.L</t>
        </is>
      </c>
      <c r="E549" s="23" t="n"/>
      <c r="F549" s="23" t="inlineStr">
        <is>
          <t>SOHIPREN</t>
        </is>
      </c>
      <c r="G549" s="23" t="n"/>
      <c r="H549" s="23" t="inlineStr">
        <is>
          <t>draft</t>
        </is>
      </c>
      <c r="I549" s="23" t="inlineStr">
        <is>
          <t>INDUSTRIAL</t>
        </is>
      </c>
      <c r="J549" s="23" t="inlineStr">
        <is>
          <t>UNIDADE HIDRÁULICA</t>
        </is>
      </c>
      <c r="K549" s="23" t="inlineStr">
        <is>
          <t>PRINCIPAL</t>
        </is>
      </c>
      <c r="L549" s="23" t="inlineStr">
        <is>
          <t>10C1.6X906G</t>
        </is>
      </c>
      <c r="M549" s="31" t="n"/>
      <c r="N549" s="31" t="n"/>
      <c r="O549" s="31" t="n"/>
      <c r="P549" s="31" t="n"/>
      <c r="Q549" s="31" t="n"/>
      <c r="R549" s="34">
        <f>IFERROR(IF(AND(O549&gt;0,P549&gt;0,Q549&gt;0),(O549*P549*Q549)/6000,""),"")</f>
        <v/>
      </c>
      <c r="S549" s="34">
        <f>IFERROR(IF(AND(N549&gt;0,R549&gt;0),MAX(N549,R549),IF(N549&gt;0,N549,IF(R549&gt;0,R549,""))),"")</f>
        <v/>
      </c>
      <c r="T549" s="36" t="n"/>
      <c r="U549" s="38" t="inlineStr">
        <is>
          <t>FALTA</t>
        </is>
      </c>
      <c r="V549" s="36" t="n">
        <v>426.45</v>
      </c>
      <c r="W549" s="39" t="n">
        <v>0.3</v>
      </c>
      <c r="X549" s="41">
        <f>IFERROR(V549+T549,"")</f>
        <v/>
      </c>
      <c r="Y549" s="41">
        <f>IFERROR(IF(W549&lt;1,X549/(1-W549),""),"")</f>
        <v/>
      </c>
      <c r="Z549" s="43">
        <f>'01_CONFIG_GLOBAL'!$C$14</f>
        <v/>
      </c>
      <c r="AA549" s="41">
        <f>IFERROR(Y549*Z549,"")</f>
        <v/>
      </c>
      <c r="AB549" s="41">
        <f>IFERROR(IF(Z549&lt;1,Y549/(1-Z549),""),"")</f>
        <v/>
      </c>
      <c r="AC549" s="23" t="n"/>
      <c r="AD549" s="36" t="n"/>
      <c r="AE549" s="23" t="n"/>
      <c r="AF549" s="36" t="n"/>
      <c r="AG549" s="23" t="n"/>
      <c r="AH549" s="36" t="n"/>
      <c r="AI549" s="41">
        <f>IFERROR(AVERAGE(AD549,AF549,AH549),"")</f>
        <v/>
      </c>
      <c r="AJ549" s="29">
        <f>IFERROR(IF(AI549="","sem dados",IF(AB549&lt;AI549*0.95,"abaixo",IF(AB549&gt;AI549*1.05,"acima","em linha"))),"")</f>
        <v/>
      </c>
      <c r="AK549" s="23" t="inlineStr">
        <is>
          <t>não</t>
        </is>
      </c>
      <c r="AL549" s="23" t="n"/>
      <c r="AM549" s="23" t="n"/>
      <c r="AN549" s="23" t="n"/>
      <c r="AO549" s="44">
        <f>A549</f>
        <v/>
      </c>
      <c r="AP549" s="44">
        <f>D549</f>
        <v/>
      </c>
    </row>
    <row r="550" hidden="1" ht="15.75" customHeight="1" s="93">
      <c r="A550" s="23" t="inlineStr">
        <is>
          <t>5.0102.0568509.0</t>
        </is>
      </c>
      <c r="B550" s="23" t="inlineStr">
        <is>
          <t>568509</t>
        </is>
      </c>
      <c r="C550" s="29">
        <f>IFERROR(LOWER(SUBSTITUTE(SUBSTITUTE(SUBSTITUTE(SUBSTITUTE(D550," ","-"),"/","-"),".",""),",","")),"")</f>
        <v/>
      </c>
      <c r="D550" s="23" t="inlineStr">
        <is>
          <t>B1I 1,5 A.B7.G.G4</t>
        </is>
      </c>
      <c r="E550" s="23" t="n"/>
      <c r="F550" s="23" t="inlineStr">
        <is>
          <t>SOHIPREN</t>
        </is>
      </c>
      <c r="G550" s="23" t="n"/>
      <c r="H550" s="23" t="inlineStr">
        <is>
          <t>draft</t>
        </is>
      </c>
      <c r="I550" s="23" t="inlineStr">
        <is>
          <t>INDUSTRIAL</t>
        </is>
      </c>
      <c r="J550" s="23" t="inlineStr">
        <is>
          <t>INDUSTRIAL</t>
        </is>
      </c>
      <c r="K550" s="23" t="inlineStr">
        <is>
          <t>PRINCIPAL</t>
        </is>
      </c>
      <c r="L550" s="23" t="inlineStr">
        <is>
          <t>10A1,6X302</t>
        </is>
      </c>
      <c r="M550" s="31" t="n"/>
      <c r="N550" s="31" t="n"/>
      <c r="O550" s="31" t="n"/>
      <c r="P550" s="31" t="n"/>
      <c r="Q550" s="31" t="n"/>
      <c r="R550" s="34">
        <f>IFERROR(IF(AND(O550&gt;0,P550&gt;0,Q550&gt;0),(O550*P550*Q550)/6000,""),"")</f>
        <v/>
      </c>
      <c r="S550" s="34">
        <f>IFERROR(IF(AND(N550&gt;0,R550&gt;0),MAX(N550,R550),IF(N550&gt;0,N550,IF(R550&gt;0,R550,""))),"")</f>
        <v/>
      </c>
      <c r="T550" s="36" t="n"/>
      <c r="U550" s="38" t="inlineStr">
        <is>
          <t>FALTA</t>
        </is>
      </c>
      <c r="V550" s="36" t="n">
        <v>428.85</v>
      </c>
      <c r="W550" s="39" t="n">
        <v>0.3</v>
      </c>
      <c r="X550" s="41">
        <f>IFERROR(V550+T550,"")</f>
        <v/>
      </c>
      <c r="Y550" s="41">
        <f>IFERROR(IF(W550&lt;1,X550/(1-W550),""),"")</f>
        <v/>
      </c>
      <c r="Z550" s="43">
        <f>'01_CONFIG_GLOBAL'!$C$14</f>
        <v/>
      </c>
      <c r="AA550" s="41">
        <f>IFERROR(Y550*Z550,"")</f>
        <v/>
      </c>
      <c r="AB550" s="41">
        <f>IFERROR(IF(Z550&lt;1,Y550/(1-Z550),""),"")</f>
        <v/>
      </c>
      <c r="AC550" s="23" t="n"/>
      <c r="AD550" s="36" t="n"/>
      <c r="AE550" s="23" t="n"/>
      <c r="AF550" s="36" t="n"/>
      <c r="AG550" s="23" t="n"/>
      <c r="AH550" s="36" t="n"/>
      <c r="AI550" s="41">
        <f>IFERROR(AVERAGE(AD550,AF550,AH550),"")</f>
        <v/>
      </c>
      <c r="AJ550" s="29">
        <f>IFERROR(IF(AI550="","sem dados",IF(AB550&lt;AI550*0.95,"abaixo",IF(AB550&gt;AI550*1.05,"acima","em linha"))),"")</f>
        <v/>
      </c>
      <c r="AK550" s="23" t="inlineStr">
        <is>
          <t>não</t>
        </is>
      </c>
      <c r="AL550" s="23" t="n"/>
      <c r="AM550" s="23" t="n"/>
      <c r="AN550" s="23" t="n"/>
      <c r="AO550" s="44">
        <f>A550</f>
        <v/>
      </c>
      <c r="AP550" s="44">
        <f>D550</f>
        <v/>
      </c>
    </row>
    <row r="551" hidden="1" ht="15.75" customHeight="1" s="93">
      <c r="A551" s="23" t="inlineStr">
        <is>
          <t>5.0101.0568014.0</t>
        </is>
      </c>
      <c r="B551" s="23" t="inlineStr">
        <is>
          <t>568014</t>
        </is>
      </c>
      <c r="C551" s="29">
        <f>IFERROR(LOWER(SUBSTITUTE(SUBSTITUTE(SUBSTITUTE(SUBSTITUTE(D551," ","-"),"/","-"),".",""),",","")),"")</f>
        <v/>
      </c>
      <c r="D551" s="23" t="inlineStr">
        <is>
          <t>B1I 1,1 A2.C.G.G1</t>
        </is>
      </c>
      <c r="E551" s="23" t="n"/>
      <c r="F551" s="23" t="inlineStr">
        <is>
          <t>SOHIPREN</t>
        </is>
      </c>
      <c r="G551" s="23" t="n"/>
      <c r="H551" s="23" t="inlineStr">
        <is>
          <t>draft</t>
        </is>
      </c>
      <c r="I551" s="23" t="inlineStr">
        <is>
          <t>INDUSTRIAL</t>
        </is>
      </c>
      <c r="J551" s="23" t="inlineStr">
        <is>
          <t>UNIDADE FLUHYDRO</t>
        </is>
      </c>
      <c r="K551" s="23" t="inlineStr">
        <is>
          <t>PRINCIPAL</t>
        </is>
      </c>
      <c r="L551" s="23" t="n"/>
      <c r="M551" s="31" t="n"/>
      <c r="N551" s="31" t="n"/>
      <c r="O551" s="31" t="n"/>
      <c r="P551" s="31" t="n"/>
      <c r="Q551" s="31" t="n"/>
      <c r="R551" s="34">
        <f>IFERROR(IF(AND(O551&gt;0,P551&gt;0,Q551&gt;0),(O551*P551*Q551)/6000,""),"")</f>
        <v/>
      </c>
      <c r="S551" s="34">
        <f>IFERROR(IF(AND(N551&gt;0,R551&gt;0),MAX(N551,R551),IF(N551&gt;0,N551,IF(R551&gt;0,R551,""))),"")</f>
        <v/>
      </c>
      <c r="T551" s="36" t="n"/>
      <c r="U551" s="38" t="inlineStr">
        <is>
          <t>FALTA</t>
        </is>
      </c>
      <c r="V551" s="36" t="n">
        <v>376.19</v>
      </c>
      <c r="W551" s="39" t="n">
        <v>0.3</v>
      </c>
      <c r="X551" s="41">
        <f>IFERROR(V551+T551,"")</f>
        <v/>
      </c>
      <c r="Y551" s="41">
        <f>IFERROR(IF(W551&lt;1,X551/(1-W551),""),"")</f>
        <v/>
      </c>
      <c r="Z551" s="43">
        <f>'01_CONFIG_GLOBAL'!$C$14</f>
        <v/>
      </c>
      <c r="AA551" s="41">
        <f>IFERROR(Y551*Z551,"")</f>
        <v/>
      </c>
      <c r="AB551" s="41">
        <f>IFERROR(IF(Z551&lt;1,Y551/(1-Z551),""),"")</f>
        <v/>
      </c>
      <c r="AC551" s="23" t="n"/>
      <c r="AD551" s="36" t="n"/>
      <c r="AE551" s="23" t="n"/>
      <c r="AF551" s="36" t="n"/>
      <c r="AG551" s="23" t="n"/>
      <c r="AH551" s="36" t="n"/>
      <c r="AI551" s="41">
        <f>IFERROR(AVERAGE(AD551,AF551,AH551),"")</f>
        <v/>
      </c>
      <c r="AJ551" s="29">
        <f>IFERROR(IF(AI551="","sem dados",IF(AB551&lt;AI551*0.95,"abaixo",IF(AB551&gt;AI551*1.05,"acima","em linha"))),"")</f>
        <v/>
      </c>
      <c r="AK551" s="23" t="inlineStr">
        <is>
          <t>não</t>
        </is>
      </c>
      <c r="AL551" s="23" t="n"/>
      <c r="AM551" s="23" t="n"/>
      <c r="AN551" s="23" t="n"/>
      <c r="AO551" s="44">
        <f>A551</f>
        <v/>
      </c>
      <c r="AP551" s="44">
        <f>D551</f>
        <v/>
      </c>
    </row>
    <row r="552" hidden="1" ht="15.75" customHeight="1" s="93">
      <c r="A552" s="23" t="inlineStr">
        <is>
          <t>5.0102.0568517.0</t>
        </is>
      </c>
      <c r="B552" s="23" t="inlineStr">
        <is>
          <t>568517</t>
        </is>
      </c>
      <c r="C552" s="29">
        <f>IFERROR(LOWER(SUBSTITUTE(SUBSTITUTE(SUBSTITUTE(SUBSTITUTE(D552," ","-"),"/","-"),".",""),",","")),"")</f>
        <v/>
      </c>
      <c r="D552" s="23" t="inlineStr">
        <is>
          <t>B1D 1,5 A.B13.C2.L</t>
        </is>
      </c>
      <c r="E552" s="23" t="n"/>
      <c r="F552" s="23" t="inlineStr">
        <is>
          <t>SOHIPREN</t>
        </is>
      </c>
      <c r="G552" s="23" t="n"/>
      <c r="H552" s="23" t="inlineStr">
        <is>
          <t>draft</t>
        </is>
      </c>
      <c r="I552" s="23" t="inlineStr">
        <is>
          <t>INDUSTRIAL</t>
        </is>
      </c>
      <c r="J552" s="23" t="inlineStr">
        <is>
          <t>CAMINNHÃO PLATAFORMA</t>
        </is>
      </c>
      <c r="K552" s="23" t="inlineStr">
        <is>
          <t>PRINCIPAL</t>
        </is>
      </c>
      <c r="L552" s="23" t="inlineStr">
        <is>
          <t>10C1,6X244G</t>
        </is>
      </c>
      <c r="M552" s="31" t="n"/>
      <c r="N552" s="31" t="n"/>
      <c r="O552" s="31" t="n"/>
      <c r="P552" s="31" t="n"/>
      <c r="Q552" s="31" t="n"/>
      <c r="R552" s="34">
        <f>IFERROR(IF(AND(O552&gt;0,P552&gt;0,Q552&gt;0),(O552*P552*Q552)/6000,""),"")</f>
        <v/>
      </c>
      <c r="S552" s="34">
        <f>IFERROR(IF(AND(N552&gt;0,R552&gt;0),MAX(N552,R552),IF(N552&gt;0,N552,IF(R552&gt;0,R552,""))),"")</f>
        <v/>
      </c>
      <c r="T552" s="36" t="n"/>
      <c r="U552" s="38" t="inlineStr">
        <is>
          <t>FALTA</t>
        </is>
      </c>
      <c r="V552" s="36" t="n">
        <v>427.65</v>
      </c>
      <c r="W552" s="39" t="n">
        <v>0.3</v>
      </c>
      <c r="X552" s="41">
        <f>IFERROR(V552+T552,"")</f>
        <v/>
      </c>
      <c r="Y552" s="41">
        <f>IFERROR(IF(W552&lt;1,X552/(1-W552),""),"")</f>
        <v/>
      </c>
      <c r="Z552" s="43">
        <f>'01_CONFIG_GLOBAL'!$C$14</f>
        <v/>
      </c>
      <c r="AA552" s="41">
        <f>IFERROR(Y552*Z552,"")</f>
        <v/>
      </c>
      <c r="AB552" s="41">
        <f>IFERROR(IF(Z552&lt;1,Y552/(1-Z552),""),"")</f>
        <v/>
      </c>
      <c r="AC552" s="23" t="n"/>
      <c r="AD552" s="36" t="n"/>
      <c r="AE552" s="23" t="n"/>
      <c r="AF552" s="36" t="n"/>
      <c r="AG552" s="23" t="n"/>
      <c r="AH552" s="36" t="n"/>
      <c r="AI552" s="41">
        <f>IFERROR(AVERAGE(AD552,AF552,AH552),"")</f>
        <v/>
      </c>
      <c r="AJ552" s="29">
        <f>IFERROR(IF(AI552="","sem dados",IF(AB552&lt;AI552*0.95,"abaixo",IF(AB552&gt;AI552*1.05,"acima","em linha"))),"")</f>
        <v/>
      </c>
      <c r="AK552" s="23" t="inlineStr">
        <is>
          <t>não</t>
        </is>
      </c>
      <c r="AL552" s="23" t="n"/>
      <c r="AM552" s="23" t="n"/>
      <c r="AN552" s="23" t="n"/>
      <c r="AO552" s="44">
        <f>A552</f>
        <v/>
      </c>
      <c r="AP552" s="44">
        <f>D552</f>
        <v/>
      </c>
    </row>
    <row r="553" hidden="1" ht="15.75" customHeight="1" s="93">
      <c r="A553" s="23" t="inlineStr">
        <is>
          <t>5.0103.0569004.0</t>
        </is>
      </c>
      <c r="B553" s="23" t="inlineStr">
        <is>
          <t>569004</t>
        </is>
      </c>
      <c r="C553" s="29">
        <f>IFERROR(LOWER(SUBSTITUTE(SUBSTITUTE(SUBSTITUTE(SUBSTITUTE(D553," ","-"),"/","-"),".",""),",","")),"")</f>
        <v/>
      </c>
      <c r="D553" s="23" t="inlineStr">
        <is>
          <t>B1D 2,1 C.C.C8.L</t>
        </is>
      </c>
      <c r="E553" s="23" t="n"/>
      <c r="F553" s="23" t="inlineStr">
        <is>
          <t>SOHIPREN</t>
        </is>
      </c>
      <c r="G553" s="23" t="n"/>
      <c r="H553" s="23" t="inlineStr">
        <is>
          <t>draft</t>
        </is>
      </c>
      <c r="I553" s="23" t="inlineStr">
        <is>
          <t>INDUSTRIAL</t>
        </is>
      </c>
      <c r="J553" s="23" t="inlineStr">
        <is>
          <t>UNIDADE INDUSTRIAL</t>
        </is>
      </c>
      <c r="K553" s="23" t="inlineStr">
        <is>
          <t>PRINCIPAL</t>
        </is>
      </c>
      <c r="L553" s="23" t="n"/>
      <c r="M553" s="31" t="n"/>
      <c r="N553" s="31" t="n"/>
      <c r="O553" s="31" t="n"/>
      <c r="P553" s="31" t="n"/>
      <c r="Q553" s="31" t="n"/>
      <c r="R553" s="34">
        <f>IFERROR(IF(AND(O553&gt;0,P553&gt;0,Q553&gt;0),(O553*P553*Q553)/6000,""),"")</f>
        <v/>
      </c>
      <c r="S553" s="34">
        <f>IFERROR(IF(AND(N553&gt;0,R553&gt;0),MAX(N553,R553),IF(N553&gt;0,N553,IF(R553&gt;0,R553,""))),"")</f>
        <v/>
      </c>
      <c r="T553" s="36" t="n"/>
      <c r="U553" s="38" t="inlineStr">
        <is>
          <t>FALTA</t>
        </is>
      </c>
      <c r="V553" s="36" t="n">
        <v>377.34</v>
      </c>
      <c r="W553" s="39" t="n">
        <v>0.3</v>
      </c>
      <c r="X553" s="41">
        <f>IFERROR(V553+T553,"")</f>
        <v/>
      </c>
      <c r="Y553" s="41">
        <f>IFERROR(IF(W553&lt;1,X553/(1-W553),""),"")</f>
        <v/>
      </c>
      <c r="Z553" s="43">
        <f>'01_CONFIG_GLOBAL'!$C$14</f>
        <v/>
      </c>
      <c r="AA553" s="41">
        <f>IFERROR(Y553*Z553,"")</f>
        <v/>
      </c>
      <c r="AB553" s="41">
        <f>IFERROR(IF(Z553&lt;1,Y553/(1-Z553),""),"")</f>
        <v/>
      </c>
      <c r="AC553" s="23" t="n"/>
      <c r="AD553" s="36" t="n"/>
      <c r="AE553" s="23" t="n"/>
      <c r="AF553" s="36" t="n"/>
      <c r="AG553" s="23" t="n"/>
      <c r="AH553" s="36" t="n"/>
      <c r="AI553" s="41">
        <f>IFERROR(AVERAGE(AD553,AF553,AH553),"")</f>
        <v/>
      </c>
      <c r="AJ553" s="29">
        <f>IFERROR(IF(AI553="","sem dados",IF(AB553&lt;AI553*0.95,"abaixo",IF(AB553&gt;AI553*1.05,"acima","em linha"))),"")</f>
        <v/>
      </c>
      <c r="AK553" s="23" t="inlineStr">
        <is>
          <t>não</t>
        </is>
      </c>
      <c r="AL553" s="23" t="n"/>
      <c r="AM553" s="23" t="n"/>
      <c r="AN553" s="23" t="n"/>
      <c r="AO553" s="44">
        <f>A553</f>
        <v/>
      </c>
      <c r="AP553" s="44">
        <f>D553</f>
        <v/>
      </c>
    </row>
    <row r="554" hidden="1" ht="15.75" customHeight="1" s="93">
      <c r="A554" s="23" t="inlineStr">
        <is>
          <t>5.0103.0569005.0</t>
        </is>
      </c>
      <c r="B554" s="23" t="inlineStr">
        <is>
          <t>569005</t>
        </is>
      </c>
      <c r="C554" s="29">
        <f>IFERROR(LOWER(SUBSTITUTE(SUBSTITUTE(SUBSTITUTE(SUBSTITUTE(D554," ","-"),"/","-"),".",""),",","")),"")</f>
        <v/>
      </c>
      <c r="D554" s="23" t="inlineStr">
        <is>
          <t>B1D 2,1 C.C.C2.L</t>
        </is>
      </c>
      <c r="E554" s="23" t="n"/>
      <c r="F554" s="23" t="inlineStr">
        <is>
          <t>SOHIPREN</t>
        </is>
      </c>
      <c r="G554" s="23" t="n"/>
      <c r="H554" s="23" t="inlineStr">
        <is>
          <t>draft</t>
        </is>
      </c>
      <c r="I554" s="23" t="inlineStr">
        <is>
          <t>INDUSTRIAL</t>
        </is>
      </c>
      <c r="J554" s="23" t="inlineStr">
        <is>
          <t>UNIDADE HIDRÁULICA</t>
        </is>
      </c>
      <c r="K554" s="23" t="inlineStr">
        <is>
          <t>PRINCIPAL</t>
        </is>
      </c>
      <c r="L554" s="23" t="inlineStr">
        <is>
          <t>10C2.1X906G</t>
        </is>
      </c>
      <c r="M554" s="31" t="n"/>
      <c r="N554" s="31" t="n"/>
      <c r="O554" s="31" t="n"/>
      <c r="P554" s="31" t="n"/>
      <c r="Q554" s="31" t="n"/>
      <c r="R554" s="34">
        <f>IFERROR(IF(AND(O554&gt;0,P554&gt;0,Q554&gt;0),(O554*P554*Q554)/6000,""),"")</f>
        <v/>
      </c>
      <c r="S554" s="34">
        <f>IFERROR(IF(AND(N554&gt;0,R554&gt;0),MAX(N554,R554),IF(N554&gt;0,N554,IF(R554&gt;0,R554,""))),"")</f>
        <v/>
      </c>
      <c r="T554" s="36" t="n"/>
      <c r="U554" s="38" t="inlineStr">
        <is>
          <t>FALTA</t>
        </is>
      </c>
      <c r="V554" s="36" t="n">
        <v>437.23</v>
      </c>
      <c r="W554" s="39" t="n">
        <v>0.3</v>
      </c>
      <c r="X554" s="41">
        <f>IFERROR(V554+T554,"")</f>
        <v/>
      </c>
      <c r="Y554" s="41">
        <f>IFERROR(IF(W554&lt;1,X554/(1-W554),""),"")</f>
        <v/>
      </c>
      <c r="Z554" s="43">
        <f>'01_CONFIG_GLOBAL'!$C$14</f>
        <v/>
      </c>
      <c r="AA554" s="41">
        <f>IFERROR(Y554*Z554,"")</f>
        <v/>
      </c>
      <c r="AB554" s="41">
        <f>IFERROR(IF(Z554&lt;1,Y554/(1-Z554),""),"")</f>
        <v/>
      </c>
      <c r="AC554" s="23" t="n"/>
      <c r="AD554" s="36" t="n"/>
      <c r="AE554" s="23" t="n"/>
      <c r="AF554" s="36" t="n"/>
      <c r="AG554" s="23" t="n"/>
      <c r="AH554" s="36" t="n"/>
      <c r="AI554" s="41">
        <f>IFERROR(AVERAGE(AD554,AF554,AH554),"")</f>
        <v/>
      </c>
      <c r="AJ554" s="29">
        <f>IFERROR(IF(AI554="","sem dados",IF(AB554&lt;AI554*0.95,"abaixo",IF(AB554&gt;AI554*1.05,"acima","em linha"))),"")</f>
        <v/>
      </c>
      <c r="AK554" s="23" t="inlineStr">
        <is>
          <t>não</t>
        </is>
      </c>
      <c r="AL554" s="23" t="n"/>
      <c r="AM554" s="23" t="n"/>
      <c r="AN554" s="23" t="n"/>
      <c r="AO554" s="44">
        <f>A554</f>
        <v/>
      </c>
      <c r="AP554" s="44">
        <f>D554</f>
        <v/>
      </c>
    </row>
    <row r="555" hidden="1" ht="15.75" customHeight="1" s="93">
      <c r="A555" s="23" t="inlineStr">
        <is>
          <t>5.0103.0569010.0</t>
        </is>
      </c>
      <c r="B555" s="23" t="inlineStr">
        <is>
          <t>569010</t>
        </is>
      </c>
      <c r="C555" s="29">
        <f>IFERROR(LOWER(SUBSTITUTE(SUBSTITUTE(SUBSTITUTE(SUBSTITUTE(D555," ","-"),"/","-"),".",""),",","")),"")</f>
        <v/>
      </c>
      <c r="D555" s="23" t="inlineStr">
        <is>
          <t>B1I 2,1 A2.C.G.G1</t>
        </is>
      </c>
      <c r="E555" s="23" t="n"/>
      <c r="F555" s="23" t="inlineStr">
        <is>
          <t>SOHIPREN</t>
        </is>
      </c>
      <c r="G555" s="23" t="n"/>
      <c r="H555" s="23" t="inlineStr">
        <is>
          <t>draft</t>
        </is>
      </c>
      <c r="I555" s="23" t="inlineStr">
        <is>
          <t>INDUSTRIAL</t>
        </is>
      </c>
      <c r="J555" s="23" t="inlineStr">
        <is>
          <t>UNIDADE HIDRÁULICA</t>
        </is>
      </c>
      <c r="K555" s="23" t="inlineStr">
        <is>
          <t>PRINCIPAL</t>
        </is>
      </c>
      <c r="L555" s="23" t="inlineStr">
        <is>
          <t>10A2,5X907W-NPT</t>
        </is>
      </c>
      <c r="M555" s="31" t="n"/>
      <c r="N555" s="31" t="n"/>
      <c r="O555" s="31" t="n"/>
      <c r="P555" s="31" t="n"/>
      <c r="Q555" s="31" t="n"/>
      <c r="R555" s="34">
        <f>IFERROR(IF(AND(O555&gt;0,P555&gt;0,Q555&gt;0),(O555*P555*Q555)/6000,""),"")</f>
        <v/>
      </c>
      <c r="S555" s="34">
        <f>IFERROR(IF(AND(N555&gt;0,R555&gt;0),MAX(N555,R555),IF(N555&gt;0,N555,IF(R555&gt;0,R555,""))),"")</f>
        <v/>
      </c>
      <c r="T555" s="36" t="n"/>
      <c r="U555" s="38" t="inlineStr">
        <is>
          <t>FALTA</t>
        </is>
      </c>
      <c r="V555" s="36" t="n">
        <v>563.2</v>
      </c>
      <c r="W555" s="39" t="n">
        <v>0.3</v>
      </c>
      <c r="X555" s="41">
        <f>IFERROR(V555+T555,"")</f>
        <v/>
      </c>
      <c r="Y555" s="41">
        <f>IFERROR(IF(W555&lt;1,X555/(1-W555),""),"")</f>
        <v/>
      </c>
      <c r="Z555" s="43">
        <f>'01_CONFIG_GLOBAL'!$C$14</f>
        <v/>
      </c>
      <c r="AA555" s="41">
        <f>IFERROR(Y555*Z555,"")</f>
        <v/>
      </c>
      <c r="AB555" s="41">
        <f>IFERROR(IF(Z555&lt;1,Y555/(1-Z555),""),"")</f>
        <v/>
      </c>
      <c r="AC555" s="23" t="n"/>
      <c r="AD555" s="36" t="n"/>
      <c r="AE555" s="23" t="n"/>
      <c r="AF555" s="36" t="n"/>
      <c r="AG555" s="23" t="n"/>
      <c r="AH555" s="36" t="n"/>
      <c r="AI555" s="41">
        <f>IFERROR(AVERAGE(AD555,AF555,AH555),"")</f>
        <v/>
      </c>
      <c r="AJ555" s="29">
        <f>IFERROR(IF(AI555="","sem dados",IF(AB555&lt;AI555*0.95,"abaixo",IF(AB555&gt;AI555*1.05,"acima","em linha"))),"")</f>
        <v/>
      </c>
      <c r="AK555" s="23" t="inlineStr">
        <is>
          <t>não</t>
        </is>
      </c>
      <c r="AL555" s="23" t="n"/>
      <c r="AM555" s="23" t="n"/>
      <c r="AN555" s="23" t="n"/>
      <c r="AO555" s="44">
        <f>A555</f>
        <v/>
      </c>
      <c r="AP555" s="44">
        <f>D555</f>
        <v/>
      </c>
    </row>
    <row r="556" hidden="1" ht="15.75" customHeight="1" s="93">
      <c r="A556" s="23" t="inlineStr">
        <is>
          <t>5.0102.0568523.0</t>
        </is>
      </c>
      <c r="B556" s="23" t="inlineStr">
        <is>
          <t>568523</t>
        </is>
      </c>
      <c r="C556" s="29">
        <f>IFERROR(LOWER(SUBSTITUTE(SUBSTITUTE(SUBSTITUTE(SUBSTITUTE(D556," ","-"),"/","-"),".",""),",","")),"")</f>
        <v/>
      </c>
      <c r="D556" s="23" t="inlineStr">
        <is>
          <t>B1I 1,5 A.B13.C2.L</t>
        </is>
      </c>
      <c r="E556" s="23" t="n"/>
      <c r="F556" s="23" t="inlineStr">
        <is>
          <t>SOHIPREN</t>
        </is>
      </c>
      <c r="G556" s="23" t="n"/>
      <c r="H556" s="23" t="inlineStr">
        <is>
          <t>draft</t>
        </is>
      </c>
      <c r="I556" s="23" t="inlineStr">
        <is>
          <t>INDUSTRIAL</t>
        </is>
      </c>
      <c r="J556" s="23" t="inlineStr">
        <is>
          <t>UNIDADE HIDRÁULICA</t>
        </is>
      </c>
      <c r="K556" s="23" t="inlineStr">
        <is>
          <t>PRINCIPAL</t>
        </is>
      </c>
      <c r="L556" s="23" t="inlineStr">
        <is>
          <t>10A1,6X244G</t>
        </is>
      </c>
      <c r="M556" s="31" t="n"/>
      <c r="N556" s="31" t="n"/>
      <c r="O556" s="31" t="n"/>
      <c r="P556" s="31" t="n"/>
      <c r="Q556" s="31" t="n"/>
      <c r="R556" s="34">
        <f>IFERROR(IF(AND(O556&gt;0,P556&gt;0,Q556&gt;0),(O556*P556*Q556)/6000,""),"")</f>
        <v/>
      </c>
      <c r="S556" s="34">
        <f>IFERROR(IF(AND(N556&gt;0,R556&gt;0),MAX(N556,R556),IF(N556&gt;0,N556,IF(R556&gt;0,R556,""))),"")</f>
        <v/>
      </c>
      <c r="T556" s="36" t="n"/>
      <c r="U556" s="38" t="inlineStr">
        <is>
          <t>FALTA</t>
        </is>
      </c>
      <c r="V556" s="36" t="n">
        <v>433.64</v>
      </c>
      <c r="W556" s="39" t="n">
        <v>0.3</v>
      </c>
      <c r="X556" s="41">
        <f>IFERROR(V556+T556,"")</f>
        <v/>
      </c>
      <c r="Y556" s="41">
        <f>IFERROR(IF(W556&lt;1,X556/(1-W556),""),"")</f>
        <v/>
      </c>
      <c r="Z556" s="43">
        <f>'01_CONFIG_GLOBAL'!$C$14</f>
        <v/>
      </c>
      <c r="AA556" s="41">
        <f>IFERROR(Y556*Z556,"")</f>
        <v/>
      </c>
      <c r="AB556" s="41">
        <f>IFERROR(IF(Z556&lt;1,Y556/(1-Z556),""),"")</f>
        <v/>
      </c>
      <c r="AC556" s="23" t="n"/>
      <c r="AD556" s="36" t="n"/>
      <c r="AE556" s="23" t="n"/>
      <c r="AF556" s="36" t="n"/>
      <c r="AG556" s="23" t="n"/>
      <c r="AH556" s="36" t="n"/>
      <c r="AI556" s="41">
        <f>IFERROR(AVERAGE(AD556,AF556,AH556),"")</f>
        <v/>
      </c>
      <c r="AJ556" s="29">
        <f>IFERROR(IF(AI556="","sem dados",IF(AB556&lt;AI556*0.95,"abaixo",IF(AB556&gt;AI556*1.05,"acima","em linha"))),"")</f>
        <v/>
      </c>
      <c r="AK556" s="23" t="inlineStr">
        <is>
          <t>não</t>
        </is>
      </c>
      <c r="AL556" s="23" t="n"/>
      <c r="AM556" s="23" t="n"/>
      <c r="AN556" s="23" t="n"/>
      <c r="AO556" s="44">
        <f>A556</f>
        <v/>
      </c>
      <c r="AP556" s="44">
        <f>D556</f>
        <v/>
      </c>
    </row>
    <row r="557" hidden="1" ht="15.75" customHeight="1" s="93">
      <c r="A557" s="23" t="inlineStr">
        <is>
          <t>5.0110.L027030.0</t>
        </is>
      </c>
      <c r="B557" s="23" t="inlineStr">
        <is>
          <t>L027030</t>
        </is>
      </c>
      <c r="C557" s="29">
        <f>IFERROR(LOWER(SUBSTITUTE(SUBSTITUTE(SUBSTITUTE(SUBSTITUTE(D557," ","-"),"/","-"),".",""),",","")),"")</f>
        <v/>
      </c>
      <c r="D557" s="23" t="inlineStr">
        <is>
          <t>B1I 8 BX.B7.G.G4</t>
        </is>
      </c>
      <c r="E557" s="23" t="n"/>
      <c r="F557" s="23" t="inlineStr">
        <is>
          <t>SOHIPREN</t>
        </is>
      </c>
      <c r="G557" s="23" t="n"/>
      <c r="H557" s="23" t="inlineStr">
        <is>
          <t>draft</t>
        </is>
      </c>
      <c r="I557" s="23" t="inlineStr">
        <is>
          <t>INDUSTRIAL</t>
        </is>
      </c>
      <c r="J557" s="23" t="inlineStr">
        <is>
          <t>UNIDADE HIDRÁULICA</t>
        </is>
      </c>
      <c r="K557" s="23" t="inlineStr">
        <is>
          <t>PRINCIPAL</t>
        </is>
      </c>
      <c r="L557" s="23" t="inlineStr">
        <is>
          <t>10A8X751</t>
        </is>
      </c>
      <c r="M557" s="31" t="n"/>
      <c r="N557" s="31" t="n"/>
      <c r="O557" s="31" t="n"/>
      <c r="P557" s="31" t="n"/>
      <c r="Q557" s="31" t="n"/>
      <c r="R557" s="34">
        <f>IFERROR(IF(AND(O557&gt;0,P557&gt;0,Q557&gt;0),(O557*P557*Q557)/6000,""),"")</f>
        <v/>
      </c>
      <c r="S557" s="34">
        <f>IFERROR(IF(AND(N557&gt;0,R557&gt;0),MAX(N557,R557),IF(N557&gt;0,N557,IF(R557&gt;0,R557,""))),"")</f>
        <v/>
      </c>
      <c r="T557" s="36" t="n"/>
      <c r="U557" s="38" t="inlineStr">
        <is>
          <t>FALTA</t>
        </is>
      </c>
      <c r="V557" s="36" t="n">
        <v>563.2</v>
      </c>
      <c r="W557" s="39" t="n">
        <v>0.3</v>
      </c>
      <c r="X557" s="41">
        <f>IFERROR(V557+T557,"")</f>
        <v/>
      </c>
      <c r="Y557" s="41">
        <f>IFERROR(IF(W557&lt;1,X557/(1-W557),""),"")</f>
        <v/>
      </c>
      <c r="Z557" s="43">
        <f>'01_CONFIG_GLOBAL'!$C$14</f>
        <v/>
      </c>
      <c r="AA557" s="41">
        <f>IFERROR(Y557*Z557,"")</f>
        <v/>
      </c>
      <c r="AB557" s="41">
        <f>IFERROR(IF(Z557&lt;1,Y557/(1-Z557),""),"")</f>
        <v/>
      </c>
      <c r="AC557" s="23" t="n"/>
      <c r="AD557" s="36" t="n"/>
      <c r="AE557" s="23" t="n"/>
      <c r="AF557" s="36" t="n"/>
      <c r="AG557" s="23" t="n"/>
      <c r="AH557" s="36" t="n"/>
      <c r="AI557" s="41">
        <f>IFERROR(AVERAGE(AD557,AF557,AH557),"")</f>
        <v/>
      </c>
      <c r="AJ557" s="29">
        <f>IFERROR(IF(AI557="","sem dados",IF(AB557&lt;AI557*0.95,"abaixo",IF(AB557&gt;AI557*1.05,"acima","em linha"))),"")</f>
        <v/>
      </c>
      <c r="AK557" s="23" t="inlineStr">
        <is>
          <t>não</t>
        </is>
      </c>
      <c r="AL557" s="23" t="n"/>
      <c r="AM557" s="23" t="n"/>
      <c r="AN557" s="23" t="n"/>
      <c r="AO557" s="44">
        <f>A557</f>
        <v/>
      </c>
      <c r="AP557" s="44">
        <f>D557</f>
        <v/>
      </c>
    </row>
    <row r="558" hidden="1" ht="15.75" customHeight="1" s="93">
      <c r="A558" s="23" t="inlineStr">
        <is>
          <t>5.0105.L027029.0</t>
        </is>
      </c>
      <c r="B558" s="23" t="inlineStr">
        <is>
          <t>L027029</t>
        </is>
      </c>
      <c r="C558" s="29">
        <f>IFERROR(LOWER(SUBSTITUTE(SUBSTITUTE(SUBSTITUTE(SUBSTITUTE(D558," ","-"),"/","-"),".",""),",","")),"")</f>
        <v/>
      </c>
      <c r="D558" s="23" t="inlineStr">
        <is>
          <t>B1I 3,2 BX.B7.G.G4</t>
        </is>
      </c>
      <c r="E558" s="23" t="n"/>
      <c r="F558" s="23" t="inlineStr">
        <is>
          <t>SOHIPREN</t>
        </is>
      </c>
      <c r="G558" s="23" t="n"/>
      <c r="H558" s="23" t="inlineStr">
        <is>
          <t>draft</t>
        </is>
      </c>
      <c r="I558" s="23" t="inlineStr">
        <is>
          <t>INDUSTRIAL</t>
        </is>
      </c>
      <c r="J558" s="23" t="inlineStr">
        <is>
          <t>UNIDADE HIDRÁULICA</t>
        </is>
      </c>
      <c r="K558" s="23" t="inlineStr">
        <is>
          <t>PRINCIPAL</t>
        </is>
      </c>
      <c r="L558" s="23" t="inlineStr">
        <is>
          <t>10A3,15X751</t>
        </is>
      </c>
      <c r="M558" s="31" t="n"/>
      <c r="N558" s="31" t="n"/>
      <c r="O558" s="31" t="n"/>
      <c r="P558" s="31" t="n"/>
      <c r="Q558" s="31" t="n"/>
      <c r="R558" s="34">
        <f>IFERROR(IF(AND(O558&gt;0,P558&gt;0,Q558&gt;0),(O558*P558*Q558)/6000,""),"")</f>
        <v/>
      </c>
      <c r="S558" s="34">
        <f>IFERROR(IF(AND(N558&gt;0,R558&gt;0),MAX(N558,R558),IF(N558&gt;0,N558,IF(R558&gt;0,R558,""))),"")</f>
        <v/>
      </c>
      <c r="T558" s="36" t="n"/>
      <c r="U558" s="38" t="inlineStr">
        <is>
          <t>FALTA</t>
        </is>
      </c>
      <c r="V558" s="36" t="n">
        <v>515</v>
      </c>
      <c r="W558" s="39" t="n">
        <v>0.3</v>
      </c>
      <c r="X558" s="41">
        <f>IFERROR(V558+T558,"")</f>
        <v/>
      </c>
      <c r="Y558" s="41">
        <f>IFERROR(IF(W558&lt;1,X558/(1-W558),""),"")</f>
        <v/>
      </c>
      <c r="Z558" s="43">
        <f>'01_CONFIG_GLOBAL'!$C$14</f>
        <v/>
      </c>
      <c r="AA558" s="41">
        <f>IFERROR(Y558*Z558,"")</f>
        <v/>
      </c>
      <c r="AB558" s="41">
        <f>IFERROR(IF(Z558&lt;1,Y558/(1-Z558),""),"")</f>
        <v/>
      </c>
      <c r="AC558" s="23" t="n"/>
      <c r="AD558" s="36" t="n"/>
      <c r="AE558" s="23" t="n"/>
      <c r="AF558" s="36" t="n"/>
      <c r="AG558" s="23" t="n"/>
      <c r="AH558" s="36" t="n"/>
      <c r="AI558" s="41">
        <f>IFERROR(AVERAGE(AD558,AF558,AH558),"")</f>
        <v/>
      </c>
      <c r="AJ558" s="29">
        <f>IFERROR(IF(AI558="","sem dados",IF(AB558&lt;AI558*0.95,"abaixo",IF(AB558&gt;AI558*1.05,"acima","em linha"))),"")</f>
        <v/>
      </c>
      <c r="AK558" s="23" t="inlineStr">
        <is>
          <t>não</t>
        </is>
      </c>
      <c r="AL558" s="23" t="n"/>
      <c r="AM558" s="23" t="n"/>
      <c r="AN558" s="23" t="n"/>
      <c r="AO558" s="44">
        <f>A558</f>
        <v/>
      </c>
      <c r="AP558" s="44">
        <f>D558</f>
        <v/>
      </c>
    </row>
    <row r="559" hidden="1" ht="15.75" customHeight="1" s="93">
      <c r="A559" s="23" t="inlineStr">
        <is>
          <t>5.0102.L027028.0</t>
        </is>
      </c>
      <c r="B559" s="23" t="inlineStr">
        <is>
          <t>L027028</t>
        </is>
      </c>
      <c r="C559" s="29">
        <f>IFERROR(LOWER(SUBSTITUTE(SUBSTITUTE(SUBSTITUTE(SUBSTITUTE(D559," ","-"),"/","-"),".",""),",","")),"")</f>
        <v/>
      </c>
      <c r="D559" s="23" t="inlineStr">
        <is>
          <t>B1I 1,6 BX.B7.G.G4</t>
        </is>
      </c>
      <c r="E559" s="23" t="n"/>
      <c r="F559" s="23" t="inlineStr">
        <is>
          <t>SOHIPREN</t>
        </is>
      </c>
      <c r="G559" s="23" t="n"/>
      <c r="H559" s="23" t="inlineStr">
        <is>
          <t>draft</t>
        </is>
      </c>
      <c r="I559" s="23" t="inlineStr">
        <is>
          <t>INDUSTRIAL</t>
        </is>
      </c>
      <c r="J559" s="23" t="inlineStr">
        <is>
          <t>UNIDADE HIDRÁULICA</t>
        </is>
      </c>
      <c r="K559" s="23" t="inlineStr">
        <is>
          <t>PRINCIPAL</t>
        </is>
      </c>
      <c r="L559" s="23" t="inlineStr">
        <is>
          <t>10A1,6X751</t>
        </is>
      </c>
      <c r="M559" s="31" t="n"/>
      <c r="N559" s="31" t="n"/>
      <c r="O559" s="31" t="n"/>
      <c r="P559" s="31" t="n"/>
      <c r="Q559" s="31" t="n"/>
      <c r="R559" s="34">
        <f>IFERROR(IF(AND(O559&gt;0,P559&gt;0,Q559&gt;0),(O559*P559*Q559)/6000,""),"")</f>
        <v/>
      </c>
      <c r="S559" s="34">
        <f>IFERROR(IF(AND(N559&gt;0,R559&gt;0),MAX(N559,R559),IF(N559&gt;0,N559,IF(R559&gt;0,R559,""))),"")</f>
        <v/>
      </c>
      <c r="T559" s="36" t="n"/>
      <c r="U559" s="38" t="inlineStr">
        <is>
          <t>FALTA</t>
        </is>
      </c>
      <c r="V559" s="36" t="n">
        <v>370.38</v>
      </c>
      <c r="W559" s="39" t="n">
        <v>0.3</v>
      </c>
      <c r="X559" s="41">
        <f>IFERROR(V559+T559,"")</f>
        <v/>
      </c>
      <c r="Y559" s="41">
        <f>IFERROR(IF(W559&lt;1,X559/(1-W559),""),"")</f>
        <v/>
      </c>
      <c r="Z559" s="43">
        <f>'01_CONFIG_GLOBAL'!$C$14</f>
        <v/>
      </c>
      <c r="AA559" s="41">
        <f>IFERROR(Y559*Z559,"")</f>
        <v/>
      </c>
      <c r="AB559" s="41">
        <f>IFERROR(IF(Z559&lt;1,Y559/(1-Z559),""),"")</f>
        <v/>
      </c>
      <c r="AC559" s="23" t="n"/>
      <c r="AD559" s="36" t="n"/>
      <c r="AE559" s="23" t="n"/>
      <c r="AF559" s="36" t="n"/>
      <c r="AG559" s="23" t="n"/>
      <c r="AH559" s="36" t="n"/>
      <c r="AI559" s="41">
        <f>IFERROR(AVERAGE(AD559,AF559,AH559),"")</f>
        <v/>
      </c>
      <c r="AJ559" s="29">
        <f>IFERROR(IF(AI559="","sem dados",IF(AB559&lt;AI559*0.95,"abaixo",IF(AB559&gt;AI559*1.05,"acima","em linha"))),"")</f>
        <v/>
      </c>
      <c r="AK559" s="23" t="inlineStr">
        <is>
          <t>não</t>
        </is>
      </c>
      <c r="AL559" s="23" t="n"/>
      <c r="AM559" s="23" t="n"/>
      <c r="AN559" s="23" t="n"/>
      <c r="AO559" s="44">
        <f>A559</f>
        <v/>
      </c>
      <c r="AP559" s="44">
        <f>D559</f>
        <v/>
      </c>
    </row>
    <row r="560" hidden="1" ht="15.75" customHeight="1" s="93">
      <c r="A560" s="23" t="inlineStr">
        <is>
          <t>5.0103.L008300.1</t>
        </is>
      </c>
      <c r="B560" s="23" t="inlineStr">
        <is>
          <t>L00830</t>
        </is>
      </c>
      <c r="C560" s="29">
        <f>IFERROR(LOWER(SUBSTITUTE(SUBSTITUTE(SUBSTITUTE(SUBSTITUTE(D560," ","-"),"/","-"),".",""),",","")),"")</f>
        <v/>
      </c>
      <c r="D560" s="23" t="inlineStr">
        <is>
          <t>B1D 1.5 A2.C.C8.L (COMPRA L00827)</t>
        </is>
      </c>
      <c r="E560" s="23" t="n"/>
      <c r="F560" s="23" t="inlineStr">
        <is>
          <t>SOHIPREN</t>
        </is>
      </c>
      <c r="G560" s="23" t="n"/>
      <c r="H560" s="23" t="inlineStr">
        <is>
          <t>draft</t>
        </is>
      </c>
      <c r="I560" s="23" t="inlineStr">
        <is>
          <t>INDUSTRIAL</t>
        </is>
      </c>
      <c r="J560" s="23" t="inlineStr">
        <is>
          <t>UNIDADE INDUSTRIAL</t>
        </is>
      </c>
      <c r="K560" s="23" t="inlineStr">
        <is>
          <t>PRINCIPAL</t>
        </is>
      </c>
      <c r="L560" s="23" t="n"/>
      <c r="M560" s="31" t="n"/>
      <c r="N560" s="31" t="n"/>
      <c r="O560" s="31" t="n"/>
      <c r="P560" s="31" t="n"/>
      <c r="Q560" s="31" t="n"/>
      <c r="R560" s="34">
        <f>IFERROR(IF(AND(O560&gt;0,P560&gt;0,Q560&gt;0),(O560*P560*Q560)/6000,""),"")</f>
        <v/>
      </c>
      <c r="S560" s="34">
        <f>IFERROR(IF(AND(N560&gt;0,R560&gt;0),MAX(N560,R560),IF(N560&gt;0,N560,IF(R560&gt;0,R560,""))),"")</f>
        <v/>
      </c>
      <c r="T560" s="36" t="n"/>
      <c r="U560" s="38" t="inlineStr">
        <is>
          <t>FALTA</t>
        </is>
      </c>
      <c r="V560" s="36" t="n">
        <v>311.45</v>
      </c>
      <c r="W560" s="39" t="n">
        <v>0.3</v>
      </c>
      <c r="X560" s="41">
        <f>IFERROR(V560+T560,"")</f>
        <v/>
      </c>
      <c r="Y560" s="41">
        <f>IFERROR(IF(W560&lt;1,X560/(1-W560),""),"")</f>
        <v/>
      </c>
      <c r="Z560" s="43">
        <f>'01_CONFIG_GLOBAL'!$C$14</f>
        <v/>
      </c>
      <c r="AA560" s="41">
        <f>IFERROR(Y560*Z560,"")</f>
        <v/>
      </c>
      <c r="AB560" s="41">
        <f>IFERROR(IF(Z560&lt;1,Y560/(1-Z560),""),"")</f>
        <v/>
      </c>
      <c r="AC560" s="23" t="n"/>
      <c r="AD560" s="36" t="n"/>
      <c r="AE560" s="23" t="n"/>
      <c r="AF560" s="36" t="n"/>
      <c r="AG560" s="23" t="n"/>
      <c r="AH560" s="36" t="n"/>
      <c r="AI560" s="41">
        <f>IFERROR(AVERAGE(AD560,AF560,AH560),"")</f>
        <v/>
      </c>
      <c r="AJ560" s="29">
        <f>IFERROR(IF(AI560="","sem dados",IF(AB560&lt;AI560*0.95,"abaixo",IF(AB560&gt;AI560*1.05,"acima","em linha"))),"")</f>
        <v/>
      </c>
      <c r="AK560" s="23" t="inlineStr">
        <is>
          <t>não</t>
        </is>
      </c>
      <c r="AL560" s="23" t="n"/>
      <c r="AM560" s="23" t="n"/>
      <c r="AN560" s="23" t="n"/>
      <c r="AO560" s="44">
        <f>A560</f>
        <v/>
      </c>
      <c r="AP560" s="44">
        <f>D560</f>
        <v/>
      </c>
    </row>
    <row r="561" hidden="1" ht="15.75" customHeight="1" s="93">
      <c r="A561" s="23" t="inlineStr">
        <is>
          <t>5.0103.L008310.1</t>
        </is>
      </c>
      <c r="B561" s="23" t="inlineStr">
        <is>
          <t>L00831</t>
        </is>
      </c>
      <c r="C561" s="29">
        <f>IFERROR(LOWER(SUBSTITUTE(SUBSTITUTE(SUBSTITUTE(SUBSTITUTE(D561," ","-"),"/","-"),".",""),",","")),"")</f>
        <v/>
      </c>
      <c r="D561" s="23" t="inlineStr">
        <is>
          <t>B1D 2.1 A2.C.C8.L(L00828)</t>
        </is>
      </c>
      <c r="E561" s="23" t="n"/>
      <c r="F561" s="23" t="inlineStr">
        <is>
          <t>SOHIPREN</t>
        </is>
      </c>
      <c r="G561" s="23" t="n"/>
      <c r="H561" s="23" t="inlineStr">
        <is>
          <t>draft</t>
        </is>
      </c>
      <c r="I561" s="23" t="inlineStr">
        <is>
          <t>INDUSTRIAL</t>
        </is>
      </c>
      <c r="J561" s="23" t="inlineStr">
        <is>
          <t>UNIDADE INDUSTRIAL</t>
        </is>
      </c>
      <c r="K561" s="23" t="inlineStr">
        <is>
          <t>PRINCIPAL</t>
        </is>
      </c>
      <c r="L561" s="23" t="n"/>
      <c r="M561" s="31" t="n"/>
      <c r="N561" s="31" t="n"/>
      <c r="O561" s="31" t="n"/>
      <c r="P561" s="31" t="n"/>
      <c r="Q561" s="31" t="n"/>
      <c r="R561" s="34">
        <f>IFERROR(IF(AND(O561&gt;0,P561&gt;0,Q561&gt;0),(O561*P561*Q561)/6000,""),"")</f>
        <v/>
      </c>
      <c r="S561" s="34">
        <f>IFERROR(IF(AND(N561&gt;0,R561&gt;0),MAX(N561,R561),IF(N561&gt;0,N561,IF(R561&gt;0,R561,""))),"")</f>
        <v/>
      </c>
      <c r="T561" s="36" t="n"/>
      <c r="U561" s="38" t="inlineStr">
        <is>
          <t>FALTA</t>
        </is>
      </c>
      <c r="V561" s="36" t="n">
        <v>311.45</v>
      </c>
      <c r="W561" s="39" t="n">
        <v>0.3</v>
      </c>
      <c r="X561" s="41">
        <f>IFERROR(V561+T561,"")</f>
        <v/>
      </c>
      <c r="Y561" s="41">
        <f>IFERROR(IF(W561&lt;1,X561/(1-W561),""),"")</f>
        <v/>
      </c>
      <c r="Z561" s="43">
        <f>'01_CONFIG_GLOBAL'!$C$14</f>
        <v/>
      </c>
      <c r="AA561" s="41">
        <f>IFERROR(Y561*Z561,"")</f>
        <v/>
      </c>
      <c r="AB561" s="41">
        <f>IFERROR(IF(Z561&lt;1,Y561/(1-Z561),""),"")</f>
        <v/>
      </c>
      <c r="AC561" s="23" t="n"/>
      <c r="AD561" s="36" t="n"/>
      <c r="AE561" s="23" t="n"/>
      <c r="AF561" s="36" t="n"/>
      <c r="AG561" s="23" t="n"/>
      <c r="AH561" s="36" t="n"/>
      <c r="AI561" s="41">
        <f>IFERROR(AVERAGE(AD561,AF561,AH561),"")</f>
        <v/>
      </c>
      <c r="AJ561" s="29">
        <f>IFERROR(IF(AI561="","sem dados",IF(AB561&lt;AI561*0.95,"abaixo",IF(AB561&gt;AI561*1.05,"acima","em linha"))),"")</f>
        <v/>
      </c>
      <c r="AK561" s="23" t="inlineStr">
        <is>
          <t>não</t>
        </is>
      </c>
      <c r="AL561" s="23" t="n"/>
      <c r="AM561" s="23" t="n"/>
      <c r="AN561" s="23" t="n"/>
      <c r="AO561" s="44">
        <f>A561</f>
        <v/>
      </c>
      <c r="AP561" s="44">
        <f>D561</f>
        <v/>
      </c>
    </row>
    <row r="562" hidden="1" ht="15.75" customHeight="1" s="93">
      <c r="A562" s="23" t="inlineStr">
        <is>
          <t>5.0103.L008270.1</t>
        </is>
      </c>
      <c r="B562" s="23" t="inlineStr">
        <is>
          <t>L00827</t>
        </is>
      </c>
      <c r="C562" s="29">
        <f>IFERROR(LOWER(SUBSTITUTE(SUBSTITUTE(SUBSTITUTE(SUBSTITUTE(D562," ","-"),"/","-"),".",""),",","")),"")</f>
        <v/>
      </c>
      <c r="D562" s="23" t="inlineStr">
        <is>
          <t>B1D 1.5 A2.C.C8.L</t>
        </is>
      </c>
      <c r="E562" s="23" t="n"/>
      <c r="F562" s="23" t="inlineStr">
        <is>
          <t>SOHIPREN</t>
        </is>
      </c>
      <c r="G562" s="23" t="n"/>
      <c r="H562" s="23" t="inlineStr">
        <is>
          <t>draft</t>
        </is>
      </c>
      <c r="I562" s="23" t="inlineStr">
        <is>
          <t>INDUSTRIAL</t>
        </is>
      </c>
      <c r="J562" s="23" t="inlineStr">
        <is>
          <t>UNIDADE INDUSTRIAL</t>
        </is>
      </c>
      <c r="K562" s="23" t="inlineStr">
        <is>
          <t>PRINCIPAL</t>
        </is>
      </c>
      <c r="L562" s="23" t="n"/>
      <c r="M562" s="31" t="n"/>
      <c r="N562" s="31" t="n"/>
      <c r="O562" s="31" t="n"/>
      <c r="P562" s="31" t="n"/>
      <c r="Q562" s="31" t="n"/>
      <c r="R562" s="34">
        <f>IFERROR(IF(AND(O562&gt;0,P562&gt;0,Q562&gt;0),(O562*P562*Q562)/6000,""),"")</f>
        <v/>
      </c>
      <c r="S562" s="34">
        <f>IFERROR(IF(AND(N562&gt;0,R562&gt;0),MAX(N562,R562),IF(N562&gt;0,N562,IF(R562&gt;0,R562,""))),"")</f>
        <v/>
      </c>
      <c r="T562" s="36" t="n"/>
      <c r="U562" s="38" t="inlineStr">
        <is>
          <t>FALTA</t>
        </is>
      </c>
      <c r="V562" s="36" t="n">
        <v>485</v>
      </c>
      <c r="W562" s="39" t="n">
        <v>0.3</v>
      </c>
      <c r="X562" s="41">
        <f>IFERROR(V562+T562,"")</f>
        <v/>
      </c>
      <c r="Y562" s="41">
        <f>IFERROR(IF(W562&lt;1,X562/(1-W562),""),"")</f>
        <v/>
      </c>
      <c r="Z562" s="43">
        <f>'01_CONFIG_GLOBAL'!$C$14</f>
        <v/>
      </c>
      <c r="AA562" s="41">
        <f>IFERROR(Y562*Z562,"")</f>
        <v/>
      </c>
      <c r="AB562" s="41">
        <f>IFERROR(IF(Z562&lt;1,Y562/(1-Z562),""),"")</f>
        <v/>
      </c>
      <c r="AC562" s="23" t="n"/>
      <c r="AD562" s="36" t="n"/>
      <c r="AE562" s="23" t="n"/>
      <c r="AF562" s="36" t="n"/>
      <c r="AG562" s="23" t="n"/>
      <c r="AH562" s="36" t="n"/>
      <c r="AI562" s="41">
        <f>IFERROR(AVERAGE(AD562,AF562,AH562),"")</f>
        <v/>
      </c>
      <c r="AJ562" s="29">
        <f>IFERROR(IF(AI562="","sem dados",IF(AB562&lt;AI562*0.95,"abaixo",IF(AB562&gt;AI562*1.05,"acima","em linha"))),"")</f>
        <v/>
      </c>
      <c r="AK562" s="23" t="inlineStr">
        <is>
          <t>não</t>
        </is>
      </c>
      <c r="AL562" s="23" t="n"/>
      <c r="AM562" s="23" t="n"/>
      <c r="AN562" s="23" t="n"/>
      <c r="AO562" s="44">
        <f>A562</f>
        <v/>
      </c>
      <c r="AP562" s="44">
        <f>D562</f>
        <v/>
      </c>
    </row>
    <row r="563" hidden="1" ht="15.75" customHeight="1" s="93">
      <c r="A563" s="23" t="inlineStr">
        <is>
          <t>5.0206.L019450.0</t>
        </is>
      </c>
      <c r="B563" s="23" t="inlineStr">
        <is>
          <t>L019450</t>
        </is>
      </c>
      <c r="C563" s="29">
        <f>IFERROR(LOWER(SUBSTITUTE(SUBSTITUTE(SUBSTITUTE(SUBSTITUTE(D563," ","-"),"/","-"),".",""),",","")),"")</f>
        <v/>
      </c>
      <c r="D563" s="23" t="inlineStr">
        <is>
          <t>BOD 11 C11.C.C19.L</t>
        </is>
      </c>
      <c r="E563" s="23" t="inlineStr">
        <is>
          <t>Bombas Hidráulicas</t>
        </is>
      </c>
      <c r="F563" s="23" t="inlineStr">
        <is>
          <t>SOHIPREN</t>
        </is>
      </c>
      <c r="G563" s="23" t="n"/>
      <c r="H563" s="23" t="inlineStr">
        <is>
          <t>draft</t>
        </is>
      </c>
      <c r="I563" s="23" t="inlineStr">
        <is>
          <t>INDUSTRIAL</t>
        </is>
      </c>
      <c r="J563" s="23" t="n"/>
      <c r="K563" s="23" t="n"/>
      <c r="L563" s="23" t="inlineStr">
        <is>
          <t>F000510511</t>
        </is>
      </c>
      <c r="M563" s="31" t="n"/>
      <c r="N563" s="31" t="n"/>
      <c r="O563" s="31" t="n"/>
      <c r="P563" s="31" t="n"/>
      <c r="Q563" s="31" t="n"/>
      <c r="R563" s="34">
        <f>IFERROR(IF(AND(O563&gt;0,P563&gt;0,Q563&gt;0),(O563*P563*Q563)/6000,""),"")</f>
        <v/>
      </c>
      <c r="S563" s="34">
        <f>IFERROR(IF(AND(N563&gt;0,R563&gt;0),MAX(N563,R563),IF(N563&gt;0,N563,IF(R563&gt;0,R563,""))),"")</f>
        <v/>
      </c>
      <c r="T563" s="36" t="n"/>
      <c r="U563" s="38" t="inlineStr">
        <is>
          <t>FALTA</t>
        </is>
      </c>
      <c r="V563" s="36" t="n">
        <v>665</v>
      </c>
      <c r="W563" s="39" t="n">
        <v>0.3</v>
      </c>
      <c r="X563" s="41">
        <f>IFERROR(V563+T563,"")</f>
        <v/>
      </c>
      <c r="Y563" s="41">
        <f>IFERROR(IF(W563&lt;1,X563/(1-W563),""),"")</f>
        <v/>
      </c>
      <c r="Z563" s="43">
        <f>'01_CONFIG_GLOBAL'!$C$14</f>
        <v/>
      </c>
      <c r="AA563" s="41">
        <f>IFERROR(Y563*Z563,"")</f>
        <v/>
      </c>
      <c r="AB563" s="41">
        <f>IFERROR(IF(Z563&lt;1,Y563/(1-Z563),""),"")</f>
        <v/>
      </c>
      <c r="AC563" s="23" t="n"/>
      <c r="AD563" s="36" t="n"/>
      <c r="AE563" s="23" t="n"/>
      <c r="AF563" s="36" t="n"/>
      <c r="AG563" s="23" t="n"/>
      <c r="AH563" s="36" t="n"/>
      <c r="AI563" s="41">
        <f>IFERROR(AVERAGE(AD563,AF563,AH563),"")</f>
        <v/>
      </c>
      <c r="AJ563" s="29">
        <f>IFERROR(IF(AI563="","sem dados",IF(AB563&lt;AI563*0.95,"abaixo",IF(AB563&gt;AI563*1.05,"acima","em linha"))),"")</f>
        <v/>
      </c>
      <c r="AK563" s="23" t="inlineStr">
        <is>
          <t>não</t>
        </is>
      </c>
      <c r="AL563" s="23" t="n"/>
      <c r="AM563" s="23" t="n"/>
      <c r="AN563" s="23" t="n"/>
      <c r="AO563" s="44">
        <f>A563</f>
        <v/>
      </c>
      <c r="AP563" s="44">
        <f>D563</f>
        <v/>
      </c>
    </row>
    <row r="564" hidden="1" ht="15.75" customHeight="1" s="93">
      <c r="A564" s="23" t="inlineStr">
        <is>
          <t>5.0103.L026059.0</t>
        </is>
      </c>
      <c r="B564" s="23" t="inlineStr">
        <is>
          <t>L026059</t>
        </is>
      </c>
      <c r="C564" s="29">
        <f>IFERROR(LOWER(SUBSTITUTE(SUBSTITUTE(SUBSTITUTE(SUBSTITUTE(D564," ","-"),"/","-"),".",""),",","")),"")</f>
        <v/>
      </c>
      <c r="D564" s="23" t="inlineStr">
        <is>
          <t>B1D 2,5 A.B13.C2.L</t>
        </is>
      </c>
      <c r="E564" s="23" t="n"/>
      <c r="F564" s="23" t="inlineStr">
        <is>
          <t>SOHIPREN</t>
        </is>
      </c>
      <c r="G564" s="23" t="n"/>
      <c r="H564" s="23" t="inlineStr">
        <is>
          <t>draft</t>
        </is>
      </c>
      <c r="I564" s="23" t="inlineStr">
        <is>
          <t>INDUSTRIAL</t>
        </is>
      </c>
      <c r="J564" s="23" t="inlineStr">
        <is>
          <t>CAMINNHÃO PLATAFORMA</t>
        </is>
      </c>
      <c r="K564" s="23" t="inlineStr">
        <is>
          <t>PRINCIPAL</t>
        </is>
      </c>
      <c r="L564" s="23" t="n"/>
      <c r="M564" s="31" t="n"/>
      <c r="N564" s="31" t="n"/>
      <c r="O564" s="31" t="n"/>
      <c r="P564" s="31" t="n"/>
      <c r="Q564" s="31" t="n"/>
      <c r="R564" s="34">
        <f>IFERROR(IF(AND(O564&gt;0,P564&gt;0,Q564&gt;0),(O564*P564*Q564)/6000,""),"")</f>
        <v/>
      </c>
      <c r="S564" s="34">
        <f>IFERROR(IF(AND(N564&gt;0,R564&gt;0),MAX(N564,R564),IF(N564&gt;0,N564,IF(R564&gt;0,R564,""))),"")</f>
        <v/>
      </c>
      <c r="T564" s="36" t="n"/>
      <c r="U564" s="38" t="inlineStr">
        <is>
          <t>FALTA</t>
        </is>
      </c>
      <c r="V564" s="36" t="n">
        <v>311.45</v>
      </c>
      <c r="W564" s="39" t="n">
        <v>0.3</v>
      </c>
      <c r="X564" s="41">
        <f>IFERROR(V564+T564,"")</f>
        <v/>
      </c>
      <c r="Y564" s="41">
        <f>IFERROR(IF(W564&lt;1,X564/(1-W564),""),"")</f>
        <v/>
      </c>
      <c r="Z564" s="43">
        <f>'01_CONFIG_GLOBAL'!$C$14</f>
        <v/>
      </c>
      <c r="AA564" s="41">
        <f>IFERROR(Y564*Z564,"")</f>
        <v/>
      </c>
      <c r="AB564" s="41">
        <f>IFERROR(IF(Z564&lt;1,Y564/(1-Z564),""),"")</f>
        <v/>
      </c>
      <c r="AC564" s="23" t="n"/>
      <c r="AD564" s="36" t="n"/>
      <c r="AE564" s="23" t="n"/>
      <c r="AF564" s="36" t="n"/>
      <c r="AG564" s="23" t="n"/>
      <c r="AH564" s="36" t="n"/>
      <c r="AI564" s="41">
        <f>IFERROR(AVERAGE(AD564,AF564,AH564),"")</f>
        <v/>
      </c>
      <c r="AJ564" s="29">
        <f>IFERROR(IF(AI564="","sem dados",IF(AB564&lt;AI564*0.95,"abaixo",IF(AB564&gt;AI564*1.05,"acima","em linha"))),"")</f>
        <v/>
      </c>
      <c r="AK564" s="23" t="inlineStr">
        <is>
          <t>não</t>
        </is>
      </c>
      <c r="AL564" s="23" t="n"/>
      <c r="AM564" s="23" t="n"/>
      <c r="AN564" s="23" t="n"/>
      <c r="AO564" s="44">
        <f>A564</f>
        <v/>
      </c>
      <c r="AP564" s="44">
        <f>D564</f>
        <v/>
      </c>
    </row>
    <row r="565" hidden="1" ht="15.75" customHeight="1" s="93">
      <c r="A565" s="23" t="inlineStr">
        <is>
          <t>5.0505.L025995.0</t>
        </is>
      </c>
      <c r="B565" s="23" t="inlineStr">
        <is>
          <t>L025995</t>
        </is>
      </c>
      <c r="C565" s="29">
        <f>IFERROR(LOWER(SUBSTITUTE(SUBSTITUTE(SUBSTITUTE(SUBSTITUTE(D565," ","-"),"/","-"),".",""),",","")),"")</f>
        <v/>
      </c>
      <c r="D565" s="23" t="inlineStr">
        <is>
          <t>MUD.MC1 50 201.37.313.61</t>
        </is>
      </c>
      <c r="E565" s="23" t="n"/>
      <c r="F565" s="23" t="inlineStr">
        <is>
          <t>SOHIPREN</t>
        </is>
      </c>
      <c r="G565" s="23" t="n"/>
      <c r="H565" s="23" t="inlineStr">
        <is>
          <t>draft</t>
        </is>
      </c>
      <c r="I565" s="23" t="inlineStr">
        <is>
          <t>INDUSTRIAL</t>
        </is>
      </c>
      <c r="J565" s="23" t="inlineStr">
        <is>
          <t>UNIDADE INDUSTRIAL</t>
        </is>
      </c>
      <c r="K565" s="23" t="inlineStr">
        <is>
          <t>PRINCIPAL</t>
        </is>
      </c>
      <c r="L565" s="23" t="n"/>
      <c r="M565" s="31" t="n"/>
      <c r="N565" s="31" t="n"/>
      <c r="O565" s="31" t="n"/>
      <c r="P565" s="31" t="n"/>
      <c r="Q565" s="31" t="n"/>
      <c r="R565" s="34">
        <f>IFERROR(IF(AND(O565&gt;0,P565&gt;0,Q565&gt;0),(O565*P565*Q565)/6000,""),"")</f>
        <v/>
      </c>
      <c r="S565" s="34">
        <f>IFERROR(IF(AND(N565&gt;0,R565&gt;0),MAX(N565,R565),IF(N565&gt;0,N565,IF(R565&gt;0,R565,""))),"")</f>
        <v/>
      </c>
      <c r="T565" s="36" t="n"/>
      <c r="U565" s="38" t="inlineStr">
        <is>
          <t>FALTA</t>
        </is>
      </c>
      <c r="V565" s="36" t="n">
        <v>823.02</v>
      </c>
      <c r="W565" s="39" t="n">
        <v>0.3</v>
      </c>
      <c r="X565" s="41">
        <f>IFERROR(V565+T565,"")</f>
        <v/>
      </c>
      <c r="Y565" s="41">
        <f>IFERROR(IF(W565&lt;1,X565/(1-W565),""),"")</f>
        <v/>
      </c>
      <c r="Z565" s="43">
        <f>'01_CONFIG_GLOBAL'!$C$14</f>
        <v/>
      </c>
      <c r="AA565" s="41">
        <f>IFERROR(Y565*Z565,"")</f>
        <v/>
      </c>
      <c r="AB565" s="41">
        <f>IFERROR(IF(Z565&lt;1,Y565/(1-Z565),""),"")</f>
        <v/>
      </c>
      <c r="AC565" s="23" t="n"/>
      <c r="AD565" s="36" t="n"/>
      <c r="AE565" s="23" t="n"/>
      <c r="AF565" s="36" t="n"/>
      <c r="AG565" s="23" t="n"/>
      <c r="AH565" s="36" t="n"/>
      <c r="AI565" s="41">
        <f>IFERROR(AVERAGE(AD565,AF565,AH565),"")</f>
        <v/>
      </c>
      <c r="AJ565" s="29">
        <f>IFERROR(IF(AI565="","sem dados",IF(AB565&lt;AI565*0.95,"abaixo",IF(AB565&gt;AI565*1.05,"acima","em linha"))),"")</f>
        <v/>
      </c>
      <c r="AK565" s="23" t="inlineStr">
        <is>
          <t>não</t>
        </is>
      </c>
      <c r="AL565" s="23" t="n"/>
      <c r="AM565" s="23" t="n"/>
      <c r="AN565" s="23" t="n"/>
      <c r="AO565" s="44">
        <f>A565</f>
        <v/>
      </c>
      <c r="AP565" s="44">
        <f>D565</f>
        <v/>
      </c>
    </row>
    <row r="566" hidden="1" ht="15.75" customHeight="1" s="93">
      <c r="A566" s="23" t="inlineStr">
        <is>
          <t>5.0505.L026122.0</t>
        </is>
      </c>
      <c r="B566" s="23" t="inlineStr">
        <is>
          <t>L026122</t>
        </is>
      </c>
      <c r="C566" s="29">
        <f>IFERROR(LOWER(SUBSTITUTE(SUBSTITUTE(SUBSTITUTE(SUBSTITUTE(D566," ","-"),"/","-"),".",""),",","")),"")</f>
        <v/>
      </c>
      <c r="D566" s="23" t="inlineStr">
        <is>
          <t>MC1 50 201.2.37.69.401(P.I MACHO)</t>
        </is>
      </c>
      <c r="E566" s="23" t="n"/>
      <c r="F566" s="23" t="inlineStr">
        <is>
          <t>SOHIPREN</t>
        </is>
      </c>
      <c r="G566" s="23" t="n"/>
      <c r="H566" s="23" t="inlineStr">
        <is>
          <t>draft</t>
        </is>
      </c>
      <c r="I566" s="23" t="inlineStr">
        <is>
          <t>INDUSTRIAL</t>
        </is>
      </c>
      <c r="J566" s="23" t="inlineStr">
        <is>
          <t>UNIDADE INDUSTRIAL</t>
        </is>
      </c>
      <c r="K566" s="23" t="inlineStr">
        <is>
          <t>PRINCIPAL</t>
        </is>
      </c>
      <c r="L566" s="23" t="n"/>
      <c r="M566" s="31" t="n"/>
      <c r="N566" s="31" t="n"/>
      <c r="O566" s="31" t="n"/>
      <c r="P566" s="31" t="n"/>
      <c r="Q566" s="31" t="n"/>
      <c r="R566" s="34">
        <f>IFERROR(IF(AND(O566&gt;0,P566&gt;0,Q566&gt;0),(O566*P566*Q566)/6000,""),"")</f>
        <v/>
      </c>
      <c r="S566" s="34">
        <f>IFERROR(IF(AND(N566&gt;0,R566&gt;0),MAX(N566,R566),IF(N566&gt;0,N566,IF(R566&gt;0,R566,""))),"")</f>
        <v/>
      </c>
      <c r="T566" s="36" t="n"/>
      <c r="U566" s="38" t="inlineStr">
        <is>
          <t>FALTA</t>
        </is>
      </c>
      <c r="V566" s="36" t="n">
        <v>874.47</v>
      </c>
      <c r="W566" s="39" t="n">
        <v>0.3</v>
      </c>
      <c r="X566" s="41">
        <f>IFERROR(V566+T566,"")</f>
        <v/>
      </c>
      <c r="Y566" s="41">
        <f>IFERROR(IF(W566&lt;1,X566/(1-W566),""),"")</f>
        <v/>
      </c>
      <c r="Z566" s="43">
        <f>'01_CONFIG_GLOBAL'!$C$14</f>
        <v/>
      </c>
      <c r="AA566" s="41">
        <f>IFERROR(Y566*Z566,"")</f>
        <v/>
      </c>
      <c r="AB566" s="41">
        <f>IFERROR(IF(Z566&lt;1,Y566/(1-Z566),""),"")</f>
        <v/>
      </c>
      <c r="AC566" s="23" t="n"/>
      <c r="AD566" s="36" t="n"/>
      <c r="AE566" s="23" t="n"/>
      <c r="AF566" s="36" t="n"/>
      <c r="AG566" s="23" t="n"/>
      <c r="AH566" s="36" t="n"/>
      <c r="AI566" s="41">
        <f>IFERROR(AVERAGE(AD566,AF566,AH566),"")</f>
        <v/>
      </c>
      <c r="AJ566" s="29">
        <f>IFERROR(IF(AI566="","sem dados",IF(AB566&lt;AI566*0.95,"abaixo",IF(AB566&gt;AI566*1.05,"acima","em linha"))),"")</f>
        <v/>
      </c>
      <c r="AK566" s="23" t="inlineStr">
        <is>
          <t>não</t>
        </is>
      </c>
      <c r="AL566" s="23" t="n"/>
      <c r="AM566" s="23" t="n"/>
      <c r="AN566" s="23" t="n"/>
      <c r="AO566" s="44">
        <f>A566</f>
        <v/>
      </c>
      <c r="AP566" s="44">
        <f>D566</f>
        <v/>
      </c>
    </row>
    <row r="567" hidden="1" ht="15.75" customHeight="1" s="93">
      <c r="A567" s="23" t="inlineStr">
        <is>
          <t>5.0504.L026110.0</t>
        </is>
      </c>
      <c r="B567" s="23" t="inlineStr">
        <is>
          <t>L026110</t>
        </is>
      </c>
      <c r="C567" s="29">
        <f>IFERROR(LOWER(SUBSTITUTE(SUBSTITUTE(SUBSTITUTE(SUBSTITUTE(D567," ","-"),"/","-"),".",""),",","")),"")</f>
        <v/>
      </c>
      <c r="D567" s="23" t="inlineStr">
        <is>
          <t>MUI.MC1 40 201.1.37.77.61</t>
        </is>
      </c>
      <c r="E567" s="23" t="n"/>
      <c r="F567" s="23" t="inlineStr">
        <is>
          <t>SOHIPREN</t>
        </is>
      </c>
      <c r="G567" s="23" t="n"/>
      <c r="H567" s="23" t="inlineStr">
        <is>
          <t>draft</t>
        </is>
      </c>
      <c r="I567" s="23" t="inlineStr">
        <is>
          <t>INDUSTRIAL</t>
        </is>
      </c>
      <c r="J567" s="23" t="inlineStr">
        <is>
          <t>UNIDADE INDUSTRIAL</t>
        </is>
      </c>
      <c r="K567" s="23" t="inlineStr">
        <is>
          <t>PRINCIPAL</t>
        </is>
      </c>
      <c r="L567" s="23" t="n"/>
      <c r="M567" s="31" t="n"/>
      <c r="N567" s="31" t="n"/>
      <c r="O567" s="31" t="n"/>
      <c r="P567" s="31" t="n"/>
      <c r="Q567" s="31" t="n"/>
      <c r="R567" s="34">
        <f>IFERROR(IF(AND(O567&gt;0,P567&gt;0,Q567&gt;0),(O567*P567*Q567)/6000,""),"")</f>
        <v/>
      </c>
      <c r="S567" s="34">
        <f>IFERROR(IF(AND(N567&gt;0,R567&gt;0),MAX(N567,R567),IF(N567&gt;0,N567,IF(R567&gt;0,R567,""))),"")</f>
        <v/>
      </c>
      <c r="T567" s="36" t="n"/>
      <c r="U567" s="38" t="inlineStr">
        <is>
          <t>FALTA</t>
        </is>
      </c>
      <c r="V567" s="36" t="n">
        <v>1045</v>
      </c>
      <c r="W567" s="39" t="n">
        <v>0.3</v>
      </c>
      <c r="X567" s="41">
        <f>IFERROR(V567+T567,"")</f>
        <v/>
      </c>
      <c r="Y567" s="41">
        <f>IFERROR(IF(W567&lt;1,X567/(1-W567),""),"")</f>
        <v/>
      </c>
      <c r="Z567" s="43">
        <f>'01_CONFIG_GLOBAL'!$C$14</f>
        <v/>
      </c>
      <c r="AA567" s="41">
        <f>IFERROR(Y567*Z567,"")</f>
        <v/>
      </c>
      <c r="AB567" s="41">
        <f>IFERROR(IF(Z567&lt;1,Y567/(1-Z567),""),"")</f>
        <v/>
      </c>
      <c r="AC567" s="23" t="n"/>
      <c r="AD567" s="36" t="n"/>
      <c r="AE567" s="23" t="n"/>
      <c r="AF567" s="36" t="n"/>
      <c r="AG567" s="23" t="n"/>
      <c r="AH567" s="36" t="n"/>
      <c r="AI567" s="41">
        <f>IFERROR(AVERAGE(AD567,AF567,AH567),"")</f>
        <v/>
      </c>
      <c r="AJ567" s="29">
        <f>IFERROR(IF(AI567="","sem dados",IF(AB567&lt;AI567*0.95,"abaixo",IF(AB567&gt;AI567*1.05,"acima","em linha"))),"")</f>
        <v/>
      </c>
      <c r="AK567" s="23" t="inlineStr">
        <is>
          <t>não</t>
        </is>
      </c>
      <c r="AL567" s="23" t="n"/>
      <c r="AM567" s="23" t="n"/>
      <c r="AN567" s="23" t="n"/>
      <c r="AO567" s="44">
        <f>A567</f>
        <v/>
      </c>
      <c r="AP567" s="44">
        <f>D567</f>
        <v/>
      </c>
    </row>
    <row r="568" hidden="1" ht="15.75" customHeight="1" s="93">
      <c r="A568" s="23" t="inlineStr">
        <is>
          <t>5.0505.L025878.0</t>
        </is>
      </c>
      <c r="B568" s="23" t="inlineStr">
        <is>
          <t>L025878</t>
        </is>
      </c>
      <c r="C568" s="29">
        <f>IFERROR(LOWER(SUBSTITUTE(SUBSTITUTE(SUBSTITUTE(SUBSTITUTE(D568," ","-"),"/","-"),".",""),",","")),"")</f>
        <v/>
      </c>
      <c r="D568" s="23" t="inlineStr">
        <is>
          <t>MC1 50 201.2.37.313.61</t>
        </is>
      </c>
      <c r="E568" s="23" t="n"/>
      <c r="F568" s="23" t="inlineStr">
        <is>
          <t>SOHIPREN</t>
        </is>
      </c>
      <c r="G568" s="23" t="n"/>
      <c r="H568" s="23" t="inlineStr">
        <is>
          <t>draft</t>
        </is>
      </c>
      <c r="I568" s="23" t="inlineStr">
        <is>
          <t>INDUSTRIAL</t>
        </is>
      </c>
      <c r="J568" s="23" t="inlineStr">
        <is>
          <t>UNIDADE INDUSTRIAL</t>
        </is>
      </c>
      <c r="K568" s="23" t="inlineStr">
        <is>
          <t>PRINCIPAL</t>
        </is>
      </c>
      <c r="L568" s="23" t="n"/>
      <c r="M568" s="31" t="n"/>
      <c r="N568" s="31" t="n"/>
      <c r="O568" s="31" t="n"/>
      <c r="P568" s="31" t="n"/>
      <c r="Q568" s="31" t="n"/>
      <c r="R568" s="34">
        <f>IFERROR(IF(AND(O568&gt;0,P568&gt;0,Q568&gt;0),(O568*P568*Q568)/6000,""),"")</f>
        <v/>
      </c>
      <c r="S568" s="34">
        <f>IFERROR(IF(AND(N568&gt;0,R568&gt;0),MAX(N568,R568),IF(N568&gt;0,N568,IF(R568&gt;0,R568,""))),"")</f>
        <v/>
      </c>
      <c r="T568" s="36" t="n"/>
      <c r="U568" s="38" t="inlineStr">
        <is>
          <t>FALTA</t>
        </is>
      </c>
      <c r="V568" s="36" t="n">
        <v>861.29</v>
      </c>
      <c r="W568" s="39" t="n">
        <v>0.3</v>
      </c>
      <c r="X568" s="41">
        <f>IFERROR(V568+T568,"")</f>
        <v/>
      </c>
      <c r="Y568" s="41">
        <f>IFERROR(IF(W568&lt;1,X568/(1-W568),""),"")</f>
        <v/>
      </c>
      <c r="Z568" s="43">
        <f>'01_CONFIG_GLOBAL'!$C$14</f>
        <v/>
      </c>
      <c r="AA568" s="41">
        <f>IFERROR(Y568*Z568,"")</f>
        <v/>
      </c>
      <c r="AB568" s="41">
        <f>IFERROR(IF(Z568&lt;1,Y568/(1-Z568),""),"")</f>
        <v/>
      </c>
      <c r="AC568" s="23" t="n"/>
      <c r="AD568" s="36" t="n"/>
      <c r="AE568" s="23" t="n"/>
      <c r="AF568" s="36" t="n"/>
      <c r="AG568" s="23" t="n"/>
      <c r="AH568" s="36" t="n"/>
      <c r="AI568" s="41">
        <f>IFERROR(AVERAGE(AD568,AF568,AH568),"")</f>
        <v/>
      </c>
      <c r="AJ568" s="29">
        <f>IFERROR(IF(AI568="","sem dados",IF(AB568&lt;AI568*0.95,"abaixo",IF(AB568&gt;AI568*1.05,"acima","em linha"))),"")</f>
        <v/>
      </c>
      <c r="AK568" s="23" t="inlineStr">
        <is>
          <t>não</t>
        </is>
      </c>
      <c r="AL568" s="23" t="n"/>
      <c r="AM568" s="23" t="n"/>
      <c r="AN568" s="23" t="n"/>
      <c r="AO568" s="44">
        <f>A568</f>
        <v/>
      </c>
      <c r="AP568" s="44">
        <f>D568</f>
        <v/>
      </c>
    </row>
    <row r="569" hidden="1" ht="15.75" customHeight="1" s="93">
      <c r="A569" s="23" t="inlineStr">
        <is>
          <t>5.0503.L025902.0</t>
        </is>
      </c>
      <c r="B569" s="23" t="inlineStr">
        <is>
          <t>L025902</t>
        </is>
      </c>
      <c r="C569" s="29">
        <f>IFERROR(LOWER(SUBSTITUTE(SUBSTITUTE(SUBSTITUTE(SUBSTITUTE(D569," ","-"),"/","-"),".",""),",","")),"")</f>
        <v/>
      </c>
      <c r="D569" s="23" t="inlineStr">
        <is>
          <t>MC1 32 201.2.37.315.61</t>
        </is>
      </c>
      <c r="E569" s="23" t="n"/>
      <c r="F569" s="23" t="inlineStr">
        <is>
          <t>SOHIPREN</t>
        </is>
      </c>
      <c r="G569" s="23" t="n"/>
      <c r="H569" s="23" t="inlineStr">
        <is>
          <t>draft</t>
        </is>
      </c>
      <c r="I569" s="23" t="inlineStr">
        <is>
          <t>INDUSTRIAL</t>
        </is>
      </c>
      <c r="J569" s="23" t="inlineStr">
        <is>
          <t>UNIDADE INDUSTRIAL</t>
        </is>
      </c>
      <c r="K569" s="23" t="inlineStr">
        <is>
          <t>PRINCIPAL</t>
        </is>
      </c>
      <c r="L569" s="23" t="n"/>
      <c r="M569" s="31" t="n"/>
      <c r="N569" s="31" t="n"/>
      <c r="O569" s="31" t="n"/>
      <c r="P569" s="31" t="n"/>
      <c r="Q569" s="31" t="n"/>
      <c r="R569" s="34">
        <f>IFERROR(IF(AND(O569&gt;0,P569&gt;0,Q569&gt;0),(O569*P569*Q569)/6000,""),"")</f>
        <v/>
      </c>
      <c r="S569" s="34">
        <f>IFERROR(IF(AND(N569&gt;0,R569&gt;0),MAX(N569,R569),IF(N569&gt;0,N569,IF(R569&gt;0,R569,""))),"")</f>
        <v/>
      </c>
      <c r="T569" s="36" t="n"/>
      <c r="U569" s="38" t="inlineStr">
        <is>
          <t>FALTA</t>
        </is>
      </c>
      <c r="V569" s="36" t="n">
        <v>814.5700000000001</v>
      </c>
      <c r="W569" s="39" t="n">
        <v>0.3</v>
      </c>
      <c r="X569" s="41">
        <f>IFERROR(V569+T569,"")</f>
        <v/>
      </c>
      <c r="Y569" s="41">
        <f>IFERROR(IF(W569&lt;1,X569/(1-W569),""),"")</f>
        <v/>
      </c>
      <c r="Z569" s="43">
        <f>'01_CONFIG_GLOBAL'!$C$14</f>
        <v/>
      </c>
      <c r="AA569" s="41">
        <f>IFERROR(Y569*Z569,"")</f>
        <v/>
      </c>
      <c r="AB569" s="41">
        <f>IFERROR(IF(Z569&lt;1,Y569/(1-Z569),""),"")</f>
        <v/>
      </c>
      <c r="AC569" s="23" t="n"/>
      <c r="AD569" s="36" t="n"/>
      <c r="AE569" s="23" t="n"/>
      <c r="AF569" s="36" t="n"/>
      <c r="AG569" s="23" t="n"/>
      <c r="AH569" s="36" t="n"/>
      <c r="AI569" s="41">
        <f>IFERROR(AVERAGE(AD569,AF569,AH569),"")</f>
        <v/>
      </c>
      <c r="AJ569" s="29">
        <f>IFERROR(IF(AI569="","sem dados",IF(AB569&lt;AI569*0.95,"abaixo",IF(AB569&gt;AI569*1.05,"acima","em linha"))),"")</f>
        <v/>
      </c>
      <c r="AK569" s="23" t="inlineStr">
        <is>
          <t>não</t>
        </is>
      </c>
      <c r="AL569" s="23" t="n"/>
      <c r="AM569" s="23" t="n"/>
      <c r="AN569" s="23" t="n"/>
      <c r="AO569" s="44">
        <f>A569</f>
        <v/>
      </c>
      <c r="AP569" s="44">
        <f>D569</f>
        <v/>
      </c>
    </row>
    <row r="570" hidden="1" ht="15.75" customHeight="1" s="93">
      <c r="A570" s="23" t="inlineStr">
        <is>
          <t>5.0208.L026892.0</t>
        </is>
      </c>
      <c r="B570" s="23" t="inlineStr">
        <is>
          <t>L026892</t>
        </is>
      </c>
      <c r="C570" s="29">
        <f>IFERROR(LOWER(SUBSTITUTE(SUBSTITUTE(SUBSTITUTE(SUBSTITUTE(D570," ","-"),"/","-"),".",""),",","")),"")</f>
        <v/>
      </c>
      <c r="D570" s="23" t="inlineStr">
        <is>
          <t>BOMBA HIDRÁULICA - APLICAÇÃO 16 C14.C.C1.L</t>
        </is>
      </c>
      <c r="E570" s="23" t="inlineStr">
        <is>
          <t>Bombas Hidráulicas</t>
        </is>
      </c>
      <c r="F570" s="23" t="inlineStr">
        <is>
          <t>SOHIPREN</t>
        </is>
      </c>
      <c r="G570" s="23" t="n"/>
      <c r="H570" s="23" t="inlineStr">
        <is>
          <t>draft</t>
        </is>
      </c>
      <c r="I570" s="23" t="inlineStr">
        <is>
          <t>INDUSTRIAL</t>
        </is>
      </c>
      <c r="J570" s="23" t="n"/>
      <c r="K570" s="23" t="inlineStr">
        <is>
          <t>PRINCIPAL</t>
        </is>
      </c>
      <c r="L570" s="23" t="inlineStr">
        <is>
          <t>12111016037</t>
        </is>
      </c>
      <c r="M570" s="31" t="n"/>
      <c r="N570" s="31" t="n"/>
      <c r="O570" s="31" t="n"/>
      <c r="P570" s="31" t="n"/>
      <c r="Q570" s="31" t="n"/>
      <c r="R570" s="34">
        <f>IFERROR(IF(AND(O570&gt;0,P570&gt;0,Q570&gt;0),(O570*P570*Q570)/6000,""),"")</f>
        <v/>
      </c>
      <c r="S570" s="34">
        <f>IFERROR(IF(AND(N570&gt;0,R570&gt;0),MAX(N570,R570),IF(N570&gt;0,N570,IF(R570&gt;0,R570,""))),"")</f>
        <v/>
      </c>
      <c r="T570" s="36" t="n"/>
      <c r="U570" s="38" t="inlineStr">
        <is>
          <t>FALTA</t>
        </is>
      </c>
      <c r="V570" s="36" t="n">
        <v>517</v>
      </c>
      <c r="W570" s="39" t="n">
        <v>0.3</v>
      </c>
      <c r="X570" s="41">
        <f>IFERROR(V570+T570,"")</f>
        <v/>
      </c>
      <c r="Y570" s="41">
        <f>IFERROR(IF(W570&lt;1,X570/(1-W570),""),"")</f>
        <v/>
      </c>
      <c r="Z570" s="43">
        <f>'01_CONFIG_GLOBAL'!$C$14</f>
        <v/>
      </c>
      <c r="AA570" s="41">
        <f>IFERROR(Y570*Z570,"")</f>
        <v/>
      </c>
      <c r="AB570" s="41">
        <f>IFERROR(IF(Z570&lt;1,Y570/(1-Z570),""),"")</f>
        <v/>
      </c>
      <c r="AC570" s="23" t="n"/>
      <c r="AD570" s="36" t="n"/>
      <c r="AE570" s="23" t="n"/>
      <c r="AF570" s="36" t="n"/>
      <c r="AG570" s="23" t="n"/>
      <c r="AH570" s="36" t="n"/>
      <c r="AI570" s="41">
        <f>IFERROR(AVERAGE(AD570,AF570,AH570),"")</f>
        <v/>
      </c>
      <c r="AJ570" s="29">
        <f>IFERROR(IF(AI570="","sem dados",IF(AB570&lt;AI570*0.95,"abaixo",IF(AB570&gt;AI570*1.05,"acima","em linha"))),"")</f>
        <v/>
      </c>
      <c r="AK570" s="23" t="inlineStr">
        <is>
          <t>não</t>
        </is>
      </c>
      <c r="AL570" s="23" t="n"/>
      <c r="AM570" s="23" t="n"/>
      <c r="AN570" s="23" t="n"/>
      <c r="AO570" s="44">
        <f>A570</f>
        <v/>
      </c>
      <c r="AP570" s="44">
        <f>D570</f>
        <v/>
      </c>
    </row>
    <row r="571" hidden="1" ht="15.75" customHeight="1" s="93">
      <c r="A571" s="23" t="inlineStr">
        <is>
          <t>5.0220.L026893.0</t>
        </is>
      </c>
      <c r="B571" s="23" t="inlineStr">
        <is>
          <t>L026893</t>
        </is>
      </c>
      <c r="C571" s="29">
        <f>IFERROR(LOWER(SUBSTITUTE(SUBSTITUTE(SUBSTITUTE(SUBSTITUTE(D571," ","-"),"/","-"),".",""),",","")),"")</f>
        <v/>
      </c>
      <c r="D571" s="23" t="inlineStr">
        <is>
          <t>BOD 11 E18.C.A121/11.A121.L</t>
        </is>
      </c>
      <c r="E571" s="23" t="inlineStr">
        <is>
          <t>Bombas Hidráulicas</t>
        </is>
      </c>
      <c r="F571" s="23" t="inlineStr">
        <is>
          <t>SOHIPREN</t>
        </is>
      </c>
      <c r="G571" s="23" t="n"/>
      <c r="H571" s="23" t="inlineStr">
        <is>
          <t>draft</t>
        </is>
      </c>
      <c r="I571" s="23" t="inlineStr">
        <is>
          <t>INDUSTRIAL</t>
        </is>
      </c>
      <c r="J571" s="23" t="n"/>
      <c r="K571" s="23" t="inlineStr">
        <is>
          <t>PRINCIPAL</t>
        </is>
      </c>
      <c r="L571" s="23" t="inlineStr">
        <is>
          <t>12102011043</t>
        </is>
      </c>
      <c r="M571" s="31" t="n"/>
      <c r="N571" s="31" t="n"/>
      <c r="O571" s="31" t="n"/>
      <c r="P571" s="31" t="n"/>
      <c r="Q571" s="31" t="n"/>
      <c r="R571" s="34">
        <f>IFERROR(IF(AND(O571&gt;0,P571&gt;0,Q571&gt;0),(O571*P571*Q571)/6000,""),"")</f>
        <v/>
      </c>
      <c r="S571" s="34">
        <f>IFERROR(IF(AND(N571&gt;0,R571&gt;0),MAX(N571,R571),IF(N571&gt;0,N571,IF(R571&gt;0,R571,""))),"")</f>
        <v/>
      </c>
      <c r="T571" s="36" t="n"/>
      <c r="U571" s="38" t="inlineStr">
        <is>
          <t>FALTA</t>
        </is>
      </c>
      <c r="V571" s="36" t="n">
        <v>1551</v>
      </c>
      <c r="W571" s="39" t="n">
        <v>0.3</v>
      </c>
      <c r="X571" s="41">
        <f>IFERROR(V571+T571,"")</f>
        <v/>
      </c>
      <c r="Y571" s="41">
        <f>IFERROR(IF(W571&lt;1,X571/(1-W571),""),"")</f>
        <v/>
      </c>
      <c r="Z571" s="43">
        <f>'01_CONFIG_GLOBAL'!$C$14</f>
        <v/>
      </c>
      <c r="AA571" s="41">
        <f>IFERROR(Y571*Z571,"")</f>
        <v/>
      </c>
      <c r="AB571" s="41">
        <f>IFERROR(IF(Z571&lt;1,Y571/(1-Z571),""),"")</f>
        <v/>
      </c>
      <c r="AC571" s="23" t="n"/>
      <c r="AD571" s="36" t="n"/>
      <c r="AE571" s="23" t="n"/>
      <c r="AF571" s="36" t="n"/>
      <c r="AG571" s="23" t="n"/>
      <c r="AH571" s="36" t="n"/>
      <c r="AI571" s="41">
        <f>IFERROR(AVERAGE(AD571,AF571,AH571),"")</f>
        <v/>
      </c>
      <c r="AJ571" s="29">
        <f>IFERROR(IF(AI571="","sem dados",IF(AB571&lt;AI571*0.95,"abaixo",IF(AB571&gt;AI571*1.05,"acima","em linha"))),"")</f>
        <v/>
      </c>
      <c r="AK571" s="23" t="inlineStr">
        <is>
          <t>não</t>
        </is>
      </c>
      <c r="AL571" s="23" t="n"/>
      <c r="AM571" s="23" t="n"/>
      <c r="AN571" s="23" t="n"/>
      <c r="AO571" s="44">
        <f>A571</f>
        <v/>
      </c>
      <c r="AP571" s="44">
        <f>D571</f>
        <v/>
      </c>
    </row>
    <row r="572" hidden="1" ht="15.75" customHeight="1" s="93">
      <c r="A572" s="23" t="inlineStr">
        <is>
          <t>5.0101.L026981.1</t>
        </is>
      </c>
      <c r="B572" s="23" t="inlineStr">
        <is>
          <t>L026981.1</t>
        </is>
      </c>
      <c r="C572" s="29">
        <f>IFERROR(LOWER(SUBSTITUTE(SUBSTITUTE(SUBSTITUTE(SUBSTITUTE(D572," ","-"),"/","-"),".",""),",","")),"")</f>
        <v/>
      </c>
      <c r="D572" s="23" t="inlineStr">
        <is>
          <t>B1 1,1 (COMPRA 568004.1)</t>
        </is>
      </c>
      <c r="E572" s="23" t="n"/>
      <c r="F572" s="23" t="inlineStr">
        <is>
          <t>SOHIPREN</t>
        </is>
      </c>
      <c r="G572" s="23" t="n"/>
      <c r="H572" s="23" t="inlineStr">
        <is>
          <t>draft</t>
        </is>
      </c>
      <c r="I572" s="23" t="inlineStr">
        <is>
          <t>INDUSTRIAL</t>
        </is>
      </c>
      <c r="J572" s="23" t="inlineStr">
        <is>
          <t>UNIDADE INDUSTRIAL</t>
        </is>
      </c>
      <c r="K572" s="23" t="inlineStr">
        <is>
          <t>PRINCIPAL</t>
        </is>
      </c>
      <c r="L572" s="23" t="n"/>
      <c r="M572" s="31" t="n"/>
      <c r="N572" s="31" t="n"/>
      <c r="O572" s="31" t="n"/>
      <c r="P572" s="31" t="n"/>
      <c r="Q572" s="31" t="n"/>
      <c r="R572" s="34">
        <f>IFERROR(IF(AND(O572&gt;0,P572&gt;0,Q572&gt;0),(O572*P572*Q572)/6000,""),"")</f>
        <v/>
      </c>
      <c r="S572" s="34">
        <f>IFERROR(IF(AND(N572&gt;0,R572&gt;0),MAX(N572,R572),IF(N572&gt;0,N572,IF(R572&gt;0,R572,""))),"")</f>
        <v/>
      </c>
      <c r="T572" s="36" t="n"/>
      <c r="U572" s="38" t="inlineStr">
        <is>
          <t>FALTA</t>
        </is>
      </c>
      <c r="V572" s="36" t="n">
        <v>376.19</v>
      </c>
      <c r="W572" s="39" t="n">
        <v>0.3</v>
      </c>
      <c r="X572" s="41">
        <f>IFERROR(V572+T572,"")</f>
        <v/>
      </c>
      <c r="Y572" s="41">
        <f>IFERROR(IF(W572&lt;1,X572/(1-W572),""),"")</f>
        <v/>
      </c>
      <c r="Z572" s="43">
        <f>'01_CONFIG_GLOBAL'!$C$14</f>
        <v/>
      </c>
      <c r="AA572" s="41">
        <f>IFERROR(Y572*Z572,"")</f>
        <v/>
      </c>
      <c r="AB572" s="41">
        <f>IFERROR(IF(Z572&lt;1,Y572/(1-Z572),""),"")</f>
        <v/>
      </c>
      <c r="AC572" s="23" t="n"/>
      <c r="AD572" s="36" t="n"/>
      <c r="AE572" s="23" t="n"/>
      <c r="AF572" s="36" t="n"/>
      <c r="AG572" s="23" t="n"/>
      <c r="AH572" s="36" t="n"/>
      <c r="AI572" s="41">
        <f>IFERROR(AVERAGE(AD572,AF572,AH572),"")</f>
        <v/>
      </c>
      <c r="AJ572" s="29">
        <f>IFERROR(IF(AI572="","sem dados",IF(AB572&lt;AI572*0.95,"abaixo",IF(AB572&gt;AI572*1.05,"acima","em linha"))),"")</f>
        <v/>
      </c>
      <c r="AK572" s="23" t="inlineStr">
        <is>
          <t>não</t>
        </is>
      </c>
      <c r="AL572" s="23" t="n"/>
      <c r="AM572" s="23" t="n"/>
      <c r="AN572" s="23" t="n"/>
      <c r="AO572" s="44">
        <f>A572</f>
        <v/>
      </c>
      <c r="AP572" s="44">
        <f>D572</f>
        <v/>
      </c>
    </row>
    <row r="573" hidden="1" ht="15.75" customHeight="1" s="93">
      <c r="A573" s="23" t="inlineStr">
        <is>
          <t>5.0103.L026933.0</t>
        </is>
      </c>
      <c r="B573" s="23" t="inlineStr">
        <is>
          <t>L026933</t>
        </is>
      </c>
      <c r="C573" s="29">
        <f>IFERROR(LOWER(SUBSTITUTE(SUBSTITUTE(SUBSTITUTE(SUBSTITUTE(D573," ","-"),"/","-"),".",""),",","")),"")</f>
        <v/>
      </c>
      <c r="D573" s="23" t="inlineStr">
        <is>
          <t>B1I 2,5 A.B13.C2.L</t>
        </is>
      </c>
      <c r="E573" s="23" t="n"/>
      <c r="F573" s="23" t="inlineStr">
        <is>
          <t>SOHIPREN</t>
        </is>
      </c>
      <c r="G573" s="23" t="n"/>
      <c r="H573" s="23" t="inlineStr">
        <is>
          <t>draft</t>
        </is>
      </c>
      <c r="I573" s="23" t="inlineStr">
        <is>
          <t>INDUSTRIAL</t>
        </is>
      </c>
      <c r="J573" s="23" t="inlineStr">
        <is>
          <t>CAMINNHÃO PLATAFORMA</t>
        </is>
      </c>
      <c r="K573" s="23" t="inlineStr">
        <is>
          <t>PRINCIPAL</t>
        </is>
      </c>
      <c r="L573" s="23" t="inlineStr">
        <is>
          <t>10A2,5X244G</t>
        </is>
      </c>
      <c r="M573" s="31" t="n"/>
      <c r="N573" s="31" t="n"/>
      <c r="O573" s="31" t="n"/>
      <c r="P573" s="31" t="n"/>
      <c r="Q573" s="31" t="n"/>
      <c r="R573" s="34">
        <f>IFERROR(IF(AND(O573&gt;0,P573&gt;0,Q573&gt;0),(O573*P573*Q573)/6000,""),"")</f>
        <v/>
      </c>
      <c r="S573" s="34">
        <f>IFERROR(IF(AND(N573&gt;0,R573&gt;0),MAX(N573,R573),IF(N573&gt;0,N573,IF(R573&gt;0,R573,""))),"")</f>
        <v/>
      </c>
      <c r="T573" s="36" t="n"/>
      <c r="U573" s="38" t="inlineStr">
        <is>
          <t>FALTA</t>
        </is>
      </c>
      <c r="V573" s="36" t="n">
        <v>550</v>
      </c>
      <c r="W573" s="39" t="n">
        <v>0.3</v>
      </c>
      <c r="X573" s="41">
        <f>IFERROR(V573+T573,"")</f>
        <v/>
      </c>
      <c r="Y573" s="41">
        <f>IFERROR(IF(W573&lt;1,X573/(1-W573),""),"")</f>
        <v/>
      </c>
      <c r="Z573" s="43">
        <f>'01_CONFIG_GLOBAL'!$C$14</f>
        <v/>
      </c>
      <c r="AA573" s="41">
        <f>IFERROR(Y573*Z573,"")</f>
        <v/>
      </c>
      <c r="AB573" s="41">
        <f>IFERROR(IF(Z573&lt;1,Y573/(1-Z573),""),"")</f>
        <v/>
      </c>
      <c r="AC573" s="23" t="n"/>
      <c r="AD573" s="36" t="n"/>
      <c r="AE573" s="23" t="n"/>
      <c r="AF573" s="36" t="n"/>
      <c r="AG573" s="23" t="n"/>
      <c r="AH573" s="36" t="n"/>
      <c r="AI573" s="41">
        <f>IFERROR(AVERAGE(AD573,AF573,AH573),"")</f>
        <v/>
      </c>
      <c r="AJ573" s="29">
        <f>IFERROR(IF(AI573="","sem dados",IF(AB573&lt;AI573*0.95,"abaixo",IF(AB573&gt;AI573*1.05,"acima","em linha"))),"")</f>
        <v/>
      </c>
      <c r="AK573" s="23" t="inlineStr">
        <is>
          <t>não</t>
        </is>
      </c>
      <c r="AL573" s="23" t="n"/>
      <c r="AM573" s="23" t="n"/>
      <c r="AN573" s="23" t="n"/>
      <c r="AO573" s="44">
        <f>A573</f>
        <v/>
      </c>
      <c r="AP573" s="44">
        <f>D573</f>
        <v/>
      </c>
    </row>
    <row r="574" hidden="1" ht="15.75" customHeight="1" s="93">
      <c r="A574" s="23" t="inlineStr">
        <is>
          <t>5.0107.L026934.0</t>
        </is>
      </c>
      <c r="B574" s="23" t="inlineStr">
        <is>
          <t>L026934</t>
        </is>
      </c>
      <c r="C574" s="29">
        <f>IFERROR(LOWER(SUBSTITUTE(SUBSTITUTE(SUBSTITUTE(SUBSTITUTE(D574," ","-"),"/","-"),".",""),",","")),"")</f>
        <v/>
      </c>
      <c r="D574" s="23" t="inlineStr">
        <is>
          <t>B1D 5 B.B.B.L</t>
        </is>
      </c>
      <c r="E574" s="23" t="n"/>
      <c r="F574" s="23" t="inlineStr">
        <is>
          <t>SOHIPREN</t>
        </is>
      </c>
      <c r="G574" s="23" t="n"/>
      <c r="H574" s="23" t="inlineStr">
        <is>
          <t>draft</t>
        </is>
      </c>
      <c r="I574" s="23" t="inlineStr">
        <is>
          <t>INDUSTRIAL</t>
        </is>
      </c>
      <c r="J574" s="23" t="inlineStr">
        <is>
          <t>UNIDADE HIDRÁULICA</t>
        </is>
      </c>
      <c r="K574" s="23" t="inlineStr">
        <is>
          <t>PRINCIPAL</t>
        </is>
      </c>
      <c r="L574" s="23" t="inlineStr">
        <is>
          <t>10C5X056E</t>
        </is>
      </c>
      <c r="M574" s="31" t="n"/>
      <c r="N574" s="31" t="n"/>
      <c r="O574" s="31" t="n"/>
      <c r="P574" s="31" t="n"/>
      <c r="Q574" s="31" t="n"/>
      <c r="R574" s="34">
        <f>IFERROR(IF(AND(O574&gt;0,P574&gt;0,Q574&gt;0),(O574*P574*Q574)/6000,""),"")</f>
        <v/>
      </c>
      <c r="S574" s="34">
        <f>IFERROR(IF(AND(N574&gt;0,R574&gt;0),MAX(N574,R574),IF(N574&gt;0,N574,IF(R574&gt;0,R574,""))),"")</f>
        <v/>
      </c>
      <c r="T574" s="36" t="n"/>
      <c r="U574" s="38" t="inlineStr">
        <is>
          <t>FALTA</t>
        </is>
      </c>
      <c r="V574" s="36" t="n">
        <v>457.6</v>
      </c>
      <c r="W574" s="39" t="n">
        <v>0.3</v>
      </c>
      <c r="X574" s="41">
        <f>IFERROR(V574+T574,"")</f>
        <v/>
      </c>
      <c r="Y574" s="41">
        <f>IFERROR(IF(W574&lt;1,X574/(1-W574),""),"")</f>
        <v/>
      </c>
      <c r="Z574" s="43">
        <f>'01_CONFIG_GLOBAL'!$C$14</f>
        <v/>
      </c>
      <c r="AA574" s="41">
        <f>IFERROR(Y574*Z574,"")</f>
        <v/>
      </c>
      <c r="AB574" s="41">
        <f>IFERROR(IF(Z574&lt;1,Y574/(1-Z574),""),"")</f>
        <v/>
      </c>
      <c r="AC574" s="23" t="n"/>
      <c r="AD574" s="36" t="n"/>
      <c r="AE574" s="23" t="n"/>
      <c r="AF574" s="36" t="n"/>
      <c r="AG574" s="23" t="n"/>
      <c r="AH574" s="36" t="n"/>
      <c r="AI574" s="41">
        <f>IFERROR(AVERAGE(AD574,AF574,AH574),"")</f>
        <v/>
      </c>
      <c r="AJ574" s="29">
        <f>IFERROR(IF(AI574="","sem dados",IF(AB574&lt;AI574*0.95,"abaixo",IF(AB574&gt;AI574*1.05,"acima","em linha"))),"")</f>
        <v/>
      </c>
      <c r="AK574" s="23" t="inlineStr">
        <is>
          <t>não</t>
        </is>
      </c>
      <c r="AL574" s="23" t="n"/>
      <c r="AM574" s="23" t="n"/>
      <c r="AN574" s="23" t="n"/>
      <c r="AO574" s="44">
        <f>A574</f>
        <v/>
      </c>
      <c r="AP574" s="44">
        <f>D574</f>
        <v/>
      </c>
    </row>
    <row r="575" hidden="1" ht="15.75" customHeight="1" s="93">
      <c r="A575" s="23" t="inlineStr">
        <is>
          <t>5.0207.L026913.0</t>
        </is>
      </c>
      <c r="B575" s="23" t="inlineStr">
        <is>
          <t>L026913</t>
        </is>
      </c>
      <c r="C575" s="29">
        <f>IFERROR(LOWER(SUBSTITUTE(SUBSTITUTE(SUBSTITUTE(SUBSTITUTE(D575," ","-"),"/","-"),".",""),",","")),"")</f>
        <v/>
      </c>
      <c r="D575" s="23" t="inlineStr">
        <is>
          <t>BOD 14 B.B.B106.L</t>
        </is>
      </c>
      <c r="E575" s="23" t="inlineStr">
        <is>
          <t>Bombas Hidráulicas</t>
        </is>
      </c>
      <c r="F575" s="23" t="inlineStr">
        <is>
          <t>SOHIPREN</t>
        </is>
      </c>
      <c r="G575" s="23" t="n"/>
      <c r="H575" s="23" t="inlineStr">
        <is>
          <t>draft</t>
        </is>
      </c>
      <c r="I575" s="23" t="inlineStr">
        <is>
          <t>INDUSTRIAL</t>
        </is>
      </c>
      <c r="J575" s="23" t="inlineStr">
        <is>
          <t>INDUSTRIAL</t>
        </is>
      </c>
      <c r="K575" s="23" t="inlineStr">
        <is>
          <t>PRINCIPAL</t>
        </is>
      </c>
      <c r="L575" s="23" t="inlineStr">
        <is>
          <t>GHP2-D-20</t>
        </is>
      </c>
      <c r="M575" s="31" t="n"/>
      <c r="N575" s="31" t="n"/>
      <c r="O575" s="31" t="n"/>
      <c r="P575" s="31" t="n"/>
      <c r="Q575" s="31" t="n"/>
      <c r="R575" s="34">
        <f>IFERROR(IF(AND(O575&gt;0,P575&gt;0,Q575&gt;0),(O575*P575*Q575)/6000,""),"")</f>
        <v/>
      </c>
      <c r="S575" s="34">
        <f>IFERROR(IF(AND(N575&gt;0,R575&gt;0),MAX(N575,R575),IF(N575&gt;0,N575,IF(R575&gt;0,R575,""))),"")</f>
        <v/>
      </c>
      <c r="T575" s="36" t="n"/>
      <c r="U575" s="38" t="inlineStr">
        <is>
          <t>FALTA</t>
        </is>
      </c>
      <c r="V575" s="36" t="n">
        <v>665</v>
      </c>
      <c r="W575" s="39" t="n">
        <v>0.3</v>
      </c>
      <c r="X575" s="41">
        <f>IFERROR(V575+T575,"")</f>
        <v/>
      </c>
      <c r="Y575" s="41">
        <f>IFERROR(IF(W575&lt;1,X575/(1-W575),""),"")</f>
        <v/>
      </c>
      <c r="Z575" s="43">
        <f>'01_CONFIG_GLOBAL'!$C$14</f>
        <v/>
      </c>
      <c r="AA575" s="41">
        <f>IFERROR(Y575*Z575,"")</f>
        <v/>
      </c>
      <c r="AB575" s="41">
        <f>IFERROR(IF(Z575&lt;1,Y575/(1-Z575),""),"")</f>
        <v/>
      </c>
      <c r="AC575" s="23" t="n"/>
      <c r="AD575" s="36" t="n"/>
      <c r="AE575" s="23" t="n"/>
      <c r="AF575" s="36" t="n"/>
      <c r="AG575" s="23" t="n"/>
      <c r="AH575" s="36" t="n"/>
      <c r="AI575" s="41">
        <f>IFERROR(AVERAGE(AD575,AF575,AH575),"")</f>
        <v/>
      </c>
      <c r="AJ575" s="29">
        <f>IFERROR(IF(AI575="","sem dados",IF(AB575&lt;AI575*0.95,"abaixo",IF(AB575&gt;AI575*1.05,"acima","em linha"))),"")</f>
        <v/>
      </c>
      <c r="AK575" s="23" t="inlineStr">
        <is>
          <t>não</t>
        </is>
      </c>
      <c r="AL575" s="23" t="n"/>
      <c r="AM575" s="23" t="n"/>
      <c r="AN575" s="23" t="n"/>
      <c r="AO575" s="44">
        <f>A575</f>
        <v/>
      </c>
      <c r="AP575" s="44">
        <f>D575</f>
        <v/>
      </c>
    </row>
    <row r="576" hidden="1" ht="15.75" customHeight="1" s="93">
      <c r="A576" s="23" t="inlineStr">
        <is>
          <t>5.0521.L026935.0</t>
        </is>
      </c>
      <c r="B576" s="23" t="inlineStr">
        <is>
          <t>L026935</t>
        </is>
      </c>
      <c r="C576" s="29">
        <f>IFERROR(LOWER(SUBSTITUTE(SUBSTITUTE(SUBSTITUTE(SUBSTITUTE(D576," ","-"),"/","-"),".",""),",","")),"")</f>
        <v/>
      </c>
      <c r="D576" s="23" t="inlineStr">
        <is>
          <t>MC1 32 201.2.21.74/22,5.C1/22,5.C1/22,5.C1.L</t>
        </is>
      </c>
      <c r="E576" s="23" t="n"/>
      <c r="F576" s="23" t="inlineStr">
        <is>
          <t>SOHIPREN</t>
        </is>
      </c>
      <c r="G576" s="23" t="n"/>
      <c r="H576" s="23" t="inlineStr">
        <is>
          <t>draft</t>
        </is>
      </c>
      <c r="I576" s="23" t="inlineStr">
        <is>
          <t>INDUSTRIAL</t>
        </is>
      </c>
      <c r="J576" s="23" t="inlineStr">
        <is>
          <t>CAMINNHÃO PLATAFORMA</t>
        </is>
      </c>
      <c r="K576" s="23" t="inlineStr">
        <is>
          <t>PRINCIPAL</t>
        </is>
      </c>
      <c r="L576" s="23" t="n"/>
      <c r="M576" s="31" t="n"/>
      <c r="N576" s="31" t="n"/>
      <c r="O576" s="31" t="n"/>
      <c r="P576" s="31" t="n"/>
      <c r="Q576" s="31" t="n"/>
      <c r="R576" s="34">
        <f>IFERROR(IF(AND(O576&gt;0,P576&gt;0,Q576&gt;0),(O576*P576*Q576)/6000,""),"")</f>
        <v/>
      </c>
      <c r="S576" s="34">
        <f>IFERROR(IF(AND(N576&gt;0,R576&gt;0),MAX(N576,R576),IF(N576&gt;0,N576,IF(R576&gt;0,R576,""))),"")</f>
        <v/>
      </c>
      <c r="T576" s="36" t="n"/>
      <c r="U576" s="38" t="inlineStr">
        <is>
          <t>FALTA</t>
        </is>
      </c>
      <c r="V576" s="36" t="n">
        <v>1550</v>
      </c>
      <c r="W576" s="39" t="n">
        <v>0.3</v>
      </c>
      <c r="X576" s="41">
        <f>IFERROR(V576+T576,"")</f>
        <v/>
      </c>
      <c r="Y576" s="41">
        <f>IFERROR(IF(W576&lt;1,X576/(1-W576),""),"")</f>
        <v/>
      </c>
      <c r="Z576" s="43">
        <f>'01_CONFIG_GLOBAL'!$C$14</f>
        <v/>
      </c>
      <c r="AA576" s="41">
        <f>IFERROR(Y576*Z576,"")</f>
        <v/>
      </c>
      <c r="AB576" s="41">
        <f>IFERROR(IF(Z576&lt;1,Y576/(1-Z576),""),"")</f>
        <v/>
      </c>
      <c r="AC576" s="23" t="n"/>
      <c r="AD576" s="36" t="n"/>
      <c r="AE576" s="23" t="n"/>
      <c r="AF576" s="36" t="n"/>
      <c r="AG576" s="23" t="n"/>
      <c r="AH576" s="36" t="n"/>
      <c r="AI576" s="41">
        <f>IFERROR(AVERAGE(AD576,AF576,AH576),"")</f>
        <v/>
      </c>
      <c r="AJ576" s="29">
        <f>IFERROR(IF(AI576="","sem dados",IF(AB576&lt;AI576*0.95,"abaixo",IF(AB576&gt;AI576*1.05,"acima","em linha"))),"")</f>
        <v/>
      </c>
      <c r="AK576" s="23" t="inlineStr">
        <is>
          <t>não</t>
        </is>
      </c>
      <c r="AL576" s="23" t="n"/>
      <c r="AM576" s="23" t="n"/>
      <c r="AN576" s="23" t="n"/>
      <c r="AO576" s="44">
        <f>A576</f>
        <v/>
      </c>
      <c r="AP576" s="44">
        <f>D576</f>
        <v/>
      </c>
    </row>
    <row r="577" hidden="1" ht="15.75" customHeight="1" s="93">
      <c r="A577" s="23" t="inlineStr">
        <is>
          <t>5.0506.L025654.0</t>
        </is>
      </c>
      <c r="B577" s="23" t="inlineStr">
        <is>
          <t>L025654</t>
        </is>
      </c>
      <c r="C577" s="29">
        <f>IFERROR(LOWER(SUBSTITUTE(SUBSTITUTE(SUBSTITUTE(SUBSTITUTE(D577," ","-"),"/","-"),".",""),",","")),"")</f>
        <v/>
      </c>
      <c r="D577" s="23" t="inlineStr">
        <is>
          <t>MC1 75 201.2.37.110.61</t>
        </is>
      </c>
      <c r="E577" s="23" t="n"/>
      <c r="F577" s="23" t="inlineStr">
        <is>
          <t>SOHIPREN</t>
        </is>
      </c>
      <c r="G577" s="23" t="n"/>
      <c r="H577" s="23" t="inlineStr">
        <is>
          <t>draft</t>
        </is>
      </c>
      <c r="I577" s="23" t="inlineStr">
        <is>
          <t>INDUSTRIAL</t>
        </is>
      </c>
      <c r="J577" s="23" t="inlineStr">
        <is>
          <t>UNIDADE INDUSTRIAL</t>
        </is>
      </c>
      <c r="K577" s="23" t="inlineStr">
        <is>
          <t>PRINCIPAL</t>
        </is>
      </c>
      <c r="L577" s="23" t="n"/>
      <c r="M577" s="31" t="n"/>
      <c r="N577" s="31" t="n"/>
      <c r="O577" s="31" t="n"/>
      <c r="P577" s="31" t="n"/>
      <c r="Q577" s="31" t="n"/>
      <c r="R577" s="34">
        <f>IFERROR(IF(AND(O577&gt;0,P577&gt;0,Q577&gt;0),(O577*P577*Q577)/6000,""),"")</f>
        <v/>
      </c>
      <c r="S577" s="34">
        <f>IFERROR(IF(AND(N577&gt;0,R577&gt;0),MAX(N577,R577),IF(N577&gt;0,N577,IF(R577&gt;0,R577,""))),"")</f>
        <v/>
      </c>
      <c r="T577" s="36" t="n"/>
      <c r="U577" s="38" t="inlineStr">
        <is>
          <t>FALTA</t>
        </is>
      </c>
      <c r="V577" s="36" t="n">
        <v>1070</v>
      </c>
      <c r="W577" s="39" t="n">
        <v>0.3</v>
      </c>
      <c r="X577" s="41">
        <f>IFERROR(V577+T577,"")</f>
        <v/>
      </c>
      <c r="Y577" s="41">
        <f>IFERROR(IF(W577&lt;1,X577/(1-W577),""),"")</f>
        <v/>
      </c>
      <c r="Z577" s="43">
        <f>'01_CONFIG_GLOBAL'!$C$14</f>
        <v/>
      </c>
      <c r="AA577" s="41">
        <f>IFERROR(Y577*Z577,"")</f>
        <v/>
      </c>
      <c r="AB577" s="41">
        <f>IFERROR(IF(Z577&lt;1,Y577/(1-Z577),""),"")</f>
        <v/>
      </c>
      <c r="AC577" s="23" t="n"/>
      <c r="AD577" s="36" t="n"/>
      <c r="AE577" s="23" t="n"/>
      <c r="AF577" s="36" t="n"/>
      <c r="AG577" s="23" t="n"/>
      <c r="AH577" s="36" t="n"/>
      <c r="AI577" s="41">
        <f>IFERROR(AVERAGE(AD577,AF577,AH577),"")</f>
        <v/>
      </c>
      <c r="AJ577" s="29">
        <f>IFERROR(IF(AI577="","sem dados",IF(AB577&lt;AI577*0.95,"abaixo",IF(AB577&gt;AI577*1.05,"acima","em linha"))),"")</f>
        <v/>
      </c>
      <c r="AK577" s="23" t="inlineStr">
        <is>
          <t>não</t>
        </is>
      </c>
      <c r="AL577" s="23" t="n"/>
      <c r="AM577" s="23" t="n"/>
      <c r="AN577" s="23" t="n"/>
      <c r="AO577" s="44">
        <f>A577</f>
        <v/>
      </c>
      <c r="AP577" s="44">
        <f>D577</f>
        <v/>
      </c>
    </row>
    <row r="578" hidden="1" ht="15.75" customHeight="1" s="93">
      <c r="A578" s="23" t="inlineStr">
        <is>
          <t>5.0504.L025681.0</t>
        </is>
      </c>
      <c r="B578" s="23" t="inlineStr">
        <is>
          <t>L025681</t>
        </is>
      </c>
      <c r="C578" s="29">
        <f>IFERROR(LOWER(SUBSTITUTE(SUBSTITUTE(SUBSTITUTE(SUBSTITUTE(D578," ","-"),"/","-"),".",""),",","")),"")</f>
        <v/>
      </c>
      <c r="D578" s="23" t="inlineStr">
        <is>
          <t>MC1 40 201.2.37.86.61</t>
        </is>
      </c>
      <c r="E578" s="23" t="n"/>
      <c r="F578" s="23" t="inlineStr">
        <is>
          <t>SOHIPREN</t>
        </is>
      </c>
      <c r="G578" s="23" t="n"/>
      <c r="H578" s="23" t="inlineStr">
        <is>
          <t>draft</t>
        </is>
      </c>
      <c r="I578" s="23" t="inlineStr">
        <is>
          <t>INDUSTRIAL</t>
        </is>
      </c>
      <c r="J578" s="23" t="inlineStr">
        <is>
          <t>UNIDADE INDUSTRIAL</t>
        </is>
      </c>
      <c r="K578" s="23" t="inlineStr">
        <is>
          <t>PRINCIPAL</t>
        </is>
      </c>
      <c r="L578" s="23" t="n"/>
      <c r="M578" s="31" t="n"/>
      <c r="N578" s="31" t="n"/>
      <c r="O578" s="31" t="n"/>
      <c r="P578" s="31" t="n"/>
      <c r="Q578" s="31" t="n"/>
      <c r="R578" s="34">
        <f>IFERROR(IF(AND(O578&gt;0,P578&gt;0,Q578&gt;0),(O578*P578*Q578)/6000,""),"")</f>
        <v/>
      </c>
      <c r="S578" s="34">
        <f>IFERROR(IF(AND(N578&gt;0,R578&gt;0),MAX(N578,R578),IF(N578&gt;0,N578,IF(R578&gt;0,R578,""))),"")</f>
        <v/>
      </c>
      <c r="T578" s="36" t="n"/>
      <c r="U578" s="38" t="inlineStr">
        <is>
          <t>FALTA</t>
        </is>
      </c>
      <c r="V578" s="36" t="n">
        <v>799.53</v>
      </c>
      <c r="W578" s="39" t="n">
        <v>0.3</v>
      </c>
      <c r="X578" s="41">
        <f>IFERROR(V578+T578,"")</f>
        <v/>
      </c>
      <c r="Y578" s="41">
        <f>IFERROR(IF(W578&lt;1,X578/(1-W578),""),"")</f>
        <v/>
      </c>
      <c r="Z578" s="43">
        <f>'01_CONFIG_GLOBAL'!$C$14</f>
        <v/>
      </c>
      <c r="AA578" s="41">
        <f>IFERROR(Y578*Z578,"")</f>
        <v/>
      </c>
      <c r="AB578" s="41">
        <f>IFERROR(IF(Z578&lt;1,Y578/(1-Z578),""),"")</f>
        <v/>
      </c>
      <c r="AC578" s="23" t="n"/>
      <c r="AD578" s="36" t="n"/>
      <c r="AE578" s="23" t="n"/>
      <c r="AF578" s="36" t="n"/>
      <c r="AG578" s="23" t="n"/>
      <c r="AH578" s="36" t="n"/>
      <c r="AI578" s="41">
        <f>IFERROR(AVERAGE(AD578,AF578,AH578),"")</f>
        <v/>
      </c>
      <c r="AJ578" s="29">
        <f>IFERROR(IF(AI578="","sem dados",IF(AB578&lt;AI578*0.95,"abaixo",IF(AB578&gt;AI578*1.05,"acima","em linha"))),"")</f>
        <v/>
      </c>
      <c r="AK578" s="23" t="inlineStr">
        <is>
          <t>não</t>
        </is>
      </c>
      <c r="AL578" s="23" t="n"/>
      <c r="AM578" s="23" t="n"/>
      <c r="AN578" s="23" t="n"/>
      <c r="AO578" s="44">
        <f>A578</f>
        <v/>
      </c>
      <c r="AP578" s="44">
        <f>D578</f>
        <v/>
      </c>
    </row>
    <row r="579" hidden="1" ht="15.75" customHeight="1" s="93">
      <c r="A579" s="23" t="inlineStr">
        <is>
          <t>5.0502.L025634.0</t>
        </is>
      </c>
      <c r="B579" s="23" t="inlineStr">
        <is>
          <t>L025634</t>
        </is>
      </c>
      <c r="C579" s="29">
        <f>IFERROR(LOWER(SUBSTITUTE(SUBSTITUTE(SUBSTITUTE(SUBSTITUTE(D579," ","-"),"/","-"),".",""),",","")),"")</f>
        <v/>
      </c>
      <c r="D579" s="23" t="inlineStr">
        <is>
          <t>MC1 26 201.2.21.83X.61</t>
        </is>
      </c>
      <c r="E579" s="23" t="n"/>
      <c r="F579" s="23" t="inlineStr">
        <is>
          <t>SOHIPREN</t>
        </is>
      </c>
      <c r="G579" s="23" t="n"/>
      <c r="H579" s="23" t="inlineStr">
        <is>
          <t>draft</t>
        </is>
      </c>
      <c r="I579" s="23" t="inlineStr">
        <is>
          <t>INDUSTRIAL</t>
        </is>
      </c>
      <c r="J579" s="23" t="inlineStr">
        <is>
          <t>UNIDADE INDUSTRIAL</t>
        </is>
      </c>
      <c r="K579" s="23" t="inlineStr">
        <is>
          <t>PRINCIPAL</t>
        </is>
      </c>
      <c r="L579" s="23" t="n"/>
      <c r="M579" s="31" t="n"/>
      <c r="N579" s="31" t="n"/>
      <c r="O579" s="31" t="n"/>
      <c r="P579" s="31" t="n"/>
      <c r="Q579" s="31" t="n"/>
      <c r="R579" s="34">
        <f>IFERROR(IF(AND(O579&gt;0,P579&gt;0,Q579&gt;0),(O579*P579*Q579)/6000,""),"")</f>
        <v/>
      </c>
      <c r="S579" s="34">
        <f>IFERROR(IF(AND(N579&gt;0,R579&gt;0),MAX(N579,R579),IF(N579&gt;0,N579,IF(R579&gt;0,R579,""))),"")</f>
        <v/>
      </c>
      <c r="T579" s="36" t="n"/>
      <c r="U579" s="38" t="inlineStr">
        <is>
          <t>FALTA</t>
        </is>
      </c>
      <c r="V579" s="36" t="n">
        <v>935</v>
      </c>
      <c r="W579" s="39" t="n">
        <v>0.3</v>
      </c>
      <c r="X579" s="41">
        <f>IFERROR(V579+T579,"")</f>
        <v/>
      </c>
      <c r="Y579" s="41">
        <f>IFERROR(IF(W579&lt;1,X579/(1-W579),""),"")</f>
        <v/>
      </c>
      <c r="Z579" s="43">
        <f>'01_CONFIG_GLOBAL'!$C$14</f>
        <v/>
      </c>
      <c r="AA579" s="41">
        <f>IFERROR(Y579*Z579,"")</f>
        <v/>
      </c>
      <c r="AB579" s="41">
        <f>IFERROR(IF(Z579&lt;1,Y579/(1-Z579),""),"")</f>
        <v/>
      </c>
      <c r="AC579" s="23" t="n"/>
      <c r="AD579" s="36" t="n"/>
      <c r="AE579" s="23" t="n"/>
      <c r="AF579" s="36" t="n"/>
      <c r="AG579" s="23" t="n"/>
      <c r="AH579" s="36" t="n"/>
      <c r="AI579" s="41">
        <f>IFERROR(AVERAGE(AD579,AF579,AH579),"")</f>
        <v/>
      </c>
      <c r="AJ579" s="29">
        <f>IFERROR(IF(AI579="","sem dados",IF(AB579&lt;AI579*0.95,"abaixo",IF(AB579&gt;AI579*1.05,"acima","em linha"))),"")</f>
        <v/>
      </c>
      <c r="AK579" s="23" t="inlineStr">
        <is>
          <t>não</t>
        </is>
      </c>
      <c r="AL579" s="23" t="n"/>
      <c r="AM579" s="23" t="n"/>
      <c r="AN579" s="23" t="n"/>
      <c r="AO579" s="44">
        <f>A579</f>
        <v/>
      </c>
      <c r="AP579" s="44">
        <f>D579</f>
        <v/>
      </c>
    </row>
    <row r="580" hidden="1" ht="15.75" customHeight="1" s="93">
      <c r="A580" s="23" t="inlineStr">
        <is>
          <t>5.0107.L025765.0</t>
        </is>
      </c>
      <c r="B580" s="23" t="inlineStr">
        <is>
          <t>L025765</t>
        </is>
      </c>
      <c r="C580" s="29">
        <f>IFERROR(LOWER(SUBSTITUTE(SUBSTITUTE(SUBSTITUTE(SUBSTITUTE(D580," ","-"),"/","-"),".",""),",","")),"")</f>
        <v/>
      </c>
      <c r="D580" s="23" t="inlineStr">
        <is>
          <t>B1D 5 S2.C.G.G1</t>
        </is>
      </c>
      <c r="E580" s="23" t="n"/>
      <c r="F580" s="23" t="inlineStr">
        <is>
          <t>SOHIPREN</t>
        </is>
      </c>
      <c r="G580" s="23" t="n"/>
      <c r="H580" s="23" t="inlineStr">
        <is>
          <t>draft</t>
        </is>
      </c>
      <c r="I580" s="23" t="inlineStr">
        <is>
          <t>INDUSTRIAL</t>
        </is>
      </c>
      <c r="J580" s="23" t="inlineStr">
        <is>
          <t>UNIDADE FLUHYDRO</t>
        </is>
      </c>
      <c r="K580" s="23" t="inlineStr">
        <is>
          <t>PRINCIPAL</t>
        </is>
      </c>
      <c r="L580" s="23" t="n"/>
      <c r="M580" s="31" t="n"/>
      <c r="N580" s="31" t="n"/>
      <c r="O580" s="31" t="n"/>
      <c r="P580" s="31" t="n"/>
      <c r="Q580" s="31" t="n"/>
      <c r="R580" s="34">
        <f>IFERROR(IF(AND(O580&gt;0,P580&gt;0,Q580&gt;0),(O580*P580*Q580)/6000,""),"")</f>
        <v/>
      </c>
      <c r="S580" s="34">
        <f>IFERROR(IF(AND(N580&gt;0,R580&gt;0),MAX(N580,R580),IF(N580&gt;0,N580,IF(R580&gt;0,R580,""))),"")</f>
        <v/>
      </c>
      <c r="T580" s="36" t="n"/>
      <c r="U580" s="38" t="inlineStr">
        <is>
          <t>FALTA</t>
        </is>
      </c>
      <c r="V580" s="36" t="n">
        <v>570</v>
      </c>
      <c r="W580" s="39" t="n">
        <v>0.3</v>
      </c>
      <c r="X580" s="41">
        <f>IFERROR(V580+T580,"")</f>
        <v/>
      </c>
      <c r="Y580" s="41">
        <f>IFERROR(IF(W580&lt;1,X580/(1-W580),""),"")</f>
        <v/>
      </c>
      <c r="Z580" s="43">
        <f>'01_CONFIG_GLOBAL'!$C$14</f>
        <v/>
      </c>
      <c r="AA580" s="41">
        <f>IFERROR(Y580*Z580,"")</f>
        <v/>
      </c>
      <c r="AB580" s="41">
        <f>IFERROR(IF(Z580&lt;1,Y580/(1-Z580),""),"")</f>
        <v/>
      </c>
      <c r="AC580" s="23" t="n"/>
      <c r="AD580" s="36" t="n"/>
      <c r="AE580" s="23" t="n"/>
      <c r="AF580" s="36" t="n"/>
      <c r="AG580" s="23" t="n"/>
      <c r="AH580" s="36" t="n"/>
      <c r="AI580" s="41">
        <f>IFERROR(AVERAGE(AD580,AF580,AH580),"")</f>
        <v/>
      </c>
      <c r="AJ580" s="29">
        <f>IFERROR(IF(AI580="","sem dados",IF(AB580&lt;AI580*0.95,"abaixo",IF(AB580&gt;AI580*1.05,"acima","em linha"))),"")</f>
        <v/>
      </c>
      <c r="AK580" s="23" t="inlineStr">
        <is>
          <t>não</t>
        </is>
      </c>
      <c r="AL580" s="23" t="n"/>
      <c r="AM580" s="23" t="n"/>
      <c r="AN580" s="23" t="n"/>
      <c r="AO580" s="44">
        <f>A580</f>
        <v/>
      </c>
      <c r="AP580" s="44">
        <f>D580</f>
        <v/>
      </c>
    </row>
    <row r="581" hidden="1" ht="15.75" customHeight="1" s="93">
      <c r="A581" s="23" t="inlineStr">
        <is>
          <t>5.0209.L025562.0</t>
        </is>
      </c>
      <c r="B581" s="23" t="inlineStr">
        <is>
          <t>L025562</t>
        </is>
      </c>
      <c r="C581" s="29">
        <f>IFERROR(LOWER(SUBSTITUTE(SUBSTITUTE(SUBSTITUTE(SUBSTITUTE(D581," ","-"),"/","-"),".",""),",","")),"")</f>
        <v/>
      </c>
      <c r="D581" s="23" t="inlineStr">
        <is>
          <t>BOMBA HIDRÁULICA - APLICAÇÃO 19 C11.C.C19.L</t>
        </is>
      </c>
      <c r="E581" s="23" t="inlineStr">
        <is>
          <t>Bombas Hidráulicas</t>
        </is>
      </c>
      <c r="F581" s="23" t="inlineStr">
        <is>
          <t>SOHIPREN</t>
        </is>
      </c>
      <c r="G581" s="23" t="n"/>
      <c r="H581" s="23" t="inlineStr">
        <is>
          <t>draft</t>
        </is>
      </c>
      <c r="I581" s="23" t="inlineStr">
        <is>
          <t>INDUSTRIAL</t>
        </is>
      </c>
      <c r="J581" s="23" t="inlineStr">
        <is>
          <t>UNIDADE HIDRÁULICA</t>
        </is>
      </c>
      <c r="K581" s="23" t="inlineStr">
        <is>
          <t>PRINCIPAL</t>
        </is>
      </c>
      <c r="L581" s="23" t="inlineStr">
        <is>
          <t>F000510625</t>
        </is>
      </c>
      <c r="M581" s="31" t="n"/>
      <c r="N581" s="31" t="n"/>
      <c r="O581" s="31" t="n"/>
      <c r="P581" s="31" t="n"/>
      <c r="Q581" s="31" t="n"/>
      <c r="R581" s="34">
        <f>IFERROR(IF(AND(O581&gt;0,P581&gt;0,Q581&gt;0),(O581*P581*Q581)/6000,""),"")</f>
        <v/>
      </c>
      <c r="S581" s="34">
        <f>IFERROR(IF(AND(N581&gt;0,R581&gt;0),MAX(N581,R581),IF(N581&gt;0,N581,IF(R581&gt;0,R581,""))),"")</f>
        <v/>
      </c>
      <c r="T581" s="36" t="n"/>
      <c r="U581" s="38" t="inlineStr">
        <is>
          <t>FALTA</t>
        </is>
      </c>
      <c r="V581" s="36" t="n">
        <v>517</v>
      </c>
      <c r="W581" s="39" t="n">
        <v>0.3</v>
      </c>
      <c r="X581" s="41">
        <f>IFERROR(V581+T581,"")</f>
        <v/>
      </c>
      <c r="Y581" s="41">
        <f>IFERROR(IF(W581&lt;1,X581/(1-W581),""),"")</f>
        <v/>
      </c>
      <c r="Z581" s="43">
        <f>'01_CONFIG_GLOBAL'!$C$14</f>
        <v/>
      </c>
      <c r="AA581" s="41">
        <f>IFERROR(Y581*Z581,"")</f>
        <v/>
      </c>
      <c r="AB581" s="41">
        <f>IFERROR(IF(Z581&lt;1,Y581/(1-Z581),""),"")</f>
        <v/>
      </c>
      <c r="AC581" s="23" t="n"/>
      <c r="AD581" s="36" t="n"/>
      <c r="AE581" s="23" t="n"/>
      <c r="AF581" s="36" t="n"/>
      <c r="AG581" s="23" t="n"/>
      <c r="AH581" s="36" t="n"/>
      <c r="AI581" s="41">
        <f>IFERROR(AVERAGE(AD581,AF581,AH581),"")</f>
        <v/>
      </c>
      <c r="AJ581" s="29">
        <f>IFERROR(IF(AI581="","sem dados",IF(AB581&lt;AI581*0.95,"abaixo",IF(AB581&gt;AI581*1.05,"acima","em linha"))),"")</f>
        <v/>
      </c>
      <c r="AK581" s="23" t="inlineStr">
        <is>
          <t>não</t>
        </is>
      </c>
      <c r="AL581" s="23" t="n"/>
      <c r="AM581" s="23" t="n"/>
      <c r="AN581" s="23" t="n"/>
      <c r="AO581" s="44">
        <f>A581</f>
        <v/>
      </c>
      <c r="AP581" s="44">
        <f>D581</f>
        <v/>
      </c>
    </row>
    <row r="582" hidden="1" ht="15.75" customHeight="1" s="93">
      <c r="A582" s="23" t="inlineStr">
        <is>
          <t>5.0103.L008280.1</t>
        </is>
      </c>
      <c r="B582" s="23" t="n"/>
      <c r="C582" s="29">
        <f>IFERROR(LOWER(SUBSTITUTE(SUBSTITUTE(SUBSTITUTE(SUBSTITUTE(D582," ","-"),"/","-"),".",""),",","")),"")</f>
        <v/>
      </c>
      <c r="D582" s="23" t="inlineStr">
        <is>
          <t>B1D 2.1 A2.C.C8.L</t>
        </is>
      </c>
      <c r="E582" s="23" t="n"/>
      <c r="F582" s="23" t="inlineStr">
        <is>
          <t>SOHIPREN</t>
        </is>
      </c>
      <c r="G582" s="23" t="n"/>
      <c r="H582" s="23" t="inlineStr">
        <is>
          <t>draft</t>
        </is>
      </c>
      <c r="I582" s="23" t="inlineStr">
        <is>
          <t>INDUSTRIAL</t>
        </is>
      </c>
      <c r="J582" s="23" t="inlineStr">
        <is>
          <t>UNIDADE INDUSTRIAL</t>
        </is>
      </c>
      <c r="K582" s="23" t="inlineStr">
        <is>
          <t>PRINCIPAL</t>
        </is>
      </c>
      <c r="L582" s="23" t="n"/>
      <c r="M582" s="31" t="n"/>
      <c r="N582" s="31" t="n"/>
      <c r="O582" s="31" t="n"/>
      <c r="P582" s="31" t="n"/>
      <c r="Q582" s="31" t="n"/>
      <c r="R582" s="34">
        <f>IFERROR(IF(AND(O582&gt;0,P582&gt;0,Q582&gt;0),(O582*P582*Q582)/6000,""),"")</f>
        <v/>
      </c>
      <c r="S582" s="34">
        <f>IFERROR(IF(AND(N582&gt;0,R582&gt;0),MAX(N582,R582),IF(N582&gt;0,N582,IF(R582&gt;0,R582,""))),"")</f>
        <v/>
      </c>
      <c r="T582" s="36" t="n"/>
      <c r="U582" s="38" t="inlineStr">
        <is>
          <t>FALTA</t>
        </is>
      </c>
      <c r="V582" s="36" t="n">
        <v>311.45</v>
      </c>
      <c r="W582" s="39" t="n">
        <v>0.3</v>
      </c>
      <c r="X582" s="41">
        <f>IFERROR(V582+T582,"")</f>
        <v/>
      </c>
      <c r="Y582" s="41">
        <f>IFERROR(IF(W582&lt;1,X582/(1-W582),""),"")</f>
        <v/>
      </c>
      <c r="Z582" s="43">
        <f>'01_CONFIG_GLOBAL'!$C$14</f>
        <v/>
      </c>
      <c r="AA582" s="41">
        <f>IFERROR(Y582*Z582,"")</f>
        <v/>
      </c>
      <c r="AB582" s="41">
        <f>IFERROR(IF(Z582&lt;1,Y582/(1-Z582),""),"")</f>
        <v/>
      </c>
      <c r="AC582" s="23" t="n"/>
      <c r="AD582" s="36" t="n"/>
      <c r="AE582" s="23" t="n"/>
      <c r="AF582" s="36" t="n"/>
      <c r="AG582" s="23" t="n"/>
      <c r="AH582" s="36" t="n"/>
      <c r="AI582" s="41">
        <f>IFERROR(AVERAGE(AD582,AF582,AH582),"")</f>
        <v/>
      </c>
      <c r="AJ582" s="29">
        <f>IFERROR(IF(AI582="","sem dados",IF(AB582&lt;AI582*0.95,"abaixo",IF(AB582&gt;AI582*1.05,"acima","em linha"))),"")</f>
        <v/>
      </c>
      <c r="AK582" s="23" t="inlineStr">
        <is>
          <t>não</t>
        </is>
      </c>
      <c r="AL582" s="23" t="n"/>
      <c r="AM582" s="23" t="n"/>
      <c r="AN582" s="23" t="n"/>
      <c r="AO582" s="44">
        <f>A582</f>
        <v/>
      </c>
      <c r="AP582" s="44">
        <f>D582</f>
        <v/>
      </c>
    </row>
    <row r="583" hidden="1" ht="15.75" customHeight="1" s="93">
      <c r="A583" s="23" t="inlineStr">
        <is>
          <t>5.0201.0540607.0</t>
        </is>
      </c>
      <c r="B583" s="23" t="inlineStr">
        <is>
          <t>540607</t>
        </is>
      </c>
      <c r="C583" s="29">
        <f>IFERROR(LOWER(SUBSTITUTE(SUBSTITUTE(SUBSTITUTE(SUBSTITUTE(D583," ","-"),"/","-"),".",""),",","")),"")</f>
        <v/>
      </c>
      <c r="D583" s="23" t="inlineStr">
        <is>
          <t>BOD 2,5 C11.C.C3.L</t>
        </is>
      </c>
      <c r="E583" s="23" t="inlineStr">
        <is>
          <t>Bombas Hidráulicas</t>
        </is>
      </c>
      <c r="F583" s="23" t="inlineStr">
        <is>
          <t>SOHIPREN</t>
        </is>
      </c>
      <c r="G583" s="23" t="n"/>
      <c r="H583" s="23" t="inlineStr">
        <is>
          <t>draft</t>
        </is>
      </c>
      <c r="I583" s="23" t="inlineStr">
        <is>
          <t>INDUSTRIAL</t>
        </is>
      </c>
      <c r="J583" s="23" t="inlineStr">
        <is>
          <t>UNIDADE INDUSTRIAL</t>
        </is>
      </c>
      <c r="K583" s="23" t="inlineStr">
        <is>
          <t>PRINCIPAL</t>
        </is>
      </c>
      <c r="L583" s="23" t="inlineStr">
        <is>
          <t>9510080101</t>
        </is>
      </c>
      <c r="M583" s="31" t="n"/>
      <c r="N583" s="31" t="n"/>
      <c r="O583" s="31" t="n"/>
      <c r="P583" s="31" t="n"/>
      <c r="Q583" s="31" t="n"/>
      <c r="R583" s="34">
        <f>IFERROR(IF(AND(O583&gt;0,P583&gt;0,Q583&gt;0),(O583*P583*Q583)/6000,""),"")</f>
        <v/>
      </c>
      <c r="S583" s="34">
        <f>IFERROR(IF(AND(N583&gt;0,R583&gt;0),MAX(N583,R583),IF(N583&gt;0,N583,IF(R583&gt;0,R583,""))),"")</f>
        <v/>
      </c>
      <c r="T583" s="36" t="n"/>
      <c r="U583" s="38" t="inlineStr">
        <is>
          <t>FALTA</t>
        </is>
      </c>
      <c r="V583" s="36" t="n">
        <v>50.6</v>
      </c>
      <c r="W583" s="39" t="n">
        <v>0.3</v>
      </c>
      <c r="X583" s="41">
        <f>IFERROR(V583+T583,"")</f>
        <v/>
      </c>
      <c r="Y583" s="41">
        <f>IFERROR(IF(W583&lt;1,X583/(1-W583),""),"")</f>
        <v/>
      </c>
      <c r="Z583" s="43">
        <f>'01_CONFIG_GLOBAL'!$C$14</f>
        <v/>
      </c>
      <c r="AA583" s="41">
        <f>IFERROR(Y583*Z583,"")</f>
        <v/>
      </c>
      <c r="AB583" s="41">
        <f>IFERROR(IF(Z583&lt;1,Y583/(1-Z583),""),"")</f>
        <v/>
      </c>
      <c r="AC583" s="23" t="n"/>
      <c r="AD583" s="36" t="n"/>
      <c r="AE583" s="23" t="n"/>
      <c r="AF583" s="36" t="n"/>
      <c r="AG583" s="23" t="n"/>
      <c r="AH583" s="36" t="n"/>
      <c r="AI583" s="41">
        <f>IFERROR(AVERAGE(AD583,AF583,AH583),"")</f>
        <v/>
      </c>
      <c r="AJ583" s="29">
        <f>IFERROR(IF(AI583="","sem dados",IF(AB583&lt;AI583*0.95,"abaixo",IF(AB583&gt;AI583*1.05,"acima","em linha"))),"")</f>
        <v/>
      </c>
      <c r="AK583" s="23" t="inlineStr">
        <is>
          <t>não</t>
        </is>
      </c>
      <c r="AL583" s="23" t="n"/>
      <c r="AM583" s="23" t="n"/>
      <c r="AN583" s="23" t="n"/>
      <c r="AO583" s="44">
        <f>A583</f>
        <v/>
      </c>
      <c r="AP583" s="44">
        <f>D583</f>
        <v/>
      </c>
    </row>
    <row r="584" hidden="1" ht="15.75" customHeight="1" s="93">
      <c r="A584" s="23" t="inlineStr">
        <is>
          <t>5.0505.0504032.0</t>
        </is>
      </c>
      <c r="B584" s="23" t="inlineStr">
        <is>
          <t>504032</t>
        </is>
      </c>
      <c r="C584" s="29">
        <f>IFERROR(LOWER(SUBSTITUTE(SUBSTITUTE(SUBSTITUTE(SUBSTITUTE(D584," ","-"),"/","-"),".",""),",","")),"")</f>
        <v/>
      </c>
      <c r="D584" s="23" t="inlineStr">
        <is>
          <t>MC1 50 201.2.37.69.61</t>
        </is>
      </c>
      <c r="E584" s="23" t="n"/>
      <c r="F584" s="23" t="inlineStr">
        <is>
          <t>SOHIPREN</t>
        </is>
      </c>
      <c r="G584" s="23" t="n"/>
      <c r="H584" s="23" t="inlineStr">
        <is>
          <t>draft</t>
        </is>
      </c>
      <c r="I584" s="23" t="inlineStr">
        <is>
          <t>INDUSTRIAL</t>
        </is>
      </c>
      <c r="J584" s="23" t="inlineStr">
        <is>
          <t>UNIDADE INDUSTRIAL</t>
        </is>
      </c>
      <c r="K584" s="23" t="inlineStr">
        <is>
          <t>PRINCIPAL</t>
        </is>
      </c>
      <c r="L584" s="23" t="n"/>
      <c r="M584" s="31" t="n"/>
      <c r="N584" s="31" t="n"/>
      <c r="O584" s="31" t="n"/>
      <c r="P584" s="31" t="n"/>
      <c r="Q584" s="31" t="n"/>
      <c r="R584" s="34">
        <f>IFERROR(IF(AND(O584&gt;0,P584&gt;0,Q584&gt;0),(O584*P584*Q584)/6000,""),"")</f>
        <v/>
      </c>
      <c r="S584" s="34">
        <f>IFERROR(IF(AND(N584&gt;0,R584&gt;0),MAX(N584,R584),IF(N584&gt;0,N584,IF(R584&gt;0,R584,""))),"")</f>
        <v/>
      </c>
      <c r="T584" s="36" t="n"/>
      <c r="U584" s="38" t="inlineStr">
        <is>
          <t>FALTA</t>
        </is>
      </c>
      <c r="V584" s="36" t="n">
        <v>1145</v>
      </c>
      <c r="W584" s="39" t="n">
        <v>0.3</v>
      </c>
      <c r="X584" s="41">
        <f>IFERROR(V584+T584,"")</f>
        <v/>
      </c>
      <c r="Y584" s="41">
        <f>IFERROR(IF(W584&lt;1,X584/(1-W584),""),"")</f>
        <v/>
      </c>
      <c r="Z584" s="43">
        <f>'01_CONFIG_GLOBAL'!$C$14</f>
        <v/>
      </c>
      <c r="AA584" s="41">
        <f>IFERROR(Y584*Z584,"")</f>
        <v/>
      </c>
      <c r="AB584" s="41">
        <f>IFERROR(IF(Z584&lt;1,Y584/(1-Z584),""),"")</f>
        <v/>
      </c>
      <c r="AC584" s="23" t="n"/>
      <c r="AD584" s="36" t="n"/>
      <c r="AE584" s="23" t="n"/>
      <c r="AF584" s="36" t="n"/>
      <c r="AG584" s="23" t="n"/>
      <c r="AH584" s="36" t="n"/>
      <c r="AI584" s="41">
        <f>IFERROR(AVERAGE(AD584,AF584,AH584),"")</f>
        <v/>
      </c>
      <c r="AJ584" s="29">
        <f>IFERROR(IF(AI584="","sem dados",IF(AB584&lt;AI584*0.95,"abaixo",IF(AB584&gt;AI584*1.05,"acima","em linha"))),"")</f>
        <v/>
      </c>
      <c r="AK584" s="23" t="inlineStr">
        <is>
          <t>não</t>
        </is>
      </c>
      <c r="AL584" s="23" t="n"/>
      <c r="AM584" s="23" t="n"/>
      <c r="AN584" s="23" t="n"/>
      <c r="AO584" s="44">
        <f>A584</f>
        <v/>
      </c>
      <c r="AP584" s="44">
        <f>D584</f>
        <v/>
      </c>
    </row>
    <row r="585" hidden="1" ht="15.75" customHeight="1" s="93">
      <c r="A585" s="23" t="inlineStr">
        <is>
          <t>5.0506.0505030.0</t>
        </is>
      </c>
      <c r="B585" s="23" t="inlineStr">
        <is>
          <t>505030</t>
        </is>
      </c>
      <c r="C585" s="29">
        <f>IFERROR(LOWER(SUBSTITUTE(SUBSTITUTE(SUBSTITUTE(SUBSTITUTE(D585," ","-"),"/","-"),".",""),",","")),"")</f>
        <v/>
      </c>
      <c r="D585" s="23" t="inlineStr">
        <is>
          <t>MC1 60 201.2.37.69.61</t>
        </is>
      </c>
      <c r="E585" s="23" t="n"/>
      <c r="F585" s="23" t="inlineStr">
        <is>
          <t>SOHIPREN</t>
        </is>
      </c>
      <c r="G585" s="23" t="n"/>
      <c r="H585" s="23" t="inlineStr">
        <is>
          <t>draft</t>
        </is>
      </c>
      <c r="I585" s="23" t="inlineStr">
        <is>
          <t>INDUSTRIAL</t>
        </is>
      </c>
      <c r="J585" s="23" t="inlineStr">
        <is>
          <t>UNIDADE INDUSTRIAL</t>
        </is>
      </c>
      <c r="K585" s="23" t="inlineStr">
        <is>
          <t>PRINCIPAL</t>
        </is>
      </c>
      <c r="L585" s="23" t="n"/>
      <c r="M585" s="31" t="n"/>
      <c r="N585" s="31" t="n"/>
      <c r="O585" s="31" t="n"/>
      <c r="P585" s="31" t="n"/>
      <c r="Q585" s="31" t="n"/>
      <c r="R585" s="34">
        <f>IFERROR(IF(AND(O585&gt;0,P585&gt;0,Q585&gt;0),(O585*P585*Q585)/6000,""),"")</f>
        <v/>
      </c>
      <c r="S585" s="34">
        <f>IFERROR(IF(AND(N585&gt;0,R585&gt;0),MAX(N585,R585),IF(N585&gt;0,N585,IF(R585&gt;0,R585,""))),"")</f>
        <v/>
      </c>
      <c r="T585" s="36" t="n"/>
      <c r="U585" s="38" t="inlineStr">
        <is>
          <t>FALTA</t>
        </is>
      </c>
      <c r="V585" s="36" t="n">
        <v>995</v>
      </c>
      <c r="W585" s="39" t="n">
        <v>0.3</v>
      </c>
      <c r="X585" s="41">
        <f>IFERROR(V585+T585,"")</f>
        <v/>
      </c>
      <c r="Y585" s="41">
        <f>IFERROR(IF(W585&lt;1,X585/(1-W585),""),"")</f>
        <v/>
      </c>
      <c r="Z585" s="43">
        <f>'01_CONFIG_GLOBAL'!$C$14</f>
        <v/>
      </c>
      <c r="AA585" s="41">
        <f>IFERROR(Y585*Z585,"")</f>
        <v/>
      </c>
      <c r="AB585" s="41">
        <f>IFERROR(IF(Z585&lt;1,Y585/(1-Z585),""),"")</f>
        <v/>
      </c>
      <c r="AC585" s="23" t="n"/>
      <c r="AD585" s="36" t="n"/>
      <c r="AE585" s="23" t="n"/>
      <c r="AF585" s="36" t="n"/>
      <c r="AG585" s="23" t="n"/>
      <c r="AH585" s="36" t="n"/>
      <c r="AI585" s="41">
        <f>IFERROR(AVERAGE(AD585,AF585,AH585),"")</f>
        <v/>
      </c>
      <c r="AJ585" s="29">
        <f>IFERROR(IF(AI585="","sem dados",IF(AB585&lt;AI585*0.95,"abaixo",IF(AB585&gt;AI585*1.05,"acima","em linha"))),"")</f>
        <v/>
      </c>
      <c r="AK585" s="23" t="inlineStr">
        <is>
          <t>não</t>
        </is>
      </c>
      <c r="AL585" s="23" t="n"/>
      <c r="AM585" s="23" t="n"/>
      <c r="AN585" s="23" t="n"/>
      <c r="AO585" s="44">
        <f>A585</f>
        <v/>
      </c>
      <c r="AP585" s="44">
        <f>D585</f>
        <v/>
      </c>
    </row>
    <row r="586" hidden="1" ht="15.75" customHeight="1" s="93">
      <c r="A586" s="23" t="inlineStr">
        <is>
          <t>5.0507.0506509.0</t>
        </is>
      </c>
      <c r="B586" s="23" t="inlineStr">
        <is>
          <t>506509</t>
        </is>
      </c>
      <c r="C586" s="29">
        <f>IFERROR(LOWER(SUBSTITUTE(SUBSTITUTE(SUBSTITUTE(SUBSTITUTE(D586," ","-"),"/","-"),".",""),",","")),"")</f>
        <v/>
      </c>
      <c r="D586" s="23" t="inlineStr">
        <is>
          <t>MC1 75 201.2.37.82.61</t>
        </is>
      </c>
      <c r="E586" s="23" t="n"/>
      <c r="F586" s="23" t="inlineStr">
        <is>
          <t>SOHIPREN</t>
        </is>
      </c>
      <c r="G586" s="23" t="n"/>
      <c r="H586" s="23" t="inlineStr">
        <is>
          <t>draft</t>
        </is>
      </c>
      <c r="I586" s="23" t="inlineStr">
        <is>
          <t>INDUSTRIAL</t>
        </is>
      </c>
      <c r="J586" s="23" t="inlineStr">
        <is>
          <t>UNIDADE INDUSTRIAL</t>
        </is>
      </c>
      <c r="K586" s="23" t="inlineStr">
        <is>
          <t>PRINCIPAL</t>
        </is>
      </c>
      <c r="L586" s="23" t="n"/>
      <c r="M586" s="31" t="n"/>
      <c r="N586" s="31" t="n"/>
      <c r="O586" s="31" t="n"/>
      <c r="P586" s="31" t="n"/>
      <c r="Q586" s="31" t="n"/>
      <c r="R586" s="34">
        <f>IFERROR(IF(AND(O586&gt;0,P586&gt;0,Q586&gt;0),(O586*P586*Q586)/6000,""),"")</f>
        <v/>
      </c>
      <c r="S586" s="34">
        <f>IFERROR(IF(AND(N586&gt;0,R586&gt;0),MAX(N586,R586),IF(N586&gt;0,N586,IF(R586&gt;0,R586,""))),"")</f>
        <v/>
      </c>
      <c r="T586" s="36" t="n"/>
      <c r="U586" s="38" t="inlineStr">
        <is>
          <t>FALTA</t>
        </is>
      </c>
      <c r="V586" s="36" t="n">
        <v>777.37</v>
      </c>
      <c r="W586" s="39" t="n">
        <v>0.3</v>
      </c>
      <c r="X586" s="41">
        <f>IFERROR(V586+T586,"")</f>
        <v/>
      </c>
      <c r="Y586" s="41">
        <f>IFERROR(IF(W586&lt;1,X586/(1-W586),""),"")</f>
        <v/>
      </c>
      <c r="Z586" s="43">
        <f>'01_CONFIG_GLOBAL'!$C$14</f>
        <v/>
      </c>
      <c r="AA586" s="41">
        <f>IFERROR(Y586*Z586,"")</f>
        <v/>
      </c>
      <c r="AB586" s="41">
        <f>IFERROR(IF(Z586&lt;1,Y586/(1-Z586),""),"")</f>
        <v/>
      </c>
      <c r="AC586" s="23" t="n"/>
      <c r="AD586" s="36" t="n"/>
      <c r="AE586" s="23" t="n"/>
      <c r="AF586" s="36" t="n"/>
      <c r="AG586" s="23" t="n"/>
      <c r="AH586" s="36" t="n"/>
      <c r="AI586" s="41">
        <f>IFERROR(AVERAGE(AD586,AF586,AH586),"")</f>
        <v/>
      </c>
      <c r="AJ586" s="29">
        <f>IFERROR(IF(AI586="","sem dados",IF(AB586&lt;AI586*0.95,"abaixo",IF(AB586&gt;AI586*1.05,"acima","em linha"))),"")</f>
        <v/>
      </c>
      <c r="AK586" s="23" t="inlineStr">
        <is>
          <t>não</t>
        </is>
      </c>
      <c r="AL586" s="23" t="n"/>
      <c r="AM586" s="23" t="n"/>
      <c r="AN586" s="23" t="n"/>
      <c r="AO586" s="44">
        <f>A586</f>
        <v/>
      </c>
      <c r="AP586" s="44">
        <f>D586</f>
        <v/>
      </c>
    </row>
    <row r="587" hidden="1" ht="15.75" customHeight="1" s="93">
      <c r="A587" s="23" t="inlineStr">
        <is>
          <t>5.0220.0547869.0</t>
        </is>
      </c>
      <c r="B587" s="23" t="inlineStr">
        <is>
          <t>547869</t>
        </is>
      </c>
      <c r="C587" s="29">
        <f>IFERROR(LOWER(SUBSTITUTE(SUBSTITUTE(SUBSTITUTE(SUBSTITUTE(D587," ","-"),"/","-"),".",""),",","")),"")</f>
        <v/>
      </c>
      <c r="D587" s="23" t="inlineStr">
        <is>
          <t>BOD 22,5 C11.C.C3/22,5 C3.L</t>
        </is>
      </c>
      <c r="E587" s="23" t="inlineStr">
        <is>
          <t>Bombas Hidráulicas</t>
        </is>
      </c>
      <c r="F587" s="23" t="inlineStr">
        <is>
          <t>SOHIPREN</t>
        </is>
      </c>
      <c r="G587" s="23" t="n"/>
      <c r="H587" s="23" t="inlineStr">
        <is>
          <t>draft</t>
        </is>
      </c>
      <c r="I587" s="23" t="inlineStr">
        <is>
          <t>INDUSTRIAL</t>
        </is>
      </c>
      <c r="J587" s="23" t="inlineStr">
        <is>
          <t>PERFURATRIZ</t>
        </is>
      </c>
      <c r="K587" s="23" t="inlineStr">
        <is>
          <t>PRINCIPAL</t>
        </is>
      </c>
      <c r="L587" s="23" t="inlineStr">
        <is>
          <t>11102022039</t>
        </is>
      </c>
      <c r="M587" s="31" t="n"/>
      <c r="N587" s="31" t="n"/>
      <c r="O587" s="31" t="n"/>
      <c r="P587" s="31" t="n"/>
      <c r="Q587" s="31" t="n"/>
      <c r="R587" s="34">
        <f>IFERROR(IF(AND(O587&gt;0,P587&gt;0,Q587&gt;0),(O587*P587*Q587)/6000,""),"")</f>
        <v/>
      </c>
      <c r="S587" s="34">
        <f>IFERROR(IF(AND(N587&gt;0,R587&gt;0),MAX(N587,R587),IF(N587&gt;0,N587,IF(R587&gt;0,R587,""))),"")</f>
        <v/>
      </c>
      <c r="T587" s="36" t="n"/>
      <c r="U587" s="38" t="inlineStr">
        <is>
          <t>FALTA</t>
        </is>
      </c>
      <c r="V587" s="36" t="n">
        <v>1210</v>
      </c>
      <c r="W587" s="39" t="n">
        <v>0.3</v>
      </c>
      <c r="X587" s="41">
        <f>IFERROR(V587+T587,"")</f>
        <v/>
      </c>
      <c r="Y587" s="41">
        <f>IFERROR(IF(W587&lt;1,X587/(1-W587),""),"")</f>
        <v/>
      </c>
      <c r="Z587" s="43">
        <f>'01_CONFIG_GLOBAL'!$C$14</f>
        <v/>
      </c>
      <c r="AA587" s="41">
        <f>IFERROR(Y587*Z587,"")</f>
        <v/>
      </c>
      <c r="AB587" s="41">
        <f>IFERROR(IF(Z587&lt;1,Y587/(1-Z587),""),"")</f>
        <v/>
      </c>
      <c r="AC587" s="23" t="n"/>
      <c r="AD587" s="36" t="n"/>
      <c r="AE587" s="23" t="n"/>
      <c r="AF587" s="36" t="n"/>
      <c r="AG587" s="23" t="n"/>
      <c r="AH587" s="36" t="n"/>
      <c r="AI587" s="41">
        <f>IFERROR(AVERAGE(AD587,AF587,AH587),"")</f>
        <v/>
      </c>
      <c r="AJ587" s="29">
        <f>IFERROR(IF(AI587="","sem dados",IF(AB587&lt;AI587*0.95,"abaixo",IF(AB587&gt;AI587*1.05,"acima","em linha"))),"")</f>
        <v/>
      </c>
      <c r="AK587" s="23" t="inlineStr">
        <is>
          <t>não</t>
        </is>
      </c>
      <c r="AL587" s="23" t="n"/>
      <c r="AM587" s="23" t="n"/>
      <c r="AN587" s="23" t="n"/>
      <c r="AO587" s="44">
        <f>A587</f>
        <v/>
      </c>
      <c r="AP587" s="44">
        <f>D587</f>
        <v/>
      </c>
    </row>
    <row r="588" hidden="1" ht="15.75" customHeight="1" s="93">
      <c r="A588" s="23" t="inlineStr">
        <is>
          <t>5.0206.0543265.0</t>
        </is>
      </c>
      <c r="B588" s="23" t="inlineStr">
        <is>
          <t>543265</t>
        </is>
      </c>
      <c r="C588" s="29">
        <f>IFERROR(LOWER(SUBSTITUTE(SUBSTITUTE(SUBSTITUTE(SUBSTITUTE(D588," ","-"),"/","-"),".",""),",","")),"")</f>
        <v/>
      </c>
      <c r="D588" s="23" t="inlineStr">
        <is>
          <t>BOD 11 C11.P1.C19.L</t>
        </is>
      </c>
      <c r="E588" s="23" t="inlineStr">
        <is>
          <t>Bombas Hidráulicas</t>
        </is>
      </c>
      <c r="F588" s="23" t="inlineStr">
        <is>
          <t>SOHIPREN</t>
        </is>
      </c>
      <c r="G588" s="23" t="n"/>
      <c r="H588" s="23" t="inlineStr">
        <is>
          <t>draft</t>
        </is>
      </c>
      <c r="I588" s="23" t="inlineStr">
        <is>
          <t>INDUSTRIAL</t>
        </is>
      </c>
      <c r="J588" s="23" t="inlineStr">
        <is>
          <t>UNIDADE INDUSTRIAL</t>
        </is>
      </c>
      <c r="K588" s="23" t="inlineStr">
        <is>
          <t>PRINCIPAL</t>
        </is>
      </c>
      <c r="L588" s="23" t="inlineStr">
        <is>
          <t>9510080533</t>
        </is>
      </c>
      <c r="M588" s="31" t="n"/>
      <c r="N588" s="31" t="n"/>
      <c r="O588" s="31" t="n"/>
      <c r="P588" s="31" t="n"/>
      <c r="Q588" s="31" t="n"/>
      <c r="R588" s="34">
        <f>IFERROR(IF(AND(O588&gt;0,P588&gt;0,Q588&gt;0),(O588*P588*Q588)/6000,""),"")</f>
        <v/>
      </c>
      <c r="S588" s="34">
        <f>IFERROR(IF(AND(N588&gt;0,R588&gt;0),MAX(N588,R588),IF(N588&gt;0,N588,IF(R588&gt;0,R588,""))),"")</f>
        <v/>
      </c>
      <c r="T588" s="36" t="n"/>
      <c r="U588" s="38" t="inlineStr">
        <is>
          <t>FALTA</t>
        </is>
      </c>
      <c r="V588" s="36" t="n">
        <v>517</v>
      </c>
      <c r="W588" s="39" t="n">
        <v>0.3</v>
      </c>
      <c r="X588" s="41">
        <f>IFERROR(V588+T588,"")</f>
        <v/>
      </c>
      <c r="Y588" s="41">
        <f>IFERROR(IF(W588&lt;1,X588/(1-W588),""),"")</f>
        <v/>
      </c>
      <c r="Z588" s="43">
        <f>'01_CONFIG_GLOBAL'!$C$14</f>
        <v/>
      </c>
      <c r="AA588" s="41">
        <f>IFERROR(Y588*Z588,"")</f>
        <v/>
      </c>
      <c r="AB588" s="41">
        <f>IFERROR(IF(Z588&lt;1,Y588/(1-Z588),""),"")</f>
        <v/>
      </c>
      <c r="AC588" s="23" t="n"/>
      <c r="AD588" s="36" t="n"/>
      <c r="AE588" s="23" t="n"/>
      <c r="AF588" s="36" t="n"/>
      <c r="AG588" s="23" t="n"/>
      <c r="AH588" s="36" t="n"/>
      <c r="AI588" s="41">
        <f>IFERROR(AVERAGE(AD588,AF588,AH588),"")</f>
        <v/>
      </c>
      <c r="AJ588" s="29">
        <f>IFERROR(IF(AI588="","sem dados",IF(AB588&lt;AI588*0.95,"abaixo",IF(AB588&gt;AI588*1.05,"acima","em linha"))),"")</f>
        <v/>
      </c>
      <c r="AK588" s="23" t="inlineStr">
        <is>
          <t>não</t>
        </is>
      </c>
      <c r="AL588" s="23" t="n"/>
      <c r="AM588" s="23" t="n"/>
      <c r="AN588" s="23" t="n"/>
      <c r="AO588" s="44">
        <f>A588</f>
        <v/>
      </c>
      <c r="AP588" s="44">
        <f>D588</f>
        <v/>
      </c>
    </row>
    <row r="589" hidden="1" ht="15.75" customHeight="1" s="93">
      <c r="A589" s="23" t="inlineStr">
        <is>
          <t>5.0205.0542401.0</t>
        </is>
      </c>
      <c r="B589" s="23" t="inlineStr">
        <is>
          <t>542401</t>
        </is>
      </c>
      <c r="C589" s="29">
        <f>IFERROR(LOWER(SUBSTITUTE(SUBSTITUTE(SUBSTITUTE(SUBSTITUTE(D589," ","-"),"/","-"),".",""),",","")),"")</f>
        <v/>
      </c>
      <c r="D589" s="23" t="inlineStr">
        <is>
          <t>BOD 8 C11.C.C3.L</t>
        </is>
      </c>
      <c r="E589" s="23" t="inlineStr">
        <is>
          <t>Bombas Hidráulicas</t>
        </is>
      </c>
      <c r="F589" s="23" t="inlineStr">
        <is>
          <t>SOHIPREN</t>
        </is>
      </c>
      <c r="G589" s="23" t="n"/>
      <c r="H589" s="23" t="inlineStr">
        <is>
          <t>draft</t>
        </is>
      </c>
      <c r="I589" s="23" t="inlineStr">
        <is>
          <t>INDUSTRIAL</t>
        </is>
      </c>
      <c r="J589" s="23" t="inlineStr">
        <is>
          <t>UNIDADE HIDRAULICA</t>
        </is>
      </c>
      <c r="K589" s="23" t="inlineStr">
        <is>
          <t>MOVIMENTAÇÃO</t>
        </is>
      </c>
      <c r="L589" s="23" t="inlineStr">
        <is>
          <t>9510080408-11101008004</t>
        </is>
      </c>
      <c r="M589" s="31" t="n"/>
      <c r="N589" s="31" t="n"/>
      <c r="O589" s="31" t="n"/>
      <c r="P589" s="31" t="n"/>
      <c r="Q589" s="31" t="n"/>
      <c r="R589" s="34">
        <f>IFERROR(IF(AND(O589&gt;0,P589&gt;0,Q589&gt;0),(O589*P589*Q589)/6000,""),"")</f>
        <v/>
      </c>
      <c r="S589" s="34">
        <f>IFERROR(IF(AND(N589&gt;0,R589&gt;0),MAX(N589,R589),IF(N589&gt;0,N589,IF(R589&gt;0,R589,""))),"")</f>
        <v/>
      </c>
      <c r="T589" s="36" t="n"/>
      <c r="U589" s="38" t="inlineStr">
        <is>
          <t>FALTA</t>
        </is>
      </c>
      <c r="V589" s="36" t="n">
        <v>605</v>
      </c>
      <c r="W589" s="39" t="n">
        <v>0.3</v>
      </c>
      <c r="X589" s="41">
        <f>IFERROR(V589+T589,"")</f>
        <v/>
      </c>
      <c r="Y589" s="41">
        <f>IFERROR(IF(W589&lt;1,X589/(1-W589),""),"")</f>
        <v/>
      </c>
      <c r="Z589" s="43">
        <f>'01_CONFIG_GLOBAL'!$C$14</f>
        <v/>
      </c>
      <c r="AA589" s="41">
        <f>IFERROR(Y589*Z589,"")</f>
        <v/>
      </c>
      <c r="AB589" s="41">
        <f>IFERROR(IF(Z589&lt;1,Y589/(1-Z589),""),"")</f>
        <v/>
      </c>
      <c r="AC589" s="23" t="n"/>
      <c r="AD589" s="36" t="n"/>
      <c r="AE589" s="23" t="n"/>
      <c r="AF589" s="36" t="n"/>
      <c r="AG589" s="23" t="n"/>
      <c r="AH589" s="36" t="n"/>
      <c r="AI589" s="41">
        <f>IFERROR(AVERAGE(AD589,AF589,AH589),"")</f>
        <v/>
      </c>
      <c r="AJ589" s="29">
        <f>IFERROR(IF(AI589="","sem dados",IF(AB589&lt;AI589*0.95,"abaixo",IF(AB589&gt;AI589*1.05,"acima","em linha"))),"")</f>
        <v/>
      </c>
      <c r="AK589" s="23" t="inlineStr">
        <is>
          <t>não</t>
        </is>
      </c>
      <c r="AL589" s="23" t="n"/>
      <c r="AM589" s="23" t="n"/>
      <c r="AN589" s="23" t="n"/>
      <c r="AO589" s="44">
        <f>A589</f>
        <v/>
      </c>
      <c r="AP589" s="44">
        <f>D589</f>
        <v/>
      </c>
    </row>
    <row r="590" hidden="1" ht="15.75" customHeight="1" s="93">
      <c r="A590" s="23" t="inlineStr">
        <is>
          <t>5.0209.0545715.0</t>
        </is>
      </c>
      <c r="B590" s="23" t="inlineStr">
        <is>
          <t>545715</t>
        </is>
      </c>
      <c r="C590" s="29">
        <f>IFERROR(LOWER(SUBSTITUTE(SUBSTITUTE(SUBSTITUTE(SUBSTITUTE(D590," ","-"),"/","-"),".",""),",","")),"")</f>
        <v/>
      </c>
      <c r="D590" s="23" t="inlineStr">
        <is>
          <t>BOD 19 C11.P1.C3.L</t>
        </is>
      </c>
      <c r="E590" s="23" t="inlineStr">
        <is>
          <t>Bombas Hidráulicas</t>
        </is>
      </c>
      <c r="F590" s="23" t="inlineStr">
        <is>
          <t>SOHIPREN</t>
        </is>
      </c>
      <c r="G590" s="23" t="n"/>
      <c r="H590" s="23" t="inlineStr">
        <is>
          <t>draft</t>
        </is>
      </c>
      <c r="I590" s="23" t="inlineStr">
        <is>
          <t>INDUSTRIAL</t>
        </is>
      </c>
      <c r="J590" s="23" t="n"/>
      <c r="K590" s="23" t="inlineStr">
        <is>
          <t>PRINCIPAL</t>
        </is>
      </c>
      <c r="L590" s="23" t="inlineStr">
        <is>
          <t>11101019056</t>
        </is>
      </c>
      <c r="M590" s="31" t="n"/>
      <c r="N590" s="31" t="n"/>
      <c r="O590" s="31" t="n"/>
      <c r="P590" s="31" t="n"/>
      <c r="Q590" s="31" t="n"/>
      <c r="R590" s="34">
        <f>IFERROR(IF(AND(O590&gt;0,P590&gt;0,Q590&gt;0),(O590*P590*Q590)/6000,""),"")</f>
        <v/>
      </c>
      <c r="S590" s="34">
        <f>IFERROR(IF(AND(N590&gt;0,R590&gt;0),MAX(N590,R590),IF(N590&gt;0,N590,IF(R590&gt;0,R590,""))),"")</f>
        <v/>
      </c>
      <c r="T590" s="36" t="n"/>
      <c r="U590" s="38" t="inlineStr">
        <is>
          <t>FALTA</t>
        </is>
      </c>
      <c r="V590" s="36" t="n">
        <v>420.86</v>
      </c>
      <c r="W590" s="39" t="n">
        <v>0.3</v>
      </c>
      <c r="X590" s="41">
        <f>IFERROR(V590+T590,"")</f>
        <v/>
      </c>
      <c r="Y590" s="41">
        <f>IFERROR(IF(W590&lt;1,X590/(1-W590),""),"")</f>
        <v/>
      </c>
      <c r="Z590" s="43">
        <f>'01_CONFIG_GLOBAL'!$C$14</f>
        <v/>
      </c>
      <c r="AA590" s="41">
        <f>IFERROR(Y590*Z590,"")</f>
        <v/>
      </c>
      <c r="AB590" s="41">
        <f>IFERROR(IF(Z590&lt;1,Y590/(1-Z590),""),"")</f>
        <v/>
      </c>
      <c r="AC590" s="23" t="n"/>
      <c r="AD590" s="36" t="n"/>
      <c r="AE590" s="23" t="n"/>
      <c r="AF590" s="36" t="n"/>
      <c r="AG590" s="23" t="n"/>
      <c r="AH590" s="36" t="n"/>
      <c r="AI590" s="41">
        <f>IFERROR(AVERAGE(AD590,AF590,AH590),"")</f>
        <v/>
      </c>
      <c r="AJ590" s="29">
        <f>IFERROR(IF(AI590="","sem dados",IF(AB590&lt;AI590*0.95,"abaixo",IF(AB590&gt;AI590*1.05,"acima","em linha"))),"")</f>
        <v/>
      </c>
      <c r="AK590" s="23" t="inlineStr">
        <is>
          <t>não</t>
        </is>
      </c>
      <c r="AL590" s="23" t="n"/>
      <c r="AM590" s="23" t="n"/>
      <c r="AN590" s="23" t="n"/>
      <c r="AO590" s="44">
        <f>A590</f>
        <v/>
      </c>
      <c r="AP590" s="44">
        <f>D590</f>
        <v/>
      </c>
    </row>
    <row r="591" hidden="1" ht="15.75" customHeight="1" s="93">
      <c r="A591" s="23" t="inlineStr">
        <is>
          <t>5.0210.0546406.0</t>
        </is>
      </c>
      <c r="B591" s="23" t="inlineStr">
        <is>
          <t>546406</t>
        </is>
      </c>
      <c r="C591" s="29">
        <f>IFERROR(LOWER(SUBSTITUTE(SUBSTITUTE(SUBSTITUTE(SUBSTITUTE(D591," ","-"),"/","-"),".",""),",","")),"")</f>
        <v/>
      </c>
      <c r="D591" s="23" t="inlineStr">
        <is>
          <t>BOD 22,5 C11.C.C3.L</t>
        </is>
      </c>
      <c r="E591" s="23" t="inlineStr">
        <is>
          <t>Bombas Hidráulicas</t>
        </is>
      </c>
      <c r="F591" s="23" t="inlineStr">
        <is>
          <t>SOHIPREN</t>
        </is>
      </c>
      <c r="G591" s="23" t="n"/>
      <c r="H591" s="23" t="inlineStr">
        <is>
          <t>draft</t>
        </is>
      </c>
      <c r="I591" s="23" t="inlineStr">
        <is>
          <t>INDUSTRIAL</t>
        </is>
      </c>
      <c r="J591" s="23" t="inlineStr">
        <is>
          <t>UNIDADE INDUSTRIAL</t>
        </is>
      </c>
      <c r="K591" s="23" t="inlineStr">
        <is>
          <t>PRINCIPAL</t>
        </is>
      </c>
      <c r="L591" s="23" t="inlineStr">
        <is>
          <t>9510080721</t>
        </is>
      </c>
      <c r="M591" s="31" t="n"/>
      <c r="N591" s="31" t="n"/>
      <c r="O591" s="31" t="n"/>
      <c r="P591" s="31" t="n"/>
      <c r="Q591" s="31" t="n"/>
      <c r="R591" s="34">
        <f>IFERROR(IF(AND(O591&gt;0,P591&gt;0,Q591&gt;0),(O591*P591*Q591)/6000,""),"")</f>
        <v/>
      </c>
      <c r="S591" s="34">
        <f>IFERROR(IF(AND(N591&gt;0,R591&gt;0),MAX(N591,R591),IF(N591&gt;0,N591,IF(R591&gt;0,R591,""))),"")</f>
        <v/>
      </c>
      <c r="T591" s="36" t="n"/>
      <c r="U591" s="38" t="inlineStr">
        <is>
          <t>FALTA</t>
        </is>
      </c>
      <c r="V591" s="36" t="n">
        <v>517</v>
      </c>
      <c r="W591" s="39" t="n">
        <v>0.3</v>
      </c>
      <c r="X591" s="41">
        <f>IFERROR(V591+T591,"")</f>
        <v/>
      </c>
      <c r="Y591" s="41">
        <f>IFERROR(IF(W591&lt;1,X591/(1-W591),""),"")</f>
        <v/>
      </c>
      <c r="Z591" s="43">
        <f>'01_CONFIG_GLOBAL'!$C$14</f>
        <v/>
      </c>
      <c r="AA591" s="41">
        <f>IFERROR(Y591*Z591,"")</f>
        <v/>
      </c>
      <c r="AB591" s="41">
        <f>IFERROR(IF(Z591&lt;1,Y591/(1-Z591),""),"")</f>
        <v/>
      </c>
      <c r="AC591" s="23" t="n"/>
      <c r="AD591" s="36" t="n"/>
      <c r="AE591" s="23" t="n"/>
      <c r="AF591" s="36" t="n"/>
      <c r="AG591" s="23" t="n"/>
      <c r="AH591" s="36" t="n"/>
      <c r="AI591" s="41">
        <f>IFERROR(AVERAGE(AD591,AF591,AH591),"")</f>
        <v/>
      </c>
      <c r="AJ591" s="29">
        <f>IFERROR(IF(AI591="","sem dados",IF(AB591&lt;AI591*0.95,"abaixo",IF(AB591&gt;AI591*1.05,"acima","em linha"))),"")</f>
        <v/>
      </c>
      <c r="AK591" s="23" t="inlineStr">
        <is>
          <t>não</t>
        </is>
      </c>
      <c r="AL591" s="23" t="n"/>
      <c r="AM591" s="23" t="n"/>
      <c r="AN591" s="23" t="n"/>
      <c r="AO591" s="44">
        <f>A591</f>
        <v/>
      </c>
      <c r="AP591" s="44">
        <f>D591</f>
        <v/>
      </c>
    </row>
    <row r="592" hidden="1" ht="15.75" customHeight="1" s="93">
      <c r="A592" s="23" t="inlineStr">
        <is>
          <t>5.0208.0544871.0</t>
        </is>
      </c>
      <c r="B592" s="23" t="inlineStr">
        <is>
          <t>544871</t>
        </is>
      </c>
      <c r="C592" s="29">
        <f>IFERROR(LOWER(SUBSTITUTE(SUBSTITUTE(SUBSTITUTE(SUBSTITUTE(D592," ","-"),"/","-"),".",""),",","")),"")</f>
        <v/>
      </c>
      <c r="D592" s="23" t="inlineStr">
        <is>
          <t>BOD 16 C11.P1.C19.L</t>
        </is>
      </c>
      <c r="E592" s="23" t="inlineStr">
        <is>
          <t>Bombas Hidráulicas</t>
        </is>
      </c>
      <c r="F592" s="23" t="inlineStr">
        <is>
          <t>SOHIPREN</t>
        </is>
      </c>
      <c r="G592" s="23" t="n"/>
      <c r="H592" s="23" t="inlineStr">
        <is>
          <t>draft</t>
        </is>
      </c>
      <c r="I592" s="23" t="inlineStr">
        <is>
          <t>INDUSTRIAL</t>
        </is>
      </c>
      <c r="J592" s="23" t="inlineStr">
        <is>
          <t>UNIDADE INDUSTRIAL</t>
        </is>
      </c>
      <c r="K592" s="23" t="inlineStr">
        <is>
          <t>PRINCIPAL</t>
        </is>
      </c>
      <c r="L592" s="23" t="inlineStr">
        <is>
          <t>9510080633 / 11101016012</t>
        </is>
      </c>
      <c r="M592" s="31" t="n"/>
      <c r="N592" s="31" t="n"/>
      <c r="O592" s="31" t="n"/>
      <c r="P592" s="31" t="n"/>
      <c r="Q592" s="31" t="n"/>
      <c r="R592" s="34">
        <f>IFERROR(IF(AND(O592&gt;0,P592&gt;0,Q592&gt;0),(O592*P592*Q592)/6000,""),"")</f>
        <v/>
      </c>
      <c r="S592" s="34">
        <f>IFERROR(IF(AND(N592&gt;0,R592&gt;0),MAX(N592,R592),IF(N592&gt;0,N592,IF(R592&gt;0,R592,""))),"")</f>
        <v/>
      </c>
      <c r="T592" s="36" t="n"/>
      <c r="U592" s="38" t="inlineStr">
        <is>
          <t>FALTA</t>
        </is>
      </c>
      <c r="V592" s="36" t="n">
        <v>519.2</v>
      </c>
      <c r="W592" s="39" t="n">
        <v>0.3</v>
      </c>
      <c r="X592" s="41">
        <f>IFERROR(V592+T592,"")</f>
        <v/>
      </c>
      <c r="Y592" s="41">
        <f>IFERROR(IF(W592&lt;1,X592/(1-W592),""),"")</f>
        <v/>
      </c>
      <c r="Z592" s="43">
        <f>'01_CONFIG_GLOBAL'!$C$14</f>
        <v/>
      </c>
      <c r="AA592" s="41">
        <f>IFERROR(Y592*Z592,"")</f>
        <v/>
      </c>
      <c r="AB592" s="41">
        <f>IFERROR(IF(Z592&lt;1,Y592/(1-Z592),""),"")</f>
        <v/>
      </c>
      <c r="AC592" s="23" t="n"/>
      <c r="AD592" s="36" t="n"/>
      <c r="AE592" s="23" t="n"/>
      <c r="AF592" s="36" t="n"/>
      <c r="AG592" s="23" t="n"/>
      <c r="AH592" s="36" t="n"/>
      <c r="AI592" s="41">
        <f>IFERROR(AVERAGE(AD592,AF592,AH592),"")</f>
        <v/>
      </c>
      <c r="AJ592" s="29">
        <f>IFERROR(IF(AI592="","sem dados",IF(AB592&lt;AI592*0.95,"abaixo",IF(AB592&gt;AI592*1.05,"acima","em linha"))),"")</f>
        <v/>
      </c>
      <c r="AK592" s="23" t="inlineStr">
        <is>
          <t>não</t>
        </is>
      </c>
      <c r="AL592" s="23" t="n"/>
      <c r="AM592" s="23" t="n"/>
      <c r="AN592" s="23" t="n"/>
      <c r="AO592" s="44">
        <f>A592</f>
        <v/>
      </c>
      <c r="AP592" s="44">
        <f>D592</f>
        <v/>
      </c>
    </row>
    <row r="593" hidden="1" ht="15.75" customHeight="1" s="93">
      <c r="A593" s="23" t="inlineStr">
        <is>
          <t>5.0208.0544801.0</t>
        </is>
      </c>
      <c r="B593" s="23" t="inlineStr">
        <is>
          <t>544801</t>
        </is>
      </c>
      <c r="C593" s="29">
        <f>IFERROR(LOWER(SUBSTITUTE(SUBSTITUTE(SUBSTITUTE(SUBSTITUTE(D593," ","-"),"/","-"),".",""),",","")),"")</f>
        <v/>
      </c>
      <c r="D593" s="23" t="inlineStr">
        <is>
          <t>BOD 16 C11.C.C3.L</t>
        </is>
      </c>
      <c r="E593" s="23" t="inlineStr">
        <is>
          <t>Bombas Hidráulicas</t>
        </is>
      </c>
      <c r="F593" s="23" t="inlineStr">
        <is>
          <t>SOHIPREN</t>
        </is>
      </c>
      <c r="G593" s="23" t="n"/>
      <c r="H593" s="23" t="inlineStr">
        <is>
          <t>draft</t>
        </is>
      </c>
      <c r="I593" s="23" t="inlineStr">
        <is>
          <t>INDUSTRIAL</t>
        </is>
      </c>
      <c r="J593" s="23" t="inlineStr">
        <is>
          <t>UNIDADE INDUSTRIAL</t>
        </is>
      </c>
      <c r="K593" s="23" t="inlineStr">
        <is>
          <t>PRINCIPAL</t>
        </is>
      </c>
      <c r="L593" s="23" t="inlineStr">
        <is>
          <t>4510080616</t>
        </is>
      </c>
      <c r="M593" s="31" t="n"/>
      <c r="N593" s="31" t="n"/>
      <c r="O593" s="31" t="n"/>
      <c r="P593" s="31" t="n"/>
      <c r="Q593" s="31" t="n"/>
      <c r="R593" s="34">
        <f>IFERROR(IF(AND(O593&gt;0,P593&gt;0,Q593&gt;0),(O593*P593*Q593)/6000,""),"")</f>
        <v/>
      </c>
      <c r="S593" s="34">
        <f>IFERROR(IF(AND(N593&gt;0,R593&gt;0),MAX(N593,R593),IF(N593&gt;0,N593,IF(R593&gt;0,R593,""))),"")</f>
        <v/>
      </c>
      <c r="T593" s="36" t="n"/>
      <c r="U593" s="38" t="inlineStr">
        <is>
          <t>FALTA</t>
        </is>
      </c>
      <c r="V593" s="36" t="n">
        <v>665</v>
      </c>
      <c r="W593" s="39" t="n">
        <v>0.3</v>
      </c>
      <c r="X593" s="41">
        <f>IFERROR(V593+T593,"")</f>
        <v/>
      </c>
      <c r="Y593" s="41">
        <f>IFERROR(IF(W593&lt;1,X593/(1-W593),""),"")</f>
        <v/>
      </c>
      <c r="Z593" s="43">
        <f>'01_CONFIG_GLOBAL'!$C$14</f>
        <v/>
      </c>
      <c r="AA593" s="41">
        <f>IFERROR(Y593*Z593,"")</f>
        <v/>
      </c>
      <c r="AB593" s="41">
        <f>IFERROR(IF(Z593&lt;1,Y593/(1-Z593),""),"")</f>
        <v/>
      </c>
      <c r="AC593" s="23" t="n"/>
      <c r="AD593" s="36" t="n"/>
      <c r="AE593" s="23" t="n"/>
      <c r="AF593" s="36" t="n"/>
      <c r="AG593" s="23" t="n"/>
      <c r="AH593" s="36" t="n"/>
      <c r="AI593" s="41">
        <f>IFERROR(AVERAGE(AD593,AF593,AH593),"")</f>
        <v/>
      </c>
      <c r="AJ593" s="29">
        <f>IFERROR(IF(AI593="","sem dados",IF(AB593&lt;AI593*0.95,"abaixo",IF(AB593&gt;AI593*1.05,"acima","em linha"))),"")</f>
        <v/>
      </c>
      <c r="AK593" s="23" t="inlineStr">
        <is>
          <t>não</t>
        </is>
      </c>
      <c r="AL593" s="23" t="n"/>
      <c r="AM593" s="23" t="n"/>
      <c r="AN593" s="23" t="n"/>
      <c r="AO593" s="44">
        <f>A593</f>
        <v/>
      </c>
      <c r="AP593" s="44">
        <f>D593</f>
        <v/>
      </c>
    </row>
    <row r="594" hidden="1" ht="15.75" customHeight="1" s="93">
      <c r="A594" s="23" t="inlineStr">
        <is>
          <t>5.0209.0545606.0</t>
        </is>
      </c>
      <c r="B594" s="23" t="inlineStr">
        <is>
          <t>545606</t>
        </is>
      </c>
      <c r="C594" s="29">
        <f>IFERROR(LOWER(SUBSTITUTE(SUBSTITUTE(SUBSTITUTE(SUBSTITUTE(D594," ","-"),"/","-"),".",""),",","")),"")</f>
        <v/>
      </c>
      <c r="D594" s="23" t="inlineStr">
        <is>
          <t>BOD 19 C11.C.C3.L</t>
        </is>
      </c>
      <c r="E594" s="23" t="inlineStr">
        <is>
          <t>Bombas Hidráulicas</t>
        </is>
      </c>
      <c r="F594" s="23" t="inlineStr">
        <is>
          <t>SOHIPREN</t>
        </is>
      </c>
      <c r="G594" s="23" t="n"/>
      <c r="H594" s="23" t="inlineStr">
        <is>
          <t>draft</t>
        </is>
      </c>
      <c r="I594" s="23" t="inlineStr">
        <is>
          <t>INDUSTRIAL</t>
        </is>
      </c>
      <c r="J594" s="23" t="inlineStr">
        <is>
          <t>UNIDADE INDUSTRIAL</t>
        </is>
      </c>
      <c r="K594" s="23" t="inlineStr">
        <is>
          <t>PRINCIPAL</t>
        </is>
      </c>
      <c r="L594" s="23" t="inlineStr">
        <is>
          <t>4510080618</t>
        </is>
      </c>
      <c r="M594" s="31" t="n"/>
      <c r="N594" s="31" t="n"/>
      <c r="O594" s="31" t="n"/>
      <c r="P594" s="31" t="n"/>
      <c r="Q594" s="31" t="n"/>
      <c r="R594" s="34">
        <f>IFERROR(IF(AND(O594&gt;0,P594&gt;0,Q594&gt;0),(O594*P594*Q594)/6000,""),"")</f>
        <v/>
      </c>
      <c r="S594" s="34">
        <f>IFERROR(IF(AND(N594&gt;0,R594&gt;0),MAX(N594,R594),IF(N594&gt;0,N594,IF(R594&gt;0,R594,""))),"")</f>
        <v/>
      </c>
      <c r="T594" s="36" t="n"/>
      <c r="U594" s="38" t="inlineStr">
        <is>
          <t>FALTA</t>
        </is>
      </c>
      <c r="V594" s="36" t="n">
        <v>605</v>
      </c>
      <c r="W594" s="39" t="n">
        <v>0.3</v>
      </c>
      <c r="X594" s="41">
        <f>IFERROR(V594+T594,"")</f>
        <v/>
      </c>
      <c r="Y594" s="41">
        <f>IFERROR(IF(W594&lt;1,X594/(1-W594),""),"")</f>
        <v/>
      </c>
      <c r="Z594" s="43">
        <f>'01_CONFIG_GLOBAL'!$C$14</f>
        <v/>
      </c>
      <c r="AA594" s="41">
        <f>IFERROR(Y594*Z594,"")</f>
        <v/>
      </c>
      <c r="AB594" s="41">
        <f>IFERROR(IF(Z594&lt;1,Y594/(1-Z594),""),"")</f>
        <v/>
      </c>
      <c r="AC594" s="23" t="n"/>
      <c r="AD594" s="36" t="n"/>
      <c r="AE594" s="23" t="n"/>
      <c r="AF594" s="36" t="n"/>
      <c r="AG594" s="23" t="n"/>
      <c r="AH594" s="36" t="n"/>
      <c r="AI594" s="41">
        <f>IFERROR(AVERAGE(AD594,AF594,AH594),"")</f>
        <v/>
      </c>
      <c r="AJ594" s="29">
        <f>IFERROR(IF(AI594="","sem dados",IF(AB594&lt;AI594*0.95,"abaixo",IF(AB594&gt;AI594*1.05,"acima","em linha"))),"")</f>
        <v/>
      </c>
      <c r="AK594" s="23" t="inlineStr">
        <is>
          <t>não</t>
        </is>
      </c>
      <c r="AL594" s="23" t="n"/>
      <c r="AM594" s="23" t="n"/>
      <c r="AN594" s="23" t="n"/>
      <c r="AO594" s="44">
        <f>A594</f>
        <v/>
      </c>
      <c r="AP594" s="44">
        <f>D594</f>
        <v/>
      </c>
    </row>
    <row r="595" hidden="1" ht="15.75" customHeight="1" s="93">
      <c r="A595" s="23" t="inlineStr">
        <is>
          <t>5.0504.0503062.0</t>
        </is>
      </c>
      <c r="B595" s="23" t="inlineStr">
        <is>
          <t>503062</t>
        </is>
      </c>
      <c r="C595" s="29">
        <f>IFERROR(LOWER(SUBSTITUTE(SUBSTITUTE(SUBSTITUTE(SUBSTITUTE(D595," ","-"),"/","-"),".",""),",","")),"")</f>
        <v/>
      </c>
      <c r="D595" s="23" t="inlineStr">
        <is>
          <t>MC1 40 201.1.21.69.61</t>
        </is>
      </c>
      <c r="E595" s="23" t="n"/>
      <c r="F595" s="23" t="inlineStr">
        <is>
          <t>SOHIPREN</t>
        </is>
      </c>
      <c r="G595" s="23" t="n"/>
      <c r="H595" s="23" t="inlineStr">
        <is>
          <t>draft</t>
        </is>
      </c>
      <c r="I595" s="23" t="inlineStr">
        <is>
          <t>INDUSTRIAL</t>
        </is>
      </c>
      <c r="J595" s="23" t="inlineStr">
        <is>
          <t>UNIDADE INDUSTRIAL</t>
        </is>
      </c>
      <c r="K595" s="23" t="inlineStr">
        <is>
          <t>PRINCIPAL</t>
        </is>
      </c>
      <c r="L595" s="23" t="n"/>
      <c r="M595" s="31" t="n"/>
      <c r="N595" s="31" t="n"/>
      <c r="O595" s="31" t="n"/>
      <c r="P595" s="31" t="n"/>
      <c r="Q595" s="31" t="n"/>
      <c r="R595" s="34">
        <f>IFERROR(IF(AND(O595&gt;0,P595&gt;0,Q595&gt;0),(O595*P595*Q595)/6000,""),"")</f>
        <v/>
      </c>
      <c r="S595" s="34">
        <f>IFERROR(IF(AND(N595&gt;0,R595&gt;0),MAX(N595,R595),IF(N595&gt;0,N595,IF(R595&gt;0,R595,""))),"")</f>
        <v/>
      </c>
      <c r="T595" s="36" t="n"/>
      <c r="U595" s="38" t="inlineStr">
        <is>
          <t>FALTA</t>
        </is>
      </c>
      <c r="V595" s="36" t="n">
        <v>1150</v>
      </c>
      <c r="W595" s="39" t="n">
        <v>0.3</v>
      </c>
      <c r="X595" s="41">
        <f>IFERROR(V595+T595,"")</f>
        <v/>
      </c>
      <c r="Y595" s="41">
        <f>IFERROR(IF(W595&lt;1,X595/(1-W595),""),"")</f>
        <v/>
      </c>
      <c r="Z595" s="43">
        <f>'01_CONFIG_GLOBAL'!$C$14</f>
        <v/>
      </c>
      <c r="AA595" s="41">
        <f>IFERROR(Y595*Z595,"")</f>
        <v/>
      </c>
      <c r="AB595" s="41">
        <f>IFERROR(IF(Z595&lt;1,Y595/(1-Z595),""),"")</f>
        <v/>
      </c>
      <c r="AC595" s="23" t="n"/>
      <c r="AD595" s="36" t="n"/>
      <c r="AE595" s="23" t="n"/>
      <c r="AF595" s="36" t="n"/>
      <c r="AG595" s="23" t="n"/>
      <c r="AH595" s="36" t="n"/>
      <c r="AI595" s="41">
        <f>IFERROR(AVERAGE(AD595,AF595,AH595),"")</f>
        <v/>
      </c>
      <c r="AJ595" s="29">
        <f>IFERROR(IF(AI595="","sem dados",IF(AB595&lt;AI595*0.95,"abaixo",IF(AB595&gt;AI595*1.05,"acima","em linha"))),"")</f>
        <v/>
      </c>
      <c r="AK595" s="23" t="inlineStr">
        <is>
          <t>não</t>
        </is>
      </c>
      <c r="AL595" s="23" t="n"/>
      <c r="AM595" s="23" t="n"/>
      <c r="AN595" s="23" t="n"/>
      <c r="AO595" s="44">
        <f>A595</f>
        <v/>
      </c>
      <c r="AP595" s="44">
        <f>D595</f>
        <v/>
      </c>
    </row>
    <row r="596" hidden="1" ht="15.75" customHeight="1" s="93">
      <c r="A596" s="23" t="inlineStr">
        <is>
          <t>5.0504.0503040.0</t>
        </is>
      </c>
      <c r="B596" s="23" t="inlineStr">
        <is>
          <t>503040</t>
        </is>
      </c>
      <c r="C596" s="29">
        <f>IFERROR(LOWER(SUBSTITUTE(SUBSTITUTE(SUBSTITUTE(SUBSTITUTE(D596," ","-"),"/","-"),".",""),",","")),"")</f>
        <v/>
      </c>
      <c r="D596" s="23" t="inlineStr">
        <is>
          <t>MC1 40 201.2.37.69.61</t>
        </is>
      </c>
      <c r="E596" s="23" t="n"/>
      <c r="F596" s="23" t="inlineStr">
        <is>
          <t>SOHIPREN</t>
        </is>
      </c>
      <c r="G596" s="23" t="n"/>
      <c r="H596" s="23" t="inlineStr">
        <is>
          <t>draft</t>
        </is>
      </c>
      <c r="I596" s="23" t="inlineStr">
        <is>
          <t>INDUSTRIAL</t>
        </is>
      </c>
      <c r="J596" s="23" t="inlineStr">
        <is>
          <t>UNIDADE INDUSTRIAL</t>
        </is>
      </c>
      <c r="K596" s="23" t="inlineStr">
        <is>
          <t>PRINCIPAL</t>
        </is>
      </c>
      <c r="L596" s="23" t="n"/>
      <c r="M596" s="31" t="n"/>
      <c r="N596" s="31" t="n"/>
      <c r="O596" s="31" t="n"/>
      <c r="P596" s="31" t="n"/>
      <c r="Q596" s="31" t="n"/>
      <c r="R596" s="34">
        <f>IFERROR(IF(AND(O596&gt;0,P596&gt;0,Q596&gt;0),(O596*P596*Q596)/6000,""),"")</f>
        <v/>
      </c>
      <c r="S596" s="34">
        <f>IFERROR(IF(AND(N596&gt;0,R596&gt;0),MAX(N596,R596),IF(N596&gt;0,N596,IF(R596&gt;0,R596,""))),"")</f>
        <v/>
      </c>
      <c r="T596" s="36" t="n"/>
      <c r="U596" s="38" t="inlineStr">
        <is>
          <t>FALTA</t>
        </is>
      </c>
      <c r="V596" s="36" t="n">
        <v>907.5</v>
      </c>
      <c r="W596" s="39" t="n">
        <v>0.3</v>
      </c>
      <c r="X596" s="41">
        <f>IFERROR(V596+T596,"")</f>
        <v/>
      </c>
      <c r="Y596" s="41">
        <f>IFERROR(IF(W596&lt;1,X596/(1-W596),""),"")</f>
        <v/>
      </c>
      <c r="Z596" s="43">
        <f>'01_CONFIG_GLOBAL'!$C$14</f>
        <v/>
      </c>
      <c r="AA596" s="41">
        <f>IFERROR(Y596*Z596,"")</f>
        <v/>
      </c>
      <c r="AB596" s="41">
        <f>IFERROR(IF(Z596&lt;1,Y596/(1-Z596),""),"")</f>
        <v/>
      </c>
      <c r="AC596" s="23" t="n"/>
      <c r="AD596" s="36" t="n"/>
      <c r="AE596" s="23" t="n"/>
      <c r="AF596" s="36" t="n"/>
      <c r="AG596" s="23" t="n"/>
      <c r="AH596" s="36" t="n"/>
      <c r="AI596" s="41">
        <f>IFERROR(AVERAGE(AD596,AF596,AH596),"")</f>
        <v/>
      </c>
      <c r="AJ596" s="29">
        <f>IFERROR(IF(AI596="","sem dados",IF(AB596&lt;AI596*0.95,"abaixo",IF(AB596&gt;AI596*1.05,"acima","em linha"))),"")</f>
        <v/>
      </c>
      <c r="AK596" s="23" t="inlineStr">
        <is>
          <t>não</t>
        </is>
      </c>
      <c r="AL596" s="23" t="n"/>
      <c r="AM596" s="23" t="n"/>
      <c r="AN596" s="23" t="n"/>
      <c r="AO596" s="44">
        <f>A596</f>
        <v/>
      </c>
      <c r="AP596" s="44">
        <f>D596</f>
        <v/>
      </c>
    </row>
    <row r="597" hidden="1" ht="15.75" customHeight="1" s="93">
      <c r="A597" s="23" t="inlineStr">
        <is>
          <t>5.0502.0501017.0</t>
        </is>
      </c>
      <c r="B597" s="23" t="inlineStr">
        <is>
          <t>501017</t>
        </is>
      </c>
      <c r="C597" s="29">
        <f>IFERROR(LOWER(SUBSTITUTE(SUBSTITUTE(SUBSTITUTE(SUBSTITUTE(D597," ","-"),"/","-"),".",""),",","")),"")</f>
        <v/>
      </c>
      <c r="D597" s="23" t="inlineStr">
        <is>
          <t>MC1 26 201.2.37.69.61</t>
        </is>
      </c>
      <c r="E597" s="23" t="n"/>
      <c r="F597" s="23" t="inlineStr">
        <is>
          <t>SOHIPREN</t>
        </is>
      </c>
      <c r="G597" s="23" t="n"/>
      <c r="H597" s="23" t="inlineStr">
        <is>
          <t>draft</t>
        </is>
      </c>
      <c r="I597" s="23" t="inlineStr">
        <is>
          <t>INDUSTRIAL</t>
        </is>
      </c>
      <c r="J597" s="23" t="inlineStr">
        <is>
          <t>UNIDADE INDUSTRIAL</t>
        </is>
      </c>
      <c r="K597" s="23" t="inlineStr">
        <is>
          <t>PRINCIPAL</t>
        </is>
      </c>
      <c r="L597" s="23" t="n"/>
      <c r="M597" s="31" t="n"/>
      <c r="N597" s="31" t="n"/>
      <c r="O597" s="31" t="n"/>
      <c r="P597" s="31" t="n"/>
      <c r="Q597" s="31" t="n"/>
      <c r="R597" s="34">
        <f>IFERROR(IF(AND(O597&gt;0,P597&gt;0,Q597&gt;0),(O597*P597*Q597)/6000,""),"")</f>
        <v/>
      </c>
      <c r="S597" s="34">
        <f>IFERROR(IF(AND(N597&gt;0,R597&gt;0),MAX(N597,R597),IF(N597&gt;0,N597,IF(R597&gt;0,R597,""))),"")</f>
        <v/>
      </c>
      <c r="T597" s="36" t="n"/>
      <c r="U597" s="38" t="inlineStr">
        <is>
          <t>FALTA</t>
        </is>
      </c>
      <c r="V597" s="36" t="n">
        <v>950</v>
      </c>
      <c r="W597" s="39" t="n">
        <v>0.3</v>
      </c>
      <c r="X597" s="41">
        <f>IFERROR(V597+T597,"")</f>
        <v/>
      </c>
      <c r="Y597" s="41">
        <f>IFERROR(IF(W597&lt;1,X597/(1-W597),""),"")</f>
        <v/>
      </c>
      <c r="Z597" s="43">
        <f>'01_CONFIG_GLOBAL'!$C$14</f>
        <v/>
      </c>
      <c r="AA597" s="41">
        <f>IFERROR(Y597*Z597,"")</f>
        <v/>
      </c>
      <c r="AB597" s="41">
        <f>IFERROR(IF(Z597&lt;1,Y597/(1-Z597),""),"")</f>
        <v/>
      </c>
      <c r="AC597" s="23" t="n"/>
      <c r="AD597" s="36" t="n"/>
      <c r="AE597" s="23" t="n"/>
      <c r="AF597" s="36" t="n"/>
      <c r="AG597" s="23" t="n"/>
      <c r="AH597" s="36" t="n"/>
      <c r="AI597" s="41">
        <f>IFERROR(AVERAGE(AD597,AF597,AH597),"")</f>
        <v/>
      </c>
      <c r="AJ597" s="29">
        <f>IFERROR(IF(AI597="","sem dados",IF(AB597&lt;AI597*0.95,"abaixo",IF(AB597&gt;AI597*1.05,"acima","em linha"))),"")</f>
        <v/>
      </c>
      <c r="AK597" s="23" t="inlineStr">
        <is>
          <t>não</t>
        </is>
      </c>
      <c r="AL597" s="23" t="n"/>
      <c r="AM597" s="23" t="n"/>
      <c r="AN597" s="23" t="n"/>
      <c r="AO597" s="44">
        <f>A597</f>
        <v/>
      </c>
      <c r="AP597" s="44">
        <f>D597</f>
        <v/>
      </c>
    </row>
    <row r="598" hidden="1" ht="15.75" customHeight="1" s="93">
      <c r="A598" s="23" t="inlineStr">
        <is>
          <t>5.0503.0502017.0</t>
        </is>
      </c>
      <c r="B598" s="23" t="inlineStr">
        <is>
          <t>502017</t>
        </is>
      </c>
      <c r="C598" s="29">
        <f>IFERROR(LOWER(SUBSTITUTE(SUBSTITUTE(SUBSTITUTE(SUBSTITUTE(D598," ","-"),"/","-"),".",""),",","")),"")</f>
        <v/>
      </c>
      <c r="D598" s="23" t="inlineStr">
        <is>
          <t>MC1 32 201.2.37.69.61</t>
        </is>
      </c>
      <c r="E598" s="23" t="n"/>
      <c r="F598" s="23" t="inlineStr">
        <is>
          <t>SOHIPREN</t>
        </is>
      </c>
      <c r="G598" s="23" t="n"/>
      <c r="H598" s="23" t="inlineStr">
        <is>
          <t>draft</t>
        </is>
      </c>
      <c r="I598" s="23" t="inlineStr">
        <is>
          <t>INDUSTRIAL</t>
        </is>
      </c>
      <c r="J598" s="23" t="inlineStr">
        <is>
          <t>UNIDADE INDUSTRIAL</t>
        </is>
      </c>
      <c r="K598" s="23" t="inlineStr">
        <is>
          <t>PRINCIPAL</t>
        </is>
      </c>
      <c r="L598" s="23" t="n"/>
      <c r="M598" s="31" t="n"/>
      <c r="N598" s="31" t="n"/>
      <c r="O598" s="31" t="n"/>
      <c r="P598" s="31" t="n"/>
      <c r="Q598" s="31" t="n"/>
      <c r="R598" s="34">
        <f>IFERROR(IF(AND(O598&gt;0,P598&gt;0,Q598&gt;0),(O598*P598*Q598)/6000,""),"")</f>
        <v/>
      </c>
      <c r="S598" s="34">
        <f>IFERROR(IF(AND(N598&gt;0,R598&gt;0),MAX(N598,R598),IF(N598&gt;0,N598,IF(R598&gt;0,R598,""))),"")</f>
        <v/>
      </c>
      <c r="T598" s="36" t="n"/>
      <c r="U598" s="38" t="inlineStr">
        <is>
          <t>FALTA</t>
        </is>
      </c>
      <c r="V598" s="36" t="n">
        <v>874.5</v>
      </c>
      <c r="W598" s="39" t="n">
        <v>0.3</v>
      </c>
      <c r="X598" s="41">
        <f>IFERROR(V598+T598,"")</f>
        <v/>
      </c>
      <c r="Y598" s="41">
        <f>IFERROR(IF(W598&lt;1,X598/(1-W598),""),"")</f>
        <v/>
      </c>
      <c r="Z598" s="43">
        <f>'01_CONFIG_GLOBAL'!$C$14</f>
        <v/>
      </c>
      <c r="AA598" s="41">
        <f>IFERROR(Y598*Z598,"")</f>
        <v/>
      </c>
      <c r="AB598" s="41">
        <f>IFERROR(IF(Z598&lt;1,Y598/(1-Z598),""),"")</f>
        <v/>
      </c>
      <c r="AC598" s="23" t="n"/>
      <c r="AD598" s="36" t="n"/>
      <c r="AE598" s="23" t="n"/>
      <c r="AF598" s="36" t="n"/>
      <c r="AG598" s="23" t="n"/>
      <c r="AH598" s="36" t="n"/>
      <c r="AI598" s="41">
        <f>IFERROR(AVERAGE(AD598,AF598,AH598),"")</f>
        <v/>
      </c>
      <c r="AJ598" s="29">
        <f>IFERROR(IF(AI598="","sem dados",IF(AB598&lt;AI598*0.95,"abaixo",IF(AB598&gt;AI598*1.05,"acima","em linha"))),"")</f>
        <v/>
      </c>
      <c r="AK598" s="23" t="inlineStr">
        <is>
          <t>não</t>
        </is>
      </c>
      <c r="AL598" s="23" t="n"/>
      <c r="AM598" s="23" t="n"/>
      <c r="AN598" s="23" t="n"/>
      <c r="AO598" s="44">
        <f>A598</f>
        <v/>
      </c>
      <c r="AP598" s="44">
        <f>D598</f>
        <v/>
      </c>
    </row>
    <row r="599" hidden="1" ht="15.75" customHeight="1" s="93">
      <c r="A599" s="23" t="inlineStr">
        <is>
          <t>5.0203.0540801.0</t>
        </is>
      </c>
      <c r="B599" s="23" t="inlineStr">
        <is>
          <t>540801</t>
        </is>
      </c>
      <c r="C599" s="29">
        <f>IFERROR(LOWER(SUBSTITUTE(SUBSTITUTE(SUBSTITUTE(SUBSTITUTE(D599," ","-"),"/","-"),".",""),",","")),"")</f>
        <v/>
      </c>
      <c r="D599" s="23" t="inlineStr">
        <is>
          <t>BOD 5,5 C11.C.C3.L</t>
        </is>
      </c>
      <c r="E599" s="23" t="inlineStr">
        <is>
          <t>Bombas Hidráulicas</t>
        </is>
      </c>
      <c r="F599" s="23" t="inlineStr">
        <is>
          <t>SOHIPREN</t>
        </is>
      </c>
      <c r="G599" s="23" t="n"/>
      <c r="H599" s="23" t="inlineStr">
        <is>
          <t>draft</t>
        </is>
      </c>
      <c r="I599" s="23" t="inlineStr">
        <is>
          <t>INDUSTRIAL - HELLER</t>
        </is>
      </c>
      <c r="J599" s="23" t="inlineStr">
        <is>
          <t>MÁQUINA OPERATRIZ-</t>
        </is>
      </c>
      <c r="K599" s="23" t="inlineStr">
        <is>
          <t>MOVIMENTAÇÃO</t>
        </is>
      </c>
      <c r="L599" s="23" t="inlineStr">
        <is>
          <t>1040784</t>
        </is>
      </c>
      <c r="M599" s="31" t="n"/>
      <c r="N599" s="31" t="n"/>
      <c r="O599" s="31" t="n"/>
      <c r="P599" s="31" t="n"/>
      <c r="Q599" s="31" t="n"/>
      <c r="R599" s="34">
        <f>IFERROR(IF(AND(O599&gt;0,P599&gt;0,Q599&gt;0),(O599*P599*Q599)/6000,""),"")</f>
        <v/>
      </c>
      <c r="S599" s="34">
        <f>IFERROR(IF(AND(N599&gt;0,R599&gt;0),MAX(N599,R599),IF(N599&gt;0,N599,IF(R599&gt;0,R599,""))),"")</f>
        <v/>
      </c>
      <c r="T599" s="36" t="n"/>
      <c r="U599" s="38" t="inlineStr">
        <is>
          <t>FALTA</t>
        </is>
      </c>
      <c r="V599" s="36" t="n">
        <v>320.33</v>
      </c>
      <c r="W599" s="39" t="n">
        <v>0.3</v>
      </c>
      <c r="X599" s="41">
        <f>IFERROR(V599+T599,"")</f>
        <v/>
      </c>
      <c r="Y599" s="41">
        <f>IFERROR(IF(W599&lt;1,X599/(1-W599),""),"")</f>
        <v/>
      </c>
      <c r="Z599" s="43">
        <f>'01_CONFIG_GLOBAL'!$C$14</f>
        <v/>
      </c>
      <c r="AA599" s="41">
        <f>IFERROR(Y599*Z599,"")</f>
        <v/>
      </c>
      <c r="AB599" s="41">
        <f>IFERROR(IF(Z599&lt;1,Y599/(1-Z599),""),"")</f>
        <v/>
      </c>
      <c r="AC599" s="23" t="n"/>
      <c r="AD599" s="36" t="n"/>
      <c r="AE599" s="23" t="n"/>
      <c r="AF599" s="36" t="n"/>
      <c r="AG599" s="23" t="n"/>
      <c r="AH599" s="36" t="n"/>
      <c r="AI599" s="41">
        <f>IFERROR(AVERAGE(AD599,AF599,AH599),"")</f>
        <v/>
      </c>
      <c r="AJ599" s="29">
        <f>IFERROR(IF(AI599="","sem dados",IF(AB599&lt;AI599*0.95,"abaixo",IF(AB599&gt;AI599*1.05,"acima","em linha"))),"")</f>
        <v/>
      </c>
      <c r="AK599" s="23" t="inlineStr">
        <is>
          <t>não</t>
        </is>
      </c>
      <c r="AL599" s="23" t="n"/>
      <c r="AM599" s="23" t="n"/>
      <c r="AN599" s="23" t="n"/>
      <c r="AO599" s="44">
        <f>A599</f>
        <v/>
      </c>
      <c r="AP599" s="44">
        <f>D599</f>
        <v/>
      </c>
    </row>
    <row r="600" hidden="1" ht="15.75" customHeight="1" s="93">
      <c r="A600" s="23" t="inlineStr">
        <is>
          <t>5.0521.L027042.0</t>
        </is>
      </c>
      <c r="B600" s="23" t="inlineStr">
        <is>
          <t>L027042</t>
        </is>
      </c>
      <c r="C600" s="29">
        <f>IFERROR(LOWER(SUBSTITUTE(SUBSTITUTE(SUBSTITUTE(SUBSTITUTE(D600," ","-"),"/","-"),".",""),",","")),"")</f>
        <v/>
      </c>
      <c r="D600" s="23" t="inlineStr">
        <is>
          <t>MC1 32 201.2.21.74/32.74/16.C21.L</t>
        </is>
      </c>
      <c r="E600" s="23" t="n"/>
      <c r="F600" s="23" t="inlineStr">
        <is>
          <t>SOHIPREN</t>
        </is>
      </c>
      <c r="G600" s="23" t="n"/>
      <c r="H600" s="23" t="inlineStr">
        <is>
          <t>draft</t>
        </is>
      </c>
      <c r="I600" s="23" t="inlineStr">
        <is>
          <t>INRODA</t>
        </is>
      </c>
      <c r="J600" s="23" t="inlineStr">
        <is>
          <t>DISTRIBUIDOR DE CALCARIO</t>
        </is>
      </c>
      <c r="K600" s="23" t="inlineStr">
        <is>
          <t>PRINCIPAL</t>
        </is>
      </c>
      <c r="L600" s="23" t="n"/>
      <c r="M600" s="31" t="n"/>
      <c r="N600" s="31" t="n"/>
      <c r="O600" s="31" t="n"/>
      <c r="P600" s="31" t="n"/>
      <c r="Q600" s="31" t="n"/>
      <c r="R600" s="34">
        <f>IFERROR(IF(AND(O600&gt;0,P600&gt;0,Q600&gt;0),(O600*P600*Q600)/6000,""),"")</f>
        <v/>
      </c>
      <c r="S600" s="34">
        <f>IFERROR(IF(AND(N600&gt;0,R600&gt;0),MAX(N600,R600),IF(N600&gt;0,N600,IF(R600&gt;0,R600,""))),"")</f>
        <v/>
      </c>
      <c r="T600" s="36" t="n"/>
      <c r="U600" s="38" t="inlineStr">
        <is>
          <t>FALTA</t>
        </is>
      </c>
      <c r="V600" s="36" t="n">
        <v>1675</v>
      </c>
      <c r="W600" s="39" t="n">
        <v>0.3</v>
      </c>
      <c r="X600" s="41">
        <f>IFERROR(V600+T600,"")</f>
        <v/>
      </c>
      <c r="Y600" s="41">
        <f>IFERROR(IF(W600&lt;1,X600/(1-W600),""),"")</f>
        <v/>
      </c>
      <c r="Z600" s="43">
        <f>'01_CONFIG_GLOBAL'!$C$14</f>
        <v/>
      </c>
      <c r="AA600" s="41">
        <f>IFERROR(Y600*Z600,"")</f>
        <v/>
      </c>
      <c r="AB600" s="41">
        <f>IFERROR(IF(Z600&lt;1,Y600/(1-Z600),""),"")</f>
        <v/>
      </c>
      <c r="AC600" s="23" t="n"/>
      <c r="AD600" s="36" t="n"/>
      <c r="AE600" s="23" t="n"/>
      <c r="AF600" s="36" t="n"/>
      <c r="AG600" s="23" t="n"/>
      <c r="AH600" s="36" t="n"/>
      <c r="AI600" s="41">
        <f>IFERROR(AVERAGE(AD600,AF600,AH600),"")</f>
        <v/>
      </c>
      <c r="AJ600" s="29">
        <f>IFERROR(IF(AI600="","sem dados",IF(AB600&lt;AI600*0.95,"abaixo",IF(AB600&gt;AI600*1.05,"acima","em linha"))),"")</f>
        <v/>
      </c>
      <c r="AK600" s="23" t="inlineStr">
        <is>
          <t>não</t>
        </is>
      </c>
      <c r="AL600" s="23" t="n"/>
      <c r="AM600" s="23" t="n"/>
      <c r="AN600" s="23" t="n"/>
      <c r="AO600" s="44">
        <f>A600</f>
        <v/>
      </c>
      <c r="AP600" s="44">
        <f>D600</f>
        <v/>
      </c>
    </row>
    <row r="601" hidden="1" ht="15.75" customHeight="1" s="93">
      <c r="A601" s="23" t="inlineStr">
        <is>
          <t>5.0520.L025336.0</t>
        </is>
      </c>
      <c r="B601" s="23" t="inlineStr">
        <is>
          <t>L025336</t>
        </is>
      </c>
      <c r="C601" s="29">
        <f>IFERROR(LOWER(SUBSTITUTE(SUBSTITUTE(SUBSTITUTE(SUBSTITUTE(D601," ","-"),"/","-"),".",""),",","")),"")</f>
        <v/>
      </c>
      <c r="D601" s="23" t="inlineStr">
        <is>
          <t>MC1 32 201.2.21.74/32.74.61</t>
        </is>
      </c>
      <c r="E601" s="23" t="n"/>
      <c r="F601" s="23" t="inlineStr">
        <is>
          <t>SOHIPREN</t>
        </is>
      </c>
      <c r="G601" s="23" t="n"/>
      <c r="H601" s="23" t="inlineStr">
        <is>
          <t>draft</t>
        </is>
      </c>
      <c r="I601" s="23" t="inlineStr">
        <is>
          <t>INRODA</t>
        </is>
      </c>
      <c r="J601" s="23" t="inlineStr">
        <is>
          <t>DISTRIBUIDOR DE CALCARIO</t>
        </is>
      </c>
      <c r="K601" s="23" t="inlineStr">
        <is>
          <t>PRINCIPAL</t>
        </is>
      </c>
      <c r="L601" s="23" t="n"/>
      <c r="M601" s="31" t="n"/>
      <c r="N601" s="31" t="n"/>
      <c r="O601" s="31" t="n"/>
      <c r="P601" s="31" t="n"/>
      <c r="Q601" s="31" t="n"/>
      <c r="R601" s="34">
        <f>IFERROR(IF(AND(O601&gt;0,P601&gt;0,Q601&gt;0),(O601*P601*Q601)/6000,""),"")</f>
        <v/>
      </c>
      <c r="S601" s="34">
        <f>IFERROR(IF(AND(N601&gt;0,R601&gt;0),MAX(N601,R601),IF(N601&gt;0,N601,IF(R601&gt;0,R601,""))),"")</f>
        <v/>
      </c>
      <c r="T601" s="36" t="n"/>
      <c r="U601" s="38" t="inlineStr">
        <is>
          <t>FALTA</t>
        </is>
      </c>
      <c r="V601" s="36" t="n">
        <v>1870</v>
      </c>
      <c r="W601" s="39" t="n">
        <v>0.3</v>
      </c>
      <c r="X601" s="41">
        <f>IFERROR(V601+T601,"")</f>
        <v/>
      </c>
      <c r="Y601" s="41">
        <f>IFERROR(IF(W601&lt;1,X601/(1-W601),""),"")</f>
        <v/>
      </c>
      <c r="Z601" s="43">
        <f>'01_CONFIG_GLOBAL'!$C$14</f>
        <v/>
      </c>
      <c r="AA601" s="41">
        <f>IFERROR(Y601*Z601,"")</f>
        <v/>
      </c>
      <c r="AB601" s="41">
        <f>IFERROR(IF(Z601&lt;1,Y601/(1-Z601),""),"")</f>
        <v/>
      </c>
      <c r="AC601" s="23" t="n"/>
      <c r="AD601" s="36" t="n"/>
      <c r="AE601" s="23" t="n"/>
      <c r="AF601" s="36" t="n"/>
      <c r="AG601" s="23" t="n"/>
      <c r="AH601" s="36" t="n"/>
      <c r="AI601" s="41">
        <f>IFERROR(AVERAGE(AD601,AF601,AH601),"")</f>
        <v/>
      </c>
      <c r="AJ601" s="29">
        <f>IFERROR(IF(AI601="","sem dados",IF(AB601&lt;AI601*0.95,"abaixo",IF(AB601&gt;AI601*1.05,"acima","em linha"))),"")</f>
        <v/>
      </c>
      <c r="AK601" s="23" t="inlineStr">
        <is>
          <t>não</t>
        </is>
      </c>
      <c r="AL601" s="23" t="n"/>
      <c r="AM601" s="23" t="n"/>
      <c r="AN601" s="23" t="n"/>
      <c r="AO601" s="44">
        <f>A601</f>
        <v/>
      </c>
      <c r="AP601" s="44">
        <f>D601</f>
        <v/>
      </c>
    </row>
    <row r="602" hidden="1" ht="15.75" customHeight="1" s="93">
      <c r="A602" s="23" t="inlineStr">
        <is>
          <t>5.1777.0770529.0</t>
        </is>
      </c>
      <c r="B602" s="23" t="inlineStr">
        <is>
          <t>770529</t>
        </is>
      </c>
      <c r="C602" s="29">
        <f>IFERROR(LOWER(SUBSTITUTE(SUBSTITUTE(SUBSTITUTE(SUBSTITUTE(D602," ","-"),"/","-"),".",""),",","")),"")</f>
        <v/>
      </c>
      <c r="D602" s="23" t="inlineStr">
        <is>
          <t>JGO EJE ENGRANAJE PROLONGADOR #10.TDF</t>
        </is>
      </c>
      <c r="E602" s="23" t="n"/>
      <c r="F602" s="23" t="inlineStr">
        <is>
          <t>SOHIPREN</t>
        </is>
      </c>
      <c r="G602" s="23" t="n"/>
      <c r="H602" s="23" t="inlineStr">
        <is>
          <t>draft</t>
        </is>
      </c>
      <c r="I602" s="23" t="inlineStr">
        <is>
          <t>INTERPUMP</t>
        </is>
      </c>
      <c r="J602" s="23" t="n"/>
      <c r="K602" s="23" t="n"/>
      <c r="L602" s="23" t="inlineStr">
        <is>
          <t>1260</t>
        </is>
      </c>
      <c r="M602" s="31" t="n"/>
      <c r="N602" s="31" t="n"/>
      <c r="O602" s="31" t="n"/>
      <c r="P602" s="31" t="n"/>
      <c r="Q602" s="31" t="n"/>
      <c r="R602" s="34">
        <f>IFERROR(IF(AND(O602&gt;0,P602&gt;0,Q602&gt;0),(O602*P602*Q602)/6000,""),"")</f>
        <v/>
      </c>
      <c r="S602" s="34">
        <f>IFERROR(IF(AND(N602&gt;0,R602&gt;0),MAX(N602,R602),IF(N602&gt;0,N602,IF(R602&gt;0,R602,""))),"")</f>
        <v/>
      </c>
      <c r="T602" s="36" t="n"/>
      <c r="U602" s="38" t="inlineStr">
        <is>
          <t>FALTA</t>
        </is>
      </c>
      <c r="V602" s="36" t="n">
        <v>2045.77</v>
      </c>
      <c r="W602" s="39" t="n">
        <v>0.3</v>
      </c>
      <c r="X602" s="41">
        <f>IFERROR(V602+T602,"")</f>
        <v/>
      </c>
      <c r="Y602" s="41">
        <f>IFERROR(IF(W602&lt;1,X602/(1-W602),""),"")</f>
        <v/>
      </c>
      <c r="Z602" s="43">
        <f>'01_CONFIG_GLOBAL'!$C$14</f>
        <v/>
      </c>
      <c r="AA602" s="41">
        <f>IFERROR(Y602*Z602,"")</f>
        <v/>
      </c>
      <c r="AB602" s="41">
        <f>IFERROR(IF(Z602&lt;1,Y602/(1-Z602),""),"")</f>
        <v/>
      </c>
      <c r="AC602" s="23" t="n"/>
      <c r="AD602" s="36" t="n"/>
      <c r="AE602" s="23" t="n"/>
      <c r="AF602" s="36" t="n"/>
      <c r="AG602" s="23" t="n"/>
      <c r="AH602" s="36" t="n"/>
      <c r="AI602" s="41">
        <f>IFERROR(AVERAGE(AD602,AF602,AH602),"")</f>
        <v/>
      </c>
      <c r="AJ602" s="29">
        <f>IFERROR(IF(AI602="","sem dados",IF(AB602&lt;AI602*0.95,"abaixo",IF(AB602&gt;AI602*1.05,"acima","em linha"))),"")</f>
        <v/>
      </c>
      <c r="AK602" s="23" t="inlineStr">
        <is>
          <t>não</t>
        </is>
      </c>
      <c r="AL602" s="23" t="n"/>
      <c r="AM602" s="23" t="n"/>
      <c r="AN602" s="23" t="n"/>
      <c r="AO602" s="44">
        <f>A602</f>
        <v/>
      </c>
      <c r="AP602" s="44">
        <f>D602</f>
        <v/>
      </c>
    </row>
    <row r="603" hidden="1" ht="15.75" customHeight="1" s="93">
      <c r="A603" s="23" t="inlineStr">
        <is>
          <t>5.1777.0770530.0</t>
        </is>
      </c>
      <c r="B603" s="23" t="inlineStr">
        <is>
          <t>770530</t>
        </is>
      </c>
      <c r="C603" s="29">
        <f>IFERROR(LOWER(SUBSTITUTE(SUBSTITUTE(SUBSTITUTE(SUBSTITUTE(D603," ","-"),"/","-"),".",""),",","")),"")</f>
        <v/>
      </c>
      <c r="D603" s="23" t="inlineStr">
        <is>
          <t>JGO EJE PROLONGADOR #11.TDF</t>
        </is>
      </c>
      <c r="E603" s="23" t="n"/>
      <c r="F603" s="23" t="inlineStr">
        <is>
          <t>SOHIPREN</t>
        </is>
      </c>
      <c r="G603" s="23" t="n"/>
      <c r="H603" s="23" t="inlineStr">
        <is>
          <t>draft</t>
        </is>
      </c>
      <c r="I603" s="23" t="inlineStr">
        <is>
          <t>INTERPUMP</t>
        </is>
      </c>
      <c r="J603" s="23" t="n"/>
      <c r="K603" s="23" t="n"/>
      <c r="L603" s="23" t="inlineStr">
        <is>
          <t>4562</t>
        </is>
      </c>
      <c r="M603" s="31" t="n"/>
      <c r="N603" s="31" t="n"/>
      <c r="O603" s="31" t="n"/>
      <c r="P603" s="31" t="n"/>
      <c r="Q603" s="31" t="n"/>
      <c r="R603" s="34">
        <f>IFERROR(IF(AND(O603&gt;0,P603&gt;0,Q603&gt;0),(O603*P603*Q603)/6000,""),"")</f>
        <v/>
      </c>
      <c r="S603" s="34">
        <f>IFERROR(IF(AND(N603&gt;0,R603&gt;0),MAX(N603,R603),IF(N603&gt;0,N603,IF(R603&gt;0,R603,""))),"")</f>
        <v/>
      </c>
      <c r="T603" s="36" t="n"/>
      <c r="U603" s="38" t="inlineStr">
        <is>
          <t>FALTA</t>
        </is>
      </c>
      <c r="V603" s="36" t="n">
        <v>2045.77</v>
      </c>
      <c r="W603" s="39" t="n">
        <v>0.3</v>
      </c>
      <c r="X603" s="41">
        <f>IFERROR(V603+T603,"")</f>
        <v/>
      </c>
      <c r="Y603" s="41">
        <f>IFERROR(IF(W603&lt;1,X603/(1-W603),""),"")</f>
        <v/>
      </c>
      <c r="Z603" s="43">
        <f>'01_CONFIG_GLOBAL'!$C$14</f>
        <v/>
      </c>
      <c r="AA603" s="41">
        <f>IFERROR(Y603*Z603,"")</f>
        <v/>
      </c>
      <c r="AB603" s="41">
        <f>IFERROR(IF(Z603&lt;1,Y603/(1-Z603),""),"")</f>
        <v/>
      </c>
      <c r="AC603" s="23" t="n"/>
      <c r="AD603" s="36" t="n"/>
      <c r="AE603" s="23" t="n"/>
      <c r="AF603" s="36" t="n"/>
      <c r="AG603" s="23" t="n"/>
      <c r="AH603" s="36" t="n"/>
      <c r="AI603" s="41">
        <f>IFERROR(AVERAGE(AD603,AF603,AH603),"")</f>
        <v/>
      </c>
      <c r="AJ603" s="29">
        <f>IFERROR(IF(AI603="","sem dados",IF(AB603&lt;AI603*0.95,"abaixo",IF(AB603&gt;AI603*1.05,"acima","em linha"))),"")</f>
        <v/>
      </c>
      <c r="AK603" s="23" t="inlineStr">
        <is>
          <t>não</t>
        </is>
      </c>
      <c r="AL603" s="23" t="n"/>
      <c r="AM603" s="23" t="n"/>
      <c r="AN603" s="23" t="n"/>
      <c r="AO603" s="44">
        <f>A603</f>
        <v/>
      </c>
      <c r="AP603" s="44">
        <f>D603</f>
        <v/>
      </c>
    </row>
    <row r="604" hidden="1" ht="15.75" customHeight="1" s="93">
      <c r="A604" s="23" t="inlineStr">
        <is>
          <t>5.1777.0770531.0</t>
        </is>
      </c>
      <c r="B604" s="23" t="inlineStr">
        <is>
          <t>770531</t>
        </is>
      </c>
      <c r="C604" s="29">
        <f>IFERROR(LOWER(SUBSTITUTE(SUBSTITUTE(SUBSTITUTE(SUBSTITUTE(D604," ","-"),"/","-"),".",""),",","")),"")</f>
        <v/>
      </c>
      <c r="D604" s="23" t="inlineStr">
        <is>
          <t>JGO EJE PROLONGADOR #12.TDF</t>
        </is>
      </c>
      <c r="E604" s="23" t="n"/>
      <c r="F604" s="23" t="inlineStr">
        <is>
          <t>SOHIPREN</t>
        </is>
      </c>
      <c r="G604" s="23" t="n"/>
      <c r="H604" s="23" t="inlineStr">
        <is>
          <t>draft</t>
        </is>
      </c>
      <c r="I604" s="23" t="inlineStr">
        <is>
          <t>INTERPUMP</t>
        </is>
      </c>
      <c r="J604" s="23" t="inlineStr">
        <is>
          <t>(1262 - CONJ. EIXO)</t>
        </is>
      </c>
      <c r="K604" s="23" t="n"/>
      <c r="L604" s="23" t="inlineStr">
        <is>
          <t>1262</t>
        </is>
      </c>
      <c r="M604" s="31" t="n"/>
      <c r="N604" s="31" t="n"/>
      <c r="O604" s="31" t="n"/>
      <c r="P604" s="31" t="n"/>
      <c r="Q604" s="31" t="n"/>
      <c r="R604" s="34">
        <f>IFERROR(IF(AND(O604&gt;0,P604&gt;0,Q604&gt;0),(O604*P604*Q604)/6000,""),"")</f>
        <v/>
      </c>
      <c r="S604" s="34">
        <f>IFERROR(IF(AND(N604&gt;0,R604&gt;0),MAX(N604,R604),IF(N604&gt;0,N604,IF(R604&gt;0,R604,""))),"")</f>
        <v/>
      </c>
      <c r="T604" s="36" t="n"/>
      <c r="U604" s="38" t="inlineStr">
        <is>
          <t>FALTA</t>
        </is>
      </c>
      <c r="V604" s="36" t="n">
        <v>2045.77</v>
      </c>
      <c r="W604" s="39" t="n">
        <v>0.3</v>
      </c>
      <c r="X604" s="41">
        <f>IFERROR(V604+T604,"")</f>
        <v/>
      </c>
      <c r="Y604" s="41">
        <f>IFERROR(IF(W604&lt;1,X604/(1-W604),""),"")</f>
        <v/>
      </c>
      <c r="Z604" s="43">
        <f>'01_CONFIG_GLOBAL'!$C$14</f>
        <v/>
      </c>
      <c r="AA604" s="41">
        <f>IFERROR(Y604*Z604,"")</f>
        <v/>
      </c>
      <c r="AB604" s="41">
        <f>IFERROR(IF(Z604&lt;1,Y604/(1-Z604),""),"")</f>
        <v/>
      </c>
      <c r="AC604" s="23" t="n"/>
      <c r="AD604" s="36" t="n"/>
      <c r="AE604" s="23" t="n"/>
      <c r="AF604" s="36" t="n"/>
      <c r="AG604" s="23" t="n"/>
      <c r="AH604" s="36" t="n"/>
      <c r="AI604" s="41">
        <f>IFERROR(AVERAGE(AD604,AF604,AH604),"")</f>
        <v/>
      </c>
      <c r="AJ604" s="29">
        <f>IFERROR(IF(AI604="","sem dados",IF(AB604&lt;AI604*0.95,"abaixo",IF(AB604&gt;AI604*1.05,"acima","em linha"))),"")</f>
        <v/>
      </c>
      <c r="AK604" s="23" t="inlineStr">
        <is>
          <t>não</t>
        </is>
      </c>
      <c r="AL604" s="23" t="n"/>
      <c r="AM604" s="23" t="n"/>
      <c r="AN604" s="23" t="n"/>
      <c r="AO604" s="44">
        <f>A604</f>
        <v/>
      </c>
      <c r="AP604" s="44">
        <f>D604</f>
        <v/>
      </c>
    </row>
    <row r="605" hidden="1" ht="15.75" customHeight="1" s="93">
      <c r="A605" s="23" t="inlineStr">
        <is>
          <t>5.1708.0770043.0</t>
        </is>
      </c>
      <c r="B605" s="23" t="inlineStr">
        <is>
          <t>770043</t>
        </is>
      </c>
      <c r="C605" s="29">
        <f>IFERROR(LOWER(SUBSTITUTE(SUBSTITUTE(SUBSTITUTE(SUBSTITUTE(D605," ","-"),"/","-"),".",""),",","")),"")</f>
        <v/>
      </c>
      <c r="D605" s="23" t="inlineStr">
        <is>
          <t>TOMADA DE FORCA A-043</t>
        </is>
      </c>
      <c r="E605" s="23" t="n"/>
      <c r="F605" s="23" t="inlineStr">
        <is>
          <t>SOHIPREN</t>
        </is>
      </c>
      <c r="G605" s="23" t="n"/>
      <c r="H605" s="23" t="inlineStr">
        <is>
          <t>draft</t>
        </is>
      </c>
      <c r="I605" s="23" t="inlineStr">
        <is>
          <t>INTERPUMP</t>
        </is>
      </c>
      <c r="J605" s="23" t="n"/>
      <c r="K605" s="23" t="n"/>
      <c r="L605" s="23" t="n"/>
      <c r="M605" s="31" t="n"/>
      <c r="N605" s="31" t="n"/>
      <c r="O605" s="31" t="n"/>
      <c r="P605" s="31" t="n"/>
      <c r="Q605" s="31" t="n"/>
      <c r="R605" s="34">
        <f>IFERROR(IF(AND(O605&gt;0,P605&gt;0,Q605&gt;0),(O605*P605*Q605)/6000,""),"")</f>
        <v/>
      </c>
      <c r="S605" s="34">
        <f>IFERROR(IF(AND(N605&gt;0,R605&gt;0),MAX(N605,R605),IF(N605&gt;0,N605,IF(R605&gt;0,R605,""))),"")</f>
        <v/>
      </c>
      <c r="T605" s="36" t="n"/>
      <c r="U605" s="38" t="inlineStr">
        <is>
          <t>FALTA</t>
        </is>
      </c>
      <c r="V605" s="36" t="n">
        <v>1307.9</v>
      </c>
      <c r="W605" s="39" t="n">
        <v>0.3</v>
      </c>
      <c r="X605" s="41">
        <f>IFERROR(V605+T605,"")</f>
        <v/>
      </c>
      <c r="Y605" s="41">
        <f>IFERROR(IF(W605&lt;1,X605/(1-W605),""),"")</f>
        <v/>
      </c>
      <c r="Z605" s="43">
        <f>'01_CONFIG_GLOBAL'!$C$14</f>
        <v/>
      </c>
      <c r="AA605" s="41">
        <f>IFERROR(Y605*Z605,"")</f>
        <v/>
      </c>
      <c r="AB605" s="41">
        <f>IFERROR(IF(Z605&lt;1,Y605/(1-Z605),""),"")</f>
        <v/>
      </c>
      <c r="AC605" s="23" t="n"/>
      <c r="AD605" s="36" t="n"/>
      <c r="AE605" s="23" t="n"/>
      <c r="AF605" s="36" t="n"/>
      <c r="AG605" s="23" t="n"/>
      <c r="AH605" s="36" t="n"/>
      <c r="AI605" s="41">
        <f>IFERROR(AVERAGE(AD605,AF605,AH605),"")</f>
        <v/>
      </c>
      <c r="AJ605" s="29">
        <f>IFERROR(IF(AI605="","sem dados",IF(AB605&lt;AI605*0.95,"abaixo",IF(AB605&gt;AI605*1.05,"acima","em linha"))),"")</f>
        <v/>
      </c>
      <c r="AK605" s="23" t="inlineStr">
        <is>
          <t>não</t>
        </is>
      </c>
      <c r="AL605" s="23" t="n"/>
      <c r="AM605" s="23" t="n"/>
      <c r="AN605" s="23" t="n"/>
      <c r="AO605" s="44">
        <f>A605</f>
        <v/>
      </c>
      <c r="AP605" s="44">
        <f>D605</f>
        <v/>
      </c>
    </row>
    <row r="606" hidden="1" ht="15.75" customHeight="1" s="93">
      <c r="A606" s="23" t="inlineStr">
        <is>
          <t>5.1777.0770538.0</t>
        </is>
      </c>
      <c r="B606" s="23" t="inlineStr">
        <is>
          <t>770538</t>
        </is>
      </c>
      <c r="C606" s="29">
        <f>IFERROR(LOWER(SUBSTITUTE(SUBSTITUTE(SUBSTITUTE(SUBSTITUTE(D606," ","-"),"/","-"),".",""),",","")),"")</f>
        <v/>
      </c>
      <c r="D606" s="23" t="inlineStr">
        <is>
          <t>JGO REPARACION.TDF A-012 (EJE DE ACOPLAMIENTO)</t>
        </is>
      </c>
      <c r="E606" s="23" t="n"/>
      <c r="F606" s="23" t="inlineStr">
        <is>
          <t>SOHIPREN</t>
        </is>
      </c>
      <c r="G606" s="23" t="n"/>
      <c r="H606" s="23" t="inlineStr">
        <is>
          <t>draft</t>
        </is>
      </c>
      <c r="I606" s="23" t="inlineStr">
        <is>
          <t>INTERPUMP</t>
        </is>
      </c>
      <c r="J606" s="23" t="n"/>
      <c r="K606" s="23" t="n"/>
      <c r="L606" s="23" t="inlineStr">
        <is>
          <t>(5199 - LUVA DE ENGATE 17Z C/ ENGREN. 29Z)</t>
        </is>
      </c>
      <c r="M606" s="31" t="n"/>
      <c r="N606" s="31" t="n"/>
      <c r="O606" s="31" t="n"/>
      <c r="P606" s="31" t="n"/>
      <c r="Q606" s="31" t="n"/>
      <c r="R606" s="34">
        <f>IFERROR(IF(AND(O606&gt;0,P606&gt;0,Q606&gt;0),(O606*P606*Q606)/6000,""),"")</f>
        <v/>
      </c>
      <c r="S606" s="34">
        <f>IFERROR(IF(AND(N606&gt;0,R606&gt;0),MAX(N606,R606),IF(N606&gt;0,N606,IF(R606&gt;0,R606,""))),"")</f>
        <v/>
      </c>
      <c r="T606" s="36" t="n"/>
      <c r="U606" s="38" t="inlineStr">
        <is>
          <t>FALTA</t>
        </is>
      </c>
      <c r="V606" s="36" t="n">
        <v>2045.77</v>
      </c>
      <c r="W606" s="39" t="n">
        <v>0.3</v>
      </c>
      <c r="X606" s="41">
        <f>IFERROR(V606+T606,"")</f>
        <v/>
      </c>
      <c r="Y606" s="41">
        <f>IFERROR(IF(W606&lt;1,X606/(1-W606),""),"")</f>
        <v/>
      </c>
      <c r="Z606" s="43">
        <f>'01_CONFIG_GLOBAL'!$C$14</f>
        <v/>
      </c>
      <c r="AA606" s="41">
        <f>IFERROR(Y606*Z606,"")</f>
        <v/>
      </c>
      <c r="AB606" s="41">
        <f>IFERROR(IF(Z606&lt;1,Y606/(1-Z606),""),"")</f>
        <v/>
      </c>
      <c r="AC606" s="23" t="n"/>
      <c r="AD606" s="36" t="n"/>
      <c r="AE606" s="23" t="n"/>
      <c r="AF606" s="36" t="n"/>
      <c r="AG606" s="23" t="n"/>
      <c r="AH606" s="36" t="n"/>
      <c r="AI606" s="41">
        <f>IFERROR(AVERAGE(AD606,AF606,AH606),"")</f>
        <v/>
      </c>
      <c r="AJ606" s="29">
        <f>IFERROR(IF(AI606="","sem dados",IF(AB606&lt;AI606*0.95,"abaixo",IF(AB606&gt;AI606*1.05,"acima","em linha"))),"")</f>
        <v/>
      </c>
      <c r="AK606" s="23" t="inlineStr">
        <is>
          <t>não</t>
        </is>
      </c>
      <c r="AL606" s="23" t="n"/>
      <c r="AM606" s="23" t="n"/>
      <c r="AN606" s="23" t="n"/>
      <c r="AO606" s="44">
        <f>A606</f>
        <v/>
      </c>
      <c r="AP606" s="44">
        <f>D606</f>
        <v/>
      </c>
    </row>
    <row r="607" hidden="1" ht="15.75" customHeight="1" s="93">
      <c r="A607" s="23" t="inlineStr">
        <is>
          <t>5.1705.0770008.0</t>
        </is>
      </c>
      <c r="B607" s="23" t="inlineStr">
        <is>
          <t>770008</t>
        </is>
      </c>
      <c r="C607" s="29">
        <f>IFERROR(LOWER(SUBSTITUTE(SUBSTITUTE(SUBSTITUTE(SUBSTITUTE(D607," ","-"),"/","-"),".",""),",","")),"")</f>
        <v/>
      </c>
      <c r="D607" s="23" t="inlineStr">
        <is>
          <t>TOMADA DE FORCA FO A-008</t>
        </is>
      </c>
      <c r="E607" s="23" t="n"/>
      <c r="F607" s="23" t="inlineStr">
        <is>
          <t>SOHIPREN</t>
        </is>
      </c>
      <c r="G607" s="23" t="n"/>
      <c r="H607" s="23" t="inlineStr">
        <is>
          <t>draft</t>
        </is>
      </c>
      <c r="I607" s="23" t="inlineStr">
        <is>
          <t>INTERPUMP</t>
        </is>
      </c>
      <c r="J607" s="23" t="inlineStr">
        <is>
          <t>(TK 12143)</t>
        </is>
      </c>
      <c r="K607" s="23" t="n"/>
      <c r="L607" s="23" t="inlineStr">
        <is>
          <t>12143</t>
        </is>
      </c>
      <c r="M607" s="31" t="n"/>
      <c r="N607" s="31" t="n"/>
      <c r="O607" s="31" t="n"/>
      <c r="P607" s="31" t="n"/>
      <c r="Q607" s="31" t="n"/>
      <c r="R607" s="34">
        <f>IFERROR(IF(AND(O607&gt;0,P607&gt;0,Q607&gt;0),(O607*P607*Q607)/6000,""),"")</f>
        <v/>
      </c>
      <c r="S607" s="34">
        <f>IFERROR(IF(AND(N607&gt;0,R607&gt;0),MAX(N607,R607),IF(N607&gt;0,N607,IF(R607&gt;0,R607,""))),"")</f>
        <v/>
      </c>
      <c r="T607" s="36" t="n"/>
      <c r="U607" s="38" t="inlineStr">
        <is>
          <t>FALTA</t>
        </is>
      </c>
      <c r="V607" s="36" t="n">
        <v>1307.9</v>
      </c>
      <c r="W607" s="39" t="n">
        <v>0.3</v>
      </c>
      <c r="X607" s="41">
        <f>IFERROR(V607+T607,"")</f>
        <v/>
      </c>
      <c r="Y607" s="41">
        <f>IFERROR(IF(W607&lt;1,X607/(1-W607),""),"")</f>
        <v/>
      </c>
      <c r="Z607" s="43">
        <f>'01_CONFIG_GLOBAL'!$C$14</f>
        <v/>
      </c>
      <c r="AA607" s="41">
        <f>IFERROR(Y607*Z607,"")</f>
        <v/>
      </c>
      <c r="AB607" s="41">
        <f>IFERROR(IF(Z607&lt;1,Y607/(1-Z607),""),"")</f>
        <v/>
      </c>
      <c r="AC607" s="23" t="n"/>
      <c r="AD607" s="36" t="n"/>
      <c r="AE607" s="23" t="n"/>
      <c r="AF607" s="36" t="n"/>
      <c r="AG607" s="23" t="n"/>
      <c r="AH607" s="36" t="n"/>
      <c r="AI607" s="41">
        <f>IFERROR(AVERAGE(AD607,AF607,AH607),"")</f>
        <v/>
      </c>
      <c r="AJ607" s="29">
        <f>IFERROR(IF(AI607="","sem dados",IF(AB607&lt;AI607*0.95,"abaixo",IF(AB607&gt;AI607*1.05,"acima","em linha"))),"")</f>
        <v/>
      </c>
      <c r="AK607" s="23" t="inlineStr">
        <is>
          <t>não</t>
        </is>
      </c>
      <c r="AL607" s="23" t="n"/>
      <c r="AM607" s="23" t="n"/>
      <c r="AN607" s="23" t="n"/>
      <c r="AO607" s="44">
        <f>A607</f>
        <v/>
      </c>
      <c r="AP607" s="44">
        <f>D607</f>
        <v/>
      </c>
    </row>
    <row r="608" hidden="1" ht="15.75" customHeight="1" s="93">
      <c r="A608" s="23" t="inlineStr">
        <is>
          <t>5.1705.0770009.0</t>
        </is>
      </c>
      <c r="B608" s="23" t="inlineStr">
        <is>
          <t>770009</t>
        </is>
      </c>
      <c r="C608" s="29">
        <f>IFERROR(LOWER(SUBSTITUTE(SUBSTITUTE(SUBSTITUTE(SUBSTITUTE(D608," ","-"),"/","-"),".",""),",","")),"")</f>
        <v/>
      </c>
      <c r="D608" s="23" t="inlineStr">
        <is>
          <t>TOMADA DE FORCA FO A-009</t>
        </is>
      </c>
      <c r="E608" s="23" t="n"/>
      <c r="F608" s="23" t="inlineStr">
        <is>
          <t>SOHIPREN</t>
        </is>
      </c>
      <c r="G608" s="23" t="n"/>
      <c r="H608" s="23" t="inlineStr">
        <is>
          <t>draft</t>
        </is>
      </c>
      <c r="I608" s="23" t="inlineStr">
        <is>
          <t>INTERPUMP</t>
        </is>
      </c>
      <c r="J608" s="23" t="inlineStr">
        <is>
          <t>(TK 12150)</t>
        </is>
      </c>
      <c r="K608" s="23" t="n"/>
      <c r="L608" s="23" t="inlineStr">
        <is>
          <t>12150</t>
        </is>
      </c>
      <c r="M608" s="31" t="n"/>
      <c r="N608" s="31" t="n"/>
      <c r="O608" s="31" t="n"/>
      <c r="P608" s="31" t="n"/>
      <c r="Q608" s="31" t="n"/>
      <c r="R608" s="34">
        <f>IFERROR(IF(AND(O608&gt;0,P608&gt;0,Q608&gt;0),(O608*P608*Q608)/6000,""),"")</f>
        <v/>
      </c>
      <c r="S608" s="34">
        <f>IFERROR(IF(AND(N608&gt;0,R608&gt;0),MAX(N608,R608),IF(N608&gt;0,N608,IF(R608&gt;0,R608,""))),"")</f>
        <v/>
      </c>
      <c r="T608" s="36" t="n"/>
      <c r="U608" s="38" t="inlineStr">
        <is>
          <t>FALTA</t>
        </is>
      </c>
      <c r="V608" s="36" t="n">
        <v>1307.9</v>
      </c>
      <c r="W608" s="39" t="n">
        <v>0.3</v>
      </c>
      <c r="X608" s="41">
        <f>IFERROR(V608+T608,"")</f>
        <v/>
      </c>
      <c r="Y608" s="41">
        <f>IFERROR(IF(W608&lt;1,X608/(1-W608),""),"")</f>
        <v/>
      </c>
      <c r="Z608" s="43">
        <f>'01_CONFIG_GLOBAL'!$C$14</f>
        <v/>
      </c>
      <c r="AA608" s="41">
        <f>IFERROR(Y608*Z608,"")</f>
        <v/>
      </c>
      <c r="AB608" s="41">
        <f>IFERROR(IF(Z608&lt;1,Y608/(1-Z608),""),"")</f>
        <v/>
      </c>
      <c r="AC608" s="23" t="n"/>
      <c r="AD608" s="36" t="n"/>
      <c r="AE608" s="23" t="n"/>
      <c r="AF608" s="36" t="n"/>
      <c r="AG608" s="23" t="n"/>
      <c r="AH608" s="36" t="n"/>
      <c r="AI608" s="41">
        <f>IFERROR(AVERAGE(AD608,AF608,AH608),"")</f>
        <v/>
      </c>
      <c r="AJ608" s="29">
        <f>IFERROR(IF(AI608="","sem dados",IF(AB608&lt;AI608*0.95,"abaixo",IF(AB608&gt;AI608*1.05,"acima","em linha"))),"")</f>
        <v/>
      </c>
      <c r="AK608" s="23" t="inlineStr">
        <is>
          <t>não</t>
        </is>
      </c>
      <c r="AL608" s="23" t="n"/>
      <c r="AM608" s="23" t="n"/>
      <c r="AN608" s="23" t="n"/>
      <c r="AO608" s="44">
        <f>A608</f>
        <v/>
      </c>
      <c r="AP608" s="44">
        <f>D608</f>
        <v/>
      </c>
    </row>
    <row r="609" hidden="1" ht="15.75" customHeight="1" s="93">
      <c r="A609" s="23" t="inlineStr">
        <is>
          <t>5.1708.0770010.0</t>
        </is>
      </c>
      <c r="B609" s="23" t="inlineStr">
        <is>
          <t>770010</t>
        </is>
      </c>
      <c r="C609" s="29">
        <f>IFERROR(LOWER(SUBSTITUTE(SUBSTITUTE(SUBSTITUTE(SUBSTITUTE(D609," ","-"),"/","-"),".",""),",","")),"")</f>
        <v/>
      </c>
      <c r="D609" s="23" t="inlineStr">
        <is>
          <t>TOMADA DE FORCA MB A-010</t>
        </is>
      </c>
      <c r="E609" s="23" t="n"/>
      <c r="F609" s="23" t="inlineStr">
        <is>
          <t>SOHIPREN</t>
        </is>
      </c>
      <c r="G609" s="23" t="n"/>
      <c r="H609" s="23" t="inlineStr">
        <is>
          <t>draft</t>
        </is>
      </c>
      <c r="I609" s="23" t="inlineStr">
        <is>
          <t>INTERPUMP</t>
        </is>
      </c>
      <c r="J609" s="23" t="inlineStr">
        <is>
          <t>(TK 12177)</t>
        </is>
      </c>
      <c r="K609" s="23" t="n"/>
      <c r="L609" s="23" t="inlineStr">
        <is>
          <t>12177</t>
        </is>
      </c>
      <c r="M609" s="31" t="n"/>
      <c r="N609" s="31" t="n"/>
      <c r="O609" s="31" t="n"/>
      <c r="P609" s="31" t="n"/>
      <c r="Q609" s="31" t="n"/>
      <c r="R609" s="34">
        <f>IFERROR(IF(AND(O609&gt;0,P609&gt;0,Q609&gt;0),(O609*P609*Q609)/6000,""),"")</f>
        <v/>
      </c>
      <c r="S609" s="34">
        <f>IFERROR(IF(AND(N609&gt;0,R609&gt;0),MAX(N609,R609),IF(N609&gt;0,N609,IF(R609&gt;0,R609,""))),"")</f>
        <v/>
      </c>
      <c r="T609" s="36" t="n"/>
      <c r="U609" s="38" t="inlineStr">
        <is>
          <t>FALTA</t>
        </is>
      </c>
      <c r="V609" s="36" t="n">
        <v>1307.9</v>
      </c>
      <c r="W609" s="39" t="n">
        <v>0.3</v>
      </c>
      <c r="X609" s="41">
        <f>IFERROR(V609+T609,"")</f>
        <v/>
      </c>
      <c r="Y609" s="41">
        <f>IFERROR(IF(W609&lt;1,X609/(1-W609),""),"")</f>
        <v/>
      </c>
      <c r="Z609" s="43">
        <f>'01_CONFIG_GLOBAL'!$C$14</f>
        <v/>
      </c>
      <c r="AA609" s="41">
        <f>IFERROR(Y609*Z609,"")</f>
        <v/>
      </c>
      <c r="AB609" s="41">
        <f>IFERROR(IF(Z609&lt;1,Y609/(1-Z609),""),"")</f>
        <v/>
      </c>
      <c r="AC609" s="23" t="n"/>
      <c r="AD609" s="36" t="n"/>
      <c r="AE609" s="23" t="n"/>
      <c r="AF609" s="36" t="n"/>
      <c r="AG609" s="23" t="n"/>
      <c r="AH609" s="36" t="n"/>
      <c r="AI609" s="41">
        <f>IFERROR(AVERAGE(AD609,AF609,AH609),"")</f>
        <v/>
      </c>
      <c r="AJ609" s="29">
        <f>IFERROR(IF(AI609="","sem dados",IF(AB609&lt;AI609*0.95,"abaixo",IF(AB609&gt;AI609*1.05,"acima","em linha"))),"")</f>
        <v/>
      </c>
      <c r="AK609" s="23" t="inlineStr">
        <is>
          <t>não</t>
        </is>
      </c>
      <c r="AL609" s="23" t="n"/>
      <c r="AM609" s="23" t="n"/>
      <c r="AN609" s="23" t="n"/>
      <c r="AO609" s="44">
        <f>A609</f>
        <v/>
      </c>
      <c r="AP609" s="44">
        <f>D609</f>
        <v/>
      </c>
    </row>
    <row r="610" hidden="1" ht="15.75" customHeight="1" s="93">
      <c r="A610" s="23" t="inlineStr">
        <is>
          <t>5.1707.0770011.0</t>
        </is>
      </c>
      <c r="B610" s="23" t="inlineStr">
        <is>
          <t>770011</t>
        </is>
      </c>
      <c r="C610" s="29">
        <f>IFERROR(LOWER(SUBSTITUTE(SUBSTITUTE(SUBSTITUTE(SUBSTITUTE(D610," ","-"),"/","-"),".",""),",","")),"")</f>
        <v/>
      </c>
      <c r="D610" s="23" t="inlineStr">
        <is>
          <t>TOMADA DE FORCA A-011</t>
        </is>
      </c>
      <c r="E610" s="23" t="n"/>
      <c r="F610" s="23" t="inlineStr">
        <is>
          <t>SOHIPREN</t>
        </is>
      </c>
      <c r="G610" s="23" t="n"/>
      <c r="H610" s="23" t="inlineStr">
        <is>
          <t>draft</t>
        </is>
      </c>
      <c r="I610" s="23" t="inlineStr">
        <is>
          <t>INTERPUMP</t>
        </is>
      </c>
      <c r="J610" s="23" t="inlineStr">
        <is>
          <t>(TK 12151)</t>
        </is>
      </c>
      <c r="K610" s="23" t="n"/>
      <c r="L610" s="23" t="inlineStr">
        <is>
          <t>12151</t>
        </is>
      </c>
      <c r="M610" s="31" t="n"/>
      <c r="N610" s="31" t="n"/>
      <c r="O610" s="31" t="n"/>
      <c r="P610" s="31" t="n"/>
      <c r="Q610" s="31" t="n"/>
      <c r="R610" s="34">
        <f>IFERROR(IF(AND(O610&gt;0,P610&gt;0,Q610&gt;0),(O610*P610*Q610)/6000,""),"")</f>
        <v/>
      </c>
      <c r="S610" s="34">
        <f>IFERROR(IF(AND(N610&gt;0,R610&gt;0),MAX(N610,R610),IF(N610&gt;0,N610,IF(R610&gt;0,R610,""))),"")</f>
        <v/>
      </c>
      <c r="T610" s="36" t="n"/>
      <c r="U610" s="38" t="inlineStr">
        <is>
          <t>FALTA</t>
        </is>
      </c>
      <c r="V610" s="36" t="n">
        <v>1307.9</v>
      </c>
      <c r="W610" s="39" t="n">
        <v>0.3</v>
      </c>
      <c r="X610" s="41">
        <f>IFERROR(V610+T610,"")</f>
        <v/>
      </c>
      <c r="Y610" s="41">
        <f>IFERROR(IF(W610&lt;1,X610/(1-W610),""),"")</f>
        <v/>
      </c>
      <c r="Z610" s="43">
        <f>'01_CONFIG_GLOBAL'!$C$14</f>
        <v/>
      </c>
      <c r="AA610" s="41">
        <f>IFERROR(Y610*Z610,"")</f>
        <v/>
      </c>
      <c r="AB610" s="41">
        <f>IFERROR(IF(Z610&lt;1,Y610/(1-Z610),""),"")</f>
        <v/>
      </c>
      <c r="AC610" s="23" t="n"/>
      <c r="AD610" s="36" t="n"/>
      <c r="AE610" s="23" t="n"/>
      <c r="AF610" s="36" t="n"/>
      <c r="AG610" s="23" t="n"/>
      <c r="AH610" s="36" t="n"/>
      <c r="AI610" s="41">
        <f>IFERROR(AVERAGE(AD610,AF610,AH610),"")</f>
        <v/>
      </c>
      <c r="AJ610" s="29">
        <f>IFERROR(IF(AI610="","sem dados",IF(AB610&lt;AI610*0.95,"abaixo",IF(AB610&gt;AI610*1.05,"acima","em linha"))),"")</f>
        <v/>
      </c>
      <c r="AK610" s="23" t="inlineStr">
        <is>
          <t>não</t>
        </is>
      </c>
      <c r="AL610" s="23" t="n"/>
      <c r="AM610" s="23" t="n"/>
      <c r="AN610" s="23" t="n"/>
      <c r="AO610" s="44">
        <f>A610</f>
        <v/>
      </c>
      <c r="AP610" s="44">
        <f>D610</f>
        <v/>
      </c>
    </row>
    <row r="611" hidden="1" ht="15.75" customHeight="1" s="93">
      <c r="A611" s="23" t="inlineStr">
        <is>
          <t>5.1708.0770012.0</t>
        </is>
      </c>
      <c r="B611" s="23" t="inlineStr">
        <is>
          <t>770012</t>
        </is>
      </c>
      <c r="C611" s="29">
        <f>IFERROR(LOWER(SUBSTITUTE(SUBSTITUTE(SUBSTITUTE(SUBSTITUTE(D611," ","-"),"/","-"),".",""),",","")),"")</f>
        <v/>
      </c>
      <c r="D611" s="23" t="inlineStr">
        <is>
          <t>TOMADA DE FORCA A-012</t>
        </is>
      </c>
      <c r="E611" s="23" t="n"/>
      <c r="F611" s="23" t="inlineStr">
        <is>
          <t>SOHIPREN</t>
        </is>
      </c>
      <c r="G611" s="23" t="n"/>
      <c r="H611" s="23" t="inlineStr">
        <is>
          <t>draft</t>
        </is>
      </c>
      <c r="I611" s="23" t="inlineStr">
        <is>
          <t>INTERPUMP</t>
        </is>
      </c>
      <c r="J611" s="23" t="n"/>
      <c r="K611" s="23" t="n"/>
      <c r="L611" s="23" t="inlineStr">
        <is>
          <t>12155</t>
        </is>
      </c>
      <c r="M611" s="31" t="n"/>
      <c r="N611" s="31" t="n"/>
      <c r="O611" s="31" t="n"/>
      <c r="P611" s="31" t="n"/>
      <c r="Q611" s="31" t="n"/>
      <c r="R611" s="34">
        <f>IFERROR(IF(AND(O611&gt;0,P611&gt;0,Q611&gt;0),(O611*P611*Q611)/6000,""),"")</f>
        <v/>
      </c>
      <c r="S611" s="34">
        <f>IFERROR(IF(AND(N611&gt;0,R611&gt;0),MAX(N611,R611),IF(N611&gt;0,N611,IF(R611&gt;0,R611,""))),"")</f>
        <v/>
      </c>
      <c r="T611" s="36" t="n"/>
      <c r="U611" s="38" t="inlineStr">
        <is>
          <t>FALTA</t>
        </is>
      </c>
      <c r="V611" s="36" t="n">
        <v>1307.9</v>
      </c>
      <c r="W611" s="39" t="n">
        <v>0.3</v>
      </c>
      <c r="X611" s="41">
        <f>IFERROR(V611+T611,"")</f>
        <v/>
      </c>
      <c r="Y611" s="41">
        <f>IFERROR(IF(W611&lt;1,X611/(1-W611),""),"")</f>
        <v/>
      </c>
      <c r="Z611" s="43">
        <f>'01_CONFIG_GLOBAL'!$C$14</f>
        <v/>
      </c>
      <c r="AA611" s="41">
        <f>IFERROR(Y611*Z611,"")</f>
        <v/>
      </c>
      <c r="AB611" s="41">
        <f>IFERROR(IF(Z611&lt;1,Y611/(1-Z611),""),"")</f>
        <v/>
      </c>
      <c r="AC611" s="23" t="n"/>
      <c r="AD611" s="36" t="n"/>
      <c r="AE611" s="23" t="n"/>
      <c r="AF611" s="36" t="n"/>
      <c r="AG611" s="23" t="n"/>
      <c r="AH611" s="36" t="n"/>
      <c r="AI611" s="41">
        <f>IFERROR(AVERAGE(AD611,AF611,AH611),"")</f>
        <v/>
      </c>
      <c r="AJ611" s="29">
        <f>IFERROR(IF(AI611="","sem dados",IF(AB611&lt;AI611*0.95,"abaixo",IF(AB611&gt;AI611*1.05,"acima","em linha"))),"")</f>
        <v/>
      </c>
      <c r="AK611" s="23" t="inlineStr">
        <is>
          <t>não</t>
        </is>
      </c>
      <c r="AL611" s="23" t="n"/>
      <c r="AM611" s="23" t="n"/>
      <c r="AN611" s="23" t="n"/>
      <c r="AO611" s="44">
        <f>A611</f>
        <v/>
      </c>
      <c r="AP611" s="44">
        <f>D611</f>
        <v/>
      </c>
    </row>
    <row r="612" hidden="1" ht="15.75" customHeight="1" s="93">
      <c r="A612" s="23" t="inlineStr">
        <is>
          <t>5.1708.0770042.0</t>
        </is>
      </c>
      <c r="B612" s="23" t="inlineStr">
        <is>
          <t>770042</t>
        </is>
      </c>
      <c r="C612" s="29">
        <f>IFERROR(LOWER(SUBSTITUTE(SUBSTITUTE(SUBSTITUTE(SUBSTITUTE(D612," ","-"),"/","-"),".",""),",","")),"")</f>
        <v/>
      </c>
      <c r="D612" s="23" t="inlineStr">
        <is>
          <t>TOMADA DE FORCA A-042</t>
        </is>
      </c>
      <c r="E612" s="23" t="n"/>
      <c r="F612" s="23" t="inlineStr">
        <is>
          <t>SOHIPREN</t>
        </is>
      </c>
      <c r="G612" s="23" t="n"/>
      <c r="H612" s="23" t="inlineStr">
        <is>
          <t>draft</t>
        </is>
      </c>
      <c r="I612" s="23" t="inlineStr">
        <is>
          <t>INTERPUMP</t>
        </is>
      </c>
      <c r="J612" s="23" t="n"/>
      <c r="K612" s="23" t="n"/>
      <c r="L612" s="23" t="n"/>
      <c r="M612" s="31" t="n"/>
      <c r="N612" s="31" t="n"/>
      <c r="O612" s="31" t="n"/>
      <c r="P612" s="31" t="n"/>
      <c r="Q612" s="31" t="n"/>
      <c r="R612" s="34">
        <f>IFERROR(IF(AND(O612&gt;0,P612&gt;0,Q612&gt;0),(O612*P612*Q612)/6000,""),"")</f>
        <v/>
      </c>
      <c r="S612" s="34">
        <f>IFERROR(IF(AND(N612&gt;0,R612&gt;0),MAX(N612,R612),IF(N612&gt;0,N612,IF(R612&gt;0,R612,""))),"")</f>
        <v/>
      </c>
      <c r="T612" s="36" t="n"/>
      <c r="U612" s="38" t="inlineStr">
        <is>
          <t>FALTA</t>
        </is>
      </c>
      <c r="V612" s="36" t="n">
        <v>1307.9</v>
      </c>
      <c r="W612" s="39" t="n">
        <v>0.3</v>
      </c>
      <c r="X612" s="41">
        <f>IFERROR(V612+T612,"")</f>
        <v/>
      </c>
      <c r="Y612" s="41">
        <f>IFERROR(IF(W612&lt;1,X612/(1-W612),""),"")</f>
        <v/>
      </c>
      <c r="Z612" s="43">
        <f>'01_CONFIG_GLOBAL'!$C$14</f>
        <v/>
      </c>
      <c r="AA612" s="41">
        <f>IFERROR(Y612*Z612,"")</f>
        <v/>
      </c>
      <c r="AB612" s="41">
        <f>IFERROR(IF(Z612&lt;1,Y612/(1-Z612),""),"")</f>
        <v/>
      </c>
      <c r="AC612" s="23" t="n"/>
      <c r="AD612" s="36" t="n"/>
      <c r="AE612" s="23" t="n"/>
      <c r="AF612" s="36" t="n"/>
      <c r="AG612" s="23" t="n"/>
      <c r="AH612" s="36" t="n"/>
      <c r="AI612" s="41">
        <f>IFERROR(AVERAGE(AD612,AF612,AH612),"")</f>
        <v/>
      </c>
      <c r="AJ612" s="29">
        <f>IFERROR(IF(AI612="","sem dados",IF(AB612&lt;AI612*0.95,"abaixo",IF(AB612&gt;AI612*1.05,"acima","em linha"))),"")</f>
        <v/>
      </c>
      <c r="AK612" s="23" t="inlineStr">
        <is>
          <t>não</t>
        </is>
      </c>
      <c r="AL612" s="23" t="n"/>
      <c r="AM612" s="23" t="n"/>
      <c r="AN612" s="23" t="n"/>
      <c r="AO612" s="44">
        <f>A612</f>
        <v/>
      </c>
      <c r="AP612" s="44">
        <f>D612</f>
        <v/>
      </c>
    </row>
    <row r="613" hidden="1" ht="15.75" customHeight="1" s="93">
      <c r="A613" s="23" t="inlineStr">
        <is>
          <t>5.1705.0770036.0</t>
        </is>
      </c>
      <c r="B613" s="23" t="inlineStr">
        <is>
          <t>770036</t>
        </is>
      </c>
      <c r="C613" s="29">
        <f>IFERROR(LOWER(SUBSTITUTE(SUBSTITUTE(SUBSTITUTE(SUBSTITUTE(D613," ","-"),"/","-"),".",""),",","")),"")</f>
        <v/>
      </c>
      <c r="D613" s="23" t="inlineStr">
        <is>
          <t>TOMADA DE FORCA A-036</t>
        </is>
      </c>
      <c r="E613" s="23" t="n"/>
      <c r="F613" s="23" t="inlineStr">
        <is>
          <t>SOHIPREN</t>
        </is>
      </c>
      <c r="G613" s="23" t="n"/>
      <c r="H613" s="23" t="inlineStr">
        <is>
          <t>draft</t>
        </is>
      </c>
      <c r="I613" s="23" t="inlineStr">
        <is>
          <t>INTERPUMP</t>
        </is>
      </c>
      <c r="J613" s="23" t="n"/>
      <c r="K613" s="23" t="n"/>
      <c r="L613" s="23" t="inlineStr">
        <is>
          <t>17930</t>
        </is>
      </c>
      <c r="M613" s="31" t="n"/>
      <c r="N613" s="31" t="n"/>
      <c r="O613" s="31" t="n"/>
      <c r="P613" s="31" t="n"/>
      <c r="Q613" s="31" t="n"/>
      <c r="R613" s="34">
        <f>IFERROR(IF(AND(O613&gt;0,P613&gt;0,Q613&gt;0),(O613*P613*Q613)/6000,""),"")</f>
        <v/>
      </c>
      <c r="S613" s="34">
        <f>IFERROR(IF(AND(N613&gt;0,R613&gt;0),MAX(N613,R613),IF(N613&gt;0,N613,IF(R613&gt;0,R613,""))),"")</f>
        <v/>
      </c>
      <c r="T613" s="36" t="n"/>
      <c r="U613" s="38" t="inlineStr">
        <is>
          <t>FALTA</t>
        </is>
      </c>
      <c r="V613" s="36" t="n">
        <v>1307.9</v>
      </c>
      <c r="W613" s="39" t="n">
        <v>0.3</v>
      </c>
      <c r="X613" s="41">
        <f>IFERROR(V613+T613,"")</f>
        <v/>
      </c>
      <c r="Y613" s="41">
        <f>IFERROR(IF(W613&lt;1,X613/(1-W613),""),"")</f>
        <v/>
      </c>
      <c r="Z613" s="43">
        <f>'01_CONFIG_GLOBAL'!$C$14</f>
        <v/>
      </c>
      <c r="AA613" s="41">
        <f>IFERROR(Y613*Z613,"")</f>
        <v/>
      </c>
      <c r="AB613" s="41">
        <f>IFERROR(IF(Z613&lt;1,Y613/(1-Z613),""),"")</f>
        <v/>
      </c>
      <c r="AC613" s="23" t="n"/>
      <c r="AD613" s="36" t="n"/>
      <c r="AE613" s="23" t="n"/>
      <c r="AF613" s="36" t="n"/>
      <c r="AG613" s="23" t="n"/>
      <c r="AH613" s="36" t="n"/>
      <c r="AI613" s="41">
        <f>IFERROR(AVERAGE(AD613,AF613,AH613),"")</f>
        <v/>
      </c>
      <c r="AJ613" s="29">
        <f>IFERROR(IF(AI613="","sem dados",IF(AB613&lt;AI613*0.95,"abaixo",IF(AB613&gt;AI613*1.05,"acima","em linha"))),"")</f>
        <v/>
      </c>
      <c r="AK613" s="23" t="inlineStr">
        <is>
          <t>não</t>
        </is>
      </c>
      <c r="AL613" s="23" t="n"/>
      <c r="AM613" s="23" t="n"/>
      <c r="AN613" s="23" t="n"/>
      <c r="AO613" s="44">
        <f>A613</f>
        <v/>
      </c>
      <c r="AP613" s="44">
        <f>D613</f>
        <v/>
      </c>
    </row>
    <row r="614" hidden="1" ht="15.75" customHeight="1" s="93">
      <c r="A614" s="23" t="inlineStr">
        <is>
          <t>5.1708.0770031.0</t>
        </is>
      </c>
      <c r="B614" s="23" t="inlineStr">
        <is>
          <t>770031</t>
        </is>
      </c>
      <c r="C614" s="29">
        <f>IFERROR(LOWER(SUBSTITUTE(SUBSTITUTE(SUBSTITUTE(SUBSTITUTE(D614," ","-"),"/","-"),".",""),",","")),"")</f>
        <v/>
      </c>
      <c r="D614" s="23" t="inlineStr">
        <is>
          <t>TOMADA DE FORCA A-031</t>
        </is>
      </c>
      <c r="E614" s="23" t="n"/>
      <c r="F614" s="23" t="inlineStr">
        <is>
          <t>SOHIPREN</t>
        </is>
      </c>
      <c r="G614" s="23" t="n"/>
      <c r="H614" s="23" t="inlineStr">
        <is>
          <t>draft</t>
        </is>
      </c>
      <c r="I614" s="23" t="inlineStr">
        <is>
          <t>INTERPUMP</t>
        </is>
      </c>
      <c r="J614" s="23" t="n"/>
      <c r="K614" s="23" t="n"/>
      <c r="L614" s="23" t="inlineStr">
        <is>
          <t>17930</t>
        </is>
      </c>
      <c r="M614" s="31" t="n"/>
      <c r="N614" s="31" t="n"/>
      <c r="O614" s="31" t="n"/>
      <c r="P614" s="31" t="n"/>
      <c r="Q614" s="31" t="n"/>
      <c r="R614" s="34">
        <f>IFERROR(IF(AND(O614&gt;0,P614&gt;0,Q614&gt;0),(O614*P614*Q614)/6000,""),"")</f>
        <v/>
      </c>
      <c r="S614" s="34">
        <f>IFERROR(IF(AND(N614&gt;0,R614&gt;0),MAX(N614,R614),IF(N614&gt;0,N614,IF(R614&gt;0,R614,""))),"")</f>
        <v/>
      </c>
      <c r="T614" s="36" t="n"/>
      <c r="U614" s="38" t="inlineStr">
        <is>
          <t>FALTA</t>
        </is>
      </c>
      <c r="V614" s="36" t="n">
        <v>1307.9</v>
      </c>
      <c r="W614" s="39" t="n">
        <v>0.3</v>
      </c>
      <c r="X614" s="41">
        <f>IFERROR(V614+T614,"")</f>
        <v/>
      </c>
      <c r="Y614" s="41">
        <f>IFERROR(IF(W614&lt;1,X614/(1-W614),""),"")</f>
        <v/>
      </c>
      <c r="Z614" s="43">
        <f>'01_CONFIG_GLOBAL'!$C$14</f>
        <v/>
      </c>
      <c r="AA614" s="41">
        <f>IFERROR(Y614*Z614,"")</f>
        <v/>
      </c>
      <c r="AB614" s="41">
        <f>IFERROR(IF(Z614&lt;1,Y614/(1-Z614),""),"")</f>
        <v/>
      </c>
      <c r="AC614" s="23" t="n"/>
      <c r="AD614" s="36" t="n"/>
      <c r="AE614" s="23" t="n"/>
      <c r="AF614" s="36" t="n"/>
      <c r="AG614" s="23" t="n"/>
      <c r="AH614" s="36" t="n"/>
      <c r="AI614" s="41">
        <f>IFERROR(AVERAGE(AD614,AF614,AH614),"")</f>
        <v/>
      </c>
      <c r="AJ614" s="29">
        <f>IFERROR(IF(AI614="","sem dados",IF(AB614&lt;AI614*0.95,"abaixo",IF(AB614&gt;AI614*1.05,"acima","em linha"))),"")</f>
        <v/>
      </c>
      <c r="AK614" s="23" t="inlineStr">
        <is>
          <t>não</t>
        </is>
      </c>
      <c r="AL614" s="23" t="n"/>
      <c r="AM614" s="23" t="n"/>
      <c r="AN614" s="23" t="n"/>
      <c r="AO614" s="44">
        <f>A614</f>
        <v/>
      </c>
      <c r="AP614" s="44">
        <f>D614</f>
        <v/>
      </c>
    </row>
    <row r="615" hidden="1" ht="15.75" customHeight="1" s="93">
      <c r="A615" s="23" t="inlineStr">
        <is>
          <t>5.1710.0770032.0</t>
        </is>
      </c>
      <c r="B615" s="23" t="inlineStr">
        <is>
          <t>770032</t>
        </is>
      </c>
      <c r="C615" s="29">
        <f>IFERROR(LOWER(SUBSTITUTE(SUBSTITUTE(SUBSTITUTE(SUBSTITUTE(D615," ","-"),"/","-"),".",""),",","")),"")</f>
        <v/>
      </c>
      <c r="D615" s="23" t="inlineStr">
        <is>
          <t>TOMADA DE FORCA A-032</t>
        </is>
      </c>
      <c r="E615" s="23" t="n"/>
      <c r="F615" s="23" t="inlineStr">
        <is>
          <t>SOHIPREN</t>
        </is>
      </c>
      <c r="G615" s="23" t="n"/>
      <c r="H615" s="23" t="inlineStr">
        <is>
          <t>draft</t>
        </is>
      </c>
      <c r="I615" s="23" t="inlineStr">
        <is>
          <t>INTERPUMP</t>
        </is>
      </c>
      <c r="J615" s="23" t="n"/>
      <c r="K615" s="23" t="n"/>
      <c r="L615" s="23" t="inlineStr">
        <is>
          <t>17930</t>
        </is>
      </c>
      <c r="M615" s="31" t="n"/>
      <c r="N615" s="31" t="n"/>
      <c r="O615" s="31" t="n"/>
      <c r="P615" s="31" t="n"/>
      <c r="Q615" s="31" t="n"/>
      <c r="R615" s="34">
        <f>IFERROR(IF(AND(O615&gt;0,P615&gt;0,Q615&gt;0),(O615*P615*Q615)/6000,""),"")</f>
        <v/>
      </c>
      <c r="S615" s="34">
        <f>IFERROR(IF(AND(N615&gt;0,R615&gt;0),MAX(N615,R615),IF(N615&gt;0,N615,IF(R615&gt;0,R615,""))),"")</f>
        <v/>
      </c>
      <c r="T615" s="36" t="n"/>
      <c r="U615" s="38" t="inlineStr">
        <is>
          <t>FALTA</t>
        </is>
      </c>
      <c r="V615" s="36" t="n">
        <v>1307.9</v>
      </c>
      <c r="W615" s="39" t="n">
        <v>0.3</v>
      </c>
      <c r="X615" s="41">
        <f>IFERROR(V615+T615,"")</f>
        <v/>
      </c>
      <c r="Y615" s="41">
        <f>IFERROR(IF(W615&lt;1,X615/(1-W615),""),"")</f>
        <v/>
      </c>
      <c r="Z615" s="43">
        <f>'01_CONFIG_GLOBAL'!$C$14</f>
        <v/>
      </c>
      <c r="AA615" s="41">
        <f>IFERROR(Y615*Z615,"")</f>
        <v/>
      </c>
      <c r="AB615" s="41">
        <f>IFERROR(IF(Z615&lt;1,Y615/(1-Z615),""),"")</f>
        <v/>
      </c>
      <c r="AC615" s="23" t="n"/>
      <c r="AD615" s="36" t="n"/>
      <c r="AE615" s="23" t="n"/>
      <c r="AF615" s="36" t="n"/>
      <c r="AG615" s="23" t="n"/>
      <c r="AH615" s="36" t="n"/>
      <c r="AI615" s="41">
        <f>IFERROR(AVERAGE(AD615,AF615,AH615),"")</f>
        <v/>
      </c>
      <c r="AJ615" s="29">
        <f>IFERROR(IF(AI615="","sem dados",IF(AB615&lt;AI615*0.95,"abaixo",IF(AB615&gt;AI615*1.05,"acima","em linha"))),"")</f>
        <v/>
      </c>
      <c r="AK615" s="23" t="inlineStr">
        <is>
          <t>não</t>
        </is>
      </c>
      <c r="AL615" s="23" t="n"/>
      <c r="AM615" s="23" t="n"/>
      <c r="AN615" s="23" t="n"/>
      <c r="AO615" s="44">
        <f>A615</f>
        <v/>
      </c>
      <c r="AP615" s="44">
        <f>D615</f>
        <v/>
      </c>
    </row>
    <row r="616" hidden="1" ht="15.75" customHeight="1" s="93">
      <c r="A616" s="23" t="inlineStr">
        <is>
          <t>5.1708.0770033.0</t>
        </is>
      </c>
      <c r="B616" s="23" t="inlineStr">
        <is>
          <t>770033</t>
        </is>
      </c>
      <c r="C616" s="29">
        <f>IFERROR(LOWER(SUBSTITUTE(SUBSTITUTE(SUBSTITUTE(SUBSTITUTE(D616," ","-"),"/","-"),".",""),",","")),"")</f>
        <v/>
      </c>
      <c r="D616" s="23" t="inlineStr">
        <is>
          <t>TOMADA DE FORCA  A-033</t>
        </is>
      </c>
      <c r="E616" s="23" t="n"/>
      <c r="F616" s="23" t="inlineStr">
        <is>
          <t>SOHIPREN</t>
        </is>
      </c>
      <c r="G616" s="23" t="n"/>
      <c r="H616" s="23" t="inlineStr">
        <is>
          <t>draft</t>
        </is>
      </c>
      <c r="I616" s="23" t="inlineStr">
        <is>
          <t>INTERPUMP</t>
        </is>
      </c>
      <c r="J616" s="23" t="n"/>
      <c r="K616" s="23" t="n"/>
      <c r="L616" s="23" t="inlineStr">
        <is>
          <t>17930</t>
        </is>
      </c>
      <c r="M616" s="31" t="n"/>
      <c r="N616" s="31" t="n"/>
      <c r="O616" s="31" t="n"/>
      <c r="P616" s="31" t="n"/>
      <c r="Q616" s="31" t="n"/>
      <c r="R616" s="34">
        <f>IFERROR(IF(AND(O616&gt;0,P616&gt;0,Q616&gt;0),(O616*P616*Q616)/6000,""),"")</f>
        <v/>
      </c>
      <c r="S616" s="34">
        <f>IFERROR(IF(AND(N616&gt;0,R616&gt;0),MAX(N616,R616),IF(N616&gt;0,N616,IF(R616&gt;0,R616,""))),"")</f>
        <v/>
      </c>
      <c r="T616" s="36" t="n"/>
      <c r="U616" s="38" t="inlineStr">
        <is>
          <t>FALTA</t>
        </is>
      </c>
      <c r="V616" s="36" t="n">
        <v>1307.9</v>
      </c>
      <c r="W616" s="39" t="n">
        <v>0.3</v>
      </c>
      <c r="X616" s="41">
        <f>IFERROR(V616+T616,"")</f>
        <v/>
      </c>
      <c r="Y616" s="41">
        <f>IFERROR(IF(W616&lt;1,X616/(1-W616),""),"")</f>
        <v/>
      </c>
      <c r="Z616" s="43">
        <f>'01_CONFIG_GLOBAL'!$C$14</f>
        <v/>
      </c>
      <c r="AA616" s="41">
        <f>IFERROR(Y616*Z616,"")</f>
        <v/>
      </c>
      <c r="AB616" s="41">
        <f>IFERROR(IF(Z616&lt;1,Y616/(1-Z616),""),"")</f>
        <v/>
      </c>
      <c r="AC616" s="23" t="n"/>
      <c r="AD616" s="36" t="n"/>
      <c r="AE616" s="23" t="n"/>
      <c r="AF616" s="36" t="n"/>
      <c r="AG616" s="23" t="n"/>
      <c r="AH616" s="36" t="n"/>
      <c r="AI616" s="41">
        <f>IFERROR(AVERAGE(AD616,AF616,AH616),"")</f>
        <v/>
      </c>
      <c r="AJ616" s="29">
        <f>IFERROR(IF(AI616="","sem dados",IF(AB616&lt;AI616*0.95,"abaixo",IF(AB616&gt;AI616*1.05,"acima","em linha"))),"")</f>
        <v/>
      </c>
      <c r="AK616" s="23" t="inlineStr">
        <is>
          <t>não</t>
        </is>
      </c>
      <c r="AL616" s="23" t="n"/>
      <c r="AM616" s="23" t="n"/>
      <c r="AN616" s="23" t="n"/>
      <c r="AO616" s="44">
        <f>A616</f>
        <v/>
      </c>
      <c r="AP616" s="44">
        <f>D616</f>
        <v/>
      </c>
    </row>
    <row r="617" hidden="1" ht="15.75" customHeight="1" s="93">
      <c r="A617" s="23" t="inlineStr">
        <is>
          <t>5.1705.0770034.0</t>
        </is>
      </c>
      <c r="B617" s="23" t="inlineStr">
        <is>
          <t>770034</t>
        </is>
      </c>
      <c r="C617" s="29">
        <f>IFERROR(LOWER(SUBSTITUTE(SUBSTITUTE(SUBSTITUTE(SUBSTITUTE(D617," ","-"),"/","-"),".",""),",","")),"")</f>
        <v/>
      </c>
      <c r="D617" s="23" t="inlineStr">
        <is>
          <t>TOMADA DE FORCA A-034</t>
        </is>
      </c>
      <c r="E617" s="23" t="n"/>
      <c r="F617" s="23" t="inlineStr">
        <is>
          <t>SOHIPREN</t>
        </is>
      </c>
      <c r="G617" s="23" t="n"/>
      <c r="H617" s="23" t="inlineStr">
        <is>
          <t>draft</t>
        </is>
      </c>
      <c r="I617" s="23" t="inlineStr">
        <is>
          <t>INTERPUMP</t>
        </is>
      </c>
      <c r="J617" s="23" t="n"/>
      <c r="K617" s="23" t="n"/>
      <c r="L617" s="23" t="inlineStr">
        <is>
          <t>17930</t>
        </is>
      </c>
      <c r="M617" s="31" t="n"/>
      <c r="N617" s="31" t="n"/>
      <c r="O617" s="31" t="n"/>
      <c r="P617" s="31" t="n"/>
      <c r="Q617" s="31" t="n"/>
      <c r="R617" s="34">
        <f>IFERROR(IF(AND(O617&gt;0,P617&gt;0,Q617&gt;0),(O617*P617*Q617)/6000,""),"")</f>
        <v/>
      </c>
      <c r="S617" s="34">
        <f>IFERROR(IF(AND(N617&gt;0,R617&gt;0),MAX(N617,R617),IF(N617&gt;0,N617,IF(R617&gt;0,R617,""))),"")</f>
        <v/>
      </c>
      <c r="T617" s="36" t="n"/>
      <c r="U617" s="38" t="inlineStr">
        <is>
          <t>FALTA</t>
        </is>
      </c>
      <c r="V617" s="36" t="n">
        <v>1307.9</v>
      </c>
      <c r="W617" s="39" t="n">
        <v>0.3</v>
      </c>
      <c r="X617" s="41">
        <f>IFERROR(V617+T617,"")</f>
        <v/>
      </c>
      <c r="Y617" s="41">
        <f>IFERROR(IF(W617&lt;1,X617/(1-W617),""),"")</f>
        <v/>
      </c>
      <c r="Z617" s="43">
        <f>'01_CONFIG_GLOBAL'!$C$14</f>
        <v/>
      </c>
      <c r="AA617" s="41">
        <f>IFERROR(Y617*Z617,"")</f>
        <v/>
      </c>
      <c r="AB617" s="41">
        <f>IFERROR(IF(Z617&lt;1,Y617/(1-Z617),""),"")</f>
        <v/>
      </c>
      <c r="AC617" s="23" t="n"/>
      <c r="AD617" s="36" t="n"/>
      <c r="AE617" s="23" t="n"/>
      <c r="AF617" s="36" t="n"/>
      <c r="AG617" s="23" t="n"/>
      <c r="AH617" s="36" t="n"/>
      <c r="AI617" s="41">
        <f>IFERROR(AVERAGE(AD617,AF617,AH617),"")</f>
        <v/>
      </c>
      <c r="AJ617" s="29">
        <f>IFERROR(IF(AI617="","sem dados",IF(AB617&lt;AI617*0.95,"abaixo",IF(AB617&gt;AI617*1.05,"acima","em linha"))),"")</f>
        <v/>
      </c>
      <c r="AK617" s="23" t="inlineStr">
        <is>
          <t>não</t>
        </is>
      </c>
      <c r="AL617" s="23" t="n"/>
      <c r="AM617" s="23" t="n"/>
      <c r="AN617" s="23" t="n"/>
      <c r="AO617" s="44">
        <f>A617</f>
        <v/>
      </c>
      <c r="AP617" s="44">
        <f>D617</f>
        <v/>
      </c>
    </row>
    <row r="618" hidden="1" ht="15.75" customHeight="1" s="93">
      <c r="A618" s="23" t="inlineStr">
        <is>
          <t>5.1710.0770035.0</t>
        </is>
      </c>
      <c r="B618" s="23" t="inlineStr">
        <is>
          <t>770035</t>
        </is>
      </c>
      <c r="C618" s="29">
        <f>IFERROR(LOWER(SUBSTITUTE(SUBSTITUTE(SUBSTITUTE(SUBSTITUTE(D618," ","-"),"/","-"),".",""),",","")),"")</f>
        <v/>
      </c>
      <c r="D618" s="23" t="inlineStr">
        <is>
          <t>TOMADA DE FORCA A-035</t>
        </is>
      </c>
      <c r="E618" s="23" t="n"/>
      <c r="F618" s="23" t="inlineStr">
        <is>
          <t>SOHIPREN</t>
        </is>
      </c>
      <c r="G618" s="23" t="n"/>
      <c r="H618" s="23" t="inlineStr">
        <is>
          <t>draft</t>
        </is>
      </c>
      <c r="I618" s="23" t="inlineStr">
        <is>
          <t>INTERPUMP</t>
        </is>
      </c>
      <c r="J618" s="23" t="n"/>
      <c r="K618" s="23" t="n"/>
      <c r="L618" s="23" t="inlineStr">
        <is>
          <t>17930</t>
        </is>
      </c>
      <c r="M618" s="31" t="n"/>
      <c r="N618" s="31" t="n"/>
      <c r="O618" s="31" t="n"/>
      <c r="P618" s="31" t="n"/>
      <c r="Q618" s="31" t="n"/>
      <c r="R618" s="34">
        <f>IFERROR(IF(AND(O618&gt;0,P618&gt;0,Q618&gt;0),(O618*P618*Q618)/6000,""),"")</f>
        <v/>
      </c>
      <c r="S618" s="34">
        <f>IFERROR(IF(AND(N618&gt;0,R618&gt;0),MAX(N618,R618),IF(N618&gt;0,N618,IF(R618&gt;0,R618,""))),"")</f>
        <v/>
      </c>
      <c r="T618" s="36" t="n"/>
      <c r="U618" s="38" t="inlineStr">
        <is>
          <t>FALTA</t>
        </is>
      </c>
      <c r="V618" s="36" t="n">
        <v>1307.9</v>
      </c>
      <c r="W618" s="39" t="n">
        <v>0.3</v>
      </c>
      <c r="X618" s="41">
        <f>IFERROR(V618+T618,"")</f>
        <v/>
      </c>
      <c r="Y618" s="41">
        <f>IFERROR(IF(W618&lt;1,X618/(1-W618),""),"")</f>
        <v/>
      </c>
      <c r="Z618" s="43">
        <f>'01_CONFIG_GLOBAL'!$C$14</f>
        <v/>
      </c>
      <c r="AA618" s="41">
        <f>IFERROR(Y618*Z618,"")</f>
        <v/>
      </c>
      <c r="AB618" s="41">
        <f>IFERROR(IF(Z618&lt;1,Y618/(1-Z618),""),"")</f>
        <v/>
      </c>
      <c r="AC618" s="23" t="n"/>
      <c r="AD618" s="36" t="n"/>
      <c r="AE618" s="23" t="n"/>
      <c r="AF618" s="36" t="n"/>
      <c r="AG618" s="23" t="n"/>
      <c r="AH618" s="36" t="n"/>
      <c r="AI618" s="41">
        <f>IFERROR(AVERAGE(AD618,AF618,AH618),"")</f>
        <v/>
      </c>
      <c r="AJ618" s="29">
        <f>IFERROR(IF(AI618="","sem dados",IF(AB618&lt;AI618*0.95,"abaixo",IF(AB618&gt;AI618*1.05,"acima","em linha"))),"")</f>
        <v/>
      </c>
      <c r="AK618" s="23" t="inlineStr">
        <is>
          <t>não</t>
        </is>
      </c>
      <c r="AL618" s="23" t="n"/>
      <c r="AM618" s="23" t="n"/>
      <c r="AN618" s="23" t="n"/>
      <c r="AO618" s="44">
        <f>A618</f>
        <v/>
      </c>
      <c r="AP618" s="44">
        <f>D618</f>
        <v/>
      </c>
    </row>
    <row r="619" hidden="1" ht="15.75" customHeight="1" s="93">
      <c r="A619" s="23" t="inlineStr">
        <is>
          <t>5.1708.0770027.0</t>
        </is>
      </c>
      <c r="B619" s="23" t="inlineStr">
        <is>
          <t>770027</t>
        </is>
      </c>
      <c r="C619" s="29">
        <f>IFERROR(LOWER(SUBSTITUTE(SUBSTITUTE(SUBSTITUTE(SUBSTITUTE(D619," ","-"),"/","-"),".",""),",","")),"")</f>
        <v/>
      </c>
      <c r="D619" s="23" t="inlineStr">
        <is>
          <t>TOMADA DE FORCA A-027 (TK906406)</t>
        </is>
      </c>
      <c r="E619" s="23" t="n"/>
      <c r="F619" s="23" t="inlineStr">
        <is>
          <t>SOHIPREN</t>
        </is>
      </c>
      <c r="G619" s="23" t="n"/>
      <c r="H619" s="23" t="inlineStr">
        <is>
          <t>draft</t>
        </is>
      </c>
      <c r="I619" s="23" t="inlineStr">
        <is>
          <t>INTERPUMP</t>
        </is>
      </c>
      <c r="J619" s="23" t="inlineStr">
        <is>
          <t>(TK 17930)</t>
        </is>
      </c>
      <c r="K619" s="23" t="n"/>
      <c r="L619" s="23" t="inlineStr">
        <is>
          <t>17930</t>
        </is>
      </c>
      <c r="M619" s="31" t="n"/>
      <c r="N619" s="31" t="n"/>
      <c r="O619" s="31" t="n"/>
      <c r="P619" s="31" t="n"/>
      <c r="Q619" s="31" t="n"/>
      <c r="R619" s="34">
        <f>IFERROR(IF(AND(O619&gt;0,P619&gt;0,Q619&gt;0),(O619*P619*Q619)/6000,""),"")</f>
        <v/>
      </c>
      <c r="S619" s="34">
        <f>IFERROR(IF(AND(N619&gt;0,R619&gt;0),MAX(N619,R619),IF(N619&gt;0,N619,IF(R619&gt;0,R619,""))),"")</f>
        <v/>
      </c>
      <c r="T619" s="36" t="n"/>
      <c r="U619" s="38" t="inlineStr">
        <is>
          <t>FALTA</t>
        </is>
      </c>
      <c r="V619" s="36" t="n">
        <v>1307.9</v>
      </c>
      <c r="W619" s="39" t="n">
        <v>0.3</v>
      </c>
      <c r="X619" s="41">
        <f>IFERROR(V619+T619,"")</f>
        <v/>
      </c>
      <c r="Y619" s="41">
        <f>IFERROR(IF(W619&lt;1,X619/(1-W619),""),"")</f>
        <v/>
      </c>
      <c r="Z619" s="43">
        <f>'01_CONFIG_GLOBAL'!$C$14</f>
        <v/>
      </c>
      <c r="AA619" s="41">
        <f>IFERROR(Y619*Z619,"")</f>
        <v/>
      </c>
      <c r="AB619" s="41">
        <f>IFERROR(IF(Z619&lt;1,Y619/(1-Z619),""),"")</f>
        <v/>
      </c>
      <c r="AC619" s="23" t="n"/>
      <c r="AD619" s="36" t="n"/>
      <c r="AE619" s="23" t="n"/>
      <c r="AF619" s="36" t="n"/>
      <c r="AG619" s="23" t="n"/>
      <c r="AH619" s="36" t="n"/>
      <c r="AI619" s="41">
        <f>IFERROR(AVERAGE(AD619,AF619,AH619),"")</f>
        <v/>
      </c>
      <c r="AJ619" s="29">
        <f>IFERROR(IF(AI619="","sem dados",IF(AB619&lt;AI619*0.95,"abaixo",IF(AB619&gt;AI619*1.05,"acima","em linha"))),"")</f>
        <v/>
      </c>
      <c r="AK619" s="23" t="inlineStr">
        <is>
          <t>não</t>
        </is>
      </c>
      <c r="AL619" s="23" t="n"/>
      <c r="AM619" s="23" t="n"/>
      <c r="AN619" s="23" t="n"/>
      <c r="AO619" s="44">
        <f>A619</f>
        <v/>
      </c>
      <c r="AP619" s="44">
        <f>D619</f>
        <v/>
      </c>
    </row>
    <row r="620" hidden="1" ht="15.75" customHeight="1" s="93">
      <c r="A620" s="23" t="inlineStr">
        <is>
          <t>5.1705.0770037.0</t>
        </is>
      </c>
      <c r="B620" s="23" t="inlineStr">
        <is>
          <t>770037</t>
        </is>
      </c>
      <c r="C620" s="29">
        <f>IFERROR(LOWER(SUBSTITUTE(SUBSTITUTE(SUBSTITUTE(SUBSTITUTE(D620," ","-"),"/","-"),".",""),",","")),"")</f>
        <v/>
      </c>
      <c r="D620" s="23" t="inlineStr">
        <is>
          <t>TOMADA DE FORCA A-037</t>
        </is>
      </c>
      <c r="E620" s="23" t="n"/>
      <c r="F620" s="23" t="inlineStr">
        <is>
          <t>SOHIPREN</t>
        </is>
      </c>
      <c r="G620" s="23" t="n"/>
      <c r="H620" s="23" t="inlineStr">
        <is>
          <t>draft</t>
        </is>
      </c>
      <c r="I620" s="23" t="inlineStr">
        <is>
          <t>INTERPUMP</t>
        </is>
      </c>
      <c r="J620" s="23" t="n"/>
      <c r="K620" s="23" t="n"/>
      <c r="L620" s="23" t="inlineStr">
        <is>
          <t>17930</t>
        </is>
      </c>
      <c r="M620" s="31" t="n"/>
      <c r="N620" s="31" t="n"/>
      <c r="O620" s="31" t="n"/>
      <c r="P620" s="31" t="n"/>
      <c r="Q620" s="31" t="n"/>
      <c r="R620" s="34">
        <f>IFERROR(IF(AND(O620&gt;0,P620&gt;0,Q620&gt;0),(O620*P620*Q620)/6000,""),"")</f>
        <v/>
      </c>
      <c r="S620" s="34">
        <f>IFERROR(IF(AND(N620&gt;0,R620&gt;0),MAX(N620,R620),IF(N620&gt;0,N620,IF(R620&gt;0,R620,""))),"")</f>
        <v/>
      </c>
      <c r="T620" s="36" t="n"/>
      <c r="U620" s="38" t="inlineStr">
        <is>
          <t>FALTA</t>
        </is>
      </c>
      <c r="V620" s="36" t="n">
        <v>1307.9</v>
      </c>
      <c r="W620" s="39" t="n">
        <v>0.3</v>
      </c>
      <c r="X620" s="41">
        <f>IFERROR(V620+T620,"")</f>
        <v/>
      </c>
      <c r="Y620" s="41">
        <f>IFERROR(IF(W620&lt;1,X620/(1-W620),""),"")</f>
        <v/>
      </c>
      <c r="Z620" s="43">
        <f>'01_CONFIG_GLOBAL'!$C$14</f>
        <v/>
      </c>
      <c r="AA620" s="41">
        <f>IFERROR(Y620*Z620,"")</f>
        <v/>
      </c>
      <c r="AB620" s="41">
        <f>IFERROR(IF(Z620&lt;1,Y620/(1-Z620),""),"")</f>
        <v/>
      </c>
      <c r="AC620" s="23" t="n"/>
      <c r="AD620" s="36" t="n"/>
      <c r="AE620" s="23" t="n"/>
      <c r="AF620" s="36" t="n"/>
      <c r="AG620" s="23" t="n"/>
      <c r="AH620" s="36" t="n"/>
      <c r="AI620" s="41">
        <f>IFERROR(AVERAGE(AD620,AF620,AH620),"")</f>
        <v/>
      </c>
      <c r="AJ620" s="29">
        <f>IFERROR(IF(AI620="","sem dados",IF(AB620&lt;AI620*0.95,"abaixo",IF(AB620&gt;AI620*1.05,"acima","em linha"))),"")</f>
        <v/>
      </c>
      <c r="AK620" s="23" t="inlineStr">
        <is>
          <t>não</t>
        </is>
      </c>
      <c r="AL620" s="23" t="n"/>
      <c r="AM620" s="23" t="n"/>
      <c r="AN620" s="23" t="n"/>
      <c r="AO620" s="44">
        <f>A620</f>
        <v/>
      </c>
      <c r="AP620" s="44">
        <f>D620</f>
        <v/>
      </c>
    </row>
    <row r="621" hidden="1" ht="15.75" customHeight="1" s="93">
      <c r="A621" s="23" t="inlineStr">
        <is>
          <t>5.1708.0770038.0</t>
        </is>
      </c>
      <c r="B621" s="23" t="inlineStr">
        <is>
          <t>770038</t>
        </is>
      </c>
      <c r="C621" s="29">
        <f>IFERROR(LOWER(SUBSTITUTE(SUBSTITUTE(SUBSTITUTE(SUBSTITUTE(D621," ","-"),"/","-"),".",""),",","")),"")</f>
        <v/>
      </c>
      <c r="D621" s="23" t="inlineStr">
        <is>
          <t>TOMADA DE FORCA A-038</t>
        </is>
      </c>
      <c r="E621" s="23" t="n"/>
      <c r="F621" s="23" t="inlineStr">
        <is>
          <t>SOHIPREN</t>
        </is>
      </c>
      <c r="G621" s="23" t="n"/>
      <c r="H621" s="23" t="inlineStr">
        <is>
          <t>draft</t>
        </is>
      </c>
      <c r="I621" s="23" t="inlineStr">
        <is>
          <t>INTERPUMP</t>
        </is>
      </c>
      <c r="J621" s="23" t="n"/>
      <c r="K621" s="23" t="n"/>
      <c r="L621" s="23" t="inlineStr">
        <is>
          <t>17930</t>
        </is>
      </c>
      <c r="M621" s="31" t="n"/>
      <c r="N621" s="31" t="n"/>
      <c r="O621" s="31" t="n"/>
      <c r="P621" s="31" t="n"/>
      <c r="Q621" s="31" t="n"/>
      <c r="R621" s="34">
        <f>IFERROR(IF(AND(O621&gt;0,P621&gt;0,Q621&gt;0),(O621*P621*Q621)/6000,""),"")</f>
        <v/>
      </c>
      <c r="S621" s="34">
        <f>IFERROR(IF(AND(N621&gt;0,R621&gt;0),MAX(N621,R621),IF(N621&gt;0,N621,IF(R621&gt;0,R621,""))),"")</f>
        <v/>
      </c>
      <c r="T621" s="36" t="n"/>
      <c r="U621" s="38" t="inlineStr">
        <is>
          <t>FALTA</t>
        </is>
      </c>
      <c r="V621" s="36" t="n">
        <v>1307.9</v>
      </c>
      <c r="W621" s="39" t="n">
        <v>0.3</v>
      </c>
      <c r="X621" s="41">
        <f>IFERROR(V621+T621,"")</f>
        <v/>
      </c>
      <c r="Y621" s="41">
        <f>IFERROR(IF(W621&lt;1,X621/(1-W621),""),"")</f>
        <v/>
      </c>
      <c r="Z621" s="43">
        <f>'01_CONFIG_GLOBAL'!$C$14</f>
        <v/>
      </c>
      <c r="AA621" s="41">
        <f>IFERROR(Y621*Z621,"")</f>
        <v/>
      </c>
      <c r="AB621" s="41">
        <f>IFERROR(IF(Z621&lt;1,Y621/(1-Z621),""),"")</f>
        <v/>
      </c>
      <c r="AC621" s="23" t="n"/>
      <c r="AD621" s="36" t="n"/>
      <c r="AE621" s="23" t="n"/>
      <c r="AF621" s="36" t="n"/>
      <c r="AG621" s="23" t="n"/>
      <c r="AH621" s="36" t="n"/>
      <c r="AI621" s="41">
        <f>IFERROR(AVERAGE(AD621,AF621,AH621),"")</f>
        <v/>
      </c>
      <c r="AJ621" s="29">
        <f>IFERROR(IF(AI621="","sem dados",IF(AB621&lt;AI621*0.95,"abaixo",IF(AB621&gt;AI621*1.05,"acima","em linha"))),"")</f>
        <v/>
      </c>
      <c r="AK621" s="23" t="inlineStr">
        <is>
          <t>não</t>
        </is>
      </c>
      <c r="AL621" s="23" t="n"/>
      <c r="AM621" s="23" t="n"/>
      <c r="AN621" s="23" t="n"/>
      <c r="AO621" s="44">
        <f>A621</f>
        <v/>
      </c>
      <c r="AP621" s="44">
        <f>D621</f>
        <v/>
      </c>
    </row>
    <row r="622" hidden="1" ht="15.75" customHeight="1" s="93">
      <c r="A622" s="23" t="inlineStr">
        <is>
          <t>5.1702.0770039.0</t>
        </is>
      </c>
      <c r="B622" s="23" t="inlineStr">
        <is>
          <t>770039</t>
        </is>
      </c>
      <c r="C622" s="29">
        <f>IFERROR(LOWER(SUBSTITUTE(SUBSTITUTE(SUBSTITUTE(SUBSTITUTE(D622," ","-"),"/","-"),".",""),",","")),"")</f>
        <v/>
      </c>
      <c r="D622" s="23" t="inlineStr">
        <is>
          <t>TOMADA DE FORCA A-039</t>
        </is>
      </c>
      <c r="E622" s="23" t="n"/>
      <c r="F622" s="23" t="inlineStr">
        <is>
          <t>SOHIPREN</t>
        </is>
      </c>
      <c r="G622" s="23" t="n"/>
      <c r="H622" s="23" t="inlineStr">
        <is>
          <t>draft</t>
        </is>
      </c>
      <c r="I622" s="23" t="inlineStr">
        <is>
          <t>INTERPUMP</t>
        </is>
      </c>
      <c r="J622" s="23" t="n"/>
      <c r="K622" s="23" t="n"/>
      <c r="L622" s="23" t="inlineStr">
        <is>
          <t>22093</t>
        </is>
      </c>
      <c r="M622" s="31" t="n"/>
      <c r="N622" s="31" t="n"/>
      <c r="O622" s="31" t="n"/>
      <c r="P622" s="31" t="n"/>
      <c r="Q622" s="31" t="n"/>
      <c r="R622" s="34">
        <f>IFERROR(IF(AND(O622&gt;0,P622&gt;0,Q622&gt;0),(O622*P622*Q622)/6000,""),"")</f>
        <v/>
      </c>
      <c r="S622" s="34">
        <f>IFERROR(IF(AND(N622&gt;0,R622&gt;0),MAX(N622,R622),IF(N622&gt;0,N622,IF(R622&gt;0,R622,""))),"")</f>
        <v/>
      </c>
      <c r="T622" s="36" t="n"/>
      <c r="U622" s="38" t="inlineStr">
        <is>
          <t>FALTA</t>
        </is>
      </c>
      <c r="V622" s="36" t="n">
        <v>1307.9</v>
      </c>
      <c r="W622" s="39" t="n">
        <v>0.3</v>
      </c>
      <c r="X622" s="41">
        <f>IFERROR(V622+T622,"")</f>
        <v/>
      </c>
      <c r="Y622" s="41">
        <f>IFERROR(IF(W622&lt;1,X622/(1-W622),""),"")</f>
        <v/>
      </c>
      <c r="Z622" s="43">
        <f>'01_CONFIG_GLOBAL'!$C$14</f>
        <v/>
      </c>
      <c r="AA622" s="41">
        <f>IFERROR(Y622*Z622,"")</f>
        <v/>
      </c>
      <c r="AB622" s="41">
        <f>IFERROR(IF(Z622&lt;1,Y622/(1-Z622),""),"")</f>
        <v/>
      </c>
      <c r="AC622" s="23" t="n"/>
      <c r="AD622" s="36" t="n"/>
      <c r="AE622" s="23" t="n"/>
      <c r="AF622" s="36" t="n"/>
      <c r="AG622" s="23" t="n"/>
      <c r="AH622" s="36" t="n"/>
      <c r="AI622" s="41">
        <f>IFERROR(AVERAGE(AD622,AF622,AH622),"")</f>
        <v/>
      </c>
      <c r="AJ622" s="29">
        <f>IFERROR(IF(AI622="","sem dados",IF(AB622&lt;AI622*0.95,"abaixo",IF(AB622&gt;AI622*1.05,"acima","em linha"))),"")</f>
        <v/>
      </c>
      <c r="AK622" s="23" t="inlineStr">
        <is>
          <t>não</t>
        </is>
      </c>
      <c r="AL622" s="23" t="n"/>
      <c r="AM622" s="23" t="n"/>
      <c r="AN622" s="23" t="n"/>
      <c r="AO622" s="44">
        <f>A622</f>
        <v/>
      </c>
      <c r="AP622" s="44">
        <f>D622</f>
        <v/>
      </c>
    </row>
    <row r="623" hidden="1" ht="15.75" customHeight="1" s="93">
      <c r="A623" s="23" t="inlineStr">
        <is>
          <t>5.1701.0770040.0</t>
        </is>
      </c>
      <c r="B623" s="23" t="inlineStr">
        <is>
          <t>770040</t>
        </is>
      </c>
      <c r="C623" s="29">
        <f>IFERROR(LOWER(SUBSTITUTE(SUBSTITUTE(SUBSTITUTE(SUBSTITUTE(D623," ","-"),"/","-"),".",""),",","")),"")</f>
        <v/>
      </c>
      <c r="D623" s="23" t="inlineStr">
        <is>
          <t>TOMADA DE FORCA A-040</t>
        </is>
      </c>
      <c r="E623" s="23" t="n"/>
      <c r="F623" s="23" t="inlineStr">
        <is>
          <t>SOHIPREN</t>
        </is>
      </c>
      <c r="G623" s="23" t="n"/>
      <c r="H623" s="23" t="inlineStr">
        <is>
          <t>draft</t>
        </is>
      </c>
      <c r="I623" s="23" t="inlineStr">
        <is>
          <t>INTERPUMP</t>
        </is>
      </c>
      <c r="J623" s="23" t="n"/>
      <c r="K623" s="23" t="n"/>
      <c r="L623" s="23" t="inlineStr">
        <is>
          <t>22092</t>
        </is>
      </c>
      <c r="M623" s="31" t="n"/>
      <c r="N623" s="31" t="n"/>
      <c r="O623" s="31" t="n"/>
      <c r="P623" s="31" t="n"/>
      <c r="Q623" s="31" t="n"/>
      <c r="R623" s="34">
        <f>IFERROR(IF(AND(O623&gt;0,P623&gt;0,Q623&gt;0),(O623*P623*Q623)/6000,""),"")</f>
        <v/>
      </c>
      <c r="S623" s="34">
        <f>IFERROR(IF(AND(N623&gt;0,R623&gt;0),MAX(N623,R623),IF(N623&gt;0,N623,IF(R623&gt;0,R623,""))),"")</f>
        <v/>
      </c>
      <c r="T623" s="36" t="n"/>
      <c r="U623" s="38" t="inlineStr">
        <is>
          <t>FALTA</t>
        </is>
      </c>
      <c r="V623" s="36" t="n">
        <v>1307.9</v>
      </c>
      <c r="W623" s="39" t="n">
        <v>0.3</v>
      </c>
      <c r="X623" s="41">
        <f>IFERROR(V623+T623,"")</f>
        <v/>
      </c>
      <c r="Y623" s="41">
        <f>IFERROR(IF(W623&lt;1,X623/(1-W623),""),"")</f>
        <v/>
      </c>
      <c r="Z623" s="43">
        <f>'01_CONFIG_GLOBAL'!$C$14</f>
        <v/>
      </c>
      <c r="AA623" s="41">
        <f>IFERROR(Y623*Z623,"")</f>
        <v/>
      </c>
      <c r="AB623" s="41">
        <f>IFERROR(IF(Z623&lt;1,Y623/(1-Z623),""),"")</f>
        <v/>
      </c>
      <c r="AC623" s="23" t="n"/>
      <c r="AD623" s="36" t="n"/>
      <c r="AE623" s="23" t="n"/>
      <c r="AF623" s="36" t="n"/>
      <c r="AG623" s="23" t="n"/>
      <c r="AH623" s="36" t="n"/>
      <c r="AI623" s="41">
        <f>IFERROR(AVERAGE(AD623,AF623,AH623),"")</f>
        <v/>
      </c>
      <c r="AJ623" s="29">
        <f>IFERROR(IF(AI623="","sem dados",IF(AB623&lt;AI623*0.95,"abaixo",IF(AB623&gt;AI623*1.05,"acima","em linha"))),"")</f>
        <v/>
      </c>
      <c r="AK623" s="23" t="inlineStr">
        <is>
          <t>não</t>
        </is>
      </c>
      <c r="AL623" s="23" t="n"/>
      <c r="AM623" s="23" t="n"/>
      <c r="AN623" s="23" t="n"/>
      <c r="AO623" s="44">
        <f>A623</f>
        <v/>
      </c>
      <c r="AP623" s="44">
        <f>D623</f>
        <v/>
      </c>
    </row>
    <row r="624" hidden="1" ht="15.75" customHeight="1" s="93">
      <c r="A624" s="23" t="inlineStr">
        <is>
          <t>5.1702.0770041.0</t>
        </is>
      </c>
      <c r="B624" s="23" t="inlineStr">
        <is>
          <t>770041</t>
        </is>
      </c>
      <c r="C624" s="29">
        <f>IFERROR(LOWER(SUBSTITUTE(SUBSTITUTE(SUBSTITUTE(SUBSTITUTE(D624," ","-"),"/","-"),".",""),",","")),"")</f>
        <v/>
      </c>
      <c r="D624" s="23" t="inlineStr">
        <is>
          <t>TOMADA DE FORCA A-041</t>
        </is>
      </c>
      <c r="E624" s="23" t="n"/>
      <c r="F624" s="23" t="inlineStr">
        <is>
          <t>SOHIPREN</t>
        </is>
      </c>
      <c r="G624" s="23" t="n"/>
      <c r="H624" s="23" t="inlineStr">
        <is>
          <t>draft</t>
        </is>
      </c>
      <c r="I624" s="23" t="inlineStr">
        <is>
          <t>INTERPUMP</t>
        </is>
      </c>
      <c r="J624" s="23" t="n"/>
      <c r="K624" s="23" t="n"/>
      <c r="L624" s="23" t="inlineStr">
        <is>
          <t>22112</t>
        </is>
      </c>
      <c r="M624" s="31" t="n"/>
      <c r="N624" s="31" t="n"/>
      <c r="O624" s="31" t="n"/>
      <c r="P624" s="31" t="n"/>
      <c r="Q624" s="31" t="n"/>
      <c r="R624" s="34">
        <f>IFERROR(IF(AND(O624&gt;0,P624&gt;0,Q624&gt;0),(O624*P624*Q624)/6000,""),"")</f>
        <v/>
      </c>
      <c r="S624" s="34">
        <f>IFERROR(IF(AND(N624&gt;0,R624&gt;0),MAX(N624,R624),IF(N624&gt;0,N624,IF(R624&gt;0,R624,""))),"")</f>
        <v/>
      </c>
      <c r="T624" s="36" t="n"/>
      <c r="U624" s="38" t="inlineStr">
        <is>
          <t>FALTA</t>
        </is>
      </c>
      <c r="V624" s="36" t="n">
        <v>1307.9</v>
      </c>
      <c r="W624" s="39" t="n">
        <v>0.3</v>
      </c>
      <c r="X624" s="41">
        <f>IFERROR(V624+T624,"")</f>
        <v/>
      </c>
      <c r="Y624" s="41">
        <f>IFERROR(IF(W624&lt;1,X624/(1-W624),""),"")</f>
        <v/>
      </c>
      <c r="Z624" s="43">
        <f>'01_CONFIG_GLOBAL'!$C$14</f>
        <v/>
      </c>
      <c r="AA624" s="41">
        <f>IFERROR(Y624*Z624,"")</f>
        <v/>
      </c>
      <c r="AB624" s="41">
        <f>IFERROR(IF(Z624&lt;1,Y624/(1-Z624),""),"")</f>
        <v/>
      </c>
      <c r="AC624" s="23" t="n"/>
      <c r="AD624" s="36" t="n"/>
      <c r="AE624" s="23" t="n"/>
      <c r="AF624" s="36" t="n"/>
      <c r="AG624" s="23" t="n"/>
      <c r="AH624" s="36" t="n"/>
      <c r="AI624" s="41">
        <f>IFERROR(AVERAGE(AD624,AF624,AH624),"")</f>
        <v/>
      </c>
      <c r="AJ624" s="29">
        <f>IFERROR(IF(AI624="","sem dados",IF(AB624&lt;AI624*0.95,"abaixo",IF(AB624&gt;AI624*1.05,"acima","em linha"))),"")</f>
        <v/>
      </c>
      <c r="AK624" s="23" t="inlineStr">
        <is>
          <t>não</t>
        </is>
      </c>
      <c r="AL624" s="23" t="n"/>
      <c r="AM624" s="23" t="n"/>
      <c r="AN624" s="23" t="n"/>
      <c r="AO624" s="44">
        <f>A624</f>
        <v/>
      </c>
      <c r="AP624" s="44">
        <f>D624</f>
        <v/>
      </c>
    </row>
    <row r="625" hidden="1" ht="15.75" customHeight="1" s="93">
      <c r="A625" s="23" t="inlineStr">
        <is>
          <t>5.1703.0770013.0</t>
        </is>
      </c>
      <c r="B625" s="23" t="inlineStr">
        <is>
          <t>770013</t>
        </is>
      </c>
      <c r="C625" s="29">
        <f>IFERROR(LOWER(SUBSTITUTE(SUBSTITUTE(SUBSTITUTE(SUBSTITUTE(D625," ","-"),"/","-"),".",""),",","")),"")</f>
        <v/>
      </c>
      <c r="D625" s="23" t="inlineStr">
        <is>
          <t>TOMADA DE FORCA A-013 ( 70E20/P87 )</t>
        </is>
      </c>
      <c r="E625" s="23" t="n"/>
      <c r="F625" s="23" t="inlineStr">
        <is>
          <t>SOHIPREN</t>
        </is>
      </c>
      <c r="G625" s="23" t="n"/>
      <c r="H625" s="23" t="inlineStr">
        <is>
          <t>draft</t>
        </is>
      </c>
      <c r="I625" s="23" t="inlineStr">
        <is>
          <t>INTERPUMP</t>
        </is>
      </c>
      <c r="J625" s="23" t="inlineStr">
        <is>
          <t>(TK 12178)</t>
        </is>
      </c>
      <c r="K625" s="23" t="n"/>
      <c r="L625" s="23" t="inlineStr">
        <is>
          <t>12178</t>
        </is>
      </c>
      <c r="M625" s="31" t="n"/>
      <c r="N625" s="31" t="n"/>
      <c r="O625" s="31" t="n"/>
      <c r="P625" s="31" t="n"/>
      <c r="Q625" s="31" t="n"/>
      <c r="R625" s="34">
        <f>IFERROR(IF(AND(O625&gt;0,P625&gt;0,Q625&gt;0),(O625*P625*Q625)/6000,""),"")</f>
        <v/>
      </c>
      <c r="S625" s="34">
        <f>IFERROR(IF(AND(N625&gt;0,R625&gt;0),MAX(N625,R625),IF(N625&gt;0,N625,IF(R625&gt;0,R625,""))),"")</f>
        <v/>
      </c>
      <c r="T625" s="36" t="n"/>
      <c r="U625" s="38" t="inlineStr">
        <is>
          <t>FALTA</t>
        </is>
      </c>
      <c r="V625" s="36" t="n">
        <v>1307.9</v>
      </c>
      <c r="W625" s="39" t="n">
        <v>0.3</v>
      </c>
      <c r="X625" s="41">
        <f>IFERROR(V625+T625,"")</f>
        <v/>
      </c>
      <c r="Y625" s="41">
        <f>IFERROR(IF(W625&lt;1,X625/(1-W625),""),"")</f>
        <v/>
      </c>
      <c r="Z625" s="43">
        <f>'01_CONFIG_GLOBAL'!$C$14</f>
        <v/>
      </c>
      <c r="AA625" s="41">
        <f>IFERROR(Y625*Z625,"")</f>
        <v/>
      </c>
      <c r="AB625" s="41">
        <f>IFERROR(IF(Z625&lt;1,Y625/(1-Z625),""),"")</f>
        <v/>
      </c>
      <c r="AC625" s="23" t="n"/>
      <c r="AD625" s="36" t="n"/>
      <c r="AE625" s="23" t="n"/>
      <c r="AF625" s="36" t="n"/>
      <c r="AG625" s="23" t="n"/>
      <c r="AH625" s="36" t="n"/>
      <c r="AI625" s="41">
        <f>IFERROR(AVERAGE(AD625,AF625,AH625),"")</f>
        <v/>
      </c>
      <c r="AJ625" s="29">
        <f>IFERROR(IF(AI625="","sem dados",IF(AB625&lt;AI625*0.95,"abaixo",IF(AB625&gt;AI625*1.05,"acima","em linha"))),"")</f>
        <v/>
      </c>
      <c r="AK625" s="23" t="inlineStr">
        <is>
          <t>não</t>
        </is>
      </c>
      <c r="AL625" s="23" t="n"/>
      <c r="AM625" s="23" t="n"/>
      <c r="AN625" s="23" t="n"/>
      <c r="AO625" s="44">
        <f>A625</f>
        <v/>
      </c>
      <c r="AP625" s="44">
        <f>D625</f>
        <v/>
      </c>
    </row>
    <row r="626" hidden="1" ht="15.75" customHeight="1" s="93">
      <c r="A626" s="23" t="inlineStr">
        <is>
          <t>5.1708.0770018.0</t>
        </is>
      </c>
      <c r="B626" s="23" t="inlineStr">
        <is>
          <t>770018</t>
        </is>
      </c>
      <c r="C626" s="29">
        <f>IFERROR(LOWER(SUBSTITUTE(SUBSTITUTE(SUBSTITUTE(SUBSTITUTE(D626," ","-"),"/","-"),".",""),",","")),"")</f>
        <v/>
      </c>
      <c r="D626" s="23" t="inlineStr">
        <is>
          <t>TOMADA DE FORCA A-018</t>
        </is>
      </c>
      <c r="E626" s="23" t="n"/>
      <c r="F626" s="23" t="inlineStr">
        <is>
          <t>SOHIPREN</t>
        </is>
      </c>
      <c r="G626" s="23" t="n"/>
      <c r="H626" s="23" t="inlineStr">
        <is>
          <t>draft</t>
        </is>
      </c>
      <c r="I626" s="23" t="inlineStr">
        <is>
          <t>INTERPUMP</t>
        </is>
      </c>
      <c r="J626" s="23" t="n"/>
      <c r="K626" s="23" t="n"/>
      <c r="L626" s="23" t="inlineStr">
        <is>
          <t>12154</t>
        </is>
      </c>
      <c r="M626" s="31" t="n"/>
      <c r="N626" s="31" t="n"/>
      <c r="O626" s="31" t="n"/>
      <c r="P626" s="31" t="n"/>
      <c r="Q626" s="31" t="n"/>
      <c r="R626" s="34">
        <f>IFERROR(IF(AND(O626&gt;0,P626&gt;0,Q626&gt;0),(O626*P626*Q626)/6000,""),"")</f>
        <v/>
      </c>
      <c r="S626" s="34">
        <f>IFERROR(IF(AND(N626&gt;0,R626&gt;0),MAX(N626,R626),IF(N626&gt;0,N626,IF(R626&gt;0,R626,""))),"")</f>
        <v/>
      </c>
      <c r="T626" s="36" t="n"/>
      <c r="U626" s="38" t="inlineStr">
        <is>
          <t>FALTA</t>
        </is>
      </c>
      <c r="V626" s="36" t="n">
        <v>1307.9</v>
      </c>
      <c r="W626" s="39" t="n">
        <v>0.3</v>
      </c>
      <c r="X626" s="41">
        <f>IFERROR(V626+T626,"")</f>
        <v/>
      </c>
      <c r="Y626" s="41">
        <f>IFERROR(IF(W626&lt;1,X626/(1-W626),""),"")</f>
        <v/>
      </c>
      <c r="Z626" s="43">
        <f>'01_CONFIG_GLOBAL'!$C$14</f>
        <v/>
      </c>
      <c r="AA626" s="41">
        <f>IFERROR(Y626*Z626,"")</f>
        <v/>
      </c>
      <c r="AB626" s="41">
        <f>IFERROR(IF(Z626&lt;1,Y626/(1-Z626),""),"")</f>
        <v/>
      </c>
      <c r="AC626" s="23" t="n"/>
      <c r="AD626" s="36" t="n"/>
      <c r="AE626" s="23" t="n"/>
      <c r="AF626" s="36" t="n"/>
      <c r="AG626" s="23" t="n"/>
      <c r="AH626" s="36" t="n"/>
      <c r="AI626" s="41">
        <f>IFERROR(AVERAGE(AD626,AF626,AH626),"")</f>
        <v/>
      </c>
      <c r="AJ626" s="29">
        <f>IFERROR(IF(AI626="","sem dados",IF(AB626&lt;AI626*0.95,"abaixo",IF(AB626&gt;AI626*1.05,"acima","em linha"))),"")</f>
        <v/>
      </c>
      <c r="AK626" s="23" t="inlineStr">
        <is>
          <t>não</t>
        </is>
      </c>
      <c r="AL626" s="23" t="n"/>
      <c r="AM626" s="23" t="n"/>
      <c r="AN626" s="23" t="n"/>
      <c r="AO626" s="44">
        <f>A626</f>
        <v/>
      </c>
      <c r="AP626" s="44">
        <f>D626</f>
        <v/>
      </c>
    </row>
    <row r="627" hidden="1" ht="15.75" customHeight="1" s="93">
      <c r="A627" s="23" t="inlineStr">
        <is>
          <t>5.1708.0770015.0</t>
        </is>
      </c>
      <c r="B627" s="23" t="inlineStr">
        <is>
          <t>770015</t>
        </is>
      </c>
      <c r="C627" s="29">
        <f>IFERROR(LOWER(SUBSTITUTE(SUBSTITUTE(SUBSTITUTE(SUBSTITUTE(D627," ","-"),"/","-"),".",""),",","")),"")</f>
        <v/>
      </c>
      <c r="D627" s="23" t="inlineStr">
        <is>
          <t>TOMADA DE FORCA MB A-015</t>
        </is>
      </c>
      <c r="E627" s="23" t="n"/>
      <c r="F627" s="23" t="inlineStr">
        <is>
          <t>SOHIPREN</t>
        </is>
      </c>
      <c r="G627" s="23" t="n"/>
      <c r="H627" s="23" t="inlineStr">
        <is>
          <t>draft</t>
        </is>
      </c>
      <c r="I627" s="23" t="inlineStr">
        <is>
          <t>INTERPUMP</t>
        </is>
      </c>
      <c r="J627" s="23" t="inlineStr">
        <is>
          <t>(TK 12167)</t>
        </is>
      </c>
      <c r="K627" s="23" t="n"/>
      <c r="L627" s="23" t="inlineStr">
        <is>
          <t>12167</t>
        </is>
      </c>
      <c r="M627" s="31" t="n"/>
      <c r="N627" s="31" t="n"/>
      <c r="O627" s="31" t="n"/>
      <c r="P627" s="31" t="n"/>
      <c r="Q627" s="31" t="n"/>
      <c r="R627" s="34">
        <f>IFERROR(IF(AND(O627&gt;0,P627&gt;0,Q627&gt;0),(O627*P627*Q627)/6000,""),"")</f>
        <v/>
      </c>
      <c r="S627" s="34">
        <f>IFERROR(IF(AND(N627&gt;0,R627&gt;0),MAX(N627,R627),IF(N627&gt;0,N627,IF(R627&gt;0,R627,""))),"")</f>
        <v/>
      </c>
      <c r="T627" s="36" t="n"/>
      <c r="U627" s="38" t="inlineStr">
        <is>
          <t>FALTA</t>
        </is>
      </c>
      <c r="V627" s="36" t="n">
        <v>1307.9</v>
      </c>
      <c r="W627" s="39" t="n">
        <v>0.3</v>
      </c>
      <c r="X627" s="41">
        <f>IFERROR(V627+T627,"")</f>
        <v/>
      </c>
      <c r="Y627" s="41">
        <f>IFERROR(IF(W627&lt;1,X627/(1-W627),""),"")</f>
        <v/>
      </c>
      <c r="Z627" s="43">
        <f>'01_CONFIG_GLOBAL'!$C$14</f>
        <v/>
      </c>
      <c r="AA627" s="41">
        <f>IFERROR(Y627*Z627,"")</f>
        <v/>
      </c>
      <c r="AB627" s="41">
        <f>IFERROR(IF(Z627&lt;1,Y627/(1-Z627),""),"")</f>
        <v/>
      </c>
      <c r="AC627" s="23" t="n"/>
      <c r="AD627" s="36" t="n"/>
      <c r="AE627" s="23" t="n"/>
      <c r="AF627" s="36" t="n"/>
      <c r="AG627" s="23" t="n"/>
      <c r="AH627" s="36" t="n"/>
      <c r="AI627" s="41">
        <f>IFERROR(AVERAGE(AD627,AF627,AH627),"")</f>
        <v/>
      </c>
      <c r="AJ627" s="29">
        <f>IFERROR(IF(AI627="","sem dados",IF(AB627&lt;AI627*0.95,"abaixo",IF(AB627&gt;AI627*1.05,"acima","em linha"))),"")</f>
        <v/>
      </c>
      <c r="AK627" s="23" t="inlineStr">
        <is>
          <t>não</t>
        </is>
      </c>
      <c r="AL627" s="23" t="n"/>
      <c r="AM627" s="23" t="n"/>
      <c r="AN627" s="23" t="n"/>
      <c r="AO627" s="44">
        <f>A627</f>
        <v/>
      </c>
      <c r="AP627" s="44">
        <f>D627</f>
        <v/>
      </c>
    </row>
    <row r="628" hidden="1" ht="15.75" customHeight="1" s="93">
      <c r="A628" s="23" t="inlineStr">
        <is>
          <t>5.1708.0770016.0</t>
        </is>
      </c>
      <c r="B628" s="23" t="inlineStr">
        <is>
          <t>770016</t>
        </is>
      </c>
      <c r="C628" s="29">
        <f>IFERROR(LOWER(SUBSTITUTE(SUBSTITUTE(SUBSTITUTE(SUBSTITUTE(D628," ","-"),"/","-"),".",""),",","")),"")</f>
        <v/>
      </c>
      <c r="D628" s="23" t="inlineStr">
        <is>
          <t>TOMADA DE FORCA MB A-016</t>
        </is>
      </c>
      <c r="E628" s="23" t="n"/>
      <c r="F628" s="23" t="inlineStr">
        <is>
          <t>SOHIPREN</t>
        </is>
      </c>
      <c r="G628" s="23" t="n"/>
      <c r="H628" s="23" t="inlineStr">
        <is>
          <t>draft</t>
        </is>
      </c>
      <c r="I628" s="23" t="inlineStr">
        <is>
          <t>INTERPUMP</t>
        </is>
      </c>
      <c r="J628" s="23" t="inlineStr">
        <is>
          <t>(TK 12169)</t>
        </is>
      </c>
      <c r="K628" s="23" t="n"/>
      <c r="L628" s="23" t="inlineStr">
        <is>
          <t>12169</t>
        </is>
      </c>
      <c r="M628" s="31" t="n"/>
      <c r="N628" s="31" t="n"/>
      <c r="O628" s="31" t="n"/>
      <c r="P628" s="31" t="n"/>
      <c r="Q628" s="31" t="n"/>
      <c r="R628" s="34">
        <f>IFERROR(IF(AND(O628&gt;0,P628&gt;0,Q628&gt;0),(O628*P628*Q628)/6000,""),"")</f>
        <v/>
      </c>
      <c r="S628" s="34">
        <f>IFERROR(IF(AND(N628&gt;0,R628&gt;0),MAX(N628,R628),IF(N628&gt;0,N628,IF(R628&gt;0,R628,""))),"")</f>
        <v/>
      </c>
      <c r="T628" s="36" t="n"/>
      <c r="U628" s="38" t="inlineStr">
        <is>
          <t>FALTA</t>
        </is>
      </c>
      <c r="V628" s="36" t="n">
        <v>1307.9</v>
      </c>
      <c r="W628" s="39" t="n">
        <v>0.3</v>
      </c>
      <c r="X628" s="41">
        <f>IFERROR(V628+T628,"")</f>
        <v/>
      </c>
      <c r="Y628" s="41">
        <f>IFERROR(IF(W628&lt;1,X628/(1-W628),""),"")</f>
        <v/>
      </c>
      <c r="Z628" s="43">
        <f>'01_CONFIG_GLOBAL'!$C$14</f>
        <v/>
      </c>
      <c r="AA628" s="41">
        <f>IFERROR(Y628*Z628,"")</f>
        <v/>
      </c>
      <c r="AB628" s="41">
        <f>IFERROR(IF(Z628&lt;1,Y628/(1-Z628),""),"")</f>
        <v/>
      </c>
      <c r="AC628" s="23" t="n"/>
      <c r="AD628" s="36" t="n"/>
      <c r="AE628" s="23" t="n"/>
      <c r="AF628" s="36" t="n"/>
      <c r="AG628" s="23" t="n"/>
      <c r="AH628" s="36" t="n"/>
      <c r="AI628" s="41">
        <f>IFERROR(AVERAGE(AD628,AF628,AH628),"")</f>
        <v/>
      </c>
      <c r="AJ628" s="29">
        <f>IFERROR(IF(AI628="","sem dados",IF(AB628&lt;AI628*0.95,"abaixo",IF(AB628&gt;AI628*1.05,"acima","em linha"))),"")</f>
        <v/>
      </c>
      <c r="AK628" s="23" t="inlineStr">
        <is>
          <t>não</t>
        </is>
      </c>
      <c r="AL628" s="23" t="n"/>
      <c r="AM628" s="23" t="n"/>
      <c r="AN628" s="23" t="n"/>
      <c r="AO628" s="44">
        <f>A628</f>
        <v/>
      </c>
      <c r="AP628" s="44">
        <f>D628</f>
        <v/>
      </c>
    </row>
    <row r="629" hidden="1" ht="15.75" customHeight="1" s="93">
      <c r="A629" s="23" t="inlineStr">
        <is>
          <t>5.1705.0770017.0</t>
        </is>
      </c>
      <c r="B629" s="23" t="inlineStr">
        <is>
          <t>770017</t>
        </is>
      </c>
      <c r="C629" s="29">
        <f>IFERROR(LOWER(SUBSTITUTE(SUBSTITUTE(SUBSTITUTE(SUBSTITUTE(D629," ","-"),"/","-"),".",""),",","")),"")</f>
        <v/>
      </c>
      <c r="D629" s="23" t="inlineStr">
        <is>
          <t>TOMADA DE FORCA FO A-017</t>
        </is>
      </c>
      <c r="E629" s="23" t="n"/>
      <c r="F629" s="23" t="inlineStr">
        <is>
          <t>SOHIPREN</t>
        </is>
      </c>
      <c r="G629" s="23" t="n"/>
      <c r="H629" s="23" t="inlineStr">
        <is>
          <t>draft</t>
        </is>
      </c>
      <c r="I629" s="23" t="inlineStr">
        <is>
          <t>INTERPUMP</t>
        </is>
      </c>
      <c r="J629" s="23" t="n"/>
      <c r="K629" s="23" t="n"/>
      <c r="L629" s="23" t="inlineStr">
        <is>
          <t>18805</t>
        </is>
      </c>
      <c r="M629" s="31" t="n"/>
      <c r="N629" s="31" t="n"/>
      <c r="O629" s="31" t="n"/>
      <c r="P629" s="31" t="n"/>
      <c r="Q629" s="31" t="n"/>
      <c r="R629" s="34">
        <f>IFERROR(IF(AND(O629&gt;0,P629&gt;0,Q629&gt;0),(O629*P629*Q629)/6000,""),"")</f>
        <v/>
      </c>
      <c r="S629" s="34">
        <f>IFERROR(IF(AND(N629&gt;0,R629&gt;0),MAX(N629,R629),IF(N629&gt;0,N629,IF(R629&gt;0,R629,""))),"")</f>
        <v/>
      </c>
      <c r="T629" s="36" t="n"/>
      <c r="U629" s="38" t="inlineStr">
        <is>
          <t>FALTA</t>
        </is>
      </c>
      <c r="V629" s="36" t="n">
        <v>1307.9</v>
      </c>
      <c r="W629" s="39" t="n">
        <v>0.3</v>
      </c>
      <c r="X629" s="41">
        <f>IFERROR(V629+T629,"")</f>
        <v/>
      </c>
      <c r="Y629" s="41">
        <f>IFERROR(IF(W629&lt;1,X629/(1-W629),""),"")</f>
        <v/>
      </c>
      <c r="Z629" s="43">
        <f>'01_CONFIG_GLOBAL'!$C$14</f>
        <v/>
      </c>
      <c r="AA629" s="41">
        <f>IFERROR(Y629*Z629,"")</f>
        <v/>
      </c>
      <c r="AB629" s="41">
        <f>IFERROR(IF(Z629&lt;1,Y629/(1-Z629),""),"")</f>
        <v/>
      </c>
      <c r="AC629" s="23" t="n"/>
      <c r="AD629" s="36" t="n"/>
      <c r="AE629" s="23" t="n"/>
      <c r="AF629" s="36" t="n"/>
      <c r="AG629" s="23" t="n"/>
      <c r="AH629" s="36" t="n"/>
      <c r="AI629" s="41">
        <f>IFERROR(AVERAGE(AD629,AF629,AH629),"")</f>
        <v/>
      </c>
      <c r="AJ629" s="29">
        <f>IFERROR(IF(AI629="","sem dados",IF(AB629&lt;AI629*0.95,"abaixo",IF(AB629&gt;AI629*1.05,"acima","em linha"))),"")</f>
        <v/>
      </c>
      <c r="AK629" s="23" t="inlineStr">
        <is>
          <t>não</t>
        </is>
      </c>
      <c r="AL629" s="23" t="n"/>
      <c r="AM629" s="23" t="n"/>
      <c r="AN629" s="23" t="n"/>
      <c r="AO629" s="44">
        <f>A629</f>
        <v/>
      </c>
      <c r="AP629" s="44">
        <f>D629</f>
        <v/>
      </c>
    </row>
    <row r="630" hidden="1" ht="15.75" customHeight="1" s="93">
      <c r="A630" s="23" t="inlineStr">
        <is>
          <t>5.1708.0770026.0</t>
        </is>
      </c>
      <c r="B630" s="23" t="inlineStr">
        <is>
          <t>770026</t>
        </is>
      </c>
      <c r="C630" s="29">
        <f>IFERROR(LOWER(SUBSTITUTE(SUBSTITUTE(SUBSTITUTE(SUBSTITUTE(D630," ","-"),"/","-"),".",""),",","")),"")</f>
        <v/>
      </c>
      <c r="D630" s="23" t="inlineStr">
        <is>
          <t>TOMADA DE FORCA A-026 (TK723500)</t>
        </is>
      </c>
      <c r="E630" s="23" t="n"/>
      <c r="F630" s="23" t="inlineStr">
        <is>
          <t>SOHIPREN</t>
        </is>
      </c>
      <c r="G630" s="23" t="n"/>
      <c r="H630" s="23" t="inlineStr">
        <is>
          <t>draft</t>
        </is>
      </c>
      <c r="I630" s="23" t="inlineStr">
        <is>
          <t>INTERPUMP</t>
        </is>
      </c>
      <c r="J630" s="23" t="n"/>
      <c r="K630" s="23" t="n"/>
      <c r="L630" s="23" t="inlineStr">
        <is>
          <t>17929</t>
        </is>
      </c>
      <c r="M630" s="31" t="n"/>
      <c r="N630" s="31" t="n"/>
      <c r="O630" s="31" t="n"/>
      <c r="P630" s="31" t="n"/>
      <c r="Q630" s="31" t="n"/>
      <c r="R630" s="34">
        <f>IFERROR(IF(AND(O630&gt;0,P630&gt;0,Q630&gt;0),(O630*P630*Q630)/6000,""),"")</f>
        <v/>
      </c>
      <c r="S630" s="34">
        <f>IFERROR(IF(AND(N630&gt;0,R630&gt;0),MAX(N630,R630),IF(N630&gt;0,N630,IF(R630&gt;0,R630,""))),"")</f>
        <v/>
      </c>
      <c r="T630" s="36" t="n"/>
      <c r="U630" s="38" t="inlineStr">
        <is>
          <t>FALTA</t>
        </is>
      </c>
      <c r="V630" s="36" t="n">
        <v>1307.9</v>
      </c>
      <c r="W630" s="39" t="n">
        <v>0.3</v>
      </c>
      <c r="X630" s="41">
        <f>IFERROR(V630+T630,"")</f>
        <v/>
      </c>
      <c r="Y630" s="41">
        <f>IFERROR(IF(W630&lt;1,X630/(1-W630),""),"")</f>
        <v/>
      </c>
      <c r="Z630" s="43">
        <f>'01_CONFIG_GLOBAL'!$C$14</f>
        <v/>
      </c>
      <c r="AA630" s="41">
        <f>IFERROR(Y630*Z630,"")</f>
        <v/>
      </c>
      <c r="AB630" s="41">
        <f>IFERROR(IF(Z630&lt;1,Y630/(1-Z630),""),"")</f>
        <v/>
      </c>
      <c r="AC630" s="23" t="n"/>
      <c r="AD630" s="36" t="n"/>
      <c r="AE630" s="23" t="n"/>
      <c r="AF630" s="36" t="n"/>
      <c r="AG630" s="23" t="n"/>
      <c r="AH630" s="36" t="n"/>
      <c r="AI630" s="41">
        <f>IFERROR(AVERAGE(AD630,AF630,AH630),"")</f>
        <v/>
      </c>
      <c r="AJ630" s="29">
        <f>IFERROR(IF(AI630="","sem dados",IF(AB630&lt;AI630*0.95,"abaixo",IF(AB630&gt;AI630*1.05,"acima","em linha"))),"")</f>
        <v/>
      </c>
      <c r="AK630" s="23" t="inlineStr">
        <is>
          <t>não</t>
        </is>
      </c>
      <c r="AL630" s="23" t="n"/>
      <c r="AM630" s="23" t="n"/>
      <c r="AN630" s="23" t="n"/>
      <c r="AO630" s="44">
        <f>A630</f>
        <v/>
      </c>
      <c r="AP630" s="44">
        <f>D630</f>
        <v/>
      </c>
    </row>
    <row r="631" hidden="1" ht="15.75" customHeight="1" s="93">
      <c r="A631" s="23" t="inlineStr">
        <is>
          <t>5.1710.0770019.0</t>
        </is>
      </c>
      <c r="B631" s="23" t="inlineStr">
        <is>
          <t>770019</t>
        </is>
      </c>
      <c r="C631" s="29">
        <f>IFERROR(LOWER(SUBSTITUTE(SUBSTITUTE(SUBSTITUTE(SUBSTITUTE(D631," ","-"),"/","-"),".",""),",","")),"")</f>
        <v/>
      </c>
      <c r="D631" s="23" t="inlineStr">
        <is>
          <t>TOMADA DE FORCA A-019</t>
        </is>
      </c>
      <c r="E631" s="23" t="n"/>
      <c r="F631" s="23" t="inlineStr">
        <is>
          <t>SOHIPREN</t>
        </is>
      </c>
      <c r="G631" s="23" t="n"/>
      <c r="H631" s="23" t="inlineStr">
        <is>
          <t>draft</t>
        </is>
      </c>
      <c r="I631" s="23" t="inlineStr">
        <is>
          <t>INTERPUMP</t>
        </is>
      </c>
      <c r="J631" s="23" t="inlineStr">
        <is>
          <t>(TK 14088)</t>
        </is>
      </c>
      <c r="K631" s="23" t="n"/>
      <c r="L631" s="23" t="inlineStr">
        <is>
          <t>14088</t>
        </is>
      </c>
      <c r="M631" s="31" t="n"/>
      <c r="N631" s="31" t="n"/>
      <c r="O631" s="31" t="n"/>
      <c r="P631" s="31" t="n"/>
      <c r="Q631" s="31" t="n"/>
      <c r="R631" s="34">
        <f>IFERROR(IF(AND(O631&gt;0,P631&gt;0,Q631&gt;0),(O631*P631*Q631)/6000,""),"")</f>
        <v/>
      </c>
      <c r="S631" s="34">
        <f>IFERROR(IF(AND(N631&gt;0,R631&gt;0),MAX(N631,R631),IF(N631&gt;0,N631,IF(R631&gt;0,R631,""))),"")</f>
        <v/>
      </c>
      <c r="T631" s="36" t="n"/>
      <c r="U631" s="38" t="inlineStr">
        <is>
          <t>FALTA</t>
        </is>
      </c>
      <c r="V631" s="36" t="n">
        <v>1307.9</v>
      </c>
      <c r="W631" s="39" t="n">
        <v>0.3</v>
      </c>
      <c r="X631" s="41">
        <f>IFERROR(V631+T631,"")</f>
        <v/>
      </c>
      <c r="Y631" s="41">
        <f>IFERROR(IF(W631&lt;1,X631/(1-W631),""),"")</f>
        <v/>
      </c>
      <c r="Z631" s="43">
        <f>'01_CONFIG_GLOBAL'!$C$14</f>
        <v/>
      </c>
      <c r="AA631" s="41">
        <f>IFERROR(Y631*Z631,"")</f>
        <v/>
      </c>
      <c r="AB631" s="41">
        <f>IFERROR(IF(Z631&lt;1,Y631/(1-Z631),""),"")</f>
        <v/>
      </c>
      <c r="AC631" s="23" t="n"/>
      <c r="AD631" s="36" t="n"/>
      <c r="AE631" s="23" t="n"/>
      <c r="AF631" s="36" t="n"/>
      <c r="AG631" s="23" t="n"/>
      <c r="AH631" s="36" t="n"/>
      <c r="AI631" s="41">
        <f>IFERROR(AVERAGE(AD631,AF631,AH631),"")</f>
        <v/>
      </c>
      <c r="AJ631" s="29">
        <f>IFERROR(IF(AI631="","sem dados",IF(AB631&lt;AI631*0.95,"abaixo",IF(AB631&gt;AI631*1.05,"acima","em linha"))),"")</f>
        <v/>
      </c>
      <c r="AK631" s="23" t="inlineStr">
        <is>
          <t>não</t>
        </is>
      </c>
      <c r="AL631" s="23" t="n"/>
      <c r="AM631" s="23" t="n"/>
      <c r="AN631" s="23" t="n"/>
      <c r="AO631" s="44">
        <f>A631</f>
        <v/>
      </c>
      <c r="AP631" s="44">
        <f>D631</f>
        <v/>
      </c>
    </row>
    <row r="632" hidden="1" ht="15.75" customHeight="1" s="93">
      <c r="A632" s="23" t="inlineStr">
        <is>
          <t>5.1701.0770023.0</t>
        </is>
      </c>
      <c r="B632" s="23" t="inlineStr">
        <is>
          <t>770023</t>
        </is>
      </c>
      <c r="C632" s="29">
        <f>IFERROR(LOWER(SUBSTITUTE(SUBSTITUTE(SUBSTITUTE(SUBSTITUTE(D632," ","-"),"/","-"),".",""),",","")),"")</f>
        <v/>
      </c>
      <c r="D632" s="23" t="inlineStr">
        <is>
          <t>TOMADA DE FORCA A-023</t>
        </is>
      </c>
      <c r="E632" s="23" t="n"/>
      <c r="F632" s="23" t="inlineStr">
        <is>
          <t>SOHIPREN</t>
        </is>
      </c>
      <c r="G632" s="23" t="n"/>
      <c r="H632" s="23" t="inlineStr">
        <is>
          <t>draft</t>
        </is>
      </c>
      <c r="I632" s="23" t="inlineStr">
        <is>
          <t>INTERPUMP</t>
        </is>
      </c>
      <c r="J632" s="23" t="inlineStr">
        <is>
          <t>(TK 12179)</t>
        </is>
      </c>
      <c r="K632" s="23" t="n"/>
      <c r="L632" s="23" t="inlineStr">
        <is>
          <t>12179</t>
        </is>
      </c>
      <c r="M632" s="31" t="n"/>
      <c r="N632" s="31" t="n"/>
      <c r="O632" s="31" t="n"/>
      <c r="P632" s="31" t="n"/>
      <c r="Q632" s="31" t="n"/>
      <c r="R632" s="34">
        <f>IFERROR(IF(AND(O632&gt;0,P632&gt;0,Q632&gt;0),(O632*P632*Q632)/6000,""),"")</f>
        <v/>
      </c>
      <c r="S632" s="34">
        <f>IFERROR(IF(AND(N632&gt;0,R632&gt;0),MAX(N632,R632),IF(N632&gt;0,N632,IF(R632&gt;0,R632,""))),"")</f>
        <v/>
      </c>
      <c r="T632" s="36" t="n"/>
      <c r="U632" s="38" t="inlineStr">
        <is>
          <t>FALTA</t>
        </is>
      </c>
      <c r="V632" s="36" t="n">
        <v>1307.9</v>
      </c>
      <c r="W632" s="39" t="n">
        <v>0.3</v>
      </c>
      <c r="X632" s="41">
        <f>IFERROR(V632+T632,"")</f>
        <v/>
      </c>
      <c r="Y632" s="41">
        <f>IFERROR(IF(W632&lt;1,X632/(1-W632),""),"")</f>
        <v/>
      </c>
      <c r="Z632" s="43">
        <f>'01_CONFIG_GLOBAL'!$C$14</f>
        <v/>
      </c>
      <c r="AA632" s="41">
        <f>IFERROR(Y632*Z632,"")</f>
        <v/>
      </c>
      <c r="AB632" s="41">
        <f>IFERROR(IF(Z632&lt;1,Y632/(1-Z632),""),"")</f>
        <v/>
      </c>
      <c r="AC632" s="23" t="n"/>
      <c r="AD632" s="36" t="n"/>
      <c r="AE632" s="23" t="n"/>
      <c r="AF632" s="36" t="n"/>
      <c r="AG632" s="23" t="n"/>
      <c r="AH632" s="36" t="n"/>
      <c r="AI632" s="41">
        <f>IFERROR(AVERAGE(AD632,AF632,AH632),"")</f>
        <v/>
      </c>
      <c r="AJ632" s="29">
        <f>IFERROR(IF(AI632="","sem dados",IF(AB632&lt;AI632*0.95,"abaixo",IF(AB632&gt;AI632*1.05,"acima","em linha"))),"")</f>
        <v/>
      </c>
      <c r="AK632" s="23" t="inlineStr">
        <is>
          <t>não</t>
        </is>
      </c>
      <c r="AL632" s="23" t="n"/>
      <c r="AM632" s="23" t="n"/>
      <c r="AN632" s="23" t="n"/>
      <c r="AO632" s="44">
        <f>A632</f>
        <v/>
      </c>
      <c r="AP632" s="44">
        <f>D632</f>
        <v/>
      </c>
    </row>
    <row r="633" hidden="1" ht="15.75" customHeight="1" s="93">
      <c r="A633" s="23" t="inlineStr">
        <is>
          <t>5.1705.0770025.0</t>
        </is>
      </c>
      <c r="B633" s="23" t="inlineStr">
        <is>
          <t>770025</t>
        </is>
      </c>
      <c r="C633" s="29">
        <f>IFERROR(LOWER(SUBSTITUTE(SUBSTITUTE(SUBSTITUTE(SUBSTITUTE(D633," ","-"),"/","-"),".",""),",","")),"")</f>
        <v/>
      </c>
      <c r="D633" s="23" t="inlineStr">
        <is>
          <t>TOMADA DE FORCA A-025 (TK905801)</t>
        </is>
      </c>
      <c r="E633" s="23" t="n"/>
      <c r="F633" s="23" t="inlineStr">
        <is>
          <t>SOHIPREN</t>
        </is>
      </c>
      <c r="G633" s="23" t="n"/>
      <c r="H633" s="23" t="inlineStr">
        <is>
          <t>draft</t>
        </is>
      </c>
      <c r="I633" s="23" t="inlineStr">
        <is>
          <t>INTERPUMP</t>
        </is>
      </c>
      <c r="J633" s="23" t="n"/>
      <c r="K633" s="23" t="n"/>
      <c r="L633" s="23" t="inlineStr">
        <is>
          <t>17928</t>
        </is>
      </c>
      <c r="M633" s="31" t="n"/>
      <c r="N633" s="31" t="n"/>
      <c r="O633" s="31" t="n"/>
      <c r="P633" s="31" t="n"/>
      <c r="Q633" s="31" t="n"/>
      <c r="R633" s="34">
        <f>IFERROR(IF(AND(O633&gt;0,P633&gt;0,Q633&gt;0),(O633*P633*Q633)/6000,""),"")</f>
        <v/>
      </c>
      <c r="S633" s="34">
        <f>IFERROR(IF(AND(N633&gt;0,R633&gt;0),MAX(N633,R633),IF(N633&gt;0,N633,IF(R633&gt;0,R633,""))),"")</f>
        <v/>
      </c>
      <c r="T633" s="36" t="n"/>
      <c r="U633" s="38" t="inlineStr">
        <is>
          <t>FALTA</t>
        </is>
      </c>
      <c r="V633" s="36" t="n">
        <v>1307.9</v>
      </c>
      <c r="W633" s="39" t="n">
        <v>0.3</v>
      </c>
      <c r="X633" s="41">
        <f>IFERROR(V633+T633,"")</f>
        <v/>
      </c>
      <c r="Y633" s="41">
        <f>IFERROR(IF(W633&lt;1,X633/(1-W633),""),"")</f>
        <v/>
      </c>
      <c r="Z633" s="43">
        <f>'01_CONFIG_GLOBAL'!$C$14</f>
        <v/>
      </c>
      <c r="AA633" s="41">
        <f>IFERROR(Y633*Z633,"")</f>
        <v/>
      </c>
      <c r="AB633" s="41">
        <f>IFERROR(IF(Z633&lt;1,Y633/(1-Z633),""),"")</f>
        <v/>
      </c>
      <c r="AC633" s="23" t="n"/>
      <c r="AD633" s="36" t="n"/>
      <c r="AE633" s="23" t="n"/>
      <c r="AF633" s="36" t="n"/>
      <c r="AG633" s="23" t="n"/>
      <c r="AH633" s="36" t="n"/>
      <c r="AI633" s="41">
        <f>IFERROR(AVERAGE(AD633,AF633,AH633),"")</f>
        <v/>
      </c>
      <c r="AJ633" s="29">
        <f>IFERROR(IF(AI633="","sem dados",IF(AB633&lt;AI633*0.95,"abaixo",IF(AB633&gt;AI633*1.05,"acima","em linha"))),"")</f>
        <v/>
      </c>
      <c r="AK633" s="23" t="inlineStr">
        <is>
          <t>não</t>
        </is>
      </c>
      <c r="AL633" s="23" t="n"/>
      <c r="AM633" s="23" t="n"/>
      <c r="AN633" s="23" t="n"/>
      <c r="AO633" s="44">
        <f>A633</f>
        <v/>
      </c>
      <c r="AP633" s="44">
        <f>D633</f>
        <v/>
      </c>
    </row>
    <row r="634" hidden="1" ht="15.75" customHeight="1" s="93">
      <c r="A634" s="23" t="inlineStr">
        <is>
          <t>5.1378.L069068.0</t>
        </is>
      </c>
      <c r="B634" s="23" t="inlineStr">
        <is>
          <t>L069068</t>
        </is>
      </c>
      <c r="C634" s="29">
        <f>IFERROR(LOWER(SUBSTITUTE(SUBSTITUTE(SUBSTITUTE(SUBSTITUTE(D634," ","-"),"/","-"),".",""),",","")),"")</f>
        <v/>
      </c>
      <c r="D634" s="23" t="inlineStr">
        <is>
          <t>19689-TOMADA DE FORCA TK 9131 EC28L (COMPRA L069067)</t>
        </is>
      </c>
      <c r="E634" s="23" t="n"/>
      <c r="F634" s="23" t="inlineStr">
        <is>
          <t>SOHIPREN</t>
        </is>
      </c>
      <c r="G634" s="23" t="n"/>
      <c r="H634" s="23" t="inlineStr">
        <is>
          <t>draft</t>
        </is>
      </c>
      <c r="I634" s="23" t="inlineStr">
        <is>
          <t>INTERPUMP</t>
        </is>
      </c>
      <c r="J634" s="23" t="n"/>
      <c r="K634" s="23" t="n"/>
      <c r="L634" s="23" t="inlineStr">
        <is>
          <t>19689</t>
        </is>
      </c>
      <c r="M634" s="31" t="n"/>
      <c r="N634" s="31" t="n"/>
      <c r="O634" s="31" t="n"/>
      <c r="P634" s="31" t="n"/>
      <c r="Q634" s="31" t="n"/>
      <c r="R634" s="34">
        <f>IFERROR(IF(AND(O634&gt;0,P634&gt;0,Q634&gt;0),(O634*P634*Q634)/6000,""),"")</f>
        <v/>
      </c>
      <c r="S634" s="34">
        <f>IFERROR(IF(AND(N634&gt;0,R634&gt;0),MAX(N634,R634),IF(N634&gt;0,N634,IF(R634&gt;0,R634,""))),"")</f>
        <v/>
      </c>
      <c r="T634" s="36" t="n"/>
      <c r="U634" s="38" t="inlineStr">
        <is>
          <t>FALTA</t>
        </is>
      </c>
      <c r="V634" s="36" t="n">
        <v>2333</v>
      </c>
      <c r="W634" s="39" t="n">
        <v>0.3</v>
      </c>
      <c r="X634" s="41">
        <f>IFERROR(V634+T634,"")</f>
        <v/>
      </c>
      <c r="Y634" s="41">
        <f>IFERROR(IF(W634&lt;1,X634/(1-W634),""),"")</f>
        <v/>
      </c>
      <c r="Z634" s="43">
        <f>'01_CONFIG_GLOBAL'!$C$14</f>
        <v/>
      </c>
      <c r="AA634" s="41">
        <f>IFERROR(Y634*Z634,"")</f>
        <v/>
      </c>
      <c r="AB634" s="41">
        <f>IFERROR(IF(Z634&lt;1,Y634/(1-Z634),""),"")</f>
        <v/>
      </c>
      <c r="AC634" s="23" t="n"/>
      <c r="AD634" s="36" t="n"/>
      <c r="AE634" s="23" t="n"/>
      <c r="AF634" s="36" t="n"/>
      <c r="AG634" s="23" t="n"/>
      <c r="AH634" s="36" t="n"/>
      <c r="AI634" s="41">
        <f>IFERROR(AVERAGE(AD634,AF634,AH634),"")</f>
        <v/>
      </c>
      <c r="AJ634" s="29">
        <f>IFERROR(IF(AI634="","sem dados",IF(AB634&lt;AI634*0.95,"abaixo",IF(AB634&gt;AI634*1.05,"acima","em linha"))),"")</f>
        <v/>
      </c>
      <c r="AK634" s="23" t="inlineStr">
        <is>
          <t>não</t>
        </is>
      </c>
      <c r="AL634" s="23" t="n"/>
      <c r="AM634" s="23" t="n"/>
      <c r="AN634" s="23" t="n"/>
      <c r="AO634" s="44">
        <f>A634</f>
        <v/>
      </c>
      <c r="AP634" s="44">
        <f>D634</f>
        <v/>
      </c>
    </row>
    <row r="635" hidden="1" ht="15.75" customHeight="1" s="93">
      <c r="A635" s="23" t="inlineStr">
        <is>
          <t>5.1378.L069067.0</t>
        </is>
      </c>
      <c r="B635" s="23" t="inlineStr">
        <is>
          <t>L069067</t>
        </is>
      </c>
      <c r="C635" s="29">
        <f>IFERROR(LOWER(SUBSTITUTE(SUBSTITUTE(SUBSTITUTE(SUBSTITUTE(D635," ","-"),"/","-"),".",""),",","")),"")</f>
        <v/>
      </c>
      <c r="D635" s="23" t="inlineStr">
        <is>
          <t>TOMADA DE FORCA TK 9131 EC28L P08401HCA300</t>
        </is>
      </c>
      <c r="E635" s="23" t="n"/>
      <c r="F635" s="23" t="inlineStr">
        <is>
          <t>SOHIPREN</t>
        </is>
      </c>
      <c r="G635" s="23" t="n"/>
      <c r="H635" s="23" t="inlineStr">
        <is>
          <t>draft</t>
        </is>
      </c>
      <c r="I635" s="23" t="inlineStr">
        <is>
          <t>INTERPUMP</t>
        </is>
      </c>
      <c r="J635" s="23" t="n"/>
      <c r="K635" s="23" t="n"/>
      <c r="L635" s="23" t="inlineStr">
        <is>
          <t>19689</t>
        </is>
      </c>
      <c r="M635" s="31" t="n"/>
      <c r="N635" s="31" t="n"/>
      <c r="O635" s="31" t="n"/>
      <c r="P635" s="31" t="n"/>
      <c r="Q635" s="31" t="n"/>
      <c r="R635" s="34">
        <f>IFERROR(IF(AND(O635&gt;0,P635&gt;0,Q635&gt;0),(O635*P635*Q635)/6000,""),"")</f>
        <v/>
      </c>
      <c r="S635" s="34">
        <f>IFERROR(IF(AND(N635&gt;0,R635&gt;0),MAX(N635,R635),IF(N635&gt;0,N635,IF(R635&gt;0,R635,""))),"")</f>
        <v/>
      </c>
      <c r="T635" s="36" t="n"/>
      <c r="U635" s="38" t="inlineStr">
        <is>
          <t>FALTA</t>
        </is>
      </c>
      <c r="V635" s="36" t="n">
        <v>2183</v>
      </c>
      <c r="W635" s="39" t="n">
        <v>0.3</v>
      </c>
      <c r="X635" s="41">
        <f>IFERROR(V635+T635,"")</f>
        <v/>
      </c>
      <c r="Y635" s="41">
        <f>IFERROR(IF(W635&lt;1,X635/(1-W635),""),"")</f>
        <v/>
      </c>
      <c r="Z635" s="43">
        <f>'01_CONFIG_GLOBAL'!$C$14</f>
        <v/>
      </c>
      <c r="AA635" s="41">
        <f>IFERROR(Y635*Z635,"")</f>
        <v/>
      </c>
      <c r="AB635" s="41">
        <f>IFERROR(IF(Z635&lt;1,Y635/(1-Z635),""),"")</f>
        <v/>
      </c>
      <c r="AC635" s="23" t="n"/>
      <c r="AD635" s="36" t="n"/>
      <c r="AE635" s="23" t="n"/>
      <c r="AF635" s="36" t="n"/>
      <c r="AG635" s="23" t="n"/>
      <c r="AH635" s="36" t="n"/>
      <c r="AI635" s="41">
        <f>IFERROR(AVERAGE(AD635,AF635,AH635),"")</f>
        <v/>
      </c>
      <c r="AJ635" s="29">
        <f>IFERROR(IF(AI635="","sem dados",IF(AB635&lt;AI635*0.95,"abaixo",IF(AB635&gt;AI635*1.05,"acima","em linha"))),"")</f>
        <v/>
      </c>
      <c r="AK635" s="23" t="inlineStr">
        <is>
          <t>não</t>
        </is>
      </c>
      <c r="AL635" s="23" t="n"/>
      <c r="AM635" s="23" t="n"/>
      <c r="AN635" s="23" t="n"/>
      <c r="AO635" s="44">
        <f>A635</f>
        <v/>
      </c>
      <c r="AP635" s="44">
        <f>D635</f>
        <v/>
      </c>
    </row>
    <row r="636" hidden="1" ht="15.75" customHeight="1" s="93">
      <c r="A636" s="23" t="inlineStr">
        <is>
          <t>5.1378.L069061.0</t>
        </is>
      </c>
      <c r="B636" s="23" t="inlineStr">
        <is>
          <t>L069061</t>
        </is>
      </c>
      <c r="C636" s="29">
        <f>IFERROR(LOWER(SUBSTITUTE(SUBSTITUTE(SUBSTITUTE(SUBSTITUTE(D636," ","-"),"/","-"),".",""),",","")),"")</f>
        <v/>
      </c>
      <c r="D636" s="23" t="inlineStr">
        <is>
          <t>TOMADA DE FORÇA TK 903111 EC 04 D P 135 01 H</t>
        </is>
      </c>
      <c r="E636" s="23" t="n"/>
      <c r="F636" s="23" t="inlineStr">
        <is>
          <t>SOHIPREN</t>
        </is>
      </c>
      <c r="G636" s="23" t="n"/>
      <c r="H636" s="23" t="inlineStr">
        <is>
          <t>draft</t>
        </is>
      </c>
      <c r="I636" s="23" t="inlineStr">
        <is>
          <t>INTERPUMP</t>
        </is>
      </c>
      <c r="J636" s="23" t="n"/>
      <c r="K636" s="23" t="n"/>
      <c r="L636" s="23" t="inlineStr">
        <is>
          <t>11697</t>
        </is>
      </c>
      <c r="M636" s="31" t="n"/>
      <c r="N636" s="31" t="n"/>
      <c r="O636" s="31" t="n"/>
      <c r="P636" s="31" t="n"/>
      <c r="Q636" s="31" t="n"/>
      <c r="R636" s="34">
        <f>IFERROR(IF(AND(O636&gt;0,P636&gt;0,Q636&gt;0),(O636*P636*Q636)/6000,""),"")</f>
        <v/>
      </c>
      <c r="S636" s="34">
        <f>IFERROR(IF(AND(N636&gt;0,R636&gt;0),MAX(N636,R636),IF(N636&gt;0,N636,IF(R636&gt;0,R636,""))),"")</f>
        <v/>
      </c>
      <c r="T636" s="36" t="n"/>
      <c r="U636" s="38" t="inlineStr">
        <is>
          <t>FALTA</t>
        </is>
      </c>
      <c r="V636" s="36" t="n">
        <v>2516</v>
      </c>
      <c r="W636" s="39" t="n">
        <v>0.3</v>
      </c>
      <c r="X636" s="41">
        <f>IFERROR(V636+T636,"")</f>
        <v/>
      </c>
      <c r="Y636" s="41">
        <f>IFERROR(IF(W636&lt;1,X636/(1-W636),""),"")</f>
        <v/>
      </c>
      <c r="Z636" s="43">
        <f>'01_CONFIG_GLOBAL'!$C$14</f>
        <v/>
      </c>
      <c r="AA636" s="41">
        <f>IFERROR(Y636*Z636,"")</f>
        <v/>
      </c>
      <c r="AB636" s="41">
        <f>IFERROR(IF(Z636&lt;1,Y636/(1-Z636),""),"")</f>
        <v/>
      </c>
      <c r="AC636" s="23" t="n"/>
      <c r="AD636" s="36" t="n"/>
      <c r="AE636" s="23" t="n"/>
      <c r="AF636" s="36" t="n"/>
      <c r="AG636" s="23" t="n"/>
      <c r="AH636" s="36" t="n"/>
      <c r="AI636" s="41">
        <f>IFERROR(AVERAGE(AD636,AF636,AH636),"")</f>
        <v/>
      </c>
      <c r="AJ636" s="29">
        <f>IFERROR(IF(AI636="","sem dados",IF(AB636&lt;AI636*0.95,"abaixo",IF(AB636&gt;AI636*1.05,"acima","em linha"))),"")</f>
        <v/>
      </c>
      <c r="AK636" s="23" t="inlineStr">
        <is>
          <t>não</t>
        </is>
      </c>
      <c r="AL636" s="23" t="n"/>
      <c r="AM636" s="23" t="n"/>
      <c r="AN636" s="23" t="n"/>
      <c r="AO636" s="44">
        <f>A636</f>
        <v/>
      </c>
      <c r="AP636" s="44">
        <f>D636</f>
        <v/>
      </c>
    </row>
    <row r="637" hidden="1" ht="15.75" customHeight="1" s="93">
      <c r="A637" s="23" t="inlineStr">
        <is>
          <t>5.1378.L069062.0</t>
        </is>
      </c>
      <c r="B637" s="23" t="inlineStr">
        <is>
          <t>L069062</t>
        </is>
      </c>
      <c r="C637" s="29">
        <f>IFERROR(LOWER(SUBSTITUTE(SUBSTITUTE(SUBSTITUTE(SUBSTITUTE(D637," ","-"),"/","-"),".",""),",","")),"")</f>
        <v/>
      </c>
      <c r="D637" s="23" t="inlineStr">
        <is>
          <t>TOMADA DE FORÇA ESO6106 - SAE B 13Z</t>
        </is>
      </c>
      <c r="E637" s="23" t="n"/>
      <c r="F637" s="23" t="inlineStr">
        <is>
          <t>SOHIPREN</t>
        </is>
      </c>
      <c r="G637" s="23" t="n"/>
      <c r="H637" s="23" t="inlineStr">
        <is>
          <t>draft</t>
        </is>
      </c>
      <c r="I637" s="23" t="inlineStr">
        <is>
          <t>INTERPUMP</t>
        </is>
      </c>
      <c r="J637" s="23" t="n"/>
      <c r="K637" s="23" t="n"/>
      <c r="L637" s="23" t="inlineStr">
        <is>
          <t>11697</t>
        </is>
      </c>
      <c r="M637" s="31" t="n"/>
      <c r="N637" s="31" t="n"/>
      <c r="O637" s="31" t="n"/>
      <c r="P637" s="31" t="n"/>
      <c r="Q637" s="31" t="n"/>
      <c r="R637" s="34">
        <f>IFERROR(IF(AND(O637&gt;0,P637&gt;0,Q637&gt;0),(O637*P637*Q637)/6000,""),"")</f>
        <v/>
      </c>
      <c r="S637" s="34">
        <f>IFERROR(IF(AND(N637&gt;0,R637&gt;0),MAX(N637,R637),IF(N637&gt;0,N637,IF(R637&gt;0,R637,""))),"")</f>
        <v/>
      </c>
      <c r="T637" s="36" t="n"/>
      <c r="U637" s="38" t="inlineStr">
        <is>
          <t>FALTA</t>
        </is>
      </c>
      <c r="V637" s="36" t="n">
        <v>2686</v>
      </c>
      <c r="W637" s="39" t="n">
        <v>0.3</v>
      </c>
      <c r="X637" s="41">
        <f>IFERROR(V637+T637,"")</f>
        <v/>
      </c>
      <c r="Y637" s="41">
        <f>IFERROR(IF(W637&lt;1,X637/(1-W637),""),"")</f>
        <v/>
      </c>
      <c r="Z637" s="43">
        <f>'01_CONFIG_GLOBAL'!$C$14</f>
        <v/>
      </c>
      <c r="AA637" s="41">
        <f>IFERROR(Y637*Z637,"")</f>
        <v/>
      </c>
      <c r="AB637" s="41">
        <f>IFERROR(IF(Z637&lt;1,Y637/(1-Z637),""),"")</f>
        <v/>
      </c>
      <c r="AC637" s="23" t="n"/>
      <c r="AD637" s="36" t="n"/>
      <c r="AE637" s="23" t="n"/>
      <c r="AF637" s="36" t="n"/>
      <c r="AG637" s="23" t="n"/>
      <c r="AH637" s="36" t="n"/>
      <c r="AI637" s="41">
        <f>IFERROR(AVERAGE(AD637,AF637,AH637),"")</f>
        <v/>
      </c>
      <c r="AJ637" s="29">
        <f>IFERROR(IF(AI637="","sem dados",IF(AB637&lt;AI637*0.95,"abaixo",IF(AB637&gt;AI637*1.05,"acima","em linha"))),"")</f>
        <v/>
      </c>
      <c r="AK637" s="23" t="inlineStr">
        <is>
          <t>não</t>
        </is>
      </c>
      <c r="AL637" s="23" t="n"/>
      <c r="AM637" s="23" t="n"/>
      <c r="AN637" s="23" t="n"/>
      <c r="AO637" s="44">
        <f>A637</f>
        <v/>
      </c>
      <c r="AP637" s="44">
        <f>D637</f>
        <v/>
      </c>
    </row>
    <row r="638" hidden="1" ht="15.75" customHeight="1" s="93">
      <c r="A638" s="23" t="inlineStr">
        <is>
          <t>5.1378.L069063.0</t>
        </is>
      </c>
      <c r="B638" s="23" t="inlineStr">
        <is>
          <t>L069063</t>
        </is>
      </c>
      <c r="C638" s="29">
        <f>IFERROR(LOWER(SUBSTITUTE(SUBSTITUTE(SUBSTITUTE(SUBSTITUTE(D638," ","-"),"/","-"),".",""),",","")),"")</f>
        <v/>
      </c>
      <c r="D638" s="23" t="inlineStr">
        <is>
          <t>TOMADA DE FORCA TK 902401 EC 01 L P 110 01 H 350</t>
        </is>
      </c>
      <c r="E638" s="23" t="n"/>
      <c r="F638" s="23" t="inlineStr">
        <is>
          <t>SOHIPREN</t>
        </is>
      </c>
      <c r="G638" s="23" t="n"/>
      <c r="H638" s="23" t="inlineStr">
        <is>
          <t>draft</t>
        </is>
      </c>
      <c r="I638" s="23" t="inlineStr">
        <is>
          <t>INTERPUMP</t>
        </is>
      </c>
      <c r="J638" s="23" t="n"/>
      <c r="K638" s="23" t="n"/>
      <c r="L638" s="23" t="inlineStr">
        <is>
          <t>10014</t>
        </is>
      </c>
      <c r="M638" s="31" t="n"/>
      <c r="N638" s="31" t="n"/>
      <c r="O638" s="31" t="n"/>
      <c r="P638" s="31" t="n"/>
      <c r="Q638" s="31" t="n"/>
      <c r="R638" s="34">
        <f>IFERROR(IF(AND(O638&gt;0,P638&gt;0,Q638&gt;0),(O638*P638*Q638)/6000,""),"")</f>
        <v/>
      </c>
      <c r="S638" s="34">
        <f>IFERROR(IF(AND(N638&gt;0,R638&gt;0),MAX(N638,R638),IF(N638&gt;0,N638,IF(R638&gt;0,R638,""))),"")</f>
        <v/>
      </c>
      <c r="T638" s="36" t="n"/>
      <c r="U638" s="38" t="inlineStr">
        <is>
          <t>FALTA</t>
        </is>
      </c>
      <c r="V638" s="36" t="n">
        <v>2686</v>
      </c>
      <c r="W638" s="39" t="n">
        <v>0.3</v>
      </c>
      <c r="X638" s="41">
        <f>IFERROR(V638+T638,"")</f>
        <v/>
      </c>
      <c r="Y638" s="41">
        <f>IFERROR(IF(W638&lt;1,X638/(1-W638),""),"")</f>
        <v/>
      </c>
      <c r="Z638" s="43">
        <f>'01_CONFIG_GLOBAL'!$C$14</f>
        <v/>
      </c>
      <c r="AA638" s="41">
        <f>IFERROR(Y638*Z638,"")</f>
        <v/>
      </c>
      <c r="AB638" s="41">
        <f>IFERROR(IF(Z638&lt;1,Y638/(1-Z638),""),"")</f>
        <v/>
      </c>
      <c r="AC638" s="23" t="n"/>
      <c r="AD638" s="36" t="n"/>
      <c r="AE638" s="23" t="n"/>
      <c r="AF638" s="36" t="n"/>
      <c r="AG638" s="23" t="n"/>
      <c r="AH638" s="36" t="n"/>
      <c r="AI638" s="41">
        <f>IFERROR(AVERAGE(AD638,AF638,AH638),"")</f>
        <v/>
      </c>
      <c r="AJ638" s="29">
        <f>IFERROR(IF(AI638="","sem dados",IF(AB638&lt;AI638*0.95,"abaixo",IF(AB638&gt;AI638*1.05,"acima","em linha"))),"")</f>
        <v/>
      </c>
      <c r="AK638" s="23" t="inlineStr">
        <is>
          <t>não</t>
        </is>
      </c>
      <c r="AL638" s="23" t="n"/>
      <c r="AM638" s="23" t="n"/>
      <c r="AN638" s="23" t="n"/>
      <c r="AO638" s="44">
        <f>A638</f>
        <v/>
      </c>
      <c r="AP638" s="44">
        <f>D638</f>
        <v/>
      </c>
    </row>
    <row r="639" hidden="1" ht="15.75" customHeight="1" s="93">
      <c r="A639" s="23" t="inlineStr">
        <is>
          <t>5.1378.L069064.0</t>
        </is>
      </c>
      <c r="B639" s="23" t="inlineStr">
        <is>
          <t>L069064</t>
        </is>
      </c>
      <c r="C639" s="29">
        <f>IFERROR(LOWER(SUBSTITUTE(SUBSTITUTE(SUBSTITUTE(SUBSTITUTE(D639," ","-"),"/","-"),".",""),",","")),"")</f>
        <v/>
      </c>
      <c r="D639" s="23" t="inlineStr">
        <is>
          <t>TOMADA DE FORCA TK 902401 (COMPRA L069063)</t>
        </is>
      </c>
      <c r="E639" s="23" t="n"/>
      <c r="F639" s="23" t="inlineStr">
        <is>
          <t>SOHIPREN</t>
        </is>
      </c>
      <c r="G639" s="23" t="n"/>
      <c r="H639" s="23" t="inlineStr">
        <is>
          <t>draft</t>
        </is>
      </c>
      <c r="I639" s="23" t="inlineStr">
        <is>
          <t>INTERPUMP</t>
        </is>
      </c>
      <c r="J639" s="23" t="n"/>
      <c r="K639" s="23" t="n"/>
      <c r="L639" s="23" t="inlineStr">
        <is>
          <t>10014</t>
        </is>
      </c>
      <c r="M639" s="31" t="n"/>
      <c r="N639" s="31" t="n"/>
      <c r="O639" s="31" t="n"/>
      <c r="P639" s="31" t="n"/>
      <c r="Q639" s="31" t="n"/>
      <c r="R639" s="34">
        <f>IFERROR(IF(AND(O639&gt;0,P639&gt;0,Q639&gt;0),(O639*P639*Q639)/6000,""),"")</f>
        <v/>
      </c>
      <c r="S639" s="34">
        <f>IFERROR(IF(AND(N639&gt;0,R639&gt;0),MAX(N639,R639),IF(N639&gt;0,N639,IF(R639&gt;0,R639,""))),"")</f>
        <v/>
      </c>
      <c r="T639" s="36" t="n"/>
      <c r="U639" s="38" t="inlineStr">
        <is>
          <t>FALTA</t>
        </is>
      </c>
      <c r="V639" s="36" t="n">
        <v>2074</v>
      </c>
      <c r="W639" s="39" t="n">
        <v>0.3</v>
      </c>
      <c r="X639" s="41">
        <f>IFERROR(V639+T639,"")</f>
        <v/>
      </c>
      <c r="Y639" s="41">
        <f>IFERROR(IF(W639&lt;1,X639/(1-W639),""),"")</f>
        <v/>
      </c>
      <c r="Z639" s="43">
        <f>'01_CONFIG_GLOBAL'!$C$14</f>
        <v/>
      </c>
      <c r="AA639" s="41">
        <f>IFERROR(Y639*Z639,"")</f>
        <v/>
      </c>
      <c r="AB639" s="41">
        <f>IFERROR(IF(Z639&lt;1,Y639/(1-Z639),""),"")</f>
        <v/>
      </c>
      <c r="AC639" s="23" t="n"/>
      <c r="AD639" s="36" t="n"/>
      <c r="AE639" s="23" t="n"/>
      <c r="AF639" s="36" t="n"/>
      <c r="AG639" s="23" t="n"/>
      <c r="AH639" s="36" t="n"/>
      <c r="AI639" s="41">
        <f>IFERROR(AVERAGE(AD639,AF639,AH639),"")</f>
        <v/>
      </c>
      <c r="AJ639" s="29">
        <f>IFERROR(IF(AI639="","sem dados",IF(AB639&lt;AI639*0.95,"abaixo",IF(AB639&gt;AI639*1.05,"acima","em linha"))),"")</f>
        <v/>
      </c>
      <c r="AK639" s="23" t="inlineStr">
        <is>
          <t>não</t>
        </is>
      </c>
      <c r="AL639" s="23" t="n"/>
      <c r="AM639" s="23" t="n"/>
      <c r="AN639" s="23" t="n"/>
      <c r="AO639" s="44">
        <f>A639</f>
        <v/>
      </c>
      <c r="AP639" s="44">
        <f>D639</f>
        <v/>
      </c>
    </row>
    <row r="640" hidden="1" ht="15.75" customHeight="1" s="93">
      <c r="A640" s="23" t="inlineStr">
        <is>
          <t>5.1378.L069065.0</t>
        </is>
      </c>
      <c r="B640" s="23" t="inlineStr">
        <is>
          <t>L069065</t>
        </is>
      </c>
      <c r="C640" s="29">
        <f>IFERROR(LOWER(SUBSTITUTE(SUBSTITUTE(SUBSTITUTE(SUBSTITUTE(D640," ","-"),"/","-"),".",""),",","")),"")</f>
        <v/>
      </c>
      <c r="D640" s="23" t="inlineStr">
        <is>
          <t>TOMADA DE FORCA TK 906311 EC 01 LP135 06H350</t>
        </is>
      </c>
      <c r="E640" s="23" t="n"/>
      <c r="F640" s="23" t="inlineStr">
        <is>
          <t>SOHIPREN</t>
        </is>
      </c>
      <c r="G640" s="23" t="n"/>
      <c r="H640" s="23" t="inlineStr">
        <is>
          <t>draft</t>
        </is>
      </c>
      <c r="I640" s="23" t="inlineStr">
        <is>
          <t>INTERPUMP</t>
        </is>
      </c>
      <c r="J640" s="23" t="n"/>
      <c r="K640" s="23" t="n"/>
      <c r="L640" s="23" t="inlineStr">
        <is>
          <t>10014</t>
        </is>
      </c>
      <c r="M640" s="31" t="n"/>
      <c r="N640" s="31" t="n"/>
      <c r="O640" s="31" t="n"/>
      <c r="P640" s="31" t="n"/>
      <c r="Q640" s="31" t="n"/>
      <c r="R640" s="34">
        <f>IFERROR(IF(AND(O640&gt;0,P640&gt;0,Q640&gt;0),(O640*P640*Q640)/6000,""),"")</f>
        <v/>
      </c>
      <c r="S640" s="34">
        <f>IFERROR(IF(AND(N640&gt;0,R640&gt;0),MAX(N640,R640),IF(N640&gt;0,N640,IF(R640&gt;0,R640,""))),"")</f>
        <v/>
      </c>
      <c r="T640" s="36" t="n"/>
      <c r="U640" s="38" t="inlineStr">
        <is>
          <t>FALTA</t>
        </is>
      </c>
      <c r="V640" s="36" t="n">
        <v>2074</v>
      </c>
      <c r="W640" s="39" t="n">
        <v>0.3</v>
      </c>
      <c r="X640" s="41">
        <f>IFERROR(V640+T640,"")</f>
        <v/>
      </c>
      <c r="Y640" s="41">
        <f>IFERROR(IF(W640&lt;1,X640/(1-W640),""),"")</f>
        <v/>
      </c>
      <c r="Z640" s="43">
        <f>'01_CONFIG_GLOBAL'!$C$14</f>
        <v/>
      </c>
      <c r="AA640" s="41">
        <f>IFERROR(Y640*Z640,"")</f>
        <v/>
      </c>
      <c r="AB640" s="41">
        <f>IFERROR(IF(Z640&lt;1,Y640/(1-Z640),""),"")</f>
        <v/>
      </c>
      <c r="AC640" s="23" t="n"/>
      <c r="AD640" s="36" t="n"/>
      <c r="AE640" s="23" t="n"/>
      <c r="AF640" s="36" t="n"/>
      <c r="AG640" s="23" t="n"/>
      <c r="AH640" s="36" t="n"/>
      <c r="AI640" s="41">
        <f>IFERROR(AVERAGE(AD640,AF640,AH640),"")</f>
        <v/>
      </c>
      <c r="AJ640" s="29">
        <f>IFERROR(IF(AI640="","sem dados",IF(AB640&lt;AI640*0.95,"abaixo",IF(AB640&gt;AI640*1.05,"acima","em linha"))),"")</f>
        <v/>
      </c>
      <c r="AK640" s="23" t="inlineStr">
        <is>
          <t>não</t>
        </is>
      </c>
      <c r="AL640" s="23" t="n"/>
      <c r="AM640" s="23" t="n"/>
      <c r="AN640" s="23" t="n"/>
      <c r="AO640" s="44">
        <f>A640</f>
        <v/>
      </c>
      <c r="AP640" s="44">
        <f>D640</f>
        <v/>
      </c>
    </row>
    <row r="641" hidden="1" ht="15.75" customHeight="1" s="93">
      <c r="A641" s="23" t="inlineStr">
        <is>
          <t>5.1378.L069066.0</t>
        </is>
      </c>
      <c r="B641" s="23" t="inlineStr">
        <is>
          <t>L069066</t>
        </is>
      </c>
      <c r="C641" s="29">
        <f>IFERROR(LOWER(SUBSTITUTE(SUBSTITUTE(SUBSTITUTE(SUBSTITUTE(D641," ","-"),"/","-"),".",""),",","")),"")</f>
        <v/>
      </c>
      <c r="D641" s="23" t="inlineStr">
        <is>
          <t>10051-TOMADA DE FORCA TK 906311 EC 01 LP135 (COMPRA L069065)</t>
        </is>
      </c>
      <c r="E641" s="23" t="n"/>
      <c r="F641" s="23" t="inlineStr">
        <is>
          <t>SOHIPREN</t>
        </is>
      </c>
      <c r="G641" s="23" t="n"/>
      <c r="H641" s="23" t="inlineStr">
        <is>
          <t>draft</t>
        </is>
      </c>
      <c r="I641" s="23" t="inlineStr">
        <is>
          <t>INTERPUMP</t>
        </is>
      </c>
      <c r="J641" s="23" t="n"/>
      <c r="K641" s="23" t="n"/>
      <c r="L641" s="23" t="inlineStr">
        <is>
          <t>10051</t>
        </is>
      </c>
      <c r="M641" s="31" t="n"/>
      <c r="N641" s="31" t="n"/>
      <c r="O641" s="31" t="n"/>
      <c r="P641" s="31" t="n"/>
      <c r="Q641" s="31" t="n"/>
      <c r="R641" s="34">
        <f>IFERROR(IF(AND(O641&gt;0,P641&gt;0,Q641&gt;0),(O641*P641*Q641)/6000,""),"")</f>
        <v/>
      </c>
      <c r="S641" s="34">
        <f>IFERROR(IF(AND(N641&gt;0,R641&gt;0),MAX(N641,R641),IF(N641&gt;0,N641,IF(R641&gt;0,R641,""))),"")</f>
        <v/>
      </c>
      <c r="T641" s="36" t="n"/>
      <c r="U641" s="38" t="inlineStr">
        <is>
          <t>FALTA</t>
        </is>
      </c>
      <c r="V641" s="36" t="n">
        <v>2183</v>
      </c>
      <c r="W641" s="39" t="n">
        <v>0.3</v>
      </c>
      <c r="X641" s="41">
        <f>IFERROR(V641+T641,"")</f>
        <v/>
      </c>
      <c r="Y641" s="41">
        <f>IFERROR(IF(W641&lt;1,X641/(1-W641),""),"")</f>
        <v/>
      </c>
      <c r="Z641" s="43">
        <f>'01_CONFIG_GLOBAL'!$C$14</f>
        <v/>
      </c>
      <c r="AA641" s="41">
        <f>IFERROR(Y641*Z641,"")</f>
        <v/>
      </c>
      <c r="AB641" s="41">
        <f>IFERROR(IF(Z641&lt;1,Y641/(1-Z641),""),"")</f>
        <v/>
      </c>
      <c r="AC641" s="23" t="n"/>
      <c r="AD641" s="36" t="n"/>
      <c r="AE641" s="23" t="n"/>
      <c r="AF641" s="36" t="n"/>
      <c r="AG641" s="23" t="n"/>
      <c r="AH641" s="36" t="n"/>
      <c r="AI641" s="41">
        <f>IFERROR(AVERAGE(AD641,AF641,AH641),"")</f>
        <v/>
      </c>
      <c r="AJ641" s="29">
        <f>IFERROR(IF(AI641="","sem dados",IF(AB641&lt;AI641*0.95,"abaixo",IF(AB641&gt;AI641*1.05,"acima","em linha"))),"")</f>
        <v/>
      </c>
      <c r="AK641" s="23" t="inlineStr">
        <is>
          <t>não</t>
        </is>
      </c>
      <c r="AL641" s="23" t="n"/>
      <c r="AM641" s="23" t="n"/>
      <c r="AN641" s="23" t="n"/>
      <c r="AO641" s="44">
        <f>A641</f>
        <v/>
      </c>
      <c r="AP641" s="44">
        <f>D641</f>
        <v/>
      </c>
    </row>
    <row r="642" hidden="1" ht="15.75" customHeight="1" s="93">
      <c r="A642" s="23" t="inlineStr">
        <is>
          <t>5.1621.0670012.1</t>
        </is>
      </c>
      <c r="B642" s="23" t="inlineStr">
        <is>
          <t>670012.1</t>
        </is>
      </c>
      <c r="C642" s="29">
        <f>IFERROR(LOWER(SUBSTITUTE(SUBSTITUTE(SUBSTITUTE(SUBSTITUTE(D642," ","-"),"/","-"),".",""),",","")),"")</f>
        <v/>
      </c>
      <c r="D642" s="23" t="inlineStr">
        <is>
          <t>MOTOR MLS100- EIXO 31,75 - SAE A - 7/8'' UNF</t>
        </is>
      </c>
      <c r="E642" s="23" t="n"/>
      <c r="F642" s="23" t="inlineStr">
        <is>
          <t>SOHIPREN</t>
        </is>
      </c>
      <c r="G642" s="23" t="n"/>
      <c r="H642" s="23" t="inlineStr">
        <is>
          <t>draft</t>
        </is>
      </c>
      <c r="I642" s="23" t="inlineStr">
        <is>
          <t>IPACOL</t>
        </is>
      </c>
      <c r="J642" s="23" t="inlineStr">
        <is>
          <t>VAGÃO FORRAGEIRO</t>
        </is>
      </c>
      <c r="K642" s="23" t="inlineStr">
        <is>
          <t>MISTURADOR-CJTO ROLO DESENSILADOR</t>
        </is>
      </c>
      <c r="L642" s="23" t="inlineStr">
        <is>
          <t>99400073-1041023006-25151100002-MMK208003AS</t>
        </is>
      </c>
      <c r="M642" s="31" t="n"/>
      <c r="N642" s="31" t="n"/>
      <c r="O642" s="31" t="n"/>
      <c r="P642" s="31" t="n"/>
      <c r="Q642" s="31" t="n"/>
      <c r="R642" s="34">
        <f>IFERROR(IF(AND(O642&gt;0,P642&gt;0,Q642&gt;0),(O642*P642*Q642)/6000,""),"")</f>
        <v/>
      </c>
      <c r="S642" s="34">
        <f>IFERROR(IF(AND(N642&gt;0,R642&gt;0),MAX(N642,R642),IF(N642&gt;0,N642,IF(R642&gt;0,R642,""))),"")</f>
        <v/>
      </c>
      <c r="T642" s="36" t="n"/>
      <c r="U642" s="38" t="inlineStr">
        <is>
          <t>FALTA</t>
        </is>
      </c>
      <c r="V642" s="36" t="n">
        <v>1163.4</v>
      </c>
      <c r="W642" s="39" t="n">
        <v>0.3</v>
      </c>
      <c r="X642" s="41">
        <f>IFERROR(V642+T642,"")</f>
        <v/>
      </c>
      <c r="Y642" s="41">
        <f>IFERROR(IF(W642&lt;1,X642/(1-W642),""),"")</f>
        <v/>
      </c>
      <c r="Z642" s="43">
        <f>'01_CONFIG_GLOBAL'!$C$14</f>
        <v/>
      </c>
      <c r="AA642" s="41">
        <f>IFERROR(Y642*Z642,"")</f>
        <v/>
      </c>
      <c r="AB642" s="41">
        <f>IFERROR(IF(Z642&lt;1,Y642/(1-Z642),""),"")</f>
        <v/>
      </c>
      <c r="AC642" s="23" t="n"/>
      <c r="AD642" s="36" t="n"/>
      <c r="AE642" s="23" t="n"/>
      <c r="AF642" s="36" t="n"/>
      <c r="AG642" s="23" t="n"/>
      <c r="AH642" s="36" t="n"/>
      <c r="AI642" s="41">
        <f>IFERROR(AVERAGE(AD642,AF642,AH642),"")</f>
        <v/>
      </c>
      <c r="AJ642" s="29">
        <f>IFERROR(IF(AI642="","sem dados",IF(AB642&lt;AI642*0.95,"abaixo",IF(AB642&gt;AI642*1.05,"acima","em linha"))),"")</f>
        <v/>
      </c>
      <c r="AK642" s="23" t="inlineStr">
        <is>
          <t>não</t>
        </is>
      </c>
      <c r="AL642" s="23" t="n"/>
      <c r="AM642" s="23" t="n"/>
      <c r="AN642" s="23" t="n"/>
      <c r="AO642" s="44">
        <f>A642</f>
        <v/>
      </c>
      <c r="AP642" s="44">
        <f>D642</f>
        <v/>
      </c>
    </row>
    <row r="643" hidden="1" ht="15.75" customHeight="1" s="93">
      <c r="A643" s="23" t="inlineStr">
        <is>
          <t>5.1621.0670012.0</t>
        </is>
      </c>
      <c r="B643" s="23" t="inlineStr">
        <is>
          <t>670012</t>
        </is>
      </c>
      <c r="C643" s="29">
        <f>IFERROR(LOWER(SUBSTITUTE(SUBSTITUTE(SUBSTITUTE(SUBSTITUTE(D643," ","-"),"/","-"),".",""),",","")),"")</f>
        <v/>
      </c>
      <c r="D643" s="23" t="inlineStr">
        <is>
          <t>MOTOR ORBITAL 100 Cm³/Rot ( S )</t>
        </is>
      </c>
      <c r="E643" s="23" t="n"/>
      <c r="F643" s="23" t="inlineStr">
        <is>
          <t>SOHIPREN</t>
        </is>
      </c>
      <c r="G643" s="23" t="n"/>
      <c r="H643" s="23" t="inlineStr">
        <is>
          <t>draft</t>
        </is>
      </c>
      <c r="I643" s="23" t="inlineStr">
        <is>
          <t>IPACOL/DIVERSOS</t>
        </is>
      </c>
      <c r="J643" s="23" t="inlineStr">
        <is>
          <t>IMPLEMENTOS</t>
        </is>
      </c>
      <c r="K643" s="23" t="inlineStr">
        <is>
          <t>MOTOR HIDRÁULICO</t>
        </is>
      </c>
      <c r="L643" s="23" t="inlineStr">
        <is>
          <t>1041023006-25151100002-MMK208003AS-99.40.0073</t>
        </is>
      </c>
      <c r="M643" s="31" t="n"/>
      <c r="N643" s="31" t="n"/>
      <c r="O643" s="31" t="n"/>
      <c r="P643" s="31" t="n"/>
      <c r="Q643" s="31" t="n"/>
      <c r="R643" s="34">
        <f>IFERROR(IF(AND(O643&gt;0,P643&gt;0,Q643&gt;0),(O643*P643*Q643)/6000,""),"")</f>
        <v/>
      </c>
      <c r="S643" s="34">
        <f>IFERROR(IF(AND(N643&gt;0,R643&gt;0),MAX(N643,R643),IF(N643&gt;0,N643,IF(R643&gt;0,R643,""))),"")</f>
        <v/>
      </c>
      <c r="T643" s="36" t="n"/>
      <c r="U643" s="38" t="inlineStr">
        <is>
          <t>FALTA</t>
        </is>
      </c>
      <c r="V643" s="36" t="n">
        <v>1163.4</v>
      </c>
      <c r="W643" s="39" t="n">
        <v>0.3</v>
      </c>
      <c r="X643" s="41">
        <f>IFERROR(V643+T643,"")</f>
        <v/>
      </c>
      <c r="Y643" s="41">
        <f>IFERROR(IF(W643&lt;1,X643/(1-W643),""),"")</f>
        <v/>
      </c>
      <c r="Z643" s="43">
        <f>'01_CONFIG_GLOBAL'!$C$14</f>
        <v/>
      </c>
      <c r="AA643" s="41">
        <f>IFERROR(Y643*Z643,"")</f>
        <v/>
      </c>
      <c r="AB643" s="41">
        <f>IFERROR(IF(Z643&lt;1,Y643/(1-Z643),""),"")</f>
        <v/>
      </c>
      <c r="AC643" s="23" t="n"/>
      <c r="AD643" s="36" t="n"/>
      <c r="AE643" s="23" t="n"/>
      <c r="AF643" s="36" t="n"/>
      <c r="AG643" s="23" t="n"/>
      <c r="AH643" s="36" t="n"/>
      <c r="AI643" s="41">
        <f>IFERROR(AVERAGE(AD643,AF643,AH643),"")</f>
        <v/>
      </c>
      <c r="AJ643" s="29">
        <f>IFERROR(IF(AI643="","sem dados",IF(AB643&lt;AI643*0.95,"abaixo",IF(AB643&gt;AI643*1.05,"acima","em linha"))),"")</f>
        <v/>
      </c>
      <c r="AK643" s="23" t="inlineStr">
        <is>
          <t>não</t>
        </is>
      </c>
      <c r="AL643" s="23" t="n"/>
      <c r="AM643" s="23" t="n"/>
      <c r="AN643" s="23" t="n"/>
      <c r="AO643" s="44">
        <f>A643</f>
        <v/>
      </c>
      <c r="AP643" s="44">
        <f>D643</f>
        <v/>
      </c>
    </row>
    <row r="644" hidden="1" ht="15.75" customHeight="1" s="93">
      <c r="A644" s="23" t="inlineStr">
        <is>
          <t>0.0112.L081996.0</t>
        </is>
      </c>
      <c r="B644" s="23" t="inlineStr">
        <is>
          <t>L081996</t>
        </is>
      </c>
      <c r="C644" s="29">
        <f>IFERROR(LOWER(SUBSTITUTE(SUBSTITUTE(SUBSTITUTE(SUBSTITUTE(D644," ","-"),"/","-"),".",""),",","")),"")</f>
        <v/>
      </c>
      <c r="D644" s="23" t="inlineStr">
        <is>
          <t>USAR O CÓDIGO 064010</t>
        </is>
      </c>
      <c r="E644" s="23" t="n"/>
      <c r="F644" s="23" t="inlineStr">
        <is>
          <t>SOHIPREN</t>
        </is>
      </c>
      <c r="G644" s="23" t="n"/>
      <c r="H644" s="23" t="inlineStr">
        <is>
          <t>draft</t>
        </is>
      </c>
      <c r="I644" s="23" t="inlineStr">
        <is>
          <t>IPANEMA ROLAMENTOS</t>
        </is>
      </c>
      <c r="J644" s="23" t="n"/>
      <c r="K644" s="23" t="n"/>
      <c r="L644" s="23" t="inlineStr">
        <is>
          <t>3205B.TVH</t>
        </is>
      </c>
      <c r="M644" s="31" t="n"/>
      <c r="N644" s="31" t="n"/>
      <c r="O644" s="31" t="n"/>
      <c r="P644" s="31" t="n"/>
      <c r="Q644" s="31" t="n"/>
      <c r="R644" s="34">
        <f>IFERROR(IF(AND(O644&gt;0,P644&gt;0,Q644&gt;0),(O644*P644*Q644)/6000,""),"")</f>
        <v/>
      </c>
      <c r="S644" s="34">
        <f>IFERROR(IF(AND(N644&gt;0,R644&gt;0),MAX(N644,R644),IF(N644&gt;0,N644,IF(R644&gt;0,R644,""))),"")</f>
        <v/>
      </c>
      <c r="T644" s="36" t="n"/>
      <c r="U644" s="38" t="inlineStr">
        <is>
          <t>FALTA</t>
        </is>
      </c>
      <c r="V644" s="36" t="inlineStr">
        <is>
          <t>TABELA OFICIAL</t>
        </is>
      </c>
      <c r="W644" s="39" t="n">
        <v>0.3</v>
      </c>
      <c r="X644" s="41">
        <f>IFERROR(V644+T644,"")</f>
        <v/>
      </c>
      <c r="Y644" s="41">
        <f>IFERROR(IF(W644&lt;1,X644/(1-W644),""),"")</f>
        <v/>
      </c>
      <c r="Z644" s="43">
        <f>'01_CONFIG_GLOBAL'!$C$14</f>
        <v/>
      </c>
      <c r="AA644" s="41">
        <f>IFERROR(Y644*Z644,"")</f>
        <v/>
      </c>
      <c r="AB644" s="41">
        <f>IFERROR(IF(Z644&lt;1,Y644/(1-Z644),""),"")</f>
        <v/>
      </c>
      <c r="AC644" s="23" t="n"/>
      <c r="AD644" s="36" t="n"/>
      <c r="AE644" s="23" t="n"/>
      <c r="AF644" s="36" t="n"/>
      <c r="AG644" s="23" t="n"/>
      <c r="AH644" s="36" t="n"/>
      <c r="AI644" s="41">
        <f>IFERROR(AVERAGE(AD644,AF644,AH644),"")</f>
        <v/>
      </c>
      <c r="AJ644" s="29">
        <f>IFERROR(IF(AI644="","sem dados",IF(AB644&lt;AI644*0.95,"abaixo",IF(AB644&gt;AI644*1.05,"acima","em linha"))),"")</f>
        <v/>
      </c>
      <c r="AK644" s="23" t="inlineStr">
        <is>
          <t>não</t>
        </is>
      </c>
      <c r="AL644" s="23" t="n"/>
      <c r="AM644" s="23" t="n"/>
      <c r="AN644" s="23" t="n"/>
      <c r="AO644" s="44">
        <f>A644</f>
        <v/>
      </c>
      <c r="AP644" s="44">
        <f>D644</f>
        <v/>
      </c>
    </row>
    <row r="645" hidden="1" ht="15.75" customHeight="1" s="93">
      <c r="A645" s="23" t="inlineStr">
        <is>
          <t>0.2014.F001216.0</t>
        </is>
      </c>
      <c r="B645" s="23" t="inlineStr">
        <is>
          <t>F001316</t>
        </is>
      </c>
      <c r="C645" s="29">
        <f>IFERROR(LOWER(SUBSTITUTE(SUBSTITUTE(SUBSTITUTE(SUBSTITUTE(D645," ","-"),"/","-"),".",""),",","")),"")</f>
        <v/>
      </c>
      <c r="D645" s="23" t="inlineStr">
        <is>
          <t>LIMA ACAB. ROSA TRIANGULAR 3/8" X 4" MEDIA</t>
        </is>
      </c>
      <c r="E645" s="23" t="n"/>
      <c r="F645" s="23" t="inlineStr">
        <is>
          <t>SOHIPREN</t>
        </is>
      </c>
      <c r="G645" s="23" t="n"/>
      <c r="H645" s="23" t="inlineStr">
        <is>
          <t>draft</t>
        </is>
      </c>
      <c r="I645" s="23" t="inlineStr">
        <is>
          <t>ITABRAS</t>
        </is>
      </c>
      <c r="J645" s="23" t="n"/>
      <c r="K645" s="23" t="n"/>
      <c r="L645" s="23" t="inlineStr">
        <is>
          <t>35720007</t>
        </is>
      </c>
      <c r="M645" s="31" t="n"/>
      <c r="N645" s="31" t="n"/>
      <c r="O645" s="31" t="n"/>
      <c r="P645" s="31" t="n"/>
      <c r="Q645" s="31" t="n"/>
      <c r="R645" s="34">
        <f>IFERROR(IF(AND(O645&gt;0,P645&gt;0,Q645&gt;0),(O645*P645*Q645)/6000,""),"")</f>
        <v/>
      </c>
      <c r="S645" s="34">
        <f>IFERROR(IF(AND(N645&gt;0,R645&gt;0),MAX(N645,R645),IF(N645&gt;0,N645,IF(R645&gt;0,R645,""))),"")</f>
        <v/>
      </c>
      <c r="T645" s="36" t="n"/>
      <c r="U645" s="38" t="inlineStr">
        <is>
          <t>FALTA</t>
        </is>
      </c>
      <c r="V645" s="36" t="n">
        <v>59</v>
      </c>
      <c r="W645" s="39" t="n">
        <v>0.3</v>
      </c>
      <c r="X645" s="41">
        <f>IFERROR(V645+T645,"")</f>
        <v/>
      </c>
      <c r="Y645" s="41">
        <f>IFERROR(IF(W645&lt;1,X645/(1-W645),""),"")</f>
        <v/>
      </c>
      <c r="Z645" s="43">
        <f>'01_CONFIG_GLOBAL'!$C$14</f>
        <v/>
      </c>
      <c r="AA645" s="41">
        <f>IFERROR(Y645*Z645,"")</f>
        <v/>
      </c>
      <c r="AB645" s="41">
        <f>IFERROR(IF(Z645&lt;1,Y645/(1-Z645),""),"")</f>
        <v/>
      </c>
      <c r="AC645" s="23" t="n"/>
      <c r="AD645" s="36" t="n"/>
      <c r="AE645" s="23" t="n"/>
      <c r="AF645" s="36" t="n"/>
      <c r="AG645" s="23" t="n"/>
      <c r="AH645" s="36" t="n"/>
      <c r="AI645" s="41">
        <f>IFERROR(AVERAGE(AD645,AF645,AH645),"")</f>
        <v/>
      </c>
      <c r="AJ645" s="29">
        <f>IFERROR(IF(AI645="","sem dados",IF(AB645&lt;AI645*0.95,"abaixo",IF(AB645&gt;AI645*1.05,"acima","em linha"))),"")</f>
        <v/>
      </c>
      <c r="AK645" s="23" t="inlineStr">
        <is>
          <t>não</t>
        </is>
      </c>
      <c r="AL645" s="23" t="n"/>
      <c r="AM645" s="23" t="n"/>
      <c r="AN645" s="23" t="n"/>
      <c r="AO645" s="44">
        <f>A645</f>
        <v/>
      </c>
      <c r="AP645" s="44">
        <f>D645</f>
        <v/>
      </c>
    </row>
    <row r="646" hidden="1" ht="15.75" customHeight="1" s="93">
      <c r="A646" s="23" t="inlineStr">
        <is>
          <t>0.2014.F001217.0</t>
        </is>
      </c>
      <c r="B646" s="23" t="inlineStr">
        <is>
          <t>F001317</t>
        </is>
      </c>
      <c r="C646" s="29">
        <f>IFERROR(LOWER(SUBSTITUTE(SUBSTITUTE(SUBSTITUTE(SUBSTITUTE(D646," ","-"),"/","-"),".",""),",","")),"")</f>
        <v/>
      </c>
      <c r="D646" s="23" t="inlineStr">
        <is>
          <t>LIMA ACAB. ROSA TRIANGULAR 1/2" X 4" MEDIA</t>
        </is>
      </c>
      <c r="E646" s="23" t="n"/>
      <c r="F646" s="23" t="inlineStr">
        <is>
          <t>SOHIPREN</t>
        </is>
      </c>
      <c r="G646" s="23" t="n"/>
      <c r="H646" s="23" t="inlineStr">
        <is>
          <t>draft</t>
        </is>
      </c>
      <c r="I646" s="23" t="inlineStr">
        <is>
          <t>ITABRAS</t>
        </is>
      </c>
      <c r="J646" s="23" t="n"/>
      <c r="K646" s="23" t="n"/>
      <c r="L646" s="23" t="inlineStr">
        <is>
          <t>35720009</t>
        </is>
      </c>
      <c r="M646" s="31" t="n"/>
      <c r="N646" s="31" t="n"/>
      <c r="O646" s="31" t="n"/>
      <c r="P646" s="31" t="n"/>
      <c r="Q646" s="31" t="n"/>
      <c r="R646" s="34">
        <f>IFERROR(IF(AND(O646&gt;0,P646&gt;0,Q646&gt;0),(O646*P646*Q646)/6000,""),"")</f>
        <v/>
      </c>
      <c r="S646" s="34">
        <f>IFERROR(IF(AND(N646&gt;0,R646&gt;0),MAX(N646,R646),IF(N646&gt;0,N646,IF(R646&gt;0,R646,""))),"")</f>
        <v/>
      </c>
      <c r="T646" s="36" t="n"/>
      <c r="U646" s="38" t="inlineStr">
        <is>
          <t>FALTA</t>
        </is>
      </c>
      <c r="V646" s="36" t="n">
        <v>59</v>
      </c>
      <c r="W646" s="39" t="n">
        <v>0.3</v>
      </c>
      <c r="X646" s="41">
        <f>IFERROR(V646+T646,"")</f>
        <v/>
      </c>
      <c r="Y646" s="41">
        <f>IFERROR(IF(W646&lt;1,X646/(1-W646),""),"")</f>
        <v/>
      </c>
      <c r="Z646" s="43">
        <f>'01_CONFIG_GLOBAL'!$C$14</f>
        <v/>
      </c>
      <c r="AA646" s="41">
        <f>IFERROR(Y646*Z646,"")</f>
        <v/>
      </c>
      <c r="AB646" s="41">
        <f>IFERROR(IF(Z646&lt;1,Y646/(1-Z646),""),"")</f>
        <v/>
      </c>
      <c r="AC646" s="23" t="n"/>
      <c r="AD646" s="36" t="n"/>
      <c r="AE646" s="23" t="n"/>
      <c r="AF646" s="36" t="n"/>
      <c r="AG646" s="23" t="n"/>
      <c r="AH646" s="36" t="n"/>
      <c r="AI646" s="41">
        <f>IFERROR(AVERAGE(AD646,AF646,AH646),"")</f>
        <v/>
      </c>
      <c r="AJ646" s="29">
        <f>IFERROR(IF(AI646="","sem dados",IF(AB646&lt;AI646*0.95,"abaixo",IF(AB646&gt;AI646*1.05,"acima","em linha"))),"")</f>
        <v/>
      </c>
      <c r="AK646" s="23" t="inlineStr">
        <is>
          <t>não</t>
        </is>
      </c>
      <c r="AL646" s="23" t="n"/>
      <c r="AM646" s="23" t="n"/>
      <c r="AN646" s="23" t="n"/>
      <c r="AO646" s="44">
        <f>A646</f>
        <v/>
      </c>
      <c r="AP646" s="44">
        <f>D646</f>
        <v/>
      </c>
    </row>
    <row r="647" hidden="1" ht="15.75" customHeight="1" s="93">
      <c r="A647" s="23" t="inlineStr">
        <is>
          <t>5.0505.0504068.0</t>
        </is>
      </c>
      <c r="B647" s="23" t="inlineStr">
        <is>
          <t>504068</t>
        </is>
      </c>
      <c r="C647" s="29">
        <f>IFERROR(LOWER(SUBSTITUTE(SUBSTITUTE(SUBSTITUTE(SUBSTITUTE(D647," ","-"),"/","-"),".",""),",","")),"")</f>
        <v/>
      </c>
      <c r="D647" s="23" t="inlineStr">
        <is>
          <t>MC1 50 201.1.32.66.61</t>
        </is>
      </c>
      <c r="E647" s="23" t="n"/>
      <c r="F647" s="23" t="inlineStr">
        <is>
          <t>SOHIPREN</t>
        </is>
      </c>
      <c r="G647" s="23" t="n"/>
      <c r="H647" s="23" t="inlineStr">
        <is>
          <t>draft</t>
        </is>
      </c>
      <c r="I647" s="23" t="inlineStr">
        <is>
          <t>ITAMARATI</t>
        </is>
      </c>
      <c r="J647" s="23" t="inlineStr">
        <is>
          <t>EMPILHADEIRA</t>
        </is>
      </c>
      <c r="K647" s="23" t="inlineStr">
        <is>
          <t>PRINCIPAL</t>
        </is>
      </c>
      <c r="L647" s="23" t="inlineStr">
        <is>
          <t>7112068003</t>
        </is>
      </c>
      <c r="M647" s="31" t="n"/>
      <c r="N647" s="31" t="n"/>
      <c r="O647" s="31" t="n"/>
      <c r="P647" s="31" t="n"/>
      <c r="Q647" s="31" t="n"/>
      <c r="R647" s="34">
        <f>IFERROR(IF(AND(O647&gt;0,P647&gt;0,Q647&gt;0),(O647*P647*Q647)/6000,""),"")</f>
        <v/>
      </c>
      <c r="S647" s="34">
        <f>IFERROR(IF(AND(N647&gt;0,R647&gt;0),MAX(N647,R647),IF(N647&gt;0,N647,IF(R647&gt;0,R647,""))),"")</f>
        <v/>
      </c>
      <c r="T647" s="36" t="n"/>
      <c r="U647" s="38" t="inlineStr">
        <is>
          <t>FALTA</t>
        </is>
      </c>
      <c r="V647" s="36" t="n">
        <v>1150</v>
      </c>
      <c r="W647" s="39" t="n">
        <v>0.3</v>
      </c>
      <c r="X647" s="41">
        <f>IFERROR(V647+T647,"")</f>
        <v/>
      </c>
      <c r="Y647" s="41">
        <f>IFERROR(IF(W647&lt;1,X647/(1-W647),""),"")</f>
        <v/>
      </c>
      <c r="Z647" s="43">
        <f>'01_CONFIG_GLOBAL'!$C$14</f>
        <v/>
      </c>
      <c r="AA647" s="41">
        <f>IFERROR(Y647*Z647,"")</f>
        <v/>
      </c>
      <c r="AB647" s="41">
        <f>IFERROR(IF(Z647&lt;1,Y647/(1-Z647),""),"")</f>
        <v/>
      </c>
      <c r="AC647" s="23" t="n"/>
      <c r="AD647" s="36" t="n"/>
      <c r="AE647" s="23" t="n"/>
      <c r="AF647" s="36" t="n"/>
      <c r="AG647" s="23" t="n"/>
      <c r="AH647" s="36" t="n"/>
      <c r="AI647" s="41">
        <f>IFERROR(AVERAGE(AD647,AF647,AH647),"")</f>
        <v/>
      </c>
      <c r="AJ647" s="29">
        <f>IFERROR(IF(AI647="","sem dados",IF(AB647&lt;AI647*0.95,"abaixo",IF(AB647&gt;AI647*1.05,"acima","em linha"))),"")</f>
        <v/>
      </c>
      <c r="AK647" s="23" t="inlineStr">
        <is>
          <t>não</t>
        </is>
      </c>
      <c r="AL647" s="23" t="n"/>
      <c r="AM647" s="23" t="n"/>
      <c r="AN647" s="23" t="n"/>
      <c r="AO647" s="44">
        <f>A647</f>
        <v/>
      </c>
      <c r="AP647" s="44">
        <f>D647</f>
        <v/>
      </c>
    </row>
    <row r="648" hidden="1" ht="15.75" customHeight="1" s="93">
      <c r="A648" s="23" t="inlineStr">
        <is>
          <t>5.0506.0505058.0</t>
        </is>
      </c>
      <c r="B648" s="23" t="inlineStr">
        <is>
          <t>505058</t>
        </is>
      </c>
      <c r="C648" s="29">
        <f>IFERROR(LOWER(SUBSTITUTE(SUBSTITUTE(SUBSTITUTE(SUBSTITUTE(D648," ","-"),"/","-"),".",""),",","")),"")</f>
        <v/>
      </c>
      <c r="D648" s="23" t="inlineStr">
        <is>
          <t>MC1 60 201.1.31.66.61</t>
        </is>
      </c>
      <c r="E648" s="23" t="n"/>
      <c r="F648" s="23" t="inlineStr">
        <is>
          <t>SOHIPREN</t>
        </is>
      </c>
      <c r="G648" s="23" t="n"/>
      <c r="H648" s="23" t="inlineStr">
        <is>
          <t>draft</t>
        </is>
      </c>
      <c r="I648" s="23" t="inlineStr">
        <is>
          <t>ITAMARATI</t>
        </is>
      </c>
      <c r="J648" s="23" t="inlineStr">
        <is>
          <t>EMPILHADEIRA</t>
        </is>
      </c>
      <c r="K648" s="23" t="inlineStr">
        <is>
          <t>PRINCIPAL</t>
        </is>
      </c>
      <c r="L648" s="23" t="inlineStr">
        <is>
          <t>7112068008</t>
        </is>
      </c>
      <c r="M648" s="31" t="n"/>
      <c r="N648" s="31" t="n"/>
      <c r="O648" s="31" t="n"/>
      <c r="P648" s="31" t="n"/>
      <c r="Q648" s="31" t="n"/>
      <c r="R648" s="34">
        <f>IFERROR(IF(AND(O648&gt;0,P648&gt;0,Q648&gt;0),(O648*P648*Q648)/6000,""),"")</f>
        <v/>
      </c>
      <c r="S648" s="34">
        <f>IFERROR(IF(AND(N648&gt;0,R648&gt;0),MAX(N648,R648),IF(N648&gt;0,N648,IF(R648&gt;0,R648,""))),"")</f>
        <v/>
      </c>
      <c r="T648" s="36" t="n"/>
      <c r="U648" s="38" t="inlineStr">
        <is>
          <t>FALTA</t>
        </is>
      </c>
      <c r="V648" s="36" t="n">
        <v>1045</v>
      </c>
      <c r="W648" s="39" t="n">
        <v>0.3</v>
      </c>
      <c r="X648" s="41">
        <f>IFERROR(V648+T648,"")</f>
        <v/>
      </c>
      <c r="Y648" s="41">
        <f>IFERROR(IF(W648&lt;1,X648/(1-W648),""),"")</f>
        <v/>
      </c>
      <c r="Z648" s="43">
        <f>'01_CONFIG_GLOBAL'!$C$14</f>
        <v/>
      </c>
      <c r="AA648" s="41">
        <f>IFERROR(Y648*Z648,"")</f>
        <v/>
      </c>
      <c r="AB648" s="41">
        <f>IFERROR(IF(Z648&lt;1,Y648/(1-Z648),""),"")</f>
        <v/>
      </c>
      <c r="AC648" s="23" t="n"/>
      <c r="AD648" s="36" t="n"/>
      <c r="AE648" s="23" t="n"/>
      <c r="AF648" s="36" t="n"/>
      <c r="AG648" s="23" t="n"/>
      <c r="AH648" s="36" t="n"/>
      <c r="AI648" s="41">
        <f>IFERROR(AVERAGE(AD648,AF648,AH648),"")</f>
        <v/>
      </c>
      <c r="AJ648" s="29">
        <f>IFERROR(IF(AI648="","sem dados",IF(AB648&lt;AI648*0.95,"abaixo",IF(AB648&gt;AI648*1.05,"acima","em linha"))),"")</f>
        <v/>
      </c>
      <c r="AK648" s="23" t="inlineStr">
        <is>
          <t>não</t>
        </is>
      </c>
      <c r="AL648" s="23" t="n"/>
      <c r="AM648" s="23" t="n"/>
      <c r="AN648" s="23" t="n"/>
      <c r="AO648" s="44">
        <f>A648</f>
        <v/>
      </c>
      <c r="AP648" s="44">
        <f>D648</f>
        <v/>
      </c>
    </row>
    <row r="649" hidden="1" ht="15.75" customHeight="1" s="93">
      <c r="A649" s="23" t="inlineStr">
        <is>
          <t>5.1621.0700057.1</t>
        </is>
      </c>
      <c r="B649" s="23" t="inlineStr">
        <is>
          <t>700057.1</t>
        </is>
      </c>
      <c r="C649" s="29">
        <f>IFERROR(LOWER(SUBSTITUTE(SUBSTITUTE(SUBSTITUTE(SUBSTITUTE(D649," ","-"),"/","-"),".",""),",","")),"")</f>
        <v/>
      </c>
      <c r="D649" s="23" t="inlineStr">
        <is>
          <t>MLT 630 B301.C200.P200 (PORTICOS 1 1/16" UNF)</t>
        </is>
      </c>
      <c r="E649" s="23" t="n"/>
      <c r="F649" s="23" t="inlineStr">
        <is>
          <t>SOHIPREN</t>
        </is>
      </c>
      <c r="G649" s="23" t="n"/>
      <c r="H649" s="23" t="inlineStr">
        <is>
          <t>draft</t>
        </is>
      </c>
      <c r="I649" s="23" t="inlineStr">
        <is>
          <t>J COLOMBO</t>
        </is>
      </c>
      <c r="J649" s="23" t="n"/>
      <c r="K649" s="23" t="n"/>
      <c r="L649" s="23" t="n"/>
      <c r="M649" s="31" t="n"/>
      <c r="N649" s="31" t="n"/>
      <c r="O649" s="31" t="n"/>
      <c r="P649" s="31" t="n"/>
      <c r="Q649" s="31" t="n"/>
      <c r="R649" s="34">
        <f>IFERROR(IF(AND(O649&gt;0,P649&gt;0,Q649&gt;0),(O649*P649*Q649)/6000,""),"")</f>
        <v/>
      </c>
      <c r="S649" s="34">
        <f>IFERROR(IF(AND(N649&gt;0,R649&gt;0),MAX(N649,R649),IF(N649&gt;0,N649,IF(R649&gt;0,R649,""))),"")</f>
        <v/>
      </c>
      <c r="T649" s="36" t="n"/>
      <c r="U649" s="38" t="inlineStr">
        <is>
          <t>FALTA</t>
        </is>
      </c>
      <c r="V649" s="36" t="n">
        <v>2740</v>
      </c>
      <c r="W649" s="39" t="n">
        <v>0.3</v>
      </c>
      <c r="X649" s="41">
        <f>IFERROR(V649+T649,"")</f>
        <v/>
      </c>
      <c r="Y649" s="41">
        <f>IFERROR(IF(W649&lt;1,X649/(1-W649),""),"")</f>
        <v/>
      </c>
      <c r="Z649" s="43">
        <f>'01_CONFIG_GLOBAL'!$C$14</f>
        <v/>
      </c>
      <c r="AA649" s="41">
        <f>IFERROR(Y649*Z649,"")</f>
        <v/>
      </c>
      <c r="AB649" s="41">
        <f>IFERROR(IF(Z649&lt;1,Y649/(1-Z649),""),"")</f>
        <v/>
      </c>
      <c r="AC649" s="23" t="n"/>
      <c r="AD649" s="36" t="n"/>
      <c r="AE649" s="23" t="n"/>
      <c r="AF649" s="36" t="n"/>
      <c r="AG649" s="23" t="n"/>
      <c r="AH649" s="36" t="n"/>
      <c r="AI649" s="41">
        <f>IFERROR(AVERAGE(AD649,AF649,AH649),"")</f>
        <v/>
      </c>
      <c r="AJ649" s="29">
        <f>IFERROR(IF(AI649="","sem dados",IF(AB649&lt;AI649*0.95,"abaixo",IF(AB649&gt;AI649*1.05,"acima","em linha"))),"")</f>
        <v/>
      </c>
      <c r="AK649" s="23" t="inlineStr">
        <is>
          <t>não</t>
        </is>
      </c>
      <c r="AL649" s="23" t="n"/>
      <c r="AM649" s="23" t="n"/>
      <c r="AN649" s="23" t="n"/>
      <c r="AO649" s="44">
        <f>A649</f>
        <v/>
      </c>
      <c r="AP649" s="44">
        <f>D649</f>
        <v/>
      </c>
    </row>
    <row r="650" hidden="1" ht="15.75" customHeight="1" s="93">
      <c r="A650" s="23" t="inlineStr">
        <is>
          <t>6.0001.L060348.1</t>
        </is>
      </c>
      <c r="B650" s="23" t="inlineStr">
        <is>
          <t>L060348</t>
        </is>
      </c>
      <c r="C650" s="29">
        <f>IFERROR(LOWER(SUBSTITUTE(SUBSTITUTE(SUBSTITUTE(SUBSTITUTE(D650," ","-"),"/","-"),".",""),",","")),"")</f>
        <v/>
      </c>
      <c r="D650" s="23" t="inlineStr">
        <is>
          <t>VCD 108 CFM/24V</t>
        </is>
      </c>
      <c r="E650" s="23" t="n"/>
      <c r="F650" s="23" t="inlineStr">
        <is>
          <t>SOHIPREN</t>
        </is>
      </c>
      <c r="G650" s="23" t="n"/>
      <c r="H650" s="23" t="inlineStr">
        <is>
          <t>draft</t>
        </is>
      </c>
      <c r="I650" s="23" t="inlineStr">
        <is>
          <t>J COLOMBO</t>
        </is>
      </c>
      <c r="J650" s="23" t="n"/>
      <c r="K650" s="23" t="inlineStr">
        <is>
          <t>COMANDO</t>
        </is>
      </c>
      <c r="L650" s="23" t="n"/>
      <c r="M650" s="31" t="n"/>
      <c r="N650" s="31" t="n"/>
      <c r="O650" s="31" t="n"/>
      <c r="P650" s="31" t="n"/>
      <c r="Q650" s="31" t="n"/>
      <c r="R650" s="34">
        <f>IFERROR(IF(AND(O650&gt;0,P650&gt;0,Q650&gt;0),(O650*P650*Q650)/6000,""),"")</f>
        <v/>
      </c>
      <c r="S650" s="34">
        <f>IFERROR(IF(AND(N650&gt;0,R650&gt;0),MAX(N650,R650),IF(N650&gt;0,N650,IF(R650&gt;0,R650,""))),"")</f>
        <v/>
      </c>
      <c r="T650" s="36" t="n"/>
      <c r="U650" s="38" t="inlineStr">
        <is>
          <t>FALTA</t>
        </is>
      </c>
      <c r="V650" s="36" t="n">
        <v>633</v>
      </c>
      <c r="W650" s="39" t="n">
        <v>0.3</v>
      </c>
      <c r="X650" s="41">
        <f>IFERROR(V650+T650,"")</f>
        <v/>
      </c>
      <c r="Y650" s="41">
        <f>IFERROR(IF(W650&lt;1,X650/(1-W650),""),"")</f>
        <v/>
      </c>
      <c r="Z650" s="43">
        <f>'01_CONFIG_GLOBAL'!$C$14</f>
        <v/>
      </c>
      <c r="AA650" s="41">
        <f>IFERROR(Y650*Z650,"")</f>
        <v/>
      </c>
      <c r="AB650" s="41">
        <f>IFERROR(IF(Z650&lt;1,Y650/(1-Z650),""),"")</f>
        <v/>
      </c>
      <c r="AC650" s="23" t="n"/>
      <c r="AD650" s="36" t="n"/>
      <c r="AE650" s="23" t="n"/>
      <c r="AF650" s="36" t="n"/>
      <c r="AG650" s="23" t="n"/>
      <c r="AH650" s="36" t="n"/>
      <c r="AI650" s="41">
        <f>IFERROR(AVERAGE(AD650,AF650,AH650),"")</f>
        <v/>
      </c>
      <c r="AJ650" s="29">
        <f>IFERROR(IF(AI650="","sem dados",IF(AB650&lt;AI650*0.95,"abaixo",IF(AB650&gt;AI650*1.05,"acima","em linha"))),"")</f>
        <v/>
      </c>
      <c r="AK650" s="23" t="inlineStr">
        <is>
          <t>não</t>
        </is>
      </c>
      <c r="AL650" s="23" t="n"/>
      <c r="AM650" s="23" t="n"/>
      <c r="AN650" s="23" t="n"/>
      <c r="AO650" s="44">
        <f>A650</f>
        <v/>
      </c>
      <c r="AP650" s="44">
        <f>D650</f>
        <v/>
      </c>
    </row>
    <row r="651" hidden="1" ht="15.75" customHeight="1" s="93">
      <c r="A651" s="23" t="inlineStr">
        <is>
          <t>6.0002.L060493.1</t>
        </is>
      </c>
      <c r="B651" s="23" t="inlineStr">
        <is>
          <t>L060493</t>
        </is>
      </c>
      <c r="C651" s="29">
        <f>IFERROR(LOWER(SUBSTITUTE(SUBSTITUTE(SUBSTITUTE(SUBSTITUTE(D651," ","-"),"/","-"),".",""),",","")),"")</f>
        <v/>
      </c>
      <c r="D651" s="23" t="inlineStr">
        <is>
          <t>VCD 208 CFM/CFM - 24V</t>
        </is>
      </c>
      <c r="E651" s="23" t="n"/>
      <c r="F651" s="23" t="inlineStr">
        <is>
          <t>SOHIPREN</t>
        </is>
      </c>
      <c r="G651" s="23" t="n"/>
      <c r="H651" s="23" t="inlineStr">
        <is>
          <t>draft</t>
        </is>
      </c>
      <c r="I651" s="23" t="inlineStr">
        <is>
          <t>J COLOMBO</t>
        </is>
      </c>
      <c r="J651" s="23" t="n"/>
      <c r="K651" s="23" t="inlineStr">
        <is>
          <t>COMANDO</t>
        </is>
      </c>
      <c r="L651" s="23" t="n"/>
      <c r="M651" s="31" t="n"/>
      <c r="N651" s="31" t="n"/>
      <c r="O651" s="31" t="n"/>
      <c r="P651" s="31" t="n"/>
      <c r="Q651" s="31" t="n"/>
      <c r="R651" s="34">
        <f>IFERROR(IF(AND(O651&gt;0,P651&gt;0,Q651&gt;0),(O651*P651*Q651)/6000,""),"")</f>
        <v/>
      </c>
      <c r="S651" s="34">
        <f>IFERROR(IF(AND(N651&gt;0,R651&gt;0),MAX(N651,R651),IF(N651&gt;0,N651,IF(R651&gt;0,R651,""))),"")</f>
        <v/>
      </c>
      <c r="T651" s="36" t="n"/>
      <c r="U651" s="38" t="inlineStr">
        <is>
          <t>FALTA</t>
        </is>
      </c>
      <c r="V651" s="36" t="n">
        <v>1512</v>
      </c>
      <c r="W651" s="39" t="n">
        <v>0.3</v>
      </c>
      <c r="X651" s="41">
        <f>IFERROR(V651+T651,"")</f>
        <v/>
      </c>
      <c r="Y651" s="41">
        <f>IFERROR(IF(W651&lt;1,X651/(1-W651),""),"")</f>
        <v/>
      </c>
      <c r="Z651" s="43">
        <f>'01_CONFIG_GLOBAL'!$C$14</f>
        <v/>
      </c>
      <c r="AA651" s="41">
        <f>IFERROR(Y651*Z651,"")</f>
        <v/>
      </c>
      <c r="AB651" s="41">
        <f>IFERROR(IF(Z651&lt;1,Y651/(1-Z651),""),"")</f>
        <v/>
      </c>
      <c r="AC651" s="23" t="n"/>
      <c r="AD651" s="36" t="n"/>
      <c r="AE651" s="23" t="n"/>
      <c r="AF651" s="36" t="n"/>
      <c r="AG651" s="23" t="n"/>
      <c r="AH651" s="36" t="n"/>
      <c r="AI651" s="41">
        <f>IFERROR(AVERAGE(AD651,AF651,AH651),"")</f>
        <v/>
      </c>
      <c r="AJ651" s="29">
        <f>IFERROR(IF(AI651="","sem dados",IF(AB651&lt;AI651*0.95,"abaixo",IF(AB651&gt;AI651*1.05,"acima","em linha"))),"")</f>
        <v/>
      </c>
      <c r="AK651" s="23" t="inlineStr">
        <is>
          <t>não</t>
        </is>
      </c>
      <c r="AL651" s="23" t="n"/>
      <c r="AM651" s="23" t="n"/>
      <c r="AN651" s="23" t="n"/>
      <c r="AO651" s="44">
        <f>A651</f>
        <v/>
      </c>
      <c r="AP651" s="44">
        <f>D651</f>
        <v/>
      </c>
    </row>
    <row r="652" hidden="1" ht="15.75" customHeight="1" s="93">
      <c r="A652" s="23" t="inlineStr">
        <is>
          <t>6.0002.L060485.1</t>
        </is>
      </c>
      <c r="B652" s="23" t="inlineStr">
        <is>
          <t>L060485</t>
        </is>
      </c>
      <c r="C652" s="29">
        <f>IFERROR(LOWER(SUBSTITUTE(SUBSTITUTE(SUBSTITUTE(SUBSTITUTE(D652," ","-"),"/","-"),".",""),",","")),"")</f>
        <v/>
      </c>
      <c r="D652" s="23" t="inlineStr">
        <is>
          <t>VCD 208 CAM/CAM - 24 V</t>
        </is>
      </c>
      <c r="E652" s="23" t="n"/>
      <c r="F652" s="23" t="inlineStr">
        <is>
          <t>SOHIPREN</t>
        </is>
      </c>
      <c r="G652" s="23" t="n"/>
      <c r="H652" s="23" t="inlineStr">
        <is>
          <t>draft</t>
        </is>
      </c>
      <c r="I652" s="23" t="inlineStr">
        <is>
          <t>J COLOMBO</t>
        </is>
      </c>
      <c r="J652" s="23" t="n"/>
      <c r="K652" s="23" t="inlineStr">
        <is>
          <t>COMANDO</t>
        </is>
      </c>
      <c r="L652" s="23" t="n"/>
      <c r="M652" s="31" t="n"/>
      <c r="N652" s="31" t="n"/>
      <c r="O652" s="31" t="n"/>
      <c r="P652" s="31" t="n"/>
      <c r="Q652" s="31" t="n"/>
      <c r="R652" s="34">
        <f>IFERROR(IF(AND(O652&gt;0,P652&gt;0,Q652&gt;0),(O652*P652*Q652)/6000,""),"")</f>
        <v/>
      </c>
      <c r="S652" s="34">
        <f>IFERROR(IF(AND(N652&gt;0,R652&gt;0),MAX(N652,R652),IF(N652&gt;0,N652,IF(R652&gt;0,R652,""))),"")</f>
        <v/>
      </c>
      <c r="T652" s="36" t="n"/>
      <c r="U652" s="38" t="inlineStr">
        <is>
          <t>FALTA</t>
        </is>
      </c>
      <c r="V652" s="36" t="n">
        <v>2236</v>
      </c>
      <c r="W652" s="39" t="n">
        <v>0.3</v>
      </c>
      <c r="X652" s="41">
        <f>IFERROR(V652+T652,"")</f>
        <v/>
      </c>
      <c r="Y652" s="41">
        <f>IFERROR(IF(W652&lt;1,X652/(1-W652),""),"")</f>
        <v/>
      </c>
      <c r="Z652" s="43">
        <f>'01_CONFIG_GLOBAL'!$C$14</f>
        <v/>
      </c>
      <c r="AA652" s="41">
        <f>IFERROR(Y652*Z652,"")</f>
        <v/>
      </c>
      <c r="AB652" s="41">
        <f>IFERROR(IF(Z652&lt;1,Y652/(1-Z652),""),"")</f>
        <v/>
      </c>
      <c r="AC652" s="23" t="n"/>
      <c r="AD652" s="36" t="n"/>
      <c r="AE652" s="23" t="n"/>
      <c r="AF652" s="36" t="n"/>
      <c r="AG652" s="23" t="n"/>
      <c r="AH652" s="36" t="n"/>
      <c r="AI652" s="41">
        <f>IFERROR(AVERAGE(AD652,AF652,AH652),"")</f>
        <v/>
      </c>
      <c r="AJ652" s="29">
        <f>IFERROR(IF(AI652="","sem dados",IF(AB652&lt;AI652*0.95,"abaixo",IF(AB652&gt;AI652*1.05,"acima","em linha"))),"")</f>
        <v/>
      </c>
      <c r="AK652" s="23" t="inlineStr">
        <is>
          <t>não</t>
        </is>
      </c>
      <c r="AL652" s="23" t="n"/>
      <c r="AM652" s="23" t="n"/>
      <c r="AN652" s="23" t="n"/>
      <c r="AO652" s="44">
        <f>A652</f>
        <v/>
      </c>
      <c r="AP652" s="44">
        <f>D652</f>
        <v/>
      </c>
    </row>
    <row r="653" hidden="1" ht="15.75" customHeight="1" s="93">
      <c r="A653" s="23" t="inlineStr">
        <is>
          <t>5.0907.L500002.0</t>
        </is>
      </c>
      <c r="B653" s="23" t="inlineStr">
        <is>
          <t>L500002</t>
        </is>
      </c>
      <c r="C653" s="29">
        <f>IFERROR(LOWER(SUBSTITUTE(SUBSTITUTE(SUBSTITUTE(SUBSTITUTE(D653," ","-"),"/","-"),".",""),",","")),"")</f>
        <v/>
      </c>
      <c r="D653" s="23" t="inlineStr">
        <is>
          <t>BOMBA DUPLA UNIPORT 2000</t>
        </is>
      </c>
      <c r="E653" s="23" t="inlineStr">
        <is>
          <t>Bombas Hidráulicas</t>
        </is>
      </c>
      <c r="F653" s="23" t="inlineStr">
        <is>
          <t>SOHIPREN</t>
        </is>
      </c>
      <c r="G653" s="23" t="n"/>
      <c r="H653" s="23" t="inlineStr">
        <is>
          <t>draft</t>
        </is>
      </c>
      <c r="I653" s="23" t="inlineStr">
        <is>
          <t>JACTO</t>
        </is>
      </c>
      <c r="J653" s="23" t="inlineStr">
        <is>
          <t>PULVERIZADOR</t>
        </is>
      </c>
      <c r="K653" s="23" t="inlineStr">
        <is>
          <t>PRINCIPAL E FREIO</t>
        </is>
      </c>
      <c r="L653" s="23" t="inlineStr">
        <is>
          <t>100101OH - 850701 - 3129920028 - 30112040049</t>
        </is>
      </c>
      <c r="M653" s="31" t="n"/>
      <c r="N653" s="31" t="n"/>
      <c r="O653" s="31" t="n"/>
      <c r="P653" s="31" t="n"/>
      <c r="Q653" s="31" t="n"/>
      <c r="R653" s="34">
        <f>IFERROR(IF(AND(O653&gt;0,P653&gt;0,Q653&gt;0),(O653*P653*Q653)/6000,""),"")</f>
        <v/>
      </c>
      <c r="S653" s="34">
        <f>IFERROR(IF(AND(N653&gt;0,R653&gt;0),MAX(N653,R653),IF(N653&gt;0,N653,IF(R653&gt;0,R653,""))),"")</f>
        <v/>
      </c>
      <c r="T653" s="36" t="n"/>
      <c r="U653" s="38" t="inlineStr">
        <is>
          <t>FALTA</t>
        </is>
      </c>
      <c r="V653" s="36" t="n">
        <v>2161</v>
      </c>
      <c r="W653" s="39" t="n">
        <v>0.3</v>
      </c>
      <c r="X653" s="41">
        <f>IFERROR(V653+T653,"")</f>
        <v/>
      </c>
      <c r="Y653" s="41">
        <f>IFERROR(IF(W653&lt;1,X653/(1-W653),""),"")</f>
        <v/>
      </c>
      <c r="Z653" s="43">
        <f>'01_CONFIG_GLOBAL'!$C$14</f>
        <v/>
      </c>
      <c r="AA653" s="41">
        <f>IFERROR(Y653*Z653,"")</f>
        <v/>
      </c>
      <c r="AB653" s="41">
        <f>IFERROR(IF(Z653&lt;1,Y653/(1-Z653),""),"")</f>
        <v/>
      </c>
      <c r="AC653" s="23" t="n"/>
      <c r="AD653" s="36" t="n"/>
      <c r="AE653" s="23" t="n"/>
      <c r="AF653" s="36" t="n"/>
      <c r="AG653" s="23" t="n"/>
      <c r="AH653" s="36" t="n"/>
      <c r="AI653" s="41">
        <f>IFERROR(AVERAGE(AD653,AF653,AH653),"")</f>
        <v/>
      </c>
      <c r="AJ653" s="29">
        <f>IFERROR(IF(AI653="","sem dados",IF(AB653&lt;AI653*0.95,"abaixo",IF(AB653&gt;AI653*1.05,"acima","em linha"))),"")</f>
        <v/>
      </c>
      <c r="AK653" s="23" t="inlineStr">
        <is>
          <t>não</t>
        </is>
      </c>
      <c r="AL653" s="23" t="n"/>
      <c r="AM653" s="23" t="n"/>
      <c r="AN653" s="23" t="n"/>
      <c r="AO653" s="44">
        <f>A653</f>
        <v/>
      </c>
      <c r="AP653" s="44">
        <f>D653</f>
        <v/>
      </c>
    </row>
    <row r="654" hidden="1" ht="15.75" customHeight="1" s="93">
      <c r="A654" s="23" t="inlineStr">
        <is>
          <t>5.0907.L500006.0</t>
        </is>
      </c>
      <c r="B654" s="23" t="inlineStr">
        <is>
          <t>L500006</t>
        </is>
      </c>
      <c r="C654" s="29">
        <f>IFERROR(LOWER(SUBSTITUTE(SUBSTITUTE(SUBSTITUTE(SUBSTITUTE(D654," ","-"),"/","-"),".",""),",","")),"")</f>
        <v/>
      </c>
      <c r="D654" s="23" t="inlineStr">
        <is>
          <t>BOMBA DUPLA UNIPORT 2500</t>
        </is>
      </c>
      <c r="E654" s="23" t="inlineStr">
        <is>
          <t>Bombas Hidráulicas</t>
        </is>
      </c>
      <c r="F654" s="23" t="inlineStr">
        <is>
          <t>SOHIPREN</t>
        </is>
      </c>
      <c r="G654" s="23" t="n"/>
      <c r="H654" s="23" t="inlineStr">
        <is>
          <t>draft</t>
        </is>
      </c>
      <c r="I654" s="23" t="inlineStr">
        <is>
          <t>JACTO</t>
        </is>
      </c>
      <c r="J654" s="23" t="inlineStr">
        <is>
          <t>PULVERIZADOR</t>
        </is>
      </c>
      <c r="K654" s="23" t="inlineStr">
        <is>
          <t>PRINCIPAL E FREIO</t>
        </is>
      </c>
      <c r="L654" s="23" t="inlineStr">
        <is>
          <t>184097/1195666/7991378a/3129920028/3329112093</t>
        </is>
      </c>
      <c r="M654" s="31" t="n"/>
      <c r="N654" s="31" t="n"/>
      <c r="O654" s="31" t="n"/>
      <c r="P654" s="31" t="n"/>
      <c r="Q654" s="31" t="n"/>
      <c r="R654" s="34">
        <f>IFERROR(IF(AND(O654&gt;0,P654&gt;0,Q654&gt;0),(O654*P654*Q654)/6000,""),"")</f>
        <v/>
      </c>
      <c r="S654" s="34">
        <f>IFERROR(IF(AND(N654&gt;0,R654&gt;0),MAX(N654,R654),IF(N654&gt;0,N654,IF(R654&gt;0,R654,""))),"")</f>
        <v/>
      </c>
      <c r="T654" s="36" t="n"/>
      <c r="U654" s="38" t="inlineStr">
        <is>
          <t>FALTA</t>
        </is>
      </c>
      <c r="V654" s="36" t="n">
        <v>1401.54</v>
      </c>
      <c r="W654" s="39" t="n">
        <v>0.3</v>
      </c>
      <c r="X654" s="41">
        <f>IFERROR(V654+T654,"")</f>
        <v/>
      </c>
      <c r="Y654" s="41">
        <f>IFERROR(IF(W654&lt;1,X654/(1-W654),""),"")</f>
        <v/>
      </c>
      <c r="Z654" s="43">
        <f>'01_CONFIG_GLOBAL'!$C$14</f>
        <v/>
      </c>
      <c r="AA654" s="41">
        <f>IFERROR(Y654*Z654,"")</f>
        <v/>
      </c>
      <c r="AB654" s="41">
        <f>IFERROR(IF(Z654&lt;1,Y654/(1-Z654),""),"")</f>
        <v/>
      </c>
      <c r="AC654" s="23" t="n"/>
      <c r="AD654" s="36" t="n"/>
      <c r="AE654" s="23" t="n"/>
      <c r="AF654" s="36" t="n"/>
      <c r="AG654" s="23" t="n"/>
      <c r="AH654" s="36" t="n"/>
      <c r="AI654" s="41">
        <f>IFERROR(AVERAGE(AD654,AF654,AH654),"")</f>
        <v/>
      </c>
      <c r="AJ654" s="29">
        <f>IFERROR(IF(AI654="","sem dados",IF(AB654&lt;AI654*0.95,"abaixo",IF(AB654&gt;AI654*1.05,"acima","em linha"))),"")</f>
        <v/>
      </c>
      <c r="AK654" s="23" t="inlineStr">
        <is>
          <t>não</t>
        </is>
      </c>
      <c r="AL654" s="23" t="n"/>
      <c r="AM654" s="23" t="n"/>
      <c r="AN654" s="23" t="n"/>
      <c r="AO654" s="44">
        <f>A654</f>
        <v/>
      </c>
      <c r="AP654" s="44">
        <f>D654</f>
        <v/>
      </c>
    </row>
    <row r="655" hidden="1" ht="15.75" customHeight="1" s="93">
      <c r="A655" s="23" t="inlineStr">
        <is>
          <t>5.5203.L013100.0</t>
        </is>
      </c>
      <c r="B655" s="23" t="inlineStr">
        <is>
          <t>L01310</t>
        </is>
      </c>
      <c r="C655" s="29">
        <f>IFERROR(LOWER(SUBSTITUTE(SUBSTITUTE(SUBSTITUTE(SUBSTITUTE(D655," ","-"),"/","-"),".",""),",","")),"")</f>
        <v/>
      </c>
      <c r="D655" s="23" t="inlineStr">
        <is>
          <t>MUD BO 5,5 A2.F4.C43.M106</t>
        </is>
      </c>
      <c r="E655" s="23" t="n"/>
      <c r="F655" s="23" t="inlineStr">
        <is>
          <t>SOHIPREN</t>
        </is>
      </c>
      <c r="G655" s="23" t="n"/>
      <c r="H655" s="23" t="inlineStr">
        <is>
          <t>draft</t>
        </is>
      </c>
      <c r="I655" s="23" t="inlineStr">
        <is>
          <t>JACTO</t>
        </is>
      </c>
      <c r="J655" s="23" t="n"/>
      <c r="K655" s="23" t="n"/>
      <c r="L655" s="23" t="n"/>
      <c r="M655" s="31" t="n"/>
      <c r="N655" s="31" t="n"/>
      <c r="O655" s="31" t="n"/>
      <c r="P655" s="31" t="n"/>
      <c r="Q655" s="31" t="n"/>
      <c r="R655" s="34">
        <f>IFERROR(IF(AND(O655&gt;0,P655&gt;0,Q655&gt;0),(O655*P655*Q655)/6000,""),"")</f>
        <v/>
      </c>
      <c r="S655" s="34">
        <f>IFERROR(IF(AND(N655&gt;0,R655&gt;0),MAX(N655,R655),IF(N655&gt;0,N655,IF(R655&gt;0,R655,""))),"")</f>
        <v/>
      </c>
      <c r="T655" s="36" t="n"/>
      <c r="U655" s="38" t="inlineStr">
        <is>
          <t>FALTA</t>
        </is>
      </c>
      <c r="V655" s="36" t="n">
        <v>778</v>
      </c>
      <c r="W655" s="39" t="n">
        <v>0.3</v>
      </c>
      <c r="X655" s="41">
        <f>IFERROR(V655+T655,"")</f>
        <v/>
      </c>
      <c r="Y655" s="41">
        <f>IFERROR(IF(W655&lt;1,X655/(1-W655),""),"")</f>
        <v/>
      </c>
      <c r="Z655" s="43">
        <f>'01_CONFIG_GLOBAL'!$C$14</f>
        <v/>
      </c>
      <c r="AA655" s="41">
        <f>IFERROR(Y655*Z655,"")</f>
        <v/>
      </c>
      <c r="AB655" s="41">
        <f>IFERROR(IF(Z655&lt;1,Y655/(1-Z655),""),"")</f>
        <v/>
      </c>
      <c r="AC655" s="23" t="n"/>
      <c r="AD655" s="36" t="n"/>
      <c r="AE655" s="23" t="n"/>
      <c r="AF655" s="36" t="n"/>
      <c r="AG655" s="23" t="n"/>
      <c r="AH655" s="36" t="n"/>
      <c r="AI655" s="41">
        <f>IFERROR(AVERAGE(AD655,AF655,AH655),"")</f>
        <v/>
      </c>
      <c r="AJ655" s="29">
        <f>IFERROR(IF(AI655="","sem dados",IF(AB655&lt;AI655*0.95,"abaixo",IF(AB655&gt;AI655*1.05,"acima","em linha"))),"")</f>
        <v/>
      </c>
      <c r="AK655" s="23" t="inlineStr">
        <is>
          <t>não</t>
        </is>
      </c>
      <c r="AL655" s="23" t="n"/>
      <c r="AM655" s="23" t="n"/>
      <c r="AN655" s="23" t="n"/>
      <c r="AO655" s="44">
        <f>A655</f>
        <v/>
      </c>
      <c r="AP655" s="44">
        <f>D655</f>
        <v/>
      </c>
    </row>
    <row r="656" hidden="1" ht="15.75" customHeight="1" s="93">
      <c r="A656" s="23" t="inlineStr">
        <is>
          <t>5.5206.L026263.0</t>
        </is>
      </c>
      <c r="B656" s="23" t="inlineStr">
        <is>
          <t>L026263</t>
        </is>
      </c>
      <c r="C656" s="29">
        <f>IFERROR(LOWER(SUBSTITUTE(SUBSTITUTE(SUBSTITUTE(SUBSTITUTE(D656," ","-"),"/","-"),".",""),",","")),"")</f>
        <v/>
      </c>
      <c r="D656" s="23" t="inlineStr">
        <is>
          <t>MRBO 11 B1.P1.C2.L</t>
        </is>
      </c>
      <c r="E656" s="23" t="n"/>
      <c r="F656" s="23" t="inlineStr">
        <is>
          <t>SOHIPREN</t>
        </is>
      </c>
      <c r="G656" s="23" t="n"/>
      <c r="H656" s="23" t="inlineStr">
        <is>
          <t>draft</t>
        </is>
      </c>
      <c r="I656" s="23" t="inlineStr">
        <is>
          <t>JACTO</t>
        </is>
      </c>
      <c r="J656" s="23" t="inlineStr">
        <is>
          <t>COLHEITADEIRA DE CAFÉ</t>
        </is>
      </c>
      <c r="K656" s="23" t="n"/>
      <c r="L656" s="23" t="inlineStr">
        <is>
          <t>R979016106/1167670</t>
        </is>
      </c>
      <c r="M656" s="31" t="n"/>
      <c r="N656" s="31" t="n"/>
      <c r="O656" s="31" t="n"/>
      <c r="P656" s="31" t="n"/>
      <c r="Q656" s="31" t="n"/>
      <c r="R656" s="34">
        <f>IFERROR(IF(AND(O656&gt;0,P656&gt;0,Q656&gt;0),(O656*P656*Q656)/6000,""),"")</f>
        <v/>
      </c>
      <c r="S656" s="34">
        <f>IFERROR(IF(AND(N656&gt;0,R656&gt;0),MAX(N656,R656),IF(N656&gt;0,N656,IF(R656&gt;0,R656,""))),"")</f>
        <v/>
      </c>
      <c r="T656" s="36" t="n"/>
      <c r="U656" s="38" t="inlineStr">
        <is>
          <t>FALTA</t>
        </is>
      </c>
      <c r="V656" s="36" t="n">
        <v>772.65</v>
      </c>
      <c r="W656" s="39" t="n">
        <v>0.3</v>
      </c>
      <c r="X656" s="41">
        <f>IFERROR(V656+T656,"")</f>
        <v/>
      </c>
      <c r="Y656" s="41">
        <f>IFERROR(IF(W656&lt;1,X656/(1-W656),""),"")</f>
        <v/>
      </c>
      <c r="Z656" s="43">
        <f>'01_CONFIG_GLOBAL'!$C$14</f>
        <v/>
      </c>
      <c r="AA656" s="41">
        <f>IFERROR(Y656*Z656,"")</f>
        <v/>
      </c>
      <c r="AB656" s="41">
        <f>IFERROR(IF(Z656&lt;1,Y656/(1-Z656),""),"")</f>
        <v/>
      </c>
      <c r="AC656" s="23" t="n"/>
      <c r="AD656" s="36" t="n"/>
      <c r="AE656" s="23" t="n"/>
      <c r="AF656" s="36" t="n"/>
      <c r="AG656" s="23" t="n"/>
      <c r="AH656" s="36" t="n"/>
      <c r="AI656" s="41">
        <f>IFERROR(AVERAGE(AD656,AF656,AH656),"")</f>
        <v/>
      </c>
      <c r="AJ656" s="29">
        <f>IFERROR(IF(AI656="","sem dados",IF(AB656&lt;AI656*0.95,"abaixo",IF(AB656&gt;AI656*1.05,"acima","em linha"))),"")</f>
        <v/>
      </c>
      <c r="AK656" s="23" t="inlineStr">
        <is>
          <t>não</t>
        </is>
      </c>
      <c r="AL656" s="23" t="n"/>
      <c r="AM656" s="23" t="n"/>
      <c r="AN656" s="23" t="n"/>
      <c r="AO656" s="44">
        <f>A656</f>
        <v/>
      </c>
      <c r="AP656" s="44">
        <f>D656</f>
        <v/>
      </c>
    </row>
    <row r="657" hidden="1" ht="15.75" customHeight="1" s="93">
      <c r="A657" s="23" t="inlineStr">
        <is>
          <t>5.0203.L026737.0</t>
        </is>
      </c>
      <c r="B657" s="23" t="inlineStr">
        <is>
          <t>L026737</t>
        </is>
      </c>
      <c r="C657" s="29">
        <f>IFERROR(LOWER(SUBSTITUTE(SUBSTITUTE(SUBSTITUTE(SUBSTITUTE(D657," ","-"),"/","-"),".",""),",","")),"")</f>
        <v/>
      </c>
      <c r="D657" s="23" t="inlineStr">
        <is>
          <t>BOMBA HIDRÁULICA - APLICAÇÃO 5,5 C14.C.C1.L</t>
        </is>
      </c>
      <c r="E657" s="23" t="inlineStr">
        <is>
          <t>Bombas Hidráulicas</t>
        </is>
      </c>
      <c r="F657" s="23" t="inlineStr">
        <is>
          <t>SOHIPREN</t>
        </is>
      </c>
      <c r="G657" s="23" t="n"/>
      <c r="H657" s="23" t="inlineStr">
        <is>
          <t>draft</t>
        </is>
      </c>
      <c r="I657" s="23" t="inlineStr">
        <is>
          <t>JACTO</t>
        </is>
      </c>
      <c r="J657" s="23" t="inlineStr">
        <is>
          <t>PULVERIZADOR</t>
        </is>
      </c>
      <c r="K657" s="23" t="inlineStr">
        <is>
          <t>MOVIMENTAÇÃO</t>
        </is>
      </c>
      <c r="L657" s="23" t="inlineStr">
        <is>
          <t>B1001010H2-B50701C-100101CH</t>
        </is>
      </c>
      <c r="M657" s="31" t="n"/>
      <c r="N657" s="31" t="n"/>
      <c r="O657" s="31" t="n"/>
      <c r="P657" s="31" t="n"/>
      <c r="Q657" s="31" t="n"/>
      <c r="R657" s="34">
        <f>IFERROR(IF(AND(O657&gt;0,P657&gt;0,Q657&gt;0),(O657*P657*Q657)/6000,""),"")</f>
        <v/>
      </c>
      <c r="S657" s="34">
        <f>IFERROR(IF(AND(N657&gt;0,R657&gt;0),MAX(N657,R657),IF(N657&gt;0,N657,IF(R657&gt;0,R657,""))),"")</f>
        <v/>
      </c>
      <c r="T657" s="36" t="n"/>
      <c r="U657" s="38" t="inlineStr">
        <is>
          <t>FALTA</t>
        </is>
      </c>
      <c r="V657" s="36" t="n">
        <v>632</v>
      </c>
      <c r="W657" s="39" t="n">
        <v>0.3</v>
      </c>
      <c r="X657" s="41">
        <f>IFERROR(V657+T657,"")</f>
        <v/>
      </c>
      <c r="Y657" s="41">
        <f>IFERROR(IF(W657&lt;1,X657/(1-W657),""),"")</f>
        <v/>
      </c>
      <c r="Z657" s="43">
        <f>'01_CONFIG_GLOBAL'!$C$14</f>
        <v/>
      </c>
      <c r="AA657" s="41">
        <f>IFERROR(Y657*Z657,"")</f>
        <v/>
      </c>
      <c r="AB657" s="41">
        <f>IFERROR(IF(Z657&lt;1,Y657/(1-Z657),""),"")</f>
        <v/>
      </c>
      <c r="AC657" s="23" t="n"/>
      <c r="AD657" s="36" t="n"/>
      <c r="AE657" s="23" t="n"/>
      <c r="AF657" s="36" t="n"/>
      <c r="AG657" s="23" t="n"/>
      <c r="AH657" s="36" t="n"/>
      <c r="AI657" s="41">
        <f>IFERROR(AVERAGE(AD657,AF657,AH657),"")</f>
        <v/>
      </c>
      <c r="AJ657" s="29">
        <f>IFERROR(IF(AI657="","sem dados",IF(AB657&lt;AI657*0.95,"abaixo",IF(AB657&gt;AI657*1.05,"acima","em linha"))),"")</f>
        <v/>
      </c>
      <c r="AK657" s="23" t="inlineStr">
        <is>
          <t>não</t>
        </is>
      </c>
      <c r="AL657" s="23" t="n"/>
      <c r="AM657" s="23" t="n"/>
      <c r="AN657" s="23" t="n"/>
      <c r="AO657" s="44">
        <f>A657</f>
        <v/>
      </c>
      <c r="AP657" s="44">
        <f>D657</f>
        <v/>
      </c>
    </row>
    <row r="658" hidden="1" ht="15.75" customHeight="1" s="93">
      <c r="A658" s="23" t="inlineStr">
        <is>
          <t>5.0209.L026738.0</t>
        </is>
      </c>
      <c r="B658" s="23" t="inlineStr">
        <is>
          <t>L026738</t>
        </is>
      </c>
      <c r="C658" s="29">
        <f>IFERROR(LOWER(SUBSTITUTE(SUBSTITUTE(SUBSTITUTE(SUBSTITUTE(D658," ","-"),"/","-"),".",""),",","")),"")</f>
        <v/>
      </c>
      <c r="D658" s="23" t="inlineStr">
        <is>
          <t>BOMBA HIDRÁULICA - APLICAÇÃO 19 C14.C.C1.L</t>
        </is>
      </c>
      <c r="E658" s="23" t="inlineStr">
        <is>
          <t>Bombas Hidráulicas</t>
        </is>
      </c>
      <c r="F658" s="23" t="inlineStr">
        <is>
          <t>SOHIPREN</t>
        </is>
      </c>
      <c r="G658" s="23" t="n"/>
      <c r="H658" s="23" t="inlineStr">
        <is>
          <t>draft</t>
        </is>
      </c>
      <c r="I658" s="23" t="inlineStr">
        <is>
          <t>JACTO</t>
        </is>
      </c>
      <c r="J658" s="23" t="inlineStr">
        <is>
          <t>PULVERIZADOR</t>
        </is>
      </c>
      <c r="K658" s="23" t="inlineStr">
        <is>
          <t>MOVIMENTAÇÃO</t>
        </is>
      </c>
      <c r="L658" s="23" t="inlineStr">
        <is>
          <t>3329112093</t>
        </is>
      </c>
      <c r="M658" s="31" t="n"/>
      <c r="N658" s="31" t="n"/>
      <c r="O658" s="31" t="n"/>
      <c r="P658" s="31" t="n"/>
      <c r="Q658" s="31" t="n"/>
      <c r="R658" s="34">
        <f>IFERROR(IF(AND(O658&gt;0,P658&gt;0,Q658&gt;0),(O658*P658*Q658)/6000,""),"")</f>
        <v/>
      </c>
      <c r="S658" s="34">
        <f>IFERROR(IF(AND(N658&gt;0,R658&gt;0),MAX(N658,R658),IF(N658&gt;0,N658,IF(R658&gt;0,R658,""))),"")</f>
        <v/>
      </c>
      <c r="T658" s="36" t="n"/>
      <c r="U658" s="38" t="inlineStr">
        <is>
          <t>FALTA</t>
        </is>
      </c>
      <c r="V658" s="36" t="n">
        <v>654.5</v>
      </c>
      <c r="W658" s="39" t="n">
        <v>0.3</v>
      </c>
      <c r="X658" s="41">
        <f>IFERROR(V658+T658,"")</f>
        <v/>
      </c>
      <c r="Y658" s="41">
        <f>IFERROR(IF(W658&lt;1,X658/(1-W658),""),"")</f>
        <v/>
      </c>
      <c r="Z658" s="43">
        <f>'01_CONFIG_GLOBAL'!$C$14</f>
        <v/>
      </c>
      <c r="AA658" s="41">
        <f>IFERROR(Y658*Z658,"")</f>
        <v/>
      </c>
      <c r="AB658" s="41">
        <f>IFERROR(IF(Z658&lt;1,Y658/(1-Z658),""),"")</f>
        <v/>
      </c>
      <c r="AC658" s="23" t="n"/>
      <c r="AD658" s="36" t="n"/>
      <c r="AE658" s="23" t="n"/>
      <c r="AF658" s="36" t="n"/>
      <c r="AG658" s="23" t="n"/>
      <c r="AH658" s="36" t="n"/>
      <c r="AI658" s="41">
        <f>IFERROR(AVERAGE(AD658,AF658,AH658),"")</f>
        <v/>
      </c>
      <c r="AJ658" s="29">
        <f>IFERROR(IF(AI658="","sem dados",IF(AB658&lt;AI658*0.95,"abaixo",IF(AB658&gt;AI658*1.05,"acima","em linha"))),"")</f>
        <v/>
      </c>
      <c r="AK658" s="23" t="inlineStr">
        <is>
          <t>não</t>
        </is>
      </c>
      <c r="AL658" s="23" t="n"/>
      <c r="AM658" s="23" t="n"/>
      <c r="AN658" s="23" t="n"/>
      <c r="AO658" s="44">
        <f>A658</f>
        <v/>
      </c>
      <c r="AP658" s="44">
        <f>D658</f>
        <v/>
      </c>
    </row>
    <row r="659" hidden="1" ht="15.75" customHeight="1" s="93">
      <c r="A659" s="23" t="inlineStr">
        <is>
          <t>5.0220.L025210.0</t>
        </is>
      </c>
      <c r="B659" s="23" t="inlineStr">
        <is>
          <t>L025210</t>
        </is>
      </c>
      <c r="C659" s="29">
        <f>IFERROR(LOWER(SUBSTITUTE(SUBSTITUTE(SUBSTITUTE(SUBSTITUTE(D659," ","-"),"/","-"),".",""),",","")),"")</f>
        <v/>
      </c>
      <c r="D659" s="23" t="inlineStr">
        <is>
          <t>BOD 8 E18.C.A/8.A.L</t>
        </is>
      </c>
      <c r="E659" s="23" t="inlineStr">
        <is>
          <t>Bombas Hidráulicas</t>
        </is>
      </c>
      <c r="F659" s="23" t="inlineStr">
        <is>
          <t>SOHIPREN</t>
        </is>
      </c>
      <c r="G659" s="23" t="n"/>
      <c r="H659" s="23" t="inlineStr">
        <is>
          <t>draft</t>
        </is>
      </c>
      <c r="I659" s="23" t="inlineStr">
        <is>
          <t>JACTO</t>
        </is>
      </c>
      <c r="J659" s="23" t="inlineStr">
        <is>
          <t>PULVERIZADOR</t>
        </is>
      </c>
      <c r="K659" s="23" t="inlineStr">
        <is>
          <t>PRINICPAL</t>
        </is>
      </c>
      <c r="L659" s="23" t="inlineStr">
        <is>
          <t>1165726-886705-F000510411-12102008046</t>
        </is>
      </c>
      <c r="M659" s="31" t="n"/>
      <c r="N659" s="31" t="n"/>
      <c r="O659" s="31" t="n"/>
      <c r="P659" s="31" t="n"/>
      <c r="Q659" s="31" t="n"/>
      <c r="R659" s="34">
        <f>IFERROR(IF(AND(O659&gt;0,P659&gt;0,Q659&gt;0),(O659*P659*Q659)/6000,""),"")</f>
        <v/>
      </c>
      <c r="S659" s="34">
        <f>IFERROR(IF(AND(N659&gt;0,R659&gt;0),MAX(N659,R659),IF(N659&gt;0,N659,IF(R659&gt;0,R659,""))),"")</f>
        <v/>
      </c>
      <c r="T659" s="36" t="n"/>
      <c r="U659" s="38" t="inlineStr">
        <is>
          <t>FALTA</t>
        </is>
      </c>
      <c r="V659" s="36" t="n">
        <v>1034</v>
      </c>
      <c r="W659" s="39" t="n">
        <v>0.3</v>
      </c>
      <c r="X659" s="41">
        <f>IFERROR(V659+T659,"")</f>
        <v/>
      </c>
      <c r="Y659" s="41">
        <f>IFERROR(IF(W659&lt;1,X659/(1-W659),""),"")</f>
        <v/>
      </c>
      <c r="Z659" s="43">
        <f>'01_CONFIG_GLOBAL'!$C$14</f>
        <v/>
      </c>
      <c r="AA659" s="41">
        <f>IFERROR(Y659*Z659,"")</f>
        <v/>
      </c>
      <c r="AB659" s="41">
        <f>IFERROR(IF(Z659&lt;1,Y659/(1-Z659),""),"")</f>
        <v/>
      </c>
      <c r="AC659" s="23" t="n"/>
      <c r="AD659" s="36" t="n"/>
      <c r="AE659" s="23" t="n"/>
      <c r="AF659" s="36" t="n"/>
      <c r="AG659" s="23" t="n"/>
      <c r="AH659" s="36" t="n"/>
      <c r="AI659" s="41">
        <f>IFERROR(AVERAGE(AD659,AF659,AH659),"")</f>
        <v/>
      </c>
      <c r="AJ659" s="29">
        <f>IFERROR(IF(AI659="","sem dados",IF(AB659&lt;AI659*0.95,"abaixo",IF(AB659&gt;AI659*1.05,"acima","em linha"))),"")</f>
        <v/>
      </c>
      <c r="AK659" s="23" t="inlineStr">
        <is>
          <t>não</t>
        </is>
      </c>
      <c r="AL659" s="23" t="n"/>
      <c r="AM659" s="23" t="n"/>
      <c r="AN659" s="23" t="n"/>
      <c r="AO659" s="44">
        <f>A659</f>
        <v/>
      </c>
      <c r="AP659" s="44">
        <f>D659</f>
        <v/>
      </c>
    </row>
    <row r="660" hidden="1" ht="15.75" customHeight="1" s="93">
      <c r="A660" s="23" t="inlineStr">
        <is>
          <t>5.0235.0547420.0</t>
        </is>
      </c>
      <c r="B660" s="23" t="inlineStr">
        <is>
          <t>547420</t>
        </is>
      </c>
      <c r="C660" s="29">
        <f>IFERROR(LOWER(SUBSTITUTE(SUBSTITUTE(SUBSTITUTE(SUBSTITUTE(D660," ","-"),"/","-"),".",""),",","")),"")</f>
        <v/>
      </c>
      <c r="D660" s="23" t="inlineStr">
        <is>
          <t>KIT.BO.11.A.A2</t>
        </is>
      </c>
      <c r="E660" s="23" t="n"/>
      <c r="F660" s="23" t="inlineStr">
        <is>
          <t>SOHIPREN</t>
        </is>
      </c>
      <c r="G660" s="23" t="n"/>
      <c r="H660" s="23" t="inlineStr">
        <is>
          <t>draft</t>
        </is>
      </c>
      <c r="I660" s="23" t="inlineStr">
        <is>
          <t>JACTO</t>
        </is>
      </c>
      <c r="J660" s="23" t="inlineStr">
        <is>
          <t>PUVERIZADOR DE BARRAS</t>
        </is>
      </c>
      <c r="K660" s="23" t="inlineStr">
        <is>
          <t>ACIONAMENTO DAS BARRAS</t>
        </is>
      </c>
      <c r="L660" s="23" t="n"/>
      <c r="M660" s="31" t="n"/>
      <c r="N660" s="31" t="n"/>
      <c r="O660" s="31" t="n"/>
      <c r="P660" s="31" t="n"/>
      <c r="Q660" s="31" t="n"/>
      <c r="R660" s="34">
        <f>IFERROR(IF(AND(O660&gt;0,P660&gt;0,Q660&gt;0),(O660*P660*Q660)/6000,""),"")</f>
        <v/>
      </c>
      <c r="S660" s="34">
        <f>IFERROR(IF(AND(N660&gt;0,R660&gt;0),MAX(N660,R660),IF(N660&gt;0,N660,IF(R660&gt;0,R660,""))),"")</f>
        <v/>
      </c>
      <c r="T660" s="36" t="n"/>
      <c r="U660" s="38" t="inlineStr">
        <is>
          <t>FALTA</t>
        </is>
      </c>
      <c r="V660" s="36" t="n">
        <v>440</v>
      </c>
      <c r="W660" s="39" t="n">
        <v>0.3</v>
      </c>
      <c r="X660" s="41">
        <f>IFERROR(V660+T660,"")</f>
        <v/>
      </c>
      <c r="Y660" s="41">
        <f>IFERROR(IF(W660&lt;1,X660/(1-W660),""),"")</f>
        <v/>
      </c>
      <c r="Z660" s="43">
        <f>'01_CONFIG_GLOBAL'!$C$14</f>
        <v/>
      </c>
      <c r="AA660" s="41">
        <f>IFERROR(Y660*Z660,"")</f>
        <v/>
      </c>
      <c r="AB660" s="41">
        <f>IFERROR(IF(Z660&lt;1,Y660/(1-Z660),""),"")</f>
        <v/>
      </c>
      <c r="AC660" s="23" t="n"/>
      <c r="AD660" s="36" t="n"/>
      <c r="AE660" s="23" t="n"/>
      <c r="AF660" s="36" t="n"/>
      <c r="AG660" s="23" t="n"/>
      <c r="AH660" s="36" t="n"/>
      <c r="AI660" s="41">
        <f>IFERROR(AVERAGE(AD660,AF660,AH660),"")</f>
        <v/>
      </c>
      <c r="AJ660" s="29">
        <f>IFERROR(IF(AI660="","sem dados",IF(AB660&lt;AI660*0.95,"abaixo",IF(AB660&gt;AI660*1.05,"acima","em linha"))),"")</f>
        <v/>
      </c>
      <c r="AK660" s="23" t="inlineStr">
        <is>
          <t>não</t>
        </is>
      </c>
      <c r="AL660" s="23" t="n"/>
      <c r="AM660" s="23" t="n"/>
      <c r="AN660" s="23" t="n"/>
      <c r="AO660" s="44">
        <f>A660</f>
        <v/>
      </c>
      <c r="AP660" s="44">
        <f>D660</f>
        <v/>
      </c>
    </row>
    <row r="661" hidden="1" ht="15.75" customHeight="1" s="93">
      <c r="A661" s="23" t="inlineStr">
        <is>
          <t>5.0206.0543214.0</t>
        </is>
      </c>
      <c r="B661" s="23" t="inlineStr">
        <is>
          <t>543214</t>
        </is>
      </c>
      <c r="C661" s="29">
        <f>IFERROR(LOWER(SUBSTITUTE(SUBSTITUTE(SUBSTITUTE(SUBSTITUTE(D661," ","-"),"/","-"),".",""),",","")),"")</f>
        <v/>
      </c>
      <c r="D661" s="23" t="inlineStr">
        <is>
          <t>BOD 11 B1.P1.A4.L</t>
        </is>
      </c>
      <c r="E661" s="23" t="inlineStr">
        <is>
          <t>Bombas Hidráulicas</t>
        </is>
      </c>
      <c r="F661" s="23" t="inlineStr">
        <is>
          <t>SOHIPREN</t>
        </is>
      </c>
      <c r="G661" s="23" t="n"/>
      <c r="H661" s="23" t="inlineStr">
        <is>
          <t>draft</t>
        </is>
      </c>
      <c r="I661" s="23" t="inlineStr">
        <is>
          <t>JACTO</t>
        </is>
      </c>
      <c r="J661" s="23" t="inlineStr">
        <is>
          <t>COLHEDEIRA DE CAFE</t>
        </is>
      </c>
      <c r="K661" s="23" t="inlineStr">
        <is>
          <t>PRINCIPAL</t>
        </is>
      </c>
      <c r="L661" s="23" t="inlineStr">
        <is>
          <t>9510080512</t>
        </is>
      </c>
      <c r="M661" s="31" t="n"/>
      <c r="N661" s="31" t="n"/>
      <c r="O661" s="31" t="n"/>
      <c r="P661" s="31" t="n"/>
      <c r="Q661" s="31" t="n"/>
      <c r="R661" s="34">
        <f>IFERROR(IF(AND(O661&gt;0,P661&gt;0,Q661&gt;0),(O661*P661*Q661)/6000,""),"")</f>
        <v/>
      </c>
      <c r="S661" s="34">
        <f>IFERROR(IF(AND(N661&gt;0,R661&gt;0),MAX(N661,R661),IF(N661&gt;0,N661,IF(R661&gt;0,R661,""))),"")</f>
        <v/>
      </c>
      <c r="T661" s="36" t="n"/>
      <c r="U661" s="38" t="inlineStr">
        <is>
          <t>FALTA</t>
        </is>
      </c>
      <c r="V661" s="36" t="n">
        <v>915</v>
      </c>
      <c r="W661" s="39" t="n">
        <v>0.3</v>
      </c>
      <c r="X661" s="41">
        <f>IFERROR(V661+T661,"")</f>
        <v/>
      </c>
      <c r="Y661" s="41">
        <f>IFERROR(IF(W661&lt;1,X661/(1-W661),""),"")</f>
        <v/>
      </c>
      <c r="Z661" s="43">
        <f>'01_CONFIG_GLOBAL'!$C$14</f>
        <v/>
      </c>
      <c r="AA661" s="41">
        <f>IFERROR(Y661*Z661,"")</f>
        <v/>
      </c>
      <c r="AB661" s="41">
        <f>IFERROR(IF(Z661&lt;1,Y661/(1-Z661),""),"")</f>
        <v/>
      </c>
      <c r="AC661" s="23" t="n"/>
      <c r="AD661" s="36" t="n"/>
      <c r="AE661" s="23" t="n"/>
      <c r="AF661" s="36" t="n"/>
      <c r="AG661" s="23" t="n"/>
      <c r="AH661" s="36" t="n"/>
      <c r="AI661" s="41">
        <f>IFERROR(AVERAGE(AD661,AF661,AH661),"")</f>
        <v/>
      </c>
      <c r="AJ661" s="29">
        <f>IFERROR(IF(AI661="","sem dados",IF(AB661&lt;AI661*0.95,"abaixo",IF(AB661&gt;AI661*1.05,"acima","em linha"))),"")</f>
        <v/>
      </c>
      <c r="AK661" s="23" t="inlineStr">
        <is>
          <t>não</t>
        </is>
      </c>
      <c r="AL661" s="23" t="n"/>
      <c r="AM661" s="23" t="n"/>
      <c r="AN661" s="23" t="n"/>
      <c r="AO661" s="44">
        <f>A661</f>
        <v/>
      </c>
      <c r="AP661" s="44">
        <f>D661</f>
        <v/>
      </c>
    </row>
    <row r="662" hidden="1" ht="15.75" customHeight="1" s="93">
      <c r="A662" s="23" t="inlineStr">
        <is>
          <t>5.0205.0542420.0</t>
        </is>
      </c>
      <c r="B662" s="23" t="inlineStr">
        <is>
          <t>542420</t>
        </is>
      </c>
      <c r="C662" s="29">
        <f>IFERROR(LOWER(SUBSTITUTE(SUBSTITUTE(SUBSTITUTE(SUBSTITUTE(D662," ","-"),"/","-"),".",""),",","")),"")</f>
        <v/>
      </c>
      <c r="D662" s="23" t="inlineStr">
        <is>
          <t>BOD 8 B1.P1.A.L</t>
        </is>
      </c>
      <c r="E662" s="23" t="inlineStr">
        <is>
          <t>Bombas Hidráulicas</t>
        </is>
      </c>
      <c r="F662" s="23" t="inlineStr">
        <is>
          <t>SOHIPREN</t>
        </is>
      </c>
      <c r="G662" s="23" t="n"/>
      <c r="H662" s="23" t="inlineStr">
        <is>
          <t>draft</t>
        </is>
      </c>
      <c r="I662" s="23" t="inlineStr">
        <is>
          <t>JACTO</t>
        </is>
      </c>
      <c r="J662" s="23" t="inlineStr">
        <is>
          <t>PULVERIZADOR</t>
        </is>
      </c>
      <c r="K662" s="23" t="inlineStr">
        <is>
          <t>MANOBRA DOS BRAÇOS</t>
        </is>
      </c>
      <c r="L662" s="23" t="inlineStr">
        <is>
          <t>31075-211318-0510425009-9510080412-R979107023</t>
        </is>
      </c>
      <c r="M662" s="31" t="n"/>
      <c r="N662" s="31" t="n"/>
      <c r="O662" s="31" t="n"/>
      <c r="P662" s="31" t="n"/>
      <c r="Q662" s="31" t="n"/>
      <c r="R662" s="34">
        <f>IFERROR(IF(AND(O662&gt;0,P662&gt;0,Q662&gt;0),(O662*P662*Q662)/6000,""),"")</f>
        <v/>
      </c>
      <c r="S662" s="34">
        <f>IFERROR(IF(AND(N662&gt;0,R662&gt;0),MAX(N662,R662),IF(N662&gt;0,N662,IF(R662&gt;0,R662,""))),"")</f>
        <v/>
      </c>
      <c r="T662" s="36" t="n"/>
      <c r="U662" s="38" t="inlineStr">
        <is>
          <t>FALTA</t>
        </is>
      </c>
      <c r="V662" s="36" t="n">
        <v>605</v>
      </c>
      <c r="W662" s="39" t="n">
        <v>0.3</v>
      </c>
      <c r="X662" s="41">
        <f>IFERROR(V662+T662,"")</f>
        <v/>
      </c>
      <c r="Y662" s="41">
        <f>IFERROR(IF(W662&lt;1,X662/(1-W662),""),"")</f>
        <v/>
      </c>
      <c r="Z662" s="43">
        <f>'01_CONFIG_GLOBAL'!$C$14</f>
        <v/>
      </c>
      <c r="AA662" s="41">
        <f>IFERROR(Y662*Z662,"")</f>
        <v/>
      </c>
      <c r="AB662" s="41">
        <f>IFERROR(IF(Z662&lt;1,Y662/(1-Z662),""),"")</f>
        <v/>
      </c>
      <c r="AC662" s="23" t="n"/>
      <c r="AD662" s="36" t="n"/>
      <c r="AE662" s="23" t="n"/>
      <c r="AF662" s="36" t="n"/>
      <c r="AG662" s="23" t="n"/>
      <c r="AH662" s="36" t="n"/>
      <c r="AI662" s="41">
        <f>IFERROR(AVERAGE(AD662,AF662,AH662),"")</f>
        <v/>
      </c>
      <c r="AJ662" s="29">
        <f>IFERROR(IF(AI662="","sem dados",IF(AB662&lt;AI662*0.95,"abaixo",IF(AB662&gt;AI662*1.05,"acima","em linha"))),"")</f>
        <v/>
      </c>
      <c r="AK662" s="23" t="inlineStr">
        <is>
          <t>não</t>
        </is>
      </c>
      <c r="AL662" s="23" t="n"/>
      <c r="AM662" s="23" t="n"/>
      <c r="AN662" s="23" t="n"/>
      <c r="AO662" s="44">
        <f>A662</f>
        <v/>
      </c>
      <c r="AP662" s="44">
        <f>D662</f>
        <v/>
      </c>
    </row>
    <row r="663" hidden="1" ht="15.75" customHeight="1" s="93">
      <c r="A663" s="23" t="inlineStr">
        <is>
          <t>5.0521.0506263.0</t>
        </is>
      </c>
      <c r="B663" s="23" t="inlineStr">
        <is>
          <t>506263</t>
        </is>
      </c>
      <c r="C663" s="29">
        <f>IFERROR(LOWER(SUBSTITUTE(SUBSTITUTE(SUBSTITUTE(SUBSTITUTE(D663," ","-"),"/","-"),".",""),",","")),"")</f>
        <v/>
      </c>
      <c r="D663" s="23" t="inlineStr">
        <is>
          <t>MC1 60 201.2.37.69/22,5 C3.L</t>
        </is>
      </c>
      <c r="E663" s="23" t="n"/>
      <c r="F663" s="23" t="inlineStr">
        <is>
          <t>SOHIPREN</t>
        </is>
      </c>
      <c r="G663" s="23" t="n"/>
      <c r="H663" s="23" t="inlineStr">
        <is>
          <t>draft</t>
        </is>
      </c>
      <c r="I663" s="23" t="inlineStr">
        <is>
          <t>JCB</t>
        </is>
      </c>
      <c r="J663" s="23" t="inlineStr">
        <is>
          <t>RETROESCAVADEIRA</t>
        </is>
      </c>
      <c r="K663" s="23" t="inlineStr">
        <is>
          <t>PRINCIPAL+DIREÇÃO</t>
        </is>
      </c>
      <c r="L663" s="23" t="inlineStr">
        <is>
          <t>20925337/33102032007</t>
        </is>
      </c>
      <c r="M663" s="31" t="n"/>
      <c r="N663" s="31" t="n"/>
      <c r="O663" s="31" t="n"/>
      <c r="P663" s="31" t="n"/>
      <c r="Q663" s="31" t="n"/>
      <c r="R663" s="34">
        <f>IFERROR(IF(AND(O663&gt;0,P663&gt;0,Q663&gt;0),(O663*P663*Q663)/6000,""),"")</f>
        <v/>
      </c>
      <c r="S663" s="34">
        <f>IFERROR(IF(AND(N663&gt;0,R663&gt;0),MAX(N663,R663),IF(N663&gt;0,N663,IF(R663&gt;0,R663,""))),"")</f>
        <v/>
      </c>
      <c r="T663" s="36" t="n"/>
      <c r="U663" s="38" t="inlineStr">
        <is>
          <t>FALTA</t>
        </is>
      </c>
      <c r="V663" s="36" t="n">
        <v>2420</v>
      </c>
      <c r="W663" s="39" t="n">
        <v>0.3</v>
      </c>
      <c r="X663" s="41">
        <f>IFERROR(V663+T663,"")</f>
        <v/>
      </c>
      <c r="Y663" s="41">
        <f>IFERROR(IF(W663&lt;1,X663/(1-W663),""),"")</f>
        <v/>
      </c>
      <c r="Z663" s="43">
        <f>'01_CONFIG_GLOBAL'!$C$14</f>
        <v/>
      </c>
      <c r="AA663" s="41">
        <f>IFERROR(Y663*Z663,"")</f>
        <v/>
      </c>
      <c r="AB663" s="41">
        <f>IFERROR(IF(Z663&lt;1,Y663/(1-Z663),""),"")</f>
        <v/>
      </c>
      <c r="AC663" s="23" t="n"/>
      <c r="AD663" s="36" t="n"/>
      <c r="AE663" s="23" t="n"/>
      <c r="AF663" s="36" t="n"/>
      <c r="AG663" s="23" t="n"/>
      <c r="AH663" s="36" t="n"/>
      <c r="AI663" s="41">
        <f>IFERROR(AVERAGE(AD663,AF663,AH663),"")</f>
        <v/>
      </c>
      <c r="AJ663" s="29">
        <f>IFERROR(IF(AI663="","sem dados",IF(AB663&lt;AI663*0.95,"abaixo",IF(AB663&gt;AI663*1.05,"acima","em linha"))),"")</f>
        <v/>
      </c>
      <c r="AK663" s="23" t="inlineStr">
        <is>
          <t>não</t>
        </is>
      </c>
      <c r="AL663" s="23" t="n"/>
      <c r="AM663" s="23" t="n"/>
      <c r="AN663" s="23" t="n"/>
      <c r="AO663" s="44">
        <f>A663</f>
        <v/>
      </c>
      <c r="AP663" s="44">
        <f>D663</f>
        <v/>
      </c>
    </row>
    <row r="664" hidden="1" ht="15.75" customHeight="1" s="93">
      <c r="A664" s="23" t="inlineStr">
        <is>
          <t>5.0520.L025946.0</t>
        </is>
      </c>
      <c r="B664" s="23" t="inlineStr">
        <is>
          <t>L025946</t>
        </is>
      </c>
      <c r="C664" s="29">
        <f>IFERROR(LOWER(SUBSTITUTE(SUBSTITUTE(SUBSTITUTE(SUBSTITUTE(D664," ","-"),"/","-"),".",""),",","")),"")</f>
        <v/>
      </c>
      <c r="D664" s="23" t="inlineStr">
        <is>
          <t>MC1 40 201.1.21.74/40.74/40.74.61</t>
        </is>
      </c>
      <c r="E664" s="23" t="n"/>
      <c r="F664" s="23" t="inlineStr">
        <is>
          <t>SOHIPREN</t>
        </is>
      </c>
      <c r="G664" s="23" t="n"/>
      <c r="H664" s="23" t="inlineStr">
        <is>
          <t>draft</t>
        </is>
      </c>
      <c r="I664" s="23" t="inlineStr">
        <is>
          <t>JLS MÁQUINAS</t>
        </is>
      </c>
      <c r="J664" s="23" t="inlineStr">
        <is>
          <t>COLHEDORA DE MAMONA</t>
        </is>
      </c>
      <c r="K664" s="23" t="inlineStr">
        <is>
          <t>SISTEMA HIDRÁULICO DO IMPLEMENTO</t>
        </is>
      </c>
      <c r="L664" s="23" t="inlineStr">
        <is>
          <t>01.00.979-0080</t>
        </is>
      </c>
      <c r="M664" s="31" t="n"/>
      <c r="N664" s="31" t="n"/>
      <c r="O664" s="31" t="n"/>
      <c r="P664" s="31" t="n"/>
      <c r="Q664" s="31" t="n"/>
      <c r="R664" s="34">
        <f>IFERROR(IF(AND(O664&gt;0,P664&gt;0,Q664&gt;0),(O664*P664*Q664)/6000,""),"")</f>
        <v/>
      </c>
      <c r="S664" s="34">
        <f>IFERROR(IF(AND(N664&gt;0,R664&gt;0),MAX(N664,R664),IF(N664&gt;0,N664,IF(R664&gt;0,R664,""))),"")</f>
        <v/>
      </c>
      <c r="T664" s="36" t="n"/>
      <c r="U664" s="38" t="inlineStr">
        <is>
          <t>FALTA</t>
        </is>
      </c>
      <c r="V664" s="36" t="n">
        <v>1748.93</v>
      </c>
      <c r="W664" s="39" t="n">
        <v>0.3</v>
      </c>
      <c r="X664" s="41">
        <f>IFERROR(V664+T664,"")</f>
        <v/>
      </c>
      <c r="Y664" s="41">
        <f>IFERROR(IF(W664&lt;1,X664/(1-W664),""),"")</f>
        <v/>
      </c>
      <c r="Z664" s="43">
        <f>'01_CONFIG_GLOBAL'!$C$14</f>
        <v/>
      </c>
      <c r="AA664" s="41">
        <f>IFERROR(Y664*Z664,"")</f>
        <v/>
      </c>
      <c r="AB664" s="41">
        <f>IFERROR(IF(Z664&lt;1,Y664/(1-Z664),""),"")</f>
        <v/>
      </c>
      <c r="AC664" s="23" t="n"/>
      <c r="AD664" s="36" t="n"/>
      <c r="AE664" s="23" t="n"/>
      <c r="AF664" s="36" t="n"/>
      <c r="AG664" s="23" t="n"/>
      <c r="AH664" s="36" t="n"/>
      <c r="AI664" s="41">
        <f>IFERROR(AVERAGE(AD664,AF664,AH664),"")</f>
        <v/>
      </c>
      <c r="AJ664" s="29">
        <f>IFERROR(IF(AI664="","sem dados",IF(AB664&lt;AI664*0.95,"abaixo",IF(AB664&gt;AI664*1.05,"acima","em linha"))),"")</f>
        <v/>
      </c>
      <c r="AK664" s="23" t="inlineStr">
        <is>
          <t>não</t>
        </is>
      </c>
      <c r="AL664" s="23" t="n"/>
      <c r="AM664" s="23" t="n"/>
      <c r="AN664" s="23" t="n"/>
      <c r="AO664" s="44">
        <f>A664</f>
        <v/>
      </c>
      <c r="AP664" s="44">
        <f>D664</f>
        <v/>
      </c>
    </row>
    <row r="665" hidden="1" ht="15.75" customHeight="1" s="93">
      <c r="A665" s="23" t="inlineStr">
        <is>
          <t>5.1621.0670041.1</t>
        </is>
      </c>
      <c r="B665" s="23" t="inlineStr">
        <is>
          <t>670041</t>
        </is>
      </c>
      <c r="C665" s="29">
        <f>IFERROR(LOWER(SUBSTITUTE(SUBSTITUTE(SUBSTITUTE(SUBSTITUTE(D665," ","-"),"/","-"),".",""),",","")),"")</f>
        <v/>
      </c>
      <c r="D665" s="23" t="inlineStr">
        <is>
          <t>MOTOR MLSW JOHN DEERE CB 11480579</t>
        </is>
      </c>
      <c r="E665" s="23" t="n"/>
      <c r="F665" s="23" t="inlineStr">
        <is>
          <t>SOHIPREN</t>
        </is>
      </c>
      <c r="G665" s="23" t="n"/>
      <c r="H665" s="23" t="inlineStr">
        <is>
          <t>draft</t>
        </is>
      </c>
      <c r="I665" s="23" t="inlineStr">
        <is>
          <t>JOHN DEERE</t>
        </is>
      </c>
      <c r="J665" s="23" t="n"/>
      <c r="K665" s="23" t="n"/>
      <c r="L665" s="23" t="n"/>
      <c r="M665" s="31" t="n"/>
      <c r="N665" s="31" t="n"/>
      <c r="O665" s="31" t="n"/>
      <c r="P665" s="31" t="n"/>
      <c r="Q665" s="31" t="n"/>
      <c r="R665" s="34">
        <f>IFERROR(IF(AND(O665&gt;0,P665&gt;0,Q665&gt;0),(O665*P665*Q665)/6000,""),"")</f>
        <v/>
      </c>
      <c r="S665" s="34">
        <f>IFERROR(IF(AND(N665&gt;0,R665&gt;0),MAX(N665,R665),IF(N665&gt;0,N665,IF(R665&gt;0,R665,""))),"")</f>
        <v/>
      </c>
      <c r="T665" s="36" t="n"/>
      <c r="U665" s="38" t="inlineStr">
        <is>
          <t>FALTA</t>
        </is>
      </c>
      <c r="V665" s="36" t="n">
        <v>1810</v>
      </c>
      <c r="W665" s="39" t="n">
        <v>0.3</v>
      </c>
      <c r="X665" s="41">
        <f>IFERROR(V665+T665,"")</f>
        <v/>
      </c>
      <c r="Y665" s="41">
        <f>IFERROR(IF(W665&lt;1,X665/(1-W665),""),"")</f>
        <v/>
      </c>
      <c r="Z665" s="43">
        <f>'01_CONFIG_GLOBAL'!$C$14</f>
        <v/>
      </c>
      <c r="AA665" s="41">
        <f>IFERROR(Y665*Z665,"")</f>
        <v/>
      </c>
      <c r="AB665" s="41">
        <f>IFERROR(IF(Z665&lt;1,Y665/(1-Z665),""),"")</f>
        <v/>
      </c>
      <c r="AC665" s="23" t="n"/>
      <c r="AD665" s="36" t="n"/>
      <c r="AE665" s="23" t="n"/>
      <c r="AF665" s="36" t="n"/>
      <c r="AG665" s="23" t="n"/>
      <c r="AH665" s="36" t="n"/>
      <c r="AI665" s="41">
        <f>IFERROR(AVERAGE(AD665,AF665,AH665),"")</f>
        <v/>
      </c>
      <c r="AJ665" s="29">
        <f>IFERROR(IF(AI665="","sem dados",IF(AB665&lt;AI665*0.95,"abaixo",IF(AB665&gt;AI665*1.05,"acima","em linha"))),"")</f>
        <v/>
      </c>
      <c r="AK665" s="23" t="inlineStr">
        <is>
          <t>não</t>
        </is>
      </c>
      <c r="AL665" s="23" t="n"/>
      <c r="AM665" s="23" t="n"/>
      <c r="AN665" s="23" t="n"/>
      <c r="AO665" s="44">
        <f>A665</f>
        <v/>
      </c>
      <c r="AP665" s="44">
        <f>D665</f>
        <v/>
      </c>
    </row>
    <row r="666" ht="15.75" customHeight="1" s="93">
      <c r="A666" s="23" t="inlineStr">
        <is>
          <t>5.1621.0670036.1</t>
        </is>
      </c>
      <c r="B666" s="23" t="inlineStr">
        <is>
          <t>670036</t>
        </is>
      </c>
      <c r="C666" s="29">
        <f>IFERROR(LOWER(SUBSTITUTE(SUBSTITUTE(SUBSTITUTE(SUBSTITUTE(D666," ","-"),"/","-"),".",""),",","")),"")</f>
        <v/>
      </c>
      <c r="D666" s="50" t="inlineStr">
        <is>
          <t>Motor Hidráulico MLSW 395 - John Deere CB11480557 | Colhedora de Cana</t>
        </is>
      </c>
      <c r="E666" s="50" t="inlineStr">
        <is>
          <t>MOTOR</t>
        </is>
      </c>
      <c r="F666" s="23" t="inlineStr">
        <is>
          <t>SOHIPREN</t>
        </is>
      </c>
      <c r="G666" s="23" t="n"/>
      <c r="H666" s="23" t="inlineStr">
        <is>
          <t>active</t>
        </is>
      </c>
      <c r="I666" s="23" t="inlineStr">
        <is>
          <t>JOHN DEERE</t>
        </is>
      </c>
      <c r="J666" s="23" t="inlineStr">
        <is>
          <t>COLHEDEIRA DE CANA</t>
        </is>
      </c>
      <c r="K666" s="23" t="inlineStr">
        <is>
          <t>Acionamento Elevador</t>
        </is>
      </c>
      <c r="L666" s="23" t="inlineStr">
        <is>
          <t>CB11480557</t>
        </is>
      </c>
      <c r="M666" s="31" t="n"/>
      <c r="N666" s="31" t="n">
        <v>6.2</v>
      </c>
      <c r="O666" s="31" t="n">
        <v>30</v>
      </c>
      <c r="P666" s="31" t="n">
        <v>12.5</v>
      </c>
      <c r="Q666" s="31" t="n">
        <v>12.5</v>
      </c>
      <c r="R666" s="34">
        <f>IFERROR(IF(AND(O666&gt;0,P666&gt;0,Q666&gt;0),(O666*P666*Q666)/6000,""),"")</f>
        <v/>
      </c>
      <c r="S666" s="34">
        <f>IFERROR(IF(AND(N666&gt;0,R666&gt;0),MAX(N666,R666),IF(N666&gt;0,N666,IF(R666&gt;0,R666,""))),"")</f>
        <v/>
      </c>
      <c r="T666" s="36" t="n">
        <v>100</v>
      </c>
      <c r="U666" s="23" t="inlineStr">
        <is>
          <t>fornecedor</t>
        </is>
      </c>
      <c r="V666" s="36" t="n">
        <v>1519.38</v>
      </c>
      <c r="W666" s="39" t="n">
        <v>0.2</v>
      </c>
      <c r="X666" s="41">
        <f>IFERROR(V666+T666,"")</f>
        <v/>
      </c>
      <c r="Y666" s="41">
        <f>IFERROR(IF(W666&lt;1,X666/(1-W666),""),"")</f>
        <v/>
      </c>
      <c r="Z666" s="43">
        <f>'01_CONFIG_GLOBAL'!$C$14</f>
        <v/>
      </c>
      <c r="AA666" s="41">
        <f>IFERROR(Y666*Z666,"")</f>
        <v/>
      </c>
      <c r="AB666" s="41">
        <f>IFERROR(IF(Z666&lt;1,Y666/(1-Z666),""),"")</f>
        <v/>
      </c>
      <c r="AC666" s="23" t="n"/>
      <c r="AD666" s="36" t="n"/>
      <c r="AE666" s="23" t="n"/>
      <c r="AF666" s="36" t="n"/>
      <c r="AG666" s="23" t="n"/>
      <c r="AH666" s="36" t="n"/>
      <c r="AI666" s="41">
        <f>IFERROR(AVERAGE(AD666,AF666,AH666),"")</f>
        <v/>
      </c>
      <c r="AJ666" s="29">
        <f>IFERROR(IF(AI666="","sem dados",IF(AB666&lt;AI666*0.95,"abaixo",IF(AB666&gt;AI666*1.05,"acima","em linha"))),"")</f>
        <v/>
      </c>
      <c r="AK666" s="23" t="inlineStr">
        <is>
          <t>sim</t>
        </is>
      </c>
      <c r="AL666" s="23" t="n"/>
      <c r="AM666" s="23" t="n"/>
      <c r="AN666" s="23" t="n"/>
      <c r="AO666" s="44">
        <f>A666</f>
        <v/>
      </c>
      <c r="AP666" s="44">
        <f>D666</f>
        <v/>
      </c>
      <c r="AQ666" s="28" t="inlineStr">
        <is>
          <t>SEM IMAGEM</t>
        </is>
      </c>
    </row>
    <row r="667" ht="15.75" customHeight="1" s="93">
      <c r="A667" s="23" t="inlineStr">
        <is>
          <t>5.1621.0670037.1</t>
        </is>
      </c>
      <c r="B667" s="23" t="inlineStr">
        <is>
          <t>670037</t>
        </is>
      </c>
      <c r="C667" s="29">
        <f>IFERROR(LOWER(SUBSTITUTE(SUBSTITUTE(SUBSTITUTE(SUBSTITUTE(D667," ","-"),"/","-"),".",""),",","")),"")</f>
        <v/>
      </c>
      <c r="D667" s="50" t="inlineStr">
        <is>
          <t>Motor Hidráulico MLSW 80 - John Deere CB11480555 | Colhedora de Cana</t>
        </is>
      </c>
      <c r="E667" s="50" t="inlineStr">
        <is>
          <t>MOTOR</t>
        </is>
      </c>
      <c r="F667" s="23" t="inlineStr">
        <is>
          <t>SOHIPREN</t>
        </is>
      </c>
      <c r="G667" s="23" t="n"/>
      <c r="H667" s="23" t="inlineStr">
        <is>
          <t>active</t>
        </is>
      </c>
      <c r="I667" s="23" t="inlineStr">
        <is>
          <t>JOHN DEERE</t>
        </is>
      </c>
      <c r="J667" s="23" t="inlineStr">
        <is>
          <t>COLHEDEIRA DE CANA</t>
        </is>
      </c>
      <c r="K667" s="23" t="n"/>
      <c r="L667" s="23" t="inlineStr">
        <is>
          <t>CB11480555</t>
        </is>
      </c>
      <c r="M667" s="31" t="n"/>
      <c r="N667" s="31" t="n">
        <v>6.2</v>
      </c>
      <c r="O667" s="31" t="n">
        <v>30</v>
      </c>
      <c r="P667" s="31" t="n">
        <v>12.5</v>
      </c>
      <c r="Q667" s="31" t="n">
        <v>12.5</v>
      </c>
      <c r="R667" s="34">
        <f>IFERROR(IF(AND(O667&gt;0,P667&gt;0,Q667&gt;0),(O667*P667*Q667)/6000,""),"")</f>
        <v/>
      </c>
      <c r="S667" s="34">
        <f>IFERROR(IF(AND(N667&gt;0,R667&gt;0),MAX(N667,R667),IF(N667&gt;0,N667,IF(R667&gt;0,R667,""))),"")</f>
        <v/>
      </c>
      <c r="T667" s="36" t="n">
        <v>100</v>
      </c>
      <c r="U667" s="23" t="inlineStr">
        <is>
          <t>fornecedor</t>
        </is>
      </c>
      <c r="V667" s="36" t="n">
        <v>1287.5</v>
      </c>
      <c r="W667" s="39" t="n">
        <v>0.2</v>
      </c>
      <c r="X667" s="41">
        <f>IFERROR(V667+T667,"")</f>
        <v/>
      </c>
      <c r="Y667" s="41">
        <f>IFERROR(IF(W667&lt;1,X667/(1-W667),""),"")</f>
        <v/>
      </c>
      <c r="Z667" s="43">
        <f>'01_CONFIG_GLOBAL'!$C$14</f>
        <v/>
      </c>
      <c r="AA667" s="41">
        <f>IFERROR(Y667*Z667,"")</f>
        <v/>
      </c>
      <c r="AB667" s="41">
        <f>IFERROR(IF(Z667&lt;1,Y667/(1-Z667),""),"")</f>
        <v/>
      </c>
      <c r="AC667" s="23" t="n"/>
      <c r="AD667" s="36" t="n"/>
      <c r="AE667" s="23" t="n"/>
      <c r="AF667" s="36" t="n"/>
      <c r="AG667" s="23" t="n"/>
      <c r="AH667" s="36" t="n"/>
      <c r="AI667" s="41">
        <f>IFERROR(AVERAGE(AD667,AF667,AH667),"")</f>
        <v/>
      </c>
      <c r="AJ667" s="29">
        <f>IFERROR(IF(AI667="","sem dados",IF(AB667&lt;AI667*0.95,"abaixo",IF(AB667&gt;AI667*1.05,"acima","em linha"))),"")</f>
        <v/>
      </c>
      <c r="AK667" s="23" t="inlineStr">
        <is>
          <t>sim</t>
        </is>
      </c>
      <c r="AL667" s="23" t="n"/>
      <c r="AM667" s="23" t="n"/>
      <c r="AN667" s="23" t="n"/>
      <c r="AO667" s="44">
        <f>A667</f>
        <v/>
      </c>
      <c r="AP667" s="44">
        <f>D667</f>
        <v/>
      </c>
      <c r="AQ667" s="28" t="inlineStr">
        <is>
          <t>SEM IMAGEM</t>
        </is>
      </c>
    </row>
    <row r="668" ht="15.75" customHeight="1" s="93">
      <c r="A668" s="23" t="inlineStr">
        <is>
          <t>5.1621.0670038.1</t>
        </is>
      </c>
      <c r="B668" s="23" t="inlineStr">
        <is>
          <t>670038</t>
        </is>
      </c>
      <c r="C668" s="29">
        <f>IFERROR(LOWER(SUBSTITUTE(SUBSTITUTE(SUBSTITUTE(SUBSTITUTE(D668," ","-"),"/","-"),".",""),",","")),"")</f>
        <v/>
      </c>
      <c r="D668" s="50" t="inlineStr">
        <is>
          <t>Motor Hidráulico MLSW 305 - John Deere CB11480558 | Colhedora de Cana</t>
        </is>
      </c>
      <c r="E668" s="50" t="inlineStr">
        <is>
          <t>MOTOR</t>
        </is>
      </c>
      <c r="F668" s="23" t="inlineStr">
        <is>
          <t>SOHIPREN</t>
        </is>
      </c>
      <c r="G668" s="23" t="n"/>
      <c r="H668" s="23" t="inlineStr">
        <is>
          <t>active</t>
        </is>
      </c>
      <c r="I668" s="23" t="inlineStr">
        <is>
          <t>JOHN DEERE</t>
        </is>
      </c>
      <c r="J668" s="23" t="inlineStr">
        <is>
          <t>COLHEDEIRA DE CANA</t>
        </is>
      </c>
      <c r="K668" s="23" t="n"/>
      <c r="L668" s="23" t="inlineStr">
        <is>
          <t>CB11480558</t>
        </is>
      </c>
      <c r="M668" s="31" t="n"/>
      <c r="N668" s="31" t="n">
        <v>6.2</v>
      </c>
      <c r="O668" s="31" t="n">
        <v>30</v>
      </c>
      <c r="P668" s="31" t="n">
        <v>12.5</v>
      </c>
      <c r="Q668" s="31" t="n">
        <v>12.5</v>
      </c>
      <c r="R668" s="34">
        <f>IFERROR(IF(AND(O668&gt;0,P668&gt;0,Q668&gt;0),(O668*P668*Q668)/6000,""),"")</f>
        <v/>
      </c>
      <c r="S668" s="34">
        <f>IFERROR(IF(AND(N668&gt;0,R668&gt;0),MAX(N668,R668),IF(N668&gt;0,N668,IF(R668&gt;0,R668,""))),"")</f>
        <v/>
      </c>
      <c r="T668" s="36" t="n">
        <v>100</v>
      </c>
      <c r="U668" s="23" t="inlineStr">
        <is>
          <t>fornecedor</t>
        </is>
      </c>
      <c r="V668" s="36" t="n">
        <v>1465.15</v>
      </c>
      <c r="W668" s="39" t="n">
        <v>0.2</v>
      </c>
      <c r="X668" s="41">
        <f>IFERROR(V668+T668,"")</f>
        <v/>
      </c>
      <c r="Y668" s="41">
        <f>IFERROR(IF(W668&lt;1,X668/(1-W668),""),"")</f>
        <v/>
      </c>
      <c r="Z668" s="43">
        <f>'01_CONFIG_GLOBAL'!$C$14</f>
        <v/>
      </c>
      <c r="AA668" s="41">
        <f>IFERROR(Y668*Z668,"")</f>
        <v/>
      </c>
      <c r="AB668" s="41">
        <f>IFERROR(IF(Z668&lt;1,Y668/(1-Z668),""),"")</f>
        <v/>
      </c>
      <c r="AC668" s="23" t="n"/>
      <c r="AD668" s="36" t="n"/>
      <c r="AE668" s="23" t="n"/>
      <c r="AF668" s="36" t="n"/>
      <c r="AG668" s="23" t="n"/>
      <c r="AH668" s="36" t="n"/>
      <c r="AI668" s="41">
        <f>IFERROR(AVERAGE(AD668,AF668,AH668),"")</f>
        <v/>
      </c>
      <c r="AJ668" s="29">
        <f>IFERROR(IF(AI668="","sem dados",IF(AB668&lt;AI668*0.95,"abaixo",IF(AB668&gt;AI668*1.05,"acima","em linha"))),"")</f>
        <v/>
      </c>
      <c r="AK668" s="23" t="inlineStr">
        <is>
          <t>sim</t>
        </is>
      </c>
      <c r="AL668" s="23" t="n"/>
      <c r="AM668" s="23" t="n"/>
      <c r="AN668" s="23" t="n"/>
      <c r="AO668" s="44">
        <f>A668</f>
        <v/>
      </c>
      <c r="AP668" s="44">
        <f>D668</f>
        <v/>
      </c>
      <c r="AQ668" s="28" t="inlineStr">
        <is>
          <t>SEM IMAGEM</t>
        </is>
      </c>
    </row>
    <row r="669" ht="15.75" customHeight="1" s="93">
      <c r="A669" s="23" t="inlineStr">
        <is>
          <t>5.1621.0670039.1</t>
        </is>
      </c>
      <c r="B669" s="23" t="inlineStr">
        <is>
          <t>670039</t>
        </is>
      </c>
      <c r="C669" s="29">
        <f>IFERROR(LOWER(SUBSTITUTE(SUBSTITUTE(SUBSTITUTE(SUBSTITUTE(D669," ","-"),"/","-"),".",""),",","")),"")</f>
        <v/>
      </c>
      <c r="D669" s="50" t="inlineStr">
        <is>
          <t>Motor Hidráulico MLSW 395 - John Deere CB11480559 | Colhedora de Cana</t>
        </is>
      </c>
      <c r="E669" s="50" t="inlineStr">
        <is>
          <t>MOTOR</t>
        </is>
      </c>
      <c r="F669" s="23" t="inlineStr">
        <is>
          <t>SOHIPREN</t>
        </is>
      </c>
      <c r="G669" s="23" t="n"/>
      <c r="H669" s="23" t="inlineStr">
        <is>
          <t>active</t>
        </is>
      </c>
      <c r="I669" s="23" t="inlineStr">
        <is>
          <t>JOHN DEERE</t>
        </is>
      </c>
      <c r="J669" s="23" t="n"/>
      <c r="K669" s="23" t="n"/>
      <c r="L669" s="23" t="inlineStr">
        <is>
          <t>CB11480559</t>
        </is>
      </c>
      <c r="M669" s="31" t="n"/>
      <c r="N669" s="31" t="n">
        <v>6.2</v>
      </c>
      <c r="O669" s="31" t="n">
        <v>30</v>
      </c>
      <c r="P669" s="31" t="n">
        <v>12.5</v>
      </c>
      <c r="Q669" s="31" t="n">
        <v>12.5</v>
      </c>
      <c r="R669" s="34">
        <f>IFERROR(IF(AND(O669&gt;0,P669&gt;0,Q669&gt;0),(O669*P669*Q669)/6000,""),"")</f>
        <v/>
      </c>
      <c r="S669" s="34">
        <f>IFERROR(IF(AND(N669&gt;0,R669&gt;0),MAX(N669,R669),IF(N669&gt;0,N669,IF(R669&gt;0,R669,""))),"")</f>
        <v/>
      </c>
      <c r="T669" s="36" t="n">
        <v>100</v>
      </c>
      <c r="U669" s="23" t="inlineStr">
        <is>
          <t>fornecedor</t>
        </is>
      </c>
      <c r="V669" s="36" t="n">
        <v>1470.5</v>
      </c>
      <c r="W669" s="39" t="n">
        <v>0.2</v>
      </c>
      <c r="X669" s="41">
        <f>IFERROR(V669+T669,"")</f>
        <v/>
      </c>
      <c r="Y669" s="41">
        <f>IFERROR(IF(W669&lt;1,X669/(1-W669),""),"")</f>
        <v/>
      </c>
      <c r="Z669" s="43">
        <f>'01_CONFIG_GLOBAL'!$C$14</f>
        <v/>
      </c>
      <c r="AA669" s="41">
        <f>IFERROR(Y669*Z669,"")</f>
        <v/>
      </c>
      <c r="AB669" s="41">
        <f>IFERROR(IF(Z669&lt;1,Y669/(1-Z669),""),"")</f>
        <v/>
      </c>
      <c r="AC669" s="23" t="n"/>
      <c r="AD669" s="36" t="n"/>
      <c r="AE669" s="23" t="n"/>
      <c r="AF669" s="36" t="n"/>
      <c r="AG669" s="23" t="n"/>
      <c r="AH669" s="36" t="n"/>
      <c r="AI669" s="41">
        <f>IFERROR(AVERAGE(AD669,AF669,AH669),"")</f>
        <v/>
      </c>
      <c r="AJ669" s="29">
        <f>IFERROR(IF(AI669="","sem dados",IF(AB669&lt;AI669*0.95,"abaixo",IF(AB669&gt;AI669*1.05,"acima","em linha"))),"")</f>
        <v/>
      </c>
      <c r="AK669" s="23" t="inlineStr">
        <is>
          <t>sim</t>
        </is>
      </c>
      <c r="AL669" s="23" t="n"/>
      <c r="AM669" s="23" t="n"/>
      <c r="AN669" s="23" t="n"/>
      <c r="AO669" s="44">
        <f>A669</f>
        <v/>
      </c>
      <c r="AP669" s="44">
        <f>D669</f>
        <v/>
      </c>
      <c r="AQ669" s="28" t="inlineStr">
        <is>
          <t>SEM IMAGEM</t>
        </is>
      </c>
    </row>
    <row r="670" ht="15.75" customHeight="1" s="93">
      <c r="A670" s="23" t="inlineStr">
        <is>
          <t>5.1621.0670040.1</t>
        </is>
      </c>
      <c r="B670" s="23" t="inlineStr">
        <is>
          <t>670040</t>
        </is>
      </c>
      <c r="C670" s="29">
        <f>IFERROR(LOWER(SUBSTITUTE(SUBSTITUTE(SUBSTITUTE(SUBSTITUTE(D670," ","-"),"/","-"),".",""),",","")),"")</f>
        <v/>
      </c>
      <c r="D670" s="50" t="inlineStr">
        <is>
          <t>Motor Hidráulico MLSW 495 - John Deere CB11480560 | Colhedora de Cana</t>
        </is>
      </c>
      <c r="E670" s="50" t="inlineStr">
        <is>
          <t>MOTOR</t>
        </is>
      </c>
      <c r="F670" s="23" t="inlineStr">
        <is>
          <t>SOHIPREN</t>
        </is>
      </c>
      <c r="G670" s="23" t="n"/>
      <c r="H670" s="23" t="inlineStr">
        <is>
          <t>active</t>
        </is>
      </c>
      <c r="I670" s="23" t="inlineStr">
        <is>
          <t>JOHN DEERE</t>
        </is>
      </c>
      <c r="J670" s="23" t="n"/>
      <c r="K670" s="23" t="n"/>
      <c r="L670" s="23" t="inlineStr">
        <is>
          <t>CB11480560</t>
        </is>
      </c>
      <c r="M670" s="31" t="n"/>
      <c r="N670" s="31" t="n">
        <v>6.2</v>
      </c>
      <c r="O670" s="31" t="n">
        <v>30</v>
      </c>
      <c r="P670" s="31" t="n">
        <v>12.5</v>
      </c>
      <c r="Q670" s="31" t="n">
        <v>12.5</v>
      </c>
      <c r="R670" s="34">
        <f>IFERROR(IF(AND(O670&gt;0,P670&gt;0,Q670&gt;0),(O670*P670*Q670)/6000,""),"")</f>
        <v/>
      </c>
      <c r="S670" s="34">
        <f>IFERROR(IF(AND(N670&gt;0,R670&gt;0),MAX(N670,R670),IF(N670&gt;0,N670,IF(R670&gt;0,R670,""))),"")</f>
        <v/>
      </c>
      <c r="T670" s="36" t="n">
        <v>100</v>
      </c>
      <c r="U670" s="23" t="inlineStr">
        <is>
          <t>fornecedor</t>
        </is>
      </c>
      <c r="V670" s="36" t="n">
        <v>1538.5</v>
      </c>
      <c r="W670" s="39" t="n">
        <v>0.2</v>
      </c>
      <c r="X670" s="41">
        <f>IFERROR(V670+T670,"")</f>
        <v/>
      </c>
      <c r="Y670" s="41">
        <f>IFERROR(IF(W670&lt;1,X670/(1-W670),""),"")</f>
        <v/>
      </c>
      <c r="Z670" s="43">
        <f>'01_CONFIG_GLOBAL'!$C$14</f>
        <v/>
      </c>
      <c r="AA670" s="41">
        <f>IFERROR(Y670*Z670,"")</f>
        <v/>
      </c>
      <c r="AB670" s="41">
        <f>IFERROR(IF(Z670&lt;1,Y670/(1-Z670),""),"")</f>
        <v/>
      </c>
      <c r="AC670" s="23" t="n"/>
      <c r="AD670" s="36" t="n"/>
      <c r="AE670" s="23" t="n"/>
      <c r="AF670" s="36" t="n"/>
      <c r="AG670" s="23" t="n"/>
      <c r="AH670" s="36" t="n"/>
      <c r="AI670" s="41">
        <f>IFERROR(AVERAGE(AD670,AF670,AH670),"")</f>
        <v/>
      </c>
      <c r="AJ670" s="29">
        <f>IFERROR(IF(AI670="","sem dados",IF(AB670&lt;AI670*0.95,"abaixo",IF(AB670&gt;AI670*1.05,"acima","em linha"))),"")</f>
        <v/>
      </c>
      <c r="AK670" s="23" t="inlineStr">
        <is>
          <t>sim</t>
        </is>
      </c>
      <c r="AL670" s="23" t="n"/>
      <c r="AM670" s="23" t="n"/>
      <c r="AN670" s="23" t="n"/>
      <c r="AO670" s="44">
        <f>A670</f>
        <v/>
      </c>
      <c r="AP670" s="44">
        <f>D670</f>
        <v/>
      </c>
      <c r="AQ670" s="28" t="inlineStr">
        <is>
          <t>SEM IMAGEM</t>
        </is>
      </c>
    </row>
    <row r="671" hidden="1" ht="15.75" customHeight="1" s="93">
      <c r="A671" s="23" t="inlineStr">
        <is>
          <t>5.0403.0575006.0</t>
        </is>
      </c>
      <c r="B671" s="23" t="inlineStr">
        <is>
          <t>575006</t>
        </is>
      </c>
      <c r="C671" s="29">
        <f>IFERROR(LOWER(SUBSTITUTE(SUBSTITUTE(SUBSTITUTE(SUBSTITUTE(D671," ","-"),"/","-"),".",""),",","")),"")</f>
        <v/>
      </c>
      <c r="D671" s="23" t="inlineStr">
        <is>
          <t>(NO USAR) BND 28 E3.C2.C2.L (CPO INVERTIDO)</t>
        </is>
      </c>
      <c r="E671" s="23" t="n"/>
      <c r="F671" s="23" t="inlineStr">
        <is>
          <t>SOHIPREN</t>
        </is>
      </c>
      <c r="G671" s="23" t="n"/>
      <c r="H671" s="23" t="inlineStr">
        <is>
          <t>draft</t>
        </is>
      </c>
      <c r="I671" s="23" t="inlineStr">
        <is>
          <t>JOHN DEERE</t>
        </is>
      </c>
      <c r="J671" s="23" t="inlineStr">
        <is>
          <t>TRATOR / COLHEITADERA 6610</t>
        </is>
      </c>
      <c r="K671" s="23" t="inlineStr">
        <is>
          <t>BOMBA CENTRO ABERTO</t>
        </is>
      </c>
      <c r="L671" s="23" t="inlineStr">
        <is>
          <t>AL156335</t>
        </is>
      </c>
      <c r="M671" s="31" t="n"/>
      <c r="N671" s="31" t="n"/>
      <c r="O671" s="31" t="n"/>
      <c r="P671" s="31" t="n"/>
      <c r="Q671" s="31" t="n"/>
      <c r="R671" s="34">
        <f>IFERROR(IF(AND(O671&gt;0,P671&gt;0,Q671&gt;0),(O671*P671*Q671)/6000,""),"")</f>
        <v/>
      </c>
      <c r="S671" s="34">
        <f>IFERROR(IF(AND(N671&gt;0,R671&gt;0),MAX(N671,R671),IF(N671&gt;0,N671,IF(R671&gt;0,R671,""))),"")</f>
        <v/>
      </c>
      <c r="T671" s="36" t="n"/>
      <c r="U671" s="38" t="inlineStr">
        <is>
          <t>FALTA</t>
        </is>
      </c>
      <c r="V671" s="36" t="n">
        <v>575</v>
      </c>
      <c r="W671" s="39" t="n">
        <v>0.3</v>
      </c>
      <c r="X671" s="41">
        <f>IFERROR(V671+T671,"")</f>
        <v/>
      </c>
      <c r="Y671" s="41">
        <f>IFERROR(IF(W671&lt;1,X671/(1-W671),""),"")</f>
        <v/>
      </c>
      <c r="Z671" s="43">
        <f>'01_CONFIG_GLOBAL'!$C$14</f>
        <v/>
      </c>
      <c r="AA671" s="41">
        <f>IFERROR(Y671*Z671,"")</f>
        <v/>
      </c>
      <c r="AB671" s="41">
        <f>IFERROR(IF(Z671&lt;1,Y671/(1-Z671),""),"")</f>
        <v/>
      </c>
      <c r="AC671" s="23" t="n"/>
      <c r="AD671" s="36" t="n"/>
      <c r="AE671" s="23" t="n"/>
      <c r="AF671" s="36" t="n"/>
      <c r="AG671" s="23" t="n"/>
      <c r="AH671" s="36" t="n"/>
      <c r="AI671" s="41">
        <f>IFERROR(AVERAGE(AD671,AF671,AH671),"")</f>
        <v/>
      </c>
      <c r="AJ671" s="29">
        <f>IFERROR(IF(AI671="","sem dados",IF(AB671&lt;AI671*0.95,"abaixo",IF(AB671&gt;AI671*1.05,"acima","em linha"))),"")</f>
        <v/>
      </c>
      <c r="AK671" s="23" t="inlineStr">
        <is>
          <t>não</t>
        </is>
      </c>
      <c r="AL671" s="23" t="n"/>
      <c r="AM671" s="23" t="n"/>
      <c r="AN671" s="23" t="n"/>
      <c r="AO671" s="44">
        <f>A671</f>
        <v/>
      </c>
      <c r="AP671" s="44">
        <f>D671</f>
        <v/>
      </c>
    </row>
    <row r="672" ht="15.75" customHeight="1" s="93">
      <c r="A672" s="23" t="inlineStr">
        <is>
          <t>5.1305.0565077.0</t>
        </is>
      </c>
      <c r="B672" s="23" t="inlineStr">
        <is>
          <t>565077</t>
        </is>
      </c>
      <c r="C672" s="29">
        <f>IFERROR(LOWER(SUBSTITUTE(SUBSTITUTE(SUBSTITUTE(SUBSTITUTE(D672," ","-"),"/","-"),".",""),",","")),"")</f>
        <v/>
      </c>
      <c r="D672" s="50" t="inlineStr">
        <is>
          <t>Bomba Hidráulica John Deere A-005 - Série 5000/5010/5020/6000</t>
        </is>
      </c>
      <c r="E672" s="50" t="inlineStr">
        <is>
          <t>Bombas Hidráulicas</t>
        </is>
      </c>
      <c r="F672" s="23" t="inlineStr">
        <is>
          <t>SOHIPREN</t>
        </is>
      </c>
      <c r="G672" s="23" t="n"/>
      <c r="H672" s="23" t="inlineStr">
        <is>
          <t>active</t>
        </is>
      </c>
      <c r="I672" s="23" t="inlineStr">
        <is>
          <t>JOHN DEERE</t>
        </is>
      </c>
      <c r="J672" s="23" t="inlineStr">
        <is>
          <t>TRATOR</t>
        </is>
      </c>
      <c r="K672" s="23" t="inlineStr">
        <is>
          <t>PRINCIPAL E DOREÇÃO</t>
        </is>
      </c>
      <c r="L672" s="23" t="inlineStr">
        <is>
          <t>DQ61690-F000510712</t>
        </is>
      </c>
      <c r="M672" s="31" t="n"/>
      <c r="N672" s="31" t="n">
        <v>10.25</v>
      </c>
      <c r="O672" s="31" t="n">
        <v>28</v>
      </c>
      <c r="P672" s="31" t="n">
        <v>22</v>
      </c>
      <c r="Q672" s="31" t="n">
        <v>18</v>
      </c>
      <c r="R672" s="34">
        <f>IFERROR(IF(AND(O672&gt;0,P672&gt;0,Q672&gt;0),(O672*P672*Q672)/6000,""),"")</f>
        <v/>
      </c>
      <c r="S672" s="34">
        <f>IFERROR(IF(AND(N672&gt;0,R672&gt;0),MAX(N672,R672),IF(N672&gt;0,N672,IF(R672&gt;0,R672,""))),"")</f>
        <v/>
      </c>
      <c r="T672" s="36" t="n">
        <v>100</v>
      </c>
      <c r="U672" s="23" t="inlineStr">
        <is>
          <t>fornecedor</t>
        </is>
      </c>
      <c r="V672" s="36" t="n">
        <v>1752.7</v>
      </c>
      <c r="W672" s="39" t="n">
        <v>0.2</v>
      </c>
      <c r="X672" s="41">
        <f>IFERROR(V672+T672,"")</f>
        <v/>
      </c>
      <c r="Y672" s="41">
        <f>IFERROR(IF(W672&lt;1,X672/(1-W672),""),"")</f>
        <v/>
      </c>
      <c r="Z672" s="43">
        <f>'01_CONFIG_GLOBAL'!$C$14</f>
        <v/>
      </c>
      <c r="AA672" s="41">
        <f>IFERROR(Y672*Z672,"")</f>
        <v/>
      </c>
      <c r="AB672" s="41">
        <f>IFERROR(IF(Z672&lt;1,Y672/(1-Z672),""),"")</f>
        <v/>
      </c>
      <c r="AC672" s="23" t="n"/>
      <c r="AD672" s="36" t="n"/>
      <c r="AE672" s="23" t="n"/>
      <c r="AF672" s="36" t="n"/>
      <c r="AG672" s="23" t="n"/>
      <c r="AH672" s="36" t="n"/>
      <c r="AI672" s="41">
        <f>IFERROR(AVERAGE(AD672,AF672,AH672),"")</f>
        <v/>
      </c>
      <c r="AJ672" s="29">
        <f>IFERROR(IF(AI672="","sem dados",IF(AB672&lt;AI672*0.95,"abaixo",IF(AB672&gt;AI672*1.05,"acima","em linha"))),"")</f>
        <v/>
      </c>
      <c r="AK672" s="23" t="inlineStr">
        <is>
          <t>sim</t>
        </is>
      </c>
      <c r="AL672" s="23" t="n"/>
      <c r="AM672" s="23" t="n"/>
      <c r="AN672" s="23" t="n"/>
      <c r="AO672" s="44">
        <f>A672</f>
        <v/>
      </c>
      <c r="AP672" s="44">
        <f>D672</f>
        <v/>
      </c>
      <c r="AQ672" s="28" t="inlineStr">
        <is>
          <t>0667_565077_Livenza_5_1305_0565077_att149_p1_foto_3d_ecommerce.png | 0667_565077_Livenza_5_1305_0565077_att149_p1_desenho_tec.png</t>
        </is>
      </c>
    </row>
    <row r="673" ht="15.75" customHeight="1" s="93">
      <c r="A673" s="23" t="inlineStr">
        <is>
          <t>5.1305.0565071.0</t>
        </is>
      </c>
      <c r="B673" s="23" t="inlineStr">
        <is>
          <t>565071</t>
        </is>
      </c>
      <c r="C673" s="29">
        <f>IFERROR(LOWER(SUBSTITUTE(SUBSTITUTE(SUBSTITUTE(SUBSTITUTE(D673," ","-"),"/","-"),".",""),",","")),"")</f>
        <v/>
      </c>
      <c r="D673" s="50" t="inlineStr">
        <is>
          <t>Bomba Hidráulica Direção e Levante John Deere A-004 - Série 5000/6000</t>
        </is>
      </c>
      <c r="E673" s="50" t="inlineStr">
        <is>
          <t>Bombas Hidráulicas</t>
        </is>
      </c>
      <c r="F673" s="23" t="inlineStr">
        <is>
          <t>SOHIPREN</t>
        </is>
      </c>
      <c r="G673" s="23" t="n"/>
      <c r="H673" s="23" t="inlineStr">
        <is>
          <t>active</t>
        </is>
      </c>
      <c r="I673" s="23" t="inlineStr">
        <is>
          <t>JOHN DEERE</t>
        </is>
      </c>
      <c r="J673" s="23" t="inlineStr">
        <is>
          <t>TRATOR</t>
        </is>
      </c>
      <c r="K673" s="23" t="inlineStr">
        <is>
          <t>BOMBA PRINCIPAL E DIREÇÃO</t>
        </is>
      </c>
      <c r="L673" s="23" t="inlineStr">
        <is>
          <t>F000510712-DQ61690</t>
        </is>
      </c>
      <c r="M673" s="31" t="n"/>
      <c r="N673" s="31" t="n">
        <v>8.449999999999999</v>
      </c>
      <c r="O673" s="31" t="n">
        <v>28</v>
      </c>
      <c r="P673" s="31" t="n">
        <v>22</v>
      </c>
      <c r="Q673" s="31" t="n">
        <v>18</v>
      </c>
      <c r="R673" s="34">
        <f>IFERROR(IF(AND(O673&gt;0,P673&gt;0,Q673&gt;0),(O673*P673*Q673)/6000,""),"")</f>
        <v/>
      </c>
      <c r="S673" s="34">
        <f>IFERROR(IF(AND(N673&gt;0,R673&gt;0),MAX(N673,R673),IF(N673&gt;0,N673,IF(R673&gt;0,R673,""))),"")</f>
        <v/>
      </c>
      <c r="T673" s="36" t="n">
        <v>100</v>
      </c>
      <c r="U673" s="23" t="inlineStr">
        <is>
          <t>fornecedor</t>
        </is>
      </c>
      <c r="V673" s="36" t="n">
        <v>1827.5</v>
      </c>
      <c r="W673" s="39" t="n">
        <v>0.2</v>
      </c>
      <c r="X673" s="41">
        <f>IFERROR(V673+T673,"")</f>
        <v/>
      </c>
      <c r="Y673" s="41">
        <f>IFERROR(IF(W673&lt;1,X673/(1-W673),""),"")</f>
        <v/>
      </c>
      <c r="Z673" s="43">
        <f>'01_CONFIG_GLOBAL'!$C$14</f>
        <v/>
      </c>
      <c r="AA673" s="41">
        <f>IFERROR(Y673*Z673,"")</f>
        <v/>
      </c>
      <c r="AB673" s="41">
        <f>IFERROR(IF(Z673&lt;1,Y673/(1-Z673),""),"")</f>
        <v/>
      </c>
      <c r="AC673" s="23" t="n"/>
      <c r="AD673" s="36" t="n"/>
      <c r="AE673" s="23" t="n"/>
      <c r="AF673" s="36" t="n"/>
      <c r="AG673" s="23" t="n"/>
      <c r="AH673" s="36" t="n"/>
      <c r="AI673" s="41">
        <f>IFERROR(AVERAGE(AD673,AF673,AH673),"")</f>
        <v/>
      </c>
      <c r="AJ673" s="29">
        <f>IFERROR(IF(AI673="","sem dados",IF(AB673&lt;AI673*0.95,"abaixo",IF(AB673&gt;AI673*1.05,"acima","em linha"))),"")</f>
        <v/>
      </c>
      <c r="AK673" s="23" t="inlineStr">
        <is>
          <t>sim</t>
        </is>
      </c>
      <c r="AL673" s="23" t="n"/>
      <c r="AM673" s="23" t="n"/>
      <c r="AN673" s="23" t="inlineStr">
        <is>
          <t>Fotos: assets/livenza_5.1305.0565071_p1.png</t>
        </is>
      </c>
      <c r="AO673" s="44">
        <f>A673</f>
        <v/>
      </c>
      <c r="AP673" s="44">
        <f>D673</f>
        <v/>
      </c>
      <c r="AQ673" s="28" t="inlineStr">
        <is>
          <t>0668_565071_Livenza_5_1305_0565071_att136_p1_foto_3d_ecommerce.png | 0668_565071_Livenza_5_1305_0565071_att136_p1_desenho_tec.png | livenza_5.1305.0565071_p1.png</t>
        </is>
      </c>
    </row>
    <row r="674" hidden="1" ht="15.75" customHeight="1" s="93">
      <c r="A674" s="23" t="inlineStr">
        <is>
          <t>5.1305.0565124.0</t>
        </is>
      </c>
      <c r="B674" s="23" t="inlineStr">
        <is>
          <t>565124</t>
        </is>
      </c>
      <c r="C674" s="29">
        <f>IFERROR(LOWER(SUBSTITUTE(SUBSTITUTE(SUBSTITUTE(SUBSTITUTE(D674," ","-"),"/","-"),".",""),",","")),"")</f>
        <v/>
      </c>
      <c r="D674" s="23" t="inlineStr">
        <is>
          <t>BOMBA HIDRÁULICA - APLICAÇÃO JD A-010 (RE241578) GIRO I</t>
        </is>
      </c>
      <c r="E674" s="23" t="inlineStr">
        <is>
          <t>Bombas Hidráulicas</t>
        </is>
      </c>
      <c r="F674" s="23" t="inlineStr">
        <is>
          <t>SOHIPREN</t>
        </is>
      </c>
      <c r="G674" s="23" t="n"/>
      <c r="H674" s="23" t="inlineStr">
        <is>
          <t>draft</t>
        </is>
      </c>
      <c r="I674" s="23" t="inlineStr">
        <is>
          <t>JOHN DEERE</t>
        </is>
      </c>
      <c r="J674" s="23" t="n"/>
      <c r="K674" s="23" t="n"/>
      <c r="L674" s="23" t="n"/>
      <c r="M674" s="31" t="n"/>
      <c r="N674" s="31" t="n"/>
      <c r="O674" s="31" t="n"/>
      <c r="P674" s="31" t="n"/>
      <c r="Q674" s="31" t="n"/>
      <c r="R674" s="34">
        <f>IFERROR(IF(AND(O674&gt;0,P674&gt;0,Q674&gt;0),(O674*P674*Q674)/6000,""),"")</f>
        <v/>
      </c>
      <c r="S674" s="34">
        <f>IFERROR(IF(AND(N674&gt;0,R674&gt;0),MAX(N674,R674),IF(N674&gt;0,N674,IF(R674&gt;0,R674,""))),"")</f>
        <v/>
      </c>
      <c r="T674" s="36" t="n"/>
      <c r="U674" s="38" t="inlineStr">
        <is>
          <t>FALTA</t>
        </is>
      </c>
      <c r="V674" s="36" t="n">
        <v>1584</v>
      </c>
      <c r="W674" s="39" t="n">
        <v>0.3</v>
      </c>
      <c r="X674" s="41">
        <f>IFERROR(V674+T674,"")</f>
        <v/>
      </c>
      <c r="Y674" s="41">
        <f>IFERROR(IF(W674&lt;1,X674/(1-W674),""),"")</f>
        <v/>
      </c>
      <c r="Z674" s="43">
        <f>'01_CONFIG_GLOBAL'!$C$14</f>
        <v/>
      </c>
      <c r="AA674" s="41">
        <f>IFERROR(Y674*Z674,"")</f>
        <v/>
      </c>
      <c r="AB674" s="41">
        <f>IFERROR(IF(Z674&lt;1,Y674/(1-Z674),""),"")</f>
        <v/>
      </c>
      <c r="AC674" s="23" t="n"/>
      <c r="AD674" s="36" t="n"/>
      <c r="AE674" s="23" t="n"/>
      <c r="AF674" s="36" t="n"/>
      <c r="AG674" s="23" t="n"/>
      <c r="AH674" s="36" t="n"/>
      <c r="AI674" s="41">
        <f>IFERROR(AVERAGE(AD674,AF674,AH674),"")</f>
        <v/>
      </c>
      <c r="AJ674" s="29">
        <f>IFERROR(IF(AI674="","sem dados",IF(AB674&lt;AI674*0.95,"abaixo",IF(AB674&gt;AI674*1.05,"acima","em linha"))),"")</f>
        <v/>
      </c>
      <c r="AK674" s="23" t="inlineStr">
        <is>
          <t>não</t>
        </is>
      </c>
      <c r="AL674" s="23" t="n"/>
      <c r="AM674" s="23" t="n"/>
      <c r="AN674" s="23" t="n"/>
      <c r="AO674" s="44">
        <f>A674</f>
        <v/>
      </c>
      <c r="AP674" s="44">
        <f>D674</f>
        <v/>
      </c>
    </row>
    <row r="675" ht="15.75" customHeight="1" s="93">
      <c r="A675" s="23" t="inlineStr">
        <is>
          <t>5.1305.0565094.0</t>
        </is>
      </c>
      <c r="B675" s="23" t="inlineStr">
        <is>
          <t>565094</t>
        </is>
      </c>
      <c r="C675" s="29">
        <f>IFERROR(LOWER(SUBSTITUTE(SUBSTITUTE(SUBSTITUTE(SUBSTITUTE(D675," ","-"),"/","-"),".",""),",","")),"")</f>
        <v/>
      </c>
      <c r="D675" s="50" t="inlineStr">
        <is>
          <t>Bomba de Aplicação John Deere A-008 (DQ33772) Giro D - 5.1305.0565094.0</t>
        </is>
      </c>
      <c r="E675" s="50" t="inlineStr">
        <is>
          <t>Bombas Hidráulicas</t>
        </is>
      </c>
      <c r="F675" s="23" t="inlineStr">
        <is>
          <t>SOHIPREN</t>
        </is>
      </c>
      <c r="G675" s="23" t="n"/>
      <c r="H675" s="23" t="inlineStr">
        <is>
          <t>active</t>
        </is>
      </c>
      <c r="I675" s="23" t="inlineStr">
        <is>
          <t>JOHN DEERE</t>
        </is>
      </c>
      <c r="J675" s="23" t="inlineStr">
        <is>
          <t>TRATOR</t>
        </is>
      </c>
      <c r="K675" s="23" t="inlineStr">
        <is>
          <t>PRINCIPAL</t>
        </is>
      </c>
      <c r="L675" s="23" t="inlineStr">
        <is>
          <t>AP32912-DQ33772-DQ49963-3329910023</t>
        </is>
      </c>
      <c r="M675" s="31" t="n"/>
      <c r="N675" s="31" t="n">
        <v>6.27</v>
      </c>
      <c r="O675" s="31" t="n">
        <v>30</v>
      </c>
      <c r="P675" s="31" t="n">
        <v>12.5</v>
      </c>
      <c r="Q675" s="31" t="n">
        <v>12.5</v>
      </c>
      <c r="R675" s="34">
        <f>IFERROR(IF(AND(O675&gt;0,P675&gt;0,Q675&gt;0),(O675*P675*Q675)/6000,""),"")</f>
        <v/>
      </c>
      <c r="S675" s="34">
        <f>IFERROR(IF(AND(N675&gt;0,R675&gt;0),MAX(N675,R675),IF(N675&gt;0,N675,IF(R675&gt;0,R675,""))),"")</f>
        <v/>
      </c>
      <c r="T675" s="36" t="n">
        <v>100</v>
      </c>
      <c r="U675" s="23" t="inlineStr">
        <is>
          <t>fornecedor</t>
        </is>
      </c>
      <c r="V675" s="36" t="n">
        <v>731</v>
      </c>
      <c r="W675" s="39" t="n">
        <v>0.2</v>
      </c>
      <c r="X675" s="41">
        <f>IFERROR(V675+T675,"")</f>
        <v/>
      </c>
      <c r="Y675" s="41">
        <f>IFERROR(IF(W675&lt;1,X675/(1-W675),""),"")</f>
        <v/>
      </c>
      <c r="Z675" s="43">
        <f>'01_CONFIG_GLOBAL'!$C$14</f>
        <v/>
      </c>
      <c r="AA675" s="41">
        <f>IFERROR(Y675*Z675,"")</f>
        <v/>
      </c>
      <c r="AB675" s="41">
        <f>IFERROR(IF(Z675&lt;1,Y675/(1-Z675),""),"")</f>
        <v/>
      </c>
      <c r="AC675" s="23" t="n"/>
      <c r="AD675" s="36" t="n"/>
      <c r="AE675" s="23" t="n"/>
      <c r="AF675" s="36" t="n"/>
      <c r="AG675" s="23" t="n"/>
      <c r="AH675" s="36" t="n"/>
      <c r="AI675" s="41">
        <f>IFERROR(AVERAGE(AD675,AF675,AH675),"")</f>
        <v/>
      </c>
      <c r="AJ675" s="29">
        <f>IFERROR(IF(AI675="","sem dados",IF(AB675&lt;AI675*0.95,"abaixo",IF(AB675&gt;AI675*1.05,"acima","em linha"))),"")</f>
        <v/>
      </c>
      <c r="AK675" s="23" t="inlineStr">
        <is>
          <t>sim</t>
        </is>
      </c>
      <c r="AL675" s="23" t="n"/>
      <c r="AM675" s="23" t="n"/>
      <c r="AN675" s="23" t="n"/>
      <c r="AO675" s="44">
        <f>A675</f>
        <v/>
      </c>
      <c r="AP675" s="44">
        <f>D675</f>
        <v/>
      </c>
      <c r="AQ675" s="28" t="inlineStr">
        <is>
          <t>bomba_generica.png (genérica)</t>
        </is>
      </c>
    </row>
    <row r="676" ht="15.75" customHeight="1" s="93">
      <c r="A676" s="23" t="inlineStr">
        <is>
          <t>5.1305.0565036.0</t>
        </is>
      </c>
      <c r="B676" s="23" t="inlineStr">
        <is>
          <t>565036</t>
        </is>
      </c>
      <c r="C676" s="29">
        <f>IFERROR(LOWER(SUBSTITUTE(SUBSTITUTE(SUBSTITUTE(SUBSTITUTE(D676," ","-"),"/","-"),".",""),",","")),"")</f>
        <v/>
      </c>
      <c r="D676" s="50" t="inlineStr">
        <is>
          <t>Bomba Hidráulica Principal John Deere A-003 - Série 6000</t>
        </is>
      </c>
      <c r="E676" s="50" t="inlineStr">
        <is>
          <t>Bombas Hidráulicas</t>
        </is>
      </c>
      <c r="F676" s="23" t="inlineStr">
        <is>
          <t>SOHIPREN</t>
        </is>
      </c>
      <c r="G676" s="23" t="n"/>
      <c r="H676" s="23" t="inlineStr">
        <is>
          <t>active</t>
        </is>
      </c>
      <c r="I676" s="23" t="inlineStr">
        <is>
          <t>JOHN DEERE</t>
        </is>
      </c>
      <c r="J676" s="23" t="inlineStr">
        <is>
          <t>TRATOR</t>
        </is>
      </c>
      <c r="K676" s="23" t="inlineStr">
        <is>
          <t>PRINCIPAL</t>
        </is>
      </c>
      <c r="L676" s="23" t="inlineStr">
        <is>
          <t>AL117812-AL156335-AL163918</t>
        </is>
      </c>
      <c r="M676" s="31" t="n"/>
      <c r="N676" s="31" t="n">
        <v>5.91</v>
      </c>
      <c r="O676" s="31" t="n">
        <v>30</v>
      </c>
      <c r="P676" s="31" t="n">
        <v>12.5</v>
      </c>
      <c r="Q676" s="31" t="n">
        <v>12.5</v>
      </c>
      <c r="R676" s="34">
        <f>IFERROR(IF(AND(O676&gt;0,P676&gt;0,Q676&gt;0),(O676*P676*Q676)/6000,""),"")</f>
        <v/>
      </c>
      <c r="S676" s="34">
        <f>IFERROR(IF(AND(N676&gt;0,R676&gt;0),MAX(N676,R676),IF(N676&gt;0,N676,IF(R676&gt;0,R676,""))),"")</f>
        <v/>
      </c>
      <c r="T676" s="36" t="n">
        <v>100</v>
      </c>
      <c r="U676" s="23" t="inlineStr">
        <is>
          <t>fornecedor</t>
        </is>
      </c>
      <c r="V676" s="36" t="n">
        <v>856.8</v>
      </c>
      <c r="W676" s="39" t="n">
        <v>0.2</v>
      </c>
      <c r="X676" s="41">
        <f>IFERROR(V676+T676,"")</f>
        <v/>
      </c>
      <c r="Y676" s="41">
        <f>IFERROR(IF(W676&lt;1,X676/(1-W676),""),"")</f>
        <v/>
      </c>
      <c r="Z676" s="43">
        <f>'01_CONFIG_GLOBAL'!$C$14</f>
        <v/>
      </c>
      <c r="AA676" s="41">
        <f>IFERROR(Y676*Z676,"")</f>
        <v/>
      </c>
      <c r="AB676" s="41">
        <f>IFERROR(IF(Z676&lt;1,Y676/(1-Z676),""),"")</f>
        <v/>
      </c>
      <c r="AC676" s="23" t="n"/>
      <c r="AD676" s="36" t="n"/>
      <c r="AE676" s="23" t="n"/>
      <c r="AF676" s="36" t="n"/>
      <c r="AG676" s="23" t="n"/>
      <c r="AH676" s="36" t="n"/>
      <c r="AI676" s="41">
        <f>IFERROR(AVERAGE(AD676,AF676,AH676),"")</f>
        <v/>
      </c>
      <c r="AJ676" s="29">
        <f>IFERROR(IF(AI676="","sem dados",IF(AB676&lt;AI676*0.95,"abaixo",IF(AB676&gt;AI676*1.05,"acima","em linha"))),"")</f>
        <v/>
      </c>
      <c r="AK676" s="23" t="inlineStr">
        <is>
          <t>sim</t>
        </is>
      </c>
      <c r="AL676" s="23" t="n"/>
      <c r="AM676" s="23" t="n"/>
      <c r="AN676" s="23" t="inlineStr">
        <is>
          <t>Fotos: assets/livenza_5.1305.0565036_p1.png</t>
        </is>
      </c>
      <c r="AO676" s="44">
        <f>A676</f>
        <v/>
      </c>
      <c r="AP676" s="44">
        <f>D676</f>
        <v/>
      </c>
      <c r="AQ676" s="28" t="inlineStr">
        <is>
          <t>0671_565036_Livenza_5_1305_0565036-CT_1_att142_p1_foto_3d_ecommerce.png | 0671_565036_Livenza_5_1305_0565036-CT_1_att142_p1_desenho_tec.png | livenza_5.1305.0565036_p1.png</t>
        </is>
      </c>
    </row>
    <row r="677" ht="15.75" customHeight="1" s="93">
      <c r="A677" s="23" t="inlineStr">
        <is>
          <t>5.1305.0565032.0</t>
        </is>
      </c>
      <c r="B677" s="23" t="inlineStr">
        <is>
          <t>565032</t>
        </is>
      </c>
      <c r="C677" s="29">
        <f>IFERROR(LOWER(SUBSTITUTE(SUBSTITUTE(SUBSTITUTE(SUBSTITUTE(D677," ","-"),"/","-"),".",""),",","")),"")</f>
        <v/>
      </c>
      <c r="D677" s="50" t="inlineStr">
        <is>
          <t>Bomba de Aplicação John Deere A-001 (RE223233) Giro I - 5.1305.0565032.0</t>
        </is>
      </c>
      <c r="E677" s="50" t="inlineStr">
        <is>
          <t>Bombas Hidráulicas</t>
        </is>
      </c>
      <c r="F677" s="23" t="inlineStr">
        <is>
          <t>SOHIPREN</t>
        </is>
      </c>
      <c r="G677" s="23" t="n"/>
      <c r="H677" s="23" t="inlineStr">
        <is>
          <t>active</t>
        </is>
      </c>
      <c r="I677" s="23" t="inlineStr">
        <is>
          <t>JOHN DEERE</t>
        </is>
      </c>
      <c r="J677" s="23" t="inlineStr">
        <is>
          <t>TRATOR</t>
        </is>
      </c>
      <c r="K677" s="23" t="inlineStr">
        <is>
          <t>PRINCIPAL</t>
        </is>
      </c>
      <c r="L677" s="23" t="inlineStr">
        <is>
          <t>RE223233/F000510701/DQ12014/DQ39944/RE68886</t>
        </is>
      </c>
      <c r="M677" s="31" t="n"/>
      <c r="N677" s="31" t="n">
        <v>8.050000000000001</v>
      </c>
      <c r="O677" s="31" t="n">
        <v>30</v>
      </c>
      <c r="P677" s="31" t="n">
        <v>12.5</v>
      </c>
      <c r="Q677" s="31" t="n">
        <v>12.5</v>
      </c>
      <c r="R677" s="34">
        <f>IFERROR(IF(AND(O677&gt;0,P677&gt;0,Q677&gt;0),(O677*P677*Q677)/6000,""),"")</f>
        <v/>
      </c>
      <c r="S677" s="34">
        <f>IFERROR(IF(AND(N677&gt;0,R677&gt;0),MAX(N677,R677),IF(N677&gt;0,N677,IF(R677&gt;0,R677,""))),"")</f>
        <v/>
      </c>
      <c r="T677" s="36" t="n">
        <v>100</v>
      </c>
      <c r="U677" s="23" t="inlineStr">
        <is>
          <t>fornecedor</t>
        </is>
      </c>
      <c r="V677" s="36" t="n">
        <v>1305.6</v>
      </c>
      <c r="W677" s="39" t="n">
        <v>0.2</v>
      </c>
      <c r="X677" s="41">
        <f>IFERROR(V677+T677,"")</f>
        <v/>
      </c>
      <c r="Y677" s="41">
        <f>IFERROR(IF(W677&lt;1,X677/(1-W677),""),"")</f>
        <v/>
      </c>
      <c r="Z677" s="43">
        <f>'01_CONFIG_GLOBAL'!$C$14</f>
        <v/>
      </c>
      <c r="AA677" s="41">
        <f>IFERROR(Y677*Z677,"")</f>
        <v/>
      </c>
      <c r="AB677" s="41">
        <f>IFERROR(IF(Z677&lt;1,Y677/(1-Z677),""),"")</f>
        <v/>
      </c>
      <c r="AC677" s="23" t="n"/>
      <c r="AD677" s="36" t="n"/>
      <c r="AE677" s="23" t="n"/>
      <c r="AF677" s="36" t="n"/>
      <c r="AG677" s="23" t="n"/>
      <c r="AH677" s="36" t="n"/>
      <c r="AI677" s="41">
        <f>IFERROR(AVERAGE(AD677,AF677,AH677),"")</f>
        <v/>
      </c>
      <c r="AJ677" s="29">
        <f>IFERROR(IF(AI677="","sem dados",IF(AB677&lt;AI677*0.95,"abaixo",IF(AB677&gt;AI677*1.05,"acima","em linha"))),"")</f>
        <v/>
      </c>
      <c r="AK677" s="23" t="inlineStr">
        <is>
          <t>sim</t>
        </is>
      </c>
      <c r="AL677" s="23" t="n"/>
      <c r="AM677" s="23" t="n"/>
      <c r="AN677" s="23" t="inlineStr">
        <is>
          <t>Fotos: assets/livenza_5.1305.0565032_p1.png</t>
        </is>
      </c>
      <c r="AO677" s="44">
        <f>A677</f>
        <v/>
      </c>
      <c r="AP677" s="44">
        <f>D677</f>
        <v/>
      </c>
      <c r="AQ677" s="28" t="inlineStr">
        <is>
          <t>LIVENZA_5.1305.0565032.0_ecommerce.jpg</t>
        </is>
      </c>
    </row>
    <row r="678" hidden="1" ht="15.75" customHeight="1" s="93">
      <c r="A678" s="23" t="inlineStr">
        <is>
          <t>6.5061.L650002.1</t>
        </is>
      </c>
      <c r="B678" s="23" t="inlineStr">
        <is>
          <t>L650002.1</t>
        </is>
      </c>
      <c r="C678" s="29">
        <f>IFERROR(LOWER(SUBSTITUTE(SUBSTITUTE(SUBSTITUTE(SUBSTITUTE(D678," ","-"),"/","-"),".",""),",","")),"")</f>
        <v/>
      </c>
      <c r="D678" s="23" t="inlineStr">
        <is>
          <t>DIRECAO LV 160 LS</t>
        </is>
      </c>
      <c r="E678" s="23" t="n"/>
      <c r="F678" s="23" t="inlineStr">
        <is>
          <t>SOHIPREN</t>
        </is>
      </c>
      <c r="G678" s="23" t="n"/>
      <c r="H678" s="23" t="inlineStr">
        <is>
          <t>draft</t>
        </is>
      </c>
      <c r="I678" s="23" t="inlineStr">
        <is>
          <t>JOHN DEERE</t>
        </is>
      </c>
      <c r="J678" s="23" t="inlineStr">
        <is>
          <t>TRATOR DE PNEUS</t>
        </is>
      </c>
      <c r="K678" s="23" t="inlineStr">
        <is>
          <t>DIREÇÃO E SINAL GPS - NECESSITA TROCAR ADAPTADORES</t>
        </is>
      </c>
      <c r="L678" s="23" t="inlineStr">
        <is>
          <t>AL110258/AL110875</t>
        </is>
      </c>
      <c r="M678" s="31" t="n"/>
      <c r="N678" s="31" t="n"/>
      <c r="O678" s="31" t="n"/>
      <c r="P678" s="31" t="n"/>
      <c r="Q678" s="31" t="n"/>
      <c r="R678" s="34">
        <f>IFERROR(IF(AND(O678&gt;0,P678&gt;0,Q678&gt;0),(O678*P678*Q678)/6000,""),"")</f>
        <v/>
      </c>
      <c r="S678" s="34">
        <f>IFERROR(IF(AND(N678&gt;0,R678&gt;0),MAX(N678,R678),IF(N678&gt;0,N678,IF(R678&gt;0,R678,""))),"")</f>
        <v/>
      </c>
      <c r="T678" s="36" t="n"/>
      <c r="U678" s="38" t="inlineStr">
        <is>
          <t>FALTA</t>
        </is>
      </c>
      <c r="V678" s="36" t="n">
        <v>1647.11</v>
      </c>
      <c r="W678" s="39" t="n">
        <v>0.3</v>
      </c>
      <c r="X678" s="41">
        <f>IFERROR(V678+T678,"")</f>
        <v/>
      </c>
      <c r="Y678" s="41">
        <f>IFERROR(IF(W678&lt;1,X678/(1-W678),""),"")</f>
        <v/>
      </c>
      <c r="Z678" s="43">
        <f>'01_CONFIG_GLOBAL'!$C$14</f>
        <v/>
      </c>
      <c r="AA678" s="41">
        <f>IFERROR(Y678*Z678,"")</f>
        <v/>
      </c>
      <c r="AB678" s="41">
        <f>IFERROR(IF(Z678&lt;1,Y678/(1-Z678),""),"")</f>
        <v/>
      </c>
      <c r="AC678" s="23" t="n"/>
      <c r="AD678" s="36" t="n"/>
      <c r="AE678" s="23" t="n"/>
      <c r="AF678" s="36" t="n"/>
      <c r="AG678" s="23" t="n"/>
      <c r="AH678" s="36" t="n"/>
      <c r="AI678" s="41">
        <f>IFERROR(AVERAGE(AD678,AF678,AH678),"")</f>
        <v/>
      </c>
      <c r="AJ678" s="29">
        <f>IFERROR(IF(AI678="","sem dados",IF(AB678&lt;AI678*0.95,"abaixo",IF(AB678&gt;AI678*1.05,"acima","em linha"))),"")</f>
        <v/>
      </c>
      <c r="AK678" s="23" t="inlineStr">
        <is>
          <t>não</t>
        </is>
      </c>
      <c r="AL678" s="23" t="n"/>
      <c r="AM678" s="23" t="n"/>
      <c r="AN678" s="23" t="n"/>
      <c r="AO678" s="44">
        <f>A678</f>
        <v/>
      </c>
      <c r="AP678" s="44">
        <f>D678</f>
        <v/>
      </c>
    </row>
    <row r="679" hidden="1" ht="15.75" customHeight="1" s="93">
      <c r="A679" s="23" t="inlineStr">
        <is>
          <t>6.0460.L081897.0</t>
        </is>
      </c>
      <c r="B679" s="23" t="inlineStr">
        <is>
          <t>L081897</t>
        </is>
      </c>
      <c r="C679" s="29">
        <f>IFERROR(LOWER(SUBSTITUTE(SUBSTITUTE(SUBSTITUTE(SUBSTITUTE(D679," ","-"),"/","-"),".",""),",","")),"")</f>
        <v/>
      </c>
      <c r="D679" s="23" t="inlineStr">
        <is>
          <t>KIT ACESSÓRIOS BOMBA 565077</t>
        </is>
      </c>
      <c r="E679" s="23" t="inlineStr">
        <is>
          <t>Bombas Hidráulicas</t>
        </is>
      </c>
      <c r="F679" s="23" t="inlineStr">
        <is>
          <t>SOHIPREN</t>
        </is>
      </c>
      <c r="G679" s="23" t="n"/>
      <c r="H679" s="23" t="inlineStr">
        <is>
          <t>draft</t>
        </is>
      </c>
      <c r="I679" s="23" t="inlineStr">
        <is>
          <t>JOHN DEERE</t>
        </is>
      </c>
      <c r="J679" s="23" t="inlineStr">
        <is>
          <t>ACESSÓRIO BOMBA 565077</t>
        </is>
      </c>
      <c r="K679" s="23" t="n"/>
      <c r="L679" s="23" t="n"/>
      <c r="M679" s="31" t="n"/>
      <c r="N679" s="31" t="n"/>
      <c r="O679" s="31" t="n"/>
      <c r="P679" s="31" t="n"/>
      <c r="Q679" s="31" t="n"/>
      <c r="R679" s="34">
        <f>IFERROR(IF(AND(O679&gt;0,P679&gt;0,Q679&gt;0),(O679*P679*Q679)/6000,""),"")</f>
        <v/>
      </c>
      <c r="S679" s="34">
        <f>IFERROR(IF(AND(N679&gt;0,R679&gt;0),MAX(N679,R679),IF(N679&gt;0,N679,IF(R679&gt;0,R679,""))),"")</f>
        <v/>
      </c>
      <c r="T679" s="36" t="n"/>
      <c r="U679" s="38" t="inlineStr">
        <is>
          <t>FALTA</t>
        </is>
      </c>
      <c r="V679" s="36" t="n">
        <v>4737.7</v>
      </c>
      <c r="W679" s="39" t="n">
        <v>0.3</v>
      </c>
      <c r="X679" s="41">
        <f>IFERROR(V679+T679,"")</f>
        <v/>
      </c>
      <c r="Y679" s="41">
        <f>IFERROR(IF(W679&lt;1,X679/(1-W679),""),"")</f>
        <v/>
      </c>
      <c r="Z679" s="43">
        <f>'01_CONFIG_GLOBAL'!$C$14</f>
        <v/>
      </c>
      <c r="AA679" s="41">
        <f>IFERROR(Y679*Z679,"")</f>
        <v/>
      </c>
      <c r="AB679" s="41">
        <f>IFERROR(IF(Z679&lt;1,Y679/(1-Z679),""),"")</f>
        <v/>
      </c>
      <c r="AC679" s="23" t="n"/>
      <c r="AD679" s="36" t="n"/>
      <c r="AE679" s="23" t="n"/>
      <c r="AF679" s="36" t="n"/>
      <c r="AG679" s="23" t="n"/>
      <c r="AH679" s="36" t="n"/>
      <c r="AI679" s="41">
        <f>IFERROR(AVERAGE(AD679,AF679,AH679),"")</f>
        <v/>
      </c>
      <c r="AJ679" s="29">
        <f>IFERROR(IF(AI679="","sem dados",IF(AB679&lt;AI679*0.95,"abaixo",IF(AB679&gt;AI679*1.05,"acima","em linha"))),"")</f>
        <v/>
      </c>
      <c r="AK679" s="23" t="inlineStr">
        <is>
          <t>não</t>
        </is>
      </c>
      <c r="AL679" s="23" t="n"/>
      <c r="AM679" s="23" t="n"/>
      <c r="AN679" s="23" t="n"/>
      <c r="AO679" s="44">
        <f>A679</f>
        <v/>
      </c>
      <c r="AP679" s="44">
        <f>D679</f>
        <v/>
      </c>
    </row>
    <row r="680" hidden="1" ht="15.75" customHeight="1" s="93">
      <c r="A680" s="23" t="inlineStr">
        <is>
          <t>5.1305.L008000.0</t>
        </is>
      </c>
      <c r="B680" s="23" t="inlineStr">
        <is>
          <t>L00800</t>
        </is>
      </c>
      <c r="C680" s="29">
        <f>IFERROR(LOWER(SUBSTITUTE(SUBSTITUTE(SUBSTITUTE(SUBSTITUTE(D680," ","-"),"/","-"),".",""),",","")),"")</f>
        <v/>
      </c>
      <c r="D680" s="23" t="inlineStr">
        <is>
          <t>BOMBA HIDRÁULICA - APLICAÇÃO 19 B25.C9.C41/11.C43.L</t>
        </is>
      </c>
      <c r="E680" s="23" t="inlineStr">
        <is>
          <t>Bombas Hidráulicas</t>
        </is>
      </c>
      <c r="F680" s="23" t="inlineStr">
        <is>
          <t>SOHIPREN</t>
        </is>
      </c>
      <c r="G680" s="23" t="n"/>
      <c r="H680" s="23" t="inlineStr">
        <is>
          <t>draft</t>
        </is>
      </c>
      <c r="I680" s="23" t="inlineStr">
        <is>
          <t>JOHN DEERE</t>
        </is>
      </c>
      <c r="J680" s="23" t="inlineStr">
        <is>
          <t>TRATOR</t>
        </is>
      </c>
      <c r="K680" s="23" t="inlineStr">
        <is>
          <t>PRINCIPAL</t>
        </is>
      </c>
      <c r="L680" s="23" t="inlineStr">
        <is>
          <t>DQ70069</t>
        </is>
      </c>
      <c r="M680" s="31" t="n"/>
      <c r="N680" s="31" t="n"/>
      <c r="O680" s="31" t="n"/>
      <c r="P680" s="31" t="n"/>
      <c r="Q680" s="31" t="n"/>
      <c r="R680" s="34">
        <f>IFERROR(IF(AND(O680&gt;0,P680&gt;0,Q680&gt;0),(O680*P680*Q680)/6000,""),"")</f>
        <v/>
      </c>
      <c r="S680" s="34">
        <f>IFERROR(IF(AND(N680&gt;0,R680&gt;0),MAX(N680,R680),IF(N680&gt;0,N680,IF(R680&gt;0,R680,""))),"")</f>
        <v/>
      </c>
      <c r="T680" s="36" t="n"/>
      <c r="U680" s="38" t="inlineStr">
        <is>
          <t>FALTA</t>
        </is>
      </c>
      <c r="V680" s="36" t="n">
        <v>1110</v>
      </c>
      <c r="W680" s="39" t="n">
        <v>0.3</v>
      </c>
      <c r="X680" s="41">
        <f>IFERROR(V680+T680,"")</f>
        <v/>
      </c>
      <c r="Y680" s="41">
        <f>IFERROR(IF(W680&lt;1,X680/(1-W680),""),"")</f>
        <v/>
      </c>
      <c r="Z680" s="43">
        <f>'01_CONFIG_GLOBAL'!$C$14</f>
        <v/>
      </c>
      <c r="AA680" s="41">
        <f>IFERROR(Y680*Z680,"")</f>
        <v/>
      </c>
      <c r="AB680" s="41">
        <f>IFERROR(IF(Z680&lt;1,Y680/(1-Z680),""),"")</f>
        <v/>
      </c>
      <c r="AC680" s="23" t="n"/>
      <c r="AD680" s="36" t="n"/>
      <c r="AE680" s="23" t="n"/>
      <c r="AF680" s="36" t="n"/>
      <c r="AG680" s="23" t="n"/>
      <c r="AH680" s="36" t="n"/>
      <c r="AI680" s="41">
        <f>IFERROR(AVERAGE(AD680,AF680,AH680),"")</f>
        <v/>
      </c>
      <c r="AJ680" s="29">
        <f>IFERROR(IF(AI680="","sem dados",IF(AB680&lt;AI680*0.95,"abaixo",IF(AB680&gt;AI680*1.05,"acima","em linha"))),"")</f>
        <v/>
      </c>
      <c r="AK680" s="23" t="inlineStr">
        <is>
          <t>não</t>
        </is>
      </c>
      <c r="AL680" s="23" t="n"/>
      <c r="AM680" s="23" t="n"/>
      <c r="AN680" s="23" t="n"/>
      <c r="AO680" s="44">
        <f>A680</f>
        <v/>
      </c>
      <c r="AP680" s="44">
        <f>D680</f>
        <v/>
      </c>
    </row>
    <row r="681" hidden="1" ht="15.75" customHeight="1" s="93">
      <c r="A681" s="23" t="inlineStr">
        <is>
          <t>5.0220.L026857.0</t>
        </is>
      </c>
      <c r="B681" s="23" t="inlineStr">
        <is>
          <t>L026857</t>
        </is>
      </c>
      <c r="C681" s="29">
        <f>IFERROR(LOWER(SUBSTITUTE(SUBSTITUTE(SUBSTITUTE(SUBSTITUTE(D681," ","-"),"/","-"),".",""),",","")),"")</f>
        <v/>
      </c>
      <c r="D681" s="23" t="inlineStr">
        <is>
          <t>BOMBA HIDRÁULICA - APLICAÇÃO 16 B1 P1.A108/11.A/8.A113/5,5.A112.L</t>
        </is>
      </c>
      <c r="E681" s="23" t="inlineStr">
        <is>
          <t>Bombas Hidráulicas</t>
        </is>
      </c>
      <c r="F681" s="23" t="inlineStr">
        <is>
          <t>SOHIPREN</t>
        </is>
      </c>
      <c r="G681" s="23" t="n"/>
      <c r="H681" s="23" t="inlineStr">
        <is>
          <t>draft</t>
        </is>
      </c>
      <c r="I681" s="23" t="inlineStr">
        <is>
          <t>JOHN DEERE</t>
        </is>
      </c>
      <c r="J681" s="23" t="inlineStr">
        <is>
          <t>COLHEITADEIRA</t>
        </is>
      </c>
      <c r="K681" s="23" t="n"/>
      <c r="L681" s="23" t="inlineStr">
        <is>
          <t>R979016521-DQ74047</t>
        </is>
      </c>
      <c r="M681" s="31" t="n"/>
      <c r="N681" s="31" t="n"/>
      <c r="O681" s="31" t="n"/>
      <c r="P681" s="31" t="n"/>
      <c r="Q681" s="31" t="n"/>
      <c r="R681" s="34">
        <f>IFERROR(IF(AND(O681&gt;0,P681&gt;0,Q681&gt;0),(O681*P681*Q681)/6000,""),"")</f>
        <v/>
      </c>
      <c r="S681" s="34">
        <f>IFERROR(IF(AND(N681&gt;0,R681&gt;0),MAX(N681,R681),IF(N681&gt;0,N681,IF(R681&gt;0,R681,""))),"")</f>
        <v/>
      </c>
      <c r="T681" s="36" t="n"/>
      <c r="U681" s="38" t="inlineStr">
        <is>
          <t>FALTA</t>
        </is>
      </c>
      <c r="V681" s="36" t="n">
        <v>1034</v>
      </c>
      <c r="W681" s="39" t="n">
        <v>0.3</v>
      </c>
      <c r="X681" s="41">
        <f>IFERROR(V681+T681,"")</f>
        <v/>
      </c>
      <c r="Y681" s="41">
        <f>IFERROR(IF(W681&lt;1,X681/(1-W681),""),"")</f>
        <v/>
      </c>
      <c r="Z681" s="43">
        <f>'01_CONFIG_GLOBAL'!$C$14</f>
        <v/>
      </c>
      <c r="AA681" s="41">
        <f>IFERROR(Y681*Z681,"")</f>
        <v/>
      </c>
      <c r="AB681" s="41">
        <f>IFERROR(IF(Z681&lt;1,Y681/(1-Z681),""),"")</f>
        <v/>
      </c>
      <c r="AC681" s="23" t="n"/>
      <c r="AD681" s="36" t="n"/>
      <c r="AE681" s="23" t="n"/>
      <c r="AF681" s="36" t="n"/>
      <c r="AG681" s="23" t="n"/>
      <c r="AH681" s="36" t="n"/>
      <c r="AI681" s="41">
        <f>IFERROR(AVERAGE(AD681,AF681,AH681),"")</f>
        <v/>
      </c>
      <c r="AJ681" s="29">
        <f>IFERROR(IF(AI681="","sem dados",IF(AB681&lt;AI681*0.95,"abaixo",IF(AB681&gt;AI681*1.05,"acima","em linha"))),"")</f>
        <v/>
      </c>
      <c r="AK681" s="23" t="inlineStr">
        <is>
          <t>não</t>
        </is>
      </c>
      <c r="AL681" s="23" t="n"/>
      <c r="AM681" s="23" t="n"/>
      <c r="AN681" s="23" t="n"/>
      <c r="AO681" s="44">
        <f>A681</f>
        <v/>
      </c>
      <c r="AP681" s="44">
        <f>D681</f>
        <v/>
      </c>
    </row>
    <row r="682" hidden="1" ht="15.75" customHeight="1" s="93">
      <c r="A682" s="23" t="inlineStr">
        <is>
          <t>5.5210.L026864.0</t>
        </is>
      </c>
      <c r="B682" s="23" t="inlineStr">
        <is>
          <t>L026864</t>
        </is>
      </c>
      <c r="C682" s="29">
        <f>IFERROR(LOWER(SUBSTITUTE(SUBSTITUTE(SUBSTITUTE(SUBSTITUTE(D682," ","-"),"/","-"),".",""),",","")),"")</f>
        <v/>
      </c>
      <c r="D682" s="23" t="inlineStr">
        <is>
          <t>MRBO 22,5 F101.C104.C115.M102</t>
        </is>
      </c>
      <c r="E682" s="23" t="n"/>
      <c r="F682" s="23" t="inlineStr">
        <is>
          <t>SOHIPREN</t>
        </is>
      </c>
      <c r="G682" s="23" t="n"/>
      <c r="H682" s="23" t="inlineStr">
        <is>
          <t>draft</t>
        </is>
      </c>
      <c r="I682" s="23" t="inlineStr">
        <is>
          <t>JOHN DEERE</t>
        </is>
      </c>
      <c r="J682" s="23" t="inlineStr">
        <is>
          <t>CARREGADEIRA</t>
        </is>
      </c>
      <c r="K682" s="23" t="inlineStr">
        <is>
          <t>MOTOR FUN DRIVE</t>
        </is>
      </c>
      <c r="L682" s="23" t="inlineStr">
        <is>
          <t>AT226404/224323</t>
        </is>
      </c>
      <c r="M682" s="31" t="n"/>
      <c r="N682" s="31" t="n"/>
      <c r="O682" s="31" t="n"/>
      <c r="P682" s="31" t="n"/>
      <c r="Q682" s="31" t="n"/>
      <c r="R682" s="34">
        <f>IFERROR(IF(AND(O682&gt;0,P682&gt;0,Q682&gt;0),(O682*P682*Q682)/6000,""),"")</f>
        <v/>
      </c>
      <c r="S682" s="34">
        <f>IFERROR(IF(AND(N682&gt;0,R682&gt;0),MAX(N682,R682),IF(N682&gt;0,N682,IF(R682&gt;0,R682,""))),"")</f>
        <v/>
      </c>
      <c r="T682" s="36" t="n"/>
      <c r="U682" s="38" t="inlineStr">
        <is>
          <t>FALTA</t>
        </is>
      </c>
      <c r="V682" s="36" t="n">
        <v>572</v>
      </c>
      <c r="W682" s="39" t="n">
        <v>0.3</v>
      </c>
      <c r="X682" s="41">
        <f>IFERROR(V682+T682,"")</f>
        <v/>
      </c>
      <c r="Y682" s="41">
        <f>IFERROR(IF(W682&lt;1,X682/(1-W682),""),"")</f>
        <v/>
      </c>
      <c r="Z682" s="43">
        <f>'01_CONFIG_GLOBAL'!$C$14</f>
        <v/>
      </c>
      <c r="AA682" s="41">
        <f>IFERROR(Y682*Z682,"")</f>
        <v/>
      </c>
      <c r="AB682" s="41">
        <f>IFERROR(IF(Z682&lt;1,Y682/(1-Z682),""),"")</f>
        <v/>
      </c>
      <c r="AC682" s="23" t="n"/>
      <c r="AD682" s="36" t="n"/>
      <c r="AE682" s="23" t="n"/>
      <c r="AF682" s="36" t="n"/>
      <c r="AG682" s="23" t="n"/>
      <c r="AH682" s="36" t="n"/>
      <c r="AI682" s="41">
        <f>IFERROR(AVERAGE(AD682,AF682,AH682),"")</f>
        <v/>
      </c>
      <c r="AJ682" s="29">
        <f>IFERROR(IF(AI682="","sem dados",IF(AB682&lt;AI682*0.95,"abaixo",IF(AB682&gt;AI682*1.05,"acima","em linha"))),"")</f>
        <v/>
      </c>
      <c r="AK682" s="23" t="inlineStr">
        <is>
          <t>não</t>
        </is>
      </c>
      <c r="AL682" s="23" t="n"/>
      <c r="AM682" s="23" t="n"/>
      <c r="AN682" s="23" t="n"/>
      <c r="AO682" s="44">
        <f>A682</f>
        <v/>
      </c>
      <c r="AP682" s="44">
        <f>D682</f>
        <v/>
      </c>
    </row>
    <row r="683" hidden="1" ht="15.75" customHeight="1" s="93">
      <c r="A683" s="23" t="inlineStr">
        <is>
          <t>5.1301.L026700.0</t>
        </is>
      </c>
      <c r="B683" s="23" t="inlineStr">
        <is>
          <t>L026700</t>
        </is>
      </c>
      <c r="C683" s="29">
        <f>IFERROR(LOWER(SUBSTITUTE(SUBSTITUTE(SUBSTITUTE(SUBSTITUTE(D683," ","-"),"/","-"),".",""),",","")),"")</f>
        <v/>
      </c>
      <c r="D683" s="23" t="inlineStr">
        <is>
          <t>BOMBA PISTOES 45-RPF1-R-B-C-1-B-SD-RP-1-T (TD Z9)</t>
        </is>
      </c>
      <c r="E683" s="23" t="inlineStr">
        <is>
          <t>Bombas Hidráulicas</t>
        </is>
      </c>
      <c r="F683" s="23" t="inlineStr">
        <is>
          <t>SOHIPREN</t>
        </is>
      </c>
      <c r="G683" s="23" t="n"/>
      <c r="H683" s="23" t="inlineStr">
        <is>
          <t>draft</t>
        </is>
      </c>
      <c r="I683" s="23" t="inlineStr">
        <is>
          <t>JOHN DEERE</t>
        </is>
      </c>
      <c r="J683" s="23" t="inlineStr">
        <is>
          <t>TRATOR</t>
        </is>
      </c>
      <c r="K683" s="23" t="inlineStr">
        <is>
          <t>LEVANTE E TOMADA DE FORÇA</t>
        </is>
      </c>
      <c r="L683" s="23" t="inlineStr">
        <is>
          <t>AL166639</t>
        </is>
      </c>
      <c r="M683" s="31" t="n"/>
      <c r="N683" s="31" t="n"/>
      <c r="O683" s="31" t="n"/>
      <c r="P683" s="31" t="n"/>
      <c r="Q683" s="31" t="n"/>
      <c r="R683" s="34">
        <f>IFERROR(IF(AND(O683&gt;0,P683&gt;0,Q683&gt;0),(O683*P683*Q683)/6000,""),"")</f>
        <v/>
      </c>
      <c r="S683" s="34">
        <f>IFERROR(IF(AND(N683&gt;0,R683&gt;0),MAX(N683,R683),IF(N683&gt;0,N683,IF(R683&gt;0,R683,""))),"")</f>
        <v/>
      </c>
      <c r="T683" s="36" t="n"/>
      <c r="U683" s="38" t="inlineStr">
        <is>
          <t>FALTA</t>
        </is>
      </c>
      <c r="V683" s="36" t="n">
        <v>9149.799999999999</v>
      </c>
      <c r="W683" s="39" t="n">
        <v>0.3</v>
      </c>
      <c r="X683" s="41">
        <f>IFERROR(V683+T683,"")</f>
        <v/>
      </c>
      <c r="Y683" s="41">
        <f>IFERROR(IF(W683&lt;1,X683/(1-W683),""),"")</f>
        <v/>
      </c>
      <c r="Z683" s="43">
        <f>'01_CONFIG_GLOBAL'!$C$14</f>
        <v/>
      </c>
      <c r="AA683" s="41">
        <f>IFERROR(Y683*Z683,"")</f>
        <v/>
      </c>
      <c r="AB683" s="41">
        <f>IFERROR(IF(Z683&lt;1,Y683/(1-Z683),""),"")</f>
        <v/>
      </c>
      <c r="AC683" s="23" t="n"/>
      <c r="AD683" s="36" t="n"/>
      <c r="AE683" s="23" t="n"/>
      <c r="AF683" s="36" t="n"/>
      <c r="AG683" s="23" t="n"/>
      <c r="AH683" s="36" t="n"/>
      <c r="AI683" s="41">
        <f>IFERROR(AVERAGE(AD683,AF683,AH683),"")</f>
        <v/>
      </c>
      <c r="AJ683" s="29">
        <f>IFERROR(IF(AI683="","sem dados",IF(AB683&lt;AI683*0.95,"abaixo",IF(AB683&gt;AI683*1.05,"acima","em linha"))),"")</f>
        <v/>
      </c>
      <c r="AK683" s="23" t="inlineStr">
        <is>
          <t>não</t>
        </is>
      </c>
      <c r="AL683" s="23" t="n"/>
      <c r="AM683" s="23" t="n"/>
      <c r="AN683" s="23" t="n"/>
      <c r="AO683" s="44">
        <f>A683</f>
        <v/>
      </c>
      <c r="AP683" s="44">
        <f>D683</f>
        <v/>
      </c>
    </row>
    <row r="684" hidden="1" ht="15.75" customHeight="1" s="93">
      <c r="A684" s="23" t="inlineStr">
        <is>
          <t>5.1301.L026703.0</t>
        </is>
      </c>
      <c r="B684" s="23" t="inlineStr">
        <is>
          <t>L026703</t>
        </is>
      </c>
      <c r="C684" s="29">
        <f>IFERROR(LOWER(SUBSTITUTE(SUBSTITUTE(SUBSTITUTE(SUBSTITUTE(D684," ","-"),"/","-"),".",""),",","")),"")</f>
        <v/>
      </c>
      <c r="D684" s="23" t="inlineStr">
        <is>
          <t>BOMBA PISTOES 71-RPF1-R-B-C-1-B-SD-RP-1-T (TD Z13)</t>
        </is>
      </c>
      <c r="E684" s="23" t="inlineStr">
        <is>
          <t>Bombas Hidráulicas</t>
        </is>
      </c>
      <c r="F684" s="23" t="inlineStr">
        <is>
          <t>SOHIPREN</t>
        </is>
      </c>
      <c r="G684" s="23" t="n"/>
      <c r="H684" s="23" t="inlineStr">
        <is>
          <t>draft</t>
        </is>
      </c>
      <c r="I684" s="23" t="inlineStr">
        <is>
          <t>JOHN DEERE</t>
        </is>
      </c>
      <c r="J684" s="23" t="inlineStr">
        <is>
          <t>TRATOR</t>
        </is>
      </c>
      <c r="K684" s="23" t="inlineStr">
        <is>
          <t>LEVANTE E TOMADA DE FORÇA</t>
        </is>
      </c>
      <c r="L684" s="23" t="inlineStr">
        <is>
          <t>AL166639/CP09470</t>
        </is>
      </c>
      <c r="M684" s="31" t="n"/>
      <c r="N684" s="31" t="n"/>
      <c r="O684" s="31" t="n"/>
      <c r="P684" s="31" t="n"/>
      <c r="Q684" s="31" t="n"/>
      <c r="R684" s="34">
        <f>IFERROR(IF(AND(O684&gt;0,P684&gt;0,Q684&gt;0),(O684*P684*Q684)/6000,""),"")</f>
        <v/>
      </c>
      <c r="S684" s="34">
        <f>IFERROR(IF(AND(N684&gt;0,R684&gt;0),MAX(N684,R684),IF(N684&gt;0,N684,IF(R684&gt;0,R684,""))),"")</f>
        <v/>
      </c>
      <c r="T684" s="36" t="n"/>
      <c r="U684" s="38" t="inlineStr">
        <is>
          <t>FALTA</t>
        </is>
      </c>
      <c r="V684" s="36" t="n">
        <v>1497.38</v>
      </c>
      <c r="W684" s="39" t="n">
        <v>0.3</v>
      </c>
      <c r="X684" s="41">
        <f>IFERROR(V684+T684,"")</f>
        <v/>
      </c>
      <c r="Y684" s="41">
        <f>IFERROR(IF(W684&lt;1,X684/(1-W684),""),"")</f>
        <v/>
      </c>
      <c r="Z684" s="43">
        <f>'01_CONFIG_GLOBAL'!$C$14</f>
        <v/>
      </c>
      <c r="AA684" s="41">
        <f>IFERROR(Y684*Z684,"")</f>
        <v/>
      </c>
      <c r="AB684" s="41">
        <f>IFERROR(IF(Z684&lt;1,Y684/(1-Z684),""),"")</f>
        <v/>
      </c>
      <c r="AC684" s="23" t="n"/>
      <c r="AD684" s="36" t="n"/>
      <c r="AE684" s="23" t="n"/>
      <c r="AF684" s="36" t="n"/>
      <c r="AG684" s="23" t="n"/>
      <c r="AH684" s="36" t="n"/>
      <c r="AI684" s="41">
        <f>IFERROR(AVERAGE(AD684,AF684,AH684),"")</f>
        <v/>
      </c>
      <c r="AJ684" s="29">
        <f>IFERROR(IF(AI684="","sem dados",IF(AB684&lt;AI684*0.95,"abaixo",IF(AB684&gt;AI684*1.05,"acima","em linha"))),"")</f>
        <v/>
      </c>
      <c r="AK684" s="23" t="inlineStr">
        <is>
          <t>não</t>
        </is>
      </c>
      <c r="AL684" s="23" t="n"/>
      <c r="AM684" s="23" t="n"/>
      <c r="AN684" s="23" t="n"/>
      <c r="AO684" s="44">
        <f>A684</f>
        <v/>
      </c>
      <c r="AP684" s="44">
        <f>D684</f>
        <v/>
      </c>
    </row>
    <row r="685" hidden="1" ht="15.75" customHeight="1" s="93">
      <c r="A685" s="23" t="inlineStr">
        <is>
          <t>5.1301.L026777.1</t>
        </is>
      </c>
      <c r="B685" s="23" t="inlineStr">
        <is>
          <t>L026777</t>
        </is>
      </c>
      <c r="C685" s="29">
        <f>IFERROR(LOWER(SUBSTITUTE(SUBSTITUTE(SUBSTITUTE(SUBSTITUTE(D685," ","-"),"/","-"),".",""),",","")),"")</f>
        <v/>
      </c>
      <c r="D685" s="23" t="inlineStr">
        <is>
          <t>BOMBA PISTOES S15 RH11TC/ VALV ALTA A-9T</t>
        </is>
      </c>
      <c r="E685" s="23" t="inlineStr">
        <is>
          <t>Bombas Hidráulicas</t>
        </is>
      </c>
      <c r="F685" s="23" t="inlineStr">
        <is>
          <t>SOHIPREN</t>
        </is>
      </c>
      <c r="G685" s="23" t="n"/>
      <c r="H685" s="23" t="inlineStr">
        <is>
          <t>draft</t>
        </is>
      </c>
      <c r="I685" s="23" t="inlineStr">
        <is>
          <t>JOHN DEERE</t>
        </is>
      </c>
      <c r="J685" s="23" t="inlineStr">
        <is>
          <t>TRATOR</t>
        </is>
      </c>
      <c r="K685" s="23" t="inlineStr">
        <is>
          <t>LEVANTE E TOMADA DE FORÇA</t>
        </is>
      </c>
      <c r="L685" s="23" t="inlineStr">
        <is>
          <t>AL166639/CP04806</t>
        </is>
      </c>
      <c r="M685" s="31" t="n"/>
      <c r="N685" s="31" t="n"/>
      <c r="O685" s="31" t="n"/>
      <c r="P685" s="31" t="n"/>
      <c r="Q685" s="31" t="n"/>
      <c r="R685" s="34">
        <f>IFERROR(IF(AND(O685&gt;0,P685&gt;0,Q685&gt;0),(O685*P685*Q685)/6000,""),"")</f>
        <v/>
      </c>
      <c r="S685" s="34">
        <f>IFERROR(IF(AND(N685&gt;0,R685&gt;0),MAX(N685,R685),IF(N685&gt;0,N685,IF(R685&gt;0,R685,""))),"")</f>
        <v/>
      </c>
      <c r="T685" s="36" t="n"/>
      <c r="U685" s="38" t="inlineStr">
        <is>
          <t>FALTA</t>
        </is>
      </c>
      <c r="V685" s="36" t="n">
        <v>5100</v>
      </c>
      <c r="W685" s="39" t="n">
        <v>0.3</v>
      </c>
      <c r="X685" s="41">
        <f>IFERROR(V685+T685,"")</f>
        <v/>
      </c>
      <c r="Y685" s="41">
        <f>IFERROR(IF(W685&lt;1,X685/(1-W685),""),"")</f>
        <v/>
      </c>
      <c r="Z685" s="43">
        <f>'01_CONFIG_GLOBAL'!$C$14</f>
        <v/>
      </c>
      <c r="AA685" s="41">
        <f>IFERROR(Y685*Z685,"")</f>
        <v/>
      </c>
      <c r="AB685" s="41">
        <f>IFERROR(IF(Z685&lt;1,Y685/(1-Z685),""),"")</f>
        <v/>
      </c>
      <c r="AC685" s="23" t="n"/>
      <c r="AD685" s="36" t="n"/>
      <c r="AE685" s="23" t="n"/>
      <c r="AF685" s="36" t="n"/>
      <c r="AG685" s="23" t="n"/>
      <c r="AH685" s="36" t="n"/>
      <c r="AI685" s="41">
        <f>IFERROR(AVERAGE(AD685,AF685,AH685),"")</f>
        <v/>
      </c>
      <c r="AJ685" s="29">
        <f>IFERROR(IF(AI685="","sem dados",IF(AB685&lt;AI685*0.95,"abaixo",IF(AB685&gt;AI685*1.05,"acima","em linha"))),"")</f>
        <v/>
      </c>
      <c r="AK685" s="23" t="inlineStr">
        <is>
          <t>não</t>
        </is>
      </c>
      <c r="AL685" s="23" t="n"/>
      <c r="AM685" s="23" t="n"/>
      <c r="AN685" s="23" t="n"/>
      <c r="AO685" s="44">
        <f>A685</f>
        <v/>
      </c>
      <c r="AP685" s="44">
        <f>D685</f>
        <v/>
      </c>
    </row>
    <row r="686" hidden="1" ht="15.75" customHeight="1" s="93">
      <c r="A686" s="23" t="inlineStr">
        <is>
          <t>5.0220.0547750.0</t>
        </is>
      </c>
      <c r="B686" s="23" t="inlineStr">
        <is>
          <t>547750</t>
        </is>
      </c>
      <c r="C686" s="29">
        <f>IFERROR(LOWER(SUBSTITUTE(SUBSTITUTE(SUBSTITUTE(SUBSTITUTE(D686," ","-"),"/","-"),".",""),",","")),"")</f>
        <v/>
      </c>
      <c r="D686" s="23" t="inlineStr">
        <is>
          <t>BOMBA HIDRÁULICA - APLICAÇÃO 19 B16.C17.C13/11 C15.L3</t>
        </is>
      </c>
      <c r="E686" s="23" t="inlineStr">
        <is>
          <t>Bombas Hidráulicas</t>
        </is>
      </c>
      <c r="F686" s="23" t="inlineStr">
        <is>
          <t>SOHIPREN</t>
        </is>
      </c>
      <c r="G686" s="23" t="n"/>
      <c r="H686" s="23" t="inlineStr">
        <is>
          <t>draft</t>
        </is>
      </c>
      <c r="I686" s="23" t="inlineStr">
        <is>
          <t>JOHN DEERE</t>
        </is>
      </c>
      <c r="J686" s="23" t="inlineStr">
        <is>
          <t>TRATOR</t>
        </is>
      </c>
      <c r="K686" s="23" t="inlineStr">
        <is>
          <t>PRINCIPAL</t>
        </is>
      </c>
      <c r="L686" s="23" t="n"/>
      <c r="M686" s="31" t="n"/>
      <c r="N686" s="31" t="n"/>
      <c r="O686" s="31" t="n"/>
      <c r="P686" s="31" t="n"/>
      <c r="Q686" s="31" t="n"/>
      <c r="R686" s="34">
        <f>IFERROR(IF(AND(O686&gt;0,P686&gt;0,Q686&gt;0),(O686*P686*Q686)/6000,""),"")</f>
        <v/>
      </c>
      <c r="S686" s="34">
        <f>IFERROR(IF(AND(N686&gt;0,R686&gt;0),MAX(N686,R686),IF(N686&gt;0,N686,IF(R686&gt;0,R686,""))),"")</f>
        <v/>
      </c>
      <c r="T686" s="36" t="n"/>
      <c r="U686" s="38" t="inlineStr">
        <is>
          <t>FALTA</t>
        </is>
      </c>
      <c r="V686" s="36" t="n">
        <v>1330</v>
      </c>
      <c r="W686" s="39" t="n">
        <v>0.3</v>
      </c>
      <c r="X686" s="41">
        <f>IFERROR(V686+T686,"")</f>
        <v/>
      </c>
      <c r="Y686" s="41">
        <f>IFERROR(IF(W686&lt;1,X686/(1-W686),""),"")</f>
        <v/>
      </c>
      <c r="Z686" s="43">
        <f>'01_CONFIG_GLOBAL'!$C$14</f>
        <v/>
      </c>
      <c r="AA686" s="41">
        <f>IFERROR(Y686*Z686,"")</f>
        <v/>
      </c>
      <c r="AB686" s="41">
        <f>IFERROR(IF(Z686&lt;1,Y686/(1-Z686),""),"")</f>
        <v/>
      </c>
      <c r="AC686" s="23" t="n"/>
      <c r="AD686" s="36" t="n"/>
      <c r="AE686" s="23" t="n"/>
      <c r="AF686" s="36" t="n"/>
      <c r="AG686" s="23" t="n"/>
      <c r="AH686" s="36" t="n"/>
      <c r="AI686" s="41">
        <f>IFERROR(AVERAGE(AD686,AF686,AH686),"")</f>
        <v/>
      </c>
      <c r="AJ686" s="29">
        <f>IFERROR(IF(AI686="","sem dados",IF(AB686&lt;AI686*0.95,"abaixo",IF(AB686&gt;AI686*1.05,"acima","em linha"))),"")</f>
        <v/>
      </c>
      <c r="AK686" s="23" t="inlineStr">
        <is>
          <t>não</t>
        </is>
      </c>
      <c r="AL686" s="23" t="n"/>
      <c r="AM686" s="23" t="n"/>
      <c r="AN686" s="23" t="n"/>
      <c r="AO686" s="44">
        <f>A686</f>
        <v/>
      </c>
      <c r="AP686" s="44">
        <f>D686</f>
        <v/>
      </c>
    </row>
    <row r="687" hidden="1" ht="15.75" customHeight="1" s="93">
      <c r="A687" s="23" t="inlineStr">
        <is>
          <t>5.0231.0547678.0</t>
        </is>
      </c>
      <c r="B687" s="23" t="inlineStr">
        <is>
          <t>547678</t>
        </is>
      </c>
      <c r="C687" s="29">
        <f>IFERROR(LOWER(SUBSTITUTE(SUBSTITUTE(SUBSTITUTE(SUBSTITUTE(D687," ","-"),"/","-"),".",""),",","")),"")</f>
        <v/>
      </c>
      <c r="D687" s="23" t="inlineStr">
        <is>
          <t>KIT.BO.4.A.A</t>
        </is>
      </c>
      <c r="E687" s="23" t="n"/>
      <c r="F687" s="23" t="inlineStr">
        <is>
          <t>SOHIPREN</t>
        </is>
      </c>
      <c r="G687" s="23" t="n"/>
      <c r="H687" s="23" t="inlineStr">
        <is>
          <t>draft</t>
        </is>
      </c>
      <c r="I687" s="23" t="inlineStr">
        <is>
          <t>JOHN DEERE</t>
        </is>
      </c>
      <c r="J687" s="23" t="inlineStr">
        <is>
          <t>COLHEDEIRA SLC</t>
        </is>
      </c>
      <c r="K687" s="23" t="inlineStr">
        <is>
          <t>DIREÇÃO</t>
        </is>
      </c>
      <c r="L687" s="23" t="n"/>
      <c r="M687" s="31" t="n"/>
      <c r="N687" s="31" t="n"/>
      <c r="O687" s="31" t="n"/>
      <c r="P687" s="31" t="n"/>
      <c r="Q687" s="31" t="n"/>
      <c r="R687" s="34">
        <f>IFERROR(IF(AND(O687&gt;0,P687&gt;0,Q687&gt;0),(O687*P687*Q687)/6000,""),"")</f>
        <v/>
      </c>
      <c r="S687" s="34">
        <f>IFERROR(IF(AND(N687&gt;0,R687&gt;0),MAX(N687,R687),IF(N687&gt;0,N687,IF(R687&gt;0,R687,""))),"")</f>
        <v/>
      </c>
      <c r="T687" s="36" t="n"/>
      <c r="U687" s="38" t="inlineStr">
        <is>
          <t>FALTA</t>
        </is>
      </c>
      <c r="V687" s="36" t="n">
        <v>438.9</v>
      </c>
      <c r="W687" s="39" t="n">
        <v>0.3</v>
      </c>
      <c r="X687" s="41">
        <f>IFERROR(V687+T687,"")</f>
        <v/>
      </c>
      <c r="Y687" s="41">
        <f>IFERROR(IF(W687&lt;1,X687/(1-W687),""),"")</f>
        <v/>
      </c>
      <c r="Z687" s="43">
        <f>'01_CONFIG_GLOBAL'!$C$14</f>
        <v/>
      </c>
      <c r="AA687" s="41">
        <f>IFERROR(Y687*Z687,"")</f>
        <v/>
      </c>
      <c r="AB687" s="41">
        <f>IFERROR(IF(Z687&lt;1,Y687/(1-Z687),""),"")</f>
        <v/>
      </c>
      <c r="AC687" s="23" t="n"/>
      <c r="AD687" s="36" t="n"/>
      <c r="AE687" s="23" t="n"/>
      <c r="AF687" s="36" t="n"/>
      <c r="AG687" s="23" t="n"/>
      <c r="AH687" s="36" t="n"/>
      <c r="AI687" s="41">
        <f>IFERROR(AVERAGE(AD687,AF687,AH687),"")</f>
        <v/>
      </c>
      <c r="AJ687" s="29">
        <f>IFERROR(IF(AI687="","sem dados",IF(AB687&lt;AI687*0.95,"abaixo",IF(AB687&gt;AI687*1.05,"acima","em linha"))),"")</f>
        <v/>
      </c>
      <c r="AK687" s="23" t="inlineStr">
        <is>
          <t>não</t>
        </is>
      </c>
      <c r="AL687" s="23" t="n"/>
      <c r="AM687" s="23" t="n"/>
      <c r="AN687" s="23" t="n"/>
      <c r="AO687" s="44">
        <f>A687</f>
        <v/>
      </c>
      <c r="AP687" s="44">
        <f>D687</f>
        <v/>
      </c>
    </row>
    <row r="688" hidden="1" ht="15.75" customHeight="1" s="93">
      <c r="A688" s="23" t="inlineStr">
        <is>
          <t>5.0220.0547219.0</t>
        </is>
      </c>
      <c r="B688" s="23" t="inlineStr">
        <is>
          <t>547219</t>
        </is>
      </c>
      <c r="C688" s="29">
        <f>IFERROR(LOWER(SUBSTITUTE(SUBSTITUTE(SUBSTITUTE(SUBSTITUTE(D688," ","-"),"/","-"),".",""),",","")),"")</f>
        <v/>
      </c>
      <c r="D688" s="23" t="inlineStr">
        <is>
          <t>BOMBA HIDRÁULICA - APLICAÇÃO 11 B9.P4.A42/11 A42/4 A2.L1</t>
        </is>
      </c>
      <c r="E688" s="23" t="inlineStr">
        <is>
          <t>Bombas Hidráulicas</t>
        </is>
      </c>
      <c r="F688" s="23" t="inlineStr">
        <is>
          <t>SOHIPREN</t>
        </is>
      </c>
      <c r="G688" s="23" t="n"/>
      <c r="H688" s="23" t="inlineStr">
        <is>
          <t>draft</t>
        </is>
      </c>
      <c r="I688" s="23" t="inlineStr">
        <is>
          <t>JOHN DEERE</t>
        </is>
      </c>
      <c r="J688" s="23" t="inlineStr">
        <is>
          <t>COLHEDEIRA</t>
        </is>
      </c>
      <c r="K688" s="23" t="inlineStr">
        <is>
          <t>DIRECAO/MOLINETE</t>
        </is>
      </c>
      <c r="L688" s="23" t="inlineStr">
        <is>
          <t>DQ12014</t>
        </is>
      </c>
      <c r="M688" s="31" t="n"/>
      <c r="N688" s="31" t="n"/>
      <c r="O688" s="31" t="n"/>
      <c r="P688" s="31" t="n"/>
      <c r="Q688" s="31" t="n"/>
      <c r="R688" s="34">
        <f>IFERROR(IF(AND(O688&gt;0,P688&gt;0,Q688&gt;0),(O688*P688*Q688)/6000,""),"")</f>
        <v/>
      </c>
      <c r="S688" s="34">
        <f>IFERROR(IF(AND(N688&gt;0,R688&gt;0),MAX(N688,R688),IF(N688&gt;0,N688,IF(R688&gt;0,R688,""))),"")</f>
        <v/>
      </c>
      <c r="T688" s="36" t="n"/>
      <c r="U688" s="38" t="inlineStr">
        <is>
          <t>FALTA</t>
        </is>
      </c>
      <c r="V688" s="36" t="n">
        <v>1210</v>
      </c>
      <c r="W688" s="39" t="n">
        <v>0.3</v>
      </c>
      <c r="X688" s="41">
        <f>IFERROR(V688+T688,"")</f>
        <v/>
      </c>
      <c r="Y688" s="41">
        <f>IFERROR(IF(W688&lt;1,X688/(1-W688),""),"")</f>
        <v/>
      </c>
      <c r="Z688" s="43">
        <f>'01_CONFIG_GLOBAL'!$C$14</f>
        <v/>
      </c>
      <c r="AA688" s="41">
        <f>IFERROR(Y688*Z688,"")</f>
        <v/>
      </c>
      <c r="AB688" s="41">
        <f>IFERROR(IF(Z688&lt;1,Y688/(1-Z688),""),"")</f>
        <v/>
      </c>
      <c r="AC688" s="23" t="n"/>
      <c r="AD688" s="36" t="n"/>
      <c r="AE688" s="23" t="n"/>
      <c r="AF688" s="36" t="n"/>
      <c r="AG688" s="23" t="n"/>
      <c r="AH688" s="36" t="n"/>
      <c r="AI688" s="41">
        <f>IFERROR(AVERAGE(AD688,AF688,AH688),"")</f>
        <v/>
      </c>
      <c r="AJ688" s="29">
        <f>IFERROR(IF(AI688="","sem dados",IF(AB688&lt;AI688*0.95,"abaixo",IF(AB688&gt;AI688*1.05,"acima","em linha"))),"")</f>
        <v/>
      </c>
      <c r="AK688" s="23" t="inlineStr">
        <is>
          <t>não</t>
        </is>
      </c>
      <c r="AL688" s="23" t="n"/>
      <c r="AM688" s="23" t="n"/>
      <c r="AN688" s="23" t="n"/>
      <c r="AO688" s="44">
        <f>A688</f>
        <v/>
      </c>
      <c r="AP688" s="44">
        <f>D688</f>
        <v/>
      </c>
    </row>
    <row r="689" hidden="1" ht="15.75" customHeight="1" s="93">
      <c r="A689" s="23" t="inlineStr">
        <is>
          <t>5.0220.0547210.0</t>
        </is>
      </c>
      <c r="B689" s="23" t="inlineStr">
        <is>
          <t>547210</t>
        </is>
      </c>
      <c r="C689" s="29">
        <f>IFERROR(LOWER(SUBSTITUTE(SUBSTITUTE(SUBSTITUTE(SUBSTITUTE(D689," ","-"),"/","-"),".",""),",","")),"")</f>
        <v/>
      </c>
      <c r="D689" s="23" t="inlineStr">
        <is>
          <t>BOMBA HIDRÁULICA - APLICAÇÃO 11 F4.A2.A42/4 A2.T2  -80 BAR (PLACA H15)</t>
        </is>
      </c>
      <c r="E689" s="23" t="inlineStr">
        <is>
          <t>Bombas Hidráulicas</t>
        </is>
      </c>
      <c r="F689" s="23" t="inlineStr">
        <is>
          <t>SOHIPREN</t>
        </is>
      </c>
      <c r="G689" s="23" t="n"/>
      <c r="H689" s="23" t="inlineStr">
        <is>
          <t>draft</t>
        </is>
      </c>
      <c r="I689" s="23" t="inlineStr">
        <is>
          <t>JOHN DEERE</t>
        </is>
      </c>
      <c r="J689" s="23" t="inlineStr">
        <is>
          <t>COLHEDEIRA</t>
        </is>
      </c>
      <c r="K689" s="23" t="inlineStr">
        <is>
          <t>ACION. MOLINETE</t>
        </is>
      </c>
      <c r="L689" s="23" t="inlineStr">
        <is>
          <t>DQ03488</t>
        </is>
      </c>
      <c r="M689" s="31" t="n"/>
      <c r="N689" s="31" t="n"/>
      <c r="O689" s="31" t="n"/>
      <c r="P689" s="31" t="n"/>
      <c r="Q689" s="31" t="n"/>
      <c r="R689" s="34">
        <f>IFERROR(IF(AND(O689&gt;0,P689&gt;0,Q689&gt;0),(O689*P689*Q689)/6000,""),"")</f>
        <v/>
      </c>
      <c r="S689" s="34">
        <f>IFERROR(IF(AND(N689&gt;0,R689&gt;0),MAX(N689,R689),IF(N689&gt;0,N689,IF(R689&gt;0,R689,""))),"")</f>
        <v/>
      </c>
      <c r="T689" s="36" t="n"/>
      <c r="U689" s="38" t="inlineStr">
        <is>
          <t>FALTA</t>
        </is>
      </c>
      <c r="V689" s="36" t="n">
        <v>1132</v>
      </c>
      <c r="W689" s="39" t="n">
        <v>0.3</v>
      </c>
      <c r="X689" s="41">
        <f>IFERROR(V689+T689,"")</f>
        <v/>
      </c>
      <c r="Y689" s="41">
        <f>IFERROR(IF(W689&lt;1,X689/(1-W689),""),"")</f>
        <v/>
      </c>
      <c r="Z689" s="43">
        <f>'01_CONFIG_GLOBAL'!$C$14</f>
        <v/>
      </c>
      <c r="AA689" s="41">
        <f>IFERROR(Y689*Z689,"")</f>
        <v/>
      </c>
      <c r="AB689" s="41">
        <f>IFERROR(IF(Z689&lt;1,Y689/(1-Z689),""),"")</f>
        <v/>
      </c>
      <c r="AC689" s="23" t="n"/>
      <c r="AD689" s="36" t="n"/>
      <c r="AE689" s="23" t="n"/>
      <c r="AF689" s="36" t="n"/>
      <c r="AG689" s="23" t="n"/>
      <c r="AH689" s="36" t="n"/>
      <c r="AI689" s="41">
        <f>IFERROR(AVERAGE(AD689,AF689,AH689),"")</f>
        <v/>
      </c>
      <c r="AJ689" s="29">
        <f>IFERROR(IF(AI689="","sem dados",IF(AB689&lt;AI689*0.95,"abaixo",IF(AB689&gt;AI689*1.05,"acima","em linha"))),"")</f>
        <v/>
      </c>
      <c r="AK689" s="23" t="inlineStr">
        <is>
          <t>não</t>
        </is>
      </c>
      <c r="AL689" s="23" t="n"/>
      <c r="AM689" s="23" t="n"/>
      <c r="AN689" s="23" t="n"/>
      <c r="AO689" s="44">
        <f>A689</f>
        <v/>
      </c>
      <c r="AP689" s="44">
        <f>D689</f>
        <v/>
      </c>
    </row>
    <row r="690" hidden="1" ht="15.75" customHeight="1" s="93">
      <c r="A690" s="23" t="inlineStr">
        <is>
          <t>5.0235.0547412.0</t>
        </is>
      </c>
      <c r="B690" s="23" t="inlineStr">
        <is>
          <t>547412</t>
        </is>
      </c>
      <c r="C690" s="29">
        <f>IFERROR(LOWER(SUBSTITUTE(SUBSTITUTE(SUBSTITUTE(SUBSTITUTE(D690," ","-"),"/","-"),".",""),",","")),"")</f>
        <v/>
      </c>
      <c r="D690" s="23" t="inlineStr">
        <is>
          <t>KIT.BO.11.A1.A42</t>
        </is>
      </c>
      <c r="E690" s="23" t="n"/>
      <c r="F690" s="23" t="inlineStr">
        <is>
          <t>SOHIPREN</t>
        </is>
      </c>
      <c r="G690" s="23" t="n"/>
      <c r="H690" s="23" t="inlineStr">
        <is>
          <t>draft</t>
        </is>
      </c>
      <c r="I690" s="23" t="inlineStr">
        <is>
          <t>JOHN DEERE</t>
        </is>
      </c>
      <c r="J690" s="23" t="inlineStr">
        <is>
          <t>COLHEIDEIRA SLC</t>
        </is>
      </c>
      <c r="K690" s="23" t="inlineStr">
        <is>
          <t>HIDRAULICO</t>
        </is>
      </c>
      <c r="L690" s="23" t="n"/>
      <c r="M690" s="31" t="n"/>
      <c r="N690" s="31" t="n"/>
      <c r="O690" s="31" t="n"/>
      <c r="P690" s="31" t="n"/>
      <c r="Q690" s="31" t="n"/>
      <c r="R690" s="34">
        <f>IFERROR(IF(AND(O690&gt;0,P690&gt;0,Q690&gt;0),(O690*P690*Q690)/6000,""),"")</f>
        <v/>
      </c>
      <c r="S690" s="34">
        <f>IFERROR(IF(AND(N690&gt;0,R690&gt;0),MAX(N690,R690),IF(N690&gt;0,N690,IF(R690&gt;0,R690,""))),"")</f>
        <v/>
      </c>
      <c r="T690" s="36" t="n"/>
      <c r="U690" s="38" t="inlineStr">
        <is>
          <t>FALTA</t>
        </is>
      </c>
      <c r="V690" s="36" t="n">
        <v>440</v>
      </c>
      <c r="W690" s="39" t="n">
        <v>0.3</v>
      </c>
      <c r="X690" s="41">
        <f>IFERROR(V690+T690,"")</f>
        <v/>
      </c>
      <c r="Y690" s="41">
        <f>IFERROR(IF(W690&lt;1,X690/(1-W690),""),"")</f>
        <v/>
      </c>
      <c r="Z690" s="43">
        <f>'01_CONFIG_GLOBAL'!$C$14</f>
        <v/>
      </c>
      <c r="AA690" s="41">
        <f>IFERROR(Y690*Z690,"")</f>
        <v/>
      </c>
      <c r="AB690" s="41">
        <f>IFERROR(IF(Z690&lt;1,Y690/(1-Z690),""),"")</f>
        <v/>
      </c>
      <c r="AC690" s="23" t="n"/>
      <c r="AD690" s="36" t="n"/>
      <c r="AE690" s="23" t="n"/>
      <c r="AF690" s="36" t="n"/>
      <c r="AG690" s="23" t="n"/>
      <c r="AH690" s="36" t="n"/>
      <c r="AI690" s="41">
        <f>IFERROR(AVERAGE(AD690,AF690,AH690),"")</f>
        <v/>
      </c>
      <c r="AJ690" s="29">
        <f>IFERROR(IF(AI690="","sem dados",IF(AB690&lt;AI690*0.95,"abaixo",IF(AB690&gt;AI690*1.05,"acima","em linha"))),"")</f>
        <v/>
      </c>
      <c r="AK690" s="23" t="inlineStr">
        <is>
          <t>não</t>
        </is>
      </c>
      <c r="AL690" s="23" t="n"/>
      <c r="AM690" s="23" t="n"/>
      <c r="AN690" s="23" t="n"/>
      <c r="AO690" s="44">
        <f>A690</f>
        <v/>
      </c>
      <c r="AP690" s="44">
        <f>D690</f>
        <v/>
      </c>
    </row>
    <row r="691" hidden="1" ht="15.75" customHeight="1" s="93">
      <c r="A691" s="23" t="inlineStr">
        <is>
          <t>5.0206.0543364.0</t>
        </is>
      </c>
      <c r="B691" s="23" t="inlineStr">
        <is>
          <t>543364</t>
        </is>
      </c>
      <c r="C691" s="29">
        <f>IFERROR(LOWER(SUBSTITUTE(SUBSTITUTE(SUBSTITUTE(SUBSTITUTE(D691," ","-"),"/","-"),".",""),",","")),"")</f>
        <v/>
      </c>
      <c r="D691" s="23" t="inlineStr">
        <is>
          <t>BOMBA HIDRÁULICA - APLICAÇÃO 11 C.C18.C31.L</t>
        </is>
      </c>
      <c r="E691" s="23" t="inlineStr">
        <is>
          <t>Bombas Hidráulicas</t>
        </is>
      </c>
      <c r="F691" s="23" t="inlineStr">
        <is>
          <t>SOHIPREN</t>
        </is>
      </c>
      <c r="G691" s="23" t="n"/>
      <c r="H691" s="23" t="inlineStr">
        <is>
          <t>draft</t>
        </is>
      </c>
      <c r="I691" s="23" t="inlineStr">
        <is>
          <t>JOHN DEERE</t>
        </is>
      </c>
      <c r="J691" s="23" t="inlineStr">
        <is>
          <t>TRATOR</t>
        </is>
      </c>
      <c r="K691" s="23" t="inlineStr">
        <is>
          <t>PRINCIPAL</t>
        </is>
      </c>
      <c r="L691" s="23" t="inlineStr">
        <is>
          <t>AJ54124</t>
        </is>
      </c>
      <c r="M691" s="31" t="n"/>
      <c r="N691" s="31" t="n"/>
      <c r="O691" s="31" t="n"/>
      <c r="P691" s="31" t="n"/>
      <c r="Q691" s="31" t="n"/>
      <c r="R691" s="34">
        <f>IFERROR(IF(AND(O691&gt;0,P691&gt;0,Q691&gt;0),(O691*P691*Q691)/6000,""),"")</f>
        <v/>
      </c>
      <c r="S691" s="34">
        <f>IFERROR(IF(AND(N691&gt;0,R691&gt;0),MAX(N691,R691),IF(N691&gt;0,N691,IF(R691&gt;0,R691,""))),"")</f>
        <v/>
      </c>
      <c r="T691" s="36" t="n"/>
      <c r="U691" s="38" t="inlineStr">
        <is>
          <t>FALTA</t>
        </is>
      </c>
      <c r="V691" s="36" t="n">
        <v>606.14</v>
      </c>
      <c r="W691" s="39" t="n">
        <v>0.3</v>
      </c>
      <c r="X691" s="41">
        <f>IFERROR(V691+T691,"")</f>
        <v/>
      </c>
      <c r="Y691" s="41">
        <f>IFERROR(IF(W691&lt;1,X691/(1-W691),""),"")</f>
        <v/>
      </c>
      <c r="Z691" s="43">
        <f>'01_CONFIG_GLOBAL'!$C$14</f>
        <v/>
      </c>
      <c r="AA691" s="41">
        <f>IFERROR(Y691*Z691,"")</f>
        <v/>
      </c>
      <c r="AB691" s="41">
        <f>IFERROR(IF(Z691&lt;1,Y691/(1-Z691),""),"")</f>
        <v/>
      </c>
      <c r="AC691" s="23" t="n"/>
      <c r="AD691" s="36" t="n"/>
      <c r="AE691" s="23" t="n"/>
      <c r="AF691" s="36" t="n"/>
      <c r="AG691" s="23" t="n"/>
      <c r="AH691" s="36" t="n"/>
      <c r="AI691" s="41">
        <f>IFERROR(AVERAGE(AD691,AF691,AH691),"")</f>
        <v/>
      </c>
      <c r="AJ691" s="29">
        <f>IFERROR(IF(AI691="","sem dados",IF(AB691&lt;AI691*0.95,"abaixo",IF(AB691&gt;AI691*1.05,"acima","em linha"))),"")</f>
        <v/>
      </c>
      <c r="AK691" s="23" t="inlineStr">
        <is>
          <t>não</t>
        </is>
      </c>
      <c r="AL691" s="23" t="n"/>
      <c r="AM691" s="23" t="n"/>
      <c r="AN691" s="23" t="n"/>
      <c r="AO691" s="44">
        <f>A691</f>
        <v/>
      </c>
      <c r="AP691" s="44">
        <f>D691</f>
        <v/>
      </c>
    </row>
    <row r="692" hidden="1" ht="15.75" customHeight="1" s="93">
      <c r="A692" s="23" t="inlineStr">
        <is>
          <t>5.0205.0542434.0</t>
        </is>
      </c>
      <c r="B692" s="23" t="inlineStr">
        <is>
          <t>542434</t>
        </is>
      </c>
      <c r="C692" s="29">
        <f>IFERROR(LOWER(SUBSTITUTE(SUBSTITUTE(SUBSTITUTE(SUBSTITUTE(D692," ","-"),"/","-"),".",""),",","")),"")</f>
        <v/>
      </c>
      <c r="D692" s="23" t="inlineStr">
        <is>
          <t>BOMBA HIDRÁULICA - APLICAÇÃO 8 B1.B10.A4.L</t>
        </is>
      </c>
      <c r="E692" s="23" t="inlineStr">
        <is>
          <t>Bombas Hidráulicas</t>
        </is>
      </c>
      <c r="F692" s="23" t="inlineStr">
        <is>
          <t>SOHIPREN</t>
        </is>
      </c>
      <c r="G692" s="23" t="n"/>
      <c r="H692" s="23" t="inlineStr">
        <is>
          <t>draft</t>
        </is>
      </c>
      <c r="I692" s="23" t="inlineStr">
        <is>
          <t>JOHN DEERE</t>
        </is>
      </c>
      <c r="J692" s="23" t="inlineStr">
        <is>
          <t>TRATOR</t>
        </is>
      </c>
      <c r="K692" s="23" t="inlineStr">
        <is>
          <t>BOMBA DE DIREÇÃO</t>
        </is>
      </c>
      <c r="L692" s="23" t="inlineStr">
        <is>
          <t>AL1061 - AL16301 - AL37753</t>
        </is>
      </c>
      <c r="M692" s="31" t="n"/>
      <c r="N692" s="31" t="n"/>
      <c r="O692" s="31" t="n"/>
      <c r="P692" s="31" t="n"/>
      <c r="Q692" s="31" t="n"/>
      <c r="R692" s="34">
        <f>IFERROR(IF(AND(O692&gt;0,P692&gt;0,Q692&gt;0),(O692*P692*Q692)/6000,""),"")</f>
        <v/>
      </c>
      <c r="S692" s="34">
        <f>IFERROR(IF(AND(N692&gt;0,R692&gt;0),MAX(N692,R692),IF(N692&gt;0,N692,IF(R692&gt;0,R692,""))),"")</f>
        <v/>
      </c>
      <c r="T692" s="36" t="n"/>
      <c r="U692" s="38" t="inlineStr">
        <is>
          <t>FALTA</t>
        </is>
      </c>
      <c r="V692" s="36" t="n">
        <v>605</v>
      </c>
      <c r="W692" s="39" t="n">
        <v>0.3</v>
      </c>
      <c r="X692" s="41">
        <f>IFERROR(V692+T692,"")</f>
        <v/>
      </c>
      <c r="Y692" s="41">
        <f>IFERROR(IF(W692&lt;1,X692/(1-W692),""),"")</f>
        <v/>
      </c>
      <c r="Z692" s="43">
        <f>'01_CONFIG_GLOBAL'!$C$14</f>
        <v/>
      </c>
      <c r="AA692" s="41">
        <f>IFERROR(Y692*Z692,"")</f>
        <v/>
      </c>
      <c r="AB692" s="41">
        <f>IFERROR(IF(Z692&lt;1,Y692/(1-Z692),""),"")</f>
        <v/>
      </c>
      <c r="AC692" s="23" t="n"/>
      <c r="AD692" s="36" t="n"/>
      <c r="AE692" s="23" t="n"/>
      <c r="AF692" s="36" t="n"/>
      <c r="AG692" s="23" t="n"/>
      <c r="AH692" s="36" t="n"/>
      <c r="AI692" s="41">
        <f>IFERROR(AVERAGE(AD692,AF692,AH692),"")</f>
        <v/>
      </c>
      <c r="AJ692" s="29">
        <f>IFERROR(IF(AI692="","sem dados",IF(AB692&lt;AI692*0.95,"abaixo",IF(AB692&gt;AI692*1.05,"acima","em linha"))),"")</f>
        <v/>
      </c>
      <c r="AK692" s="23" t="inlineStr">
        <is>
          <t>não</t>
        </is>
      </c>
      <c r="AL692" s="23" t="n"/>
      <c r="AM692" s="23" t="n"/>
      <c r="AN692" s="23" t="n"/>
      <c r="AO692" s="44">
        <f>A692</f>
        <v/>
      </c>
      <c r="AP692" s="44">
        <f>D692</f>
        <v/>
      </c>
    </row>
    <row r="693" hidden="1" ht="15.75" customHeight="1" s="93">
      <c r="A693" s="23" t="inlineStr">
        <is>
          <t>5.0209.0545669.0</t>
        </is>
      </c>
      <c r="B693" s="23" t="inlineStr">
        <is>
          <t>545669</t>
        </is>
      </c>
      <c r="C693" s="29">
        <f>IFERROR(LOWER(SUBSTITUTE(SUBSTITUTE(SUBSTITUTE(SUBSTITUTE(D693," ","-"),"/","-"),".",""),",","")),"")</f>
        <v/>
      </c>
      <c r="D693" s="23" t="inlineStr">
        <is>
          <t>BOMBA HIDRÁULICA - APLICAÇÃO 19 B21.C23.G.D1  12-100+10 BAR</t>
        </is>
      </c>
      <c r="E693" s="23" t="inlineStr">
        <is>
          <t>Bombas Hidráulicas</t>
        </is>
      </c>
      <c r="F693" s="23" t="inlineStr">
        <is>
          <t>SOHIPREN</t>
        </is>
      </c>
      <c r="G693" s="23" t="n"/>
      <c r="H693" s="23" t="inlineStr">
        <is>
          <t>draft</t>
        </is>
      </c>
      <c r="I693" s="23" t="inlineStr">
        <is>
          <t>JOHN DEERE</t>
        </is>
      </c>
      <c r="J693" s="23" t="inlineStr">
        <is>
          <t>COLHEITADEIRA</t>
        </is>
      </c>
      <c r="K693" s="23" t="inlineStr">
        <is>
          <t>DIREÇÃO</t>
        </is>
      </c>
      <c r="L693" s="23" t="inlineStr">
        <is>
          <t>AZ19692</t>
        </is>
      </c>
      <c r="M693" s="31" t="n"/>
      <c r="N693" s="31" t="n"/>
      <c r="O693" s="31" t="n"/>
      <c r="P693" s="31" t="n"/>
      <c r="Q693" s="31" t="n"/>
      <c r="R693" s="34">
        <f>IFERROR(IF(AND(O693&gt;0,P693&gt;0,Q693&gt;0),(O693*P693*Q693)/6000,""),"")</f>
        <v/>
      </c>
      <c r="S693" s="34">
        <f>IFERROR(IF(AND(N693&gt;0,R693&gt;0),MAX(N693,R693),IF(N693&gt;0,N693,IF(R693&gt;0,R693,""))),"")</f>
        <v/>
      </c>
      <c r="T693" s="36" t="n"/>
      <c r="U693" s="38" t="inlineStr">
        <is>
          <t>FALTA</t>
        </is>
      </c>
      <c r="V693" s="36" t="n">
        <v>665</v>
      </c>
      <c r="W693" s="39" t="n">
        <v>0.3</v>
      </c>
      <c r="X693" s="41">
        <f>IFERROR(V693+T693,"")</f>
        <v/>
      </c>
      <c r="Y693" s="41">
        <f>IFERROR(IF(W693&lt;1,X693/(1-W693),""),"")</f>
        <v/>
      </c>
      <c r="Z693" s="43">
        <f>'01_CONFIG_GLOBAL'!$C$14</f>
        <v/>
      </c>
      <c r="AA693" s="41">
        <f>IFERROR(Y693*Z693,"")</f>
        <v/>
      </c>
      <c r="AB693" s="41">
        <f>IFERROR(IF(Z693&lt;1,Y693/(1-Z693),""),"")</f>
        <v/>
      </c>
      <c r="AC693" s="23" t="n"/>
      <c r="AD693" s="36" t="n"/>
      <c r="AE693" s="23" t="n"/>
      <c r="AF693" s="36" t="n"/>
      <c r="AG693" s="23" t="n"/>
      <c r="AH693" s="36" t="n"/>
      <c r="AI693" s="41">
        <f>IFERROR(AVERAGE(AD693,AF693,AH693),"")</f>
        <v/>
      </c>
      <c r="AJ693" s="29">
        <f>IFERROR(IF(AI693="","sem dados",IF(AB693&lt;AI693*0.95,"abaixo",IF(AB693&gt;AI693*1.05,"acima","em linha"))),"")</f>
        <v/>
      </c>
      <c r="AK693" s="23" t="inlineStr">
        <is>
          <t>não</t>
        </is>
      </c>
      <c r="AL693" s="23" t="n"/>
      <c r="AM693" s="23" t="n"/>
      <c r="AN693" s="23" t="n"/>
      <c r="AO693" s="44">
        <f>A693</f>
        <v/>
      </c>
      <c r="AP693" s="44">
        <f>D693</f>
        <v/>
      </c>
    </row>
    <row r="694" hidden="1" ht="15.75" customHeight="1" s="93">
      <c r="A694" s="23" t="inlineStr">
        <is>
          <t>5.0210.0546412.0</t>
        </is>
      </c>
      <c r="B694" s="23" t="inlineStr">
        <is>
          <t>546412</t>
        </is>
      </c>
      <c r="C694" s="29">
        <f>IFERROR(LOWER(SUBSTITUTE(SUBSTITUTE(SUBSTITUTE(SUBSTITUTE(D694," ","-"),"/","-"),".",""),",","")),"")</f>
        <v/>
      </c>
      <c r="D694" s="23" t="inlineStr">
        <is>
          <t>BOMBA HIDRÁULICA - APLICAÇÃO 22,5 E22.C1.G.G1</t>
        </is>
      </c>
      <c r="E694" s="23" t="inlineStr">
        <is>
          <t>Bombas Hidráulicas</t>
        </is>
      </c>
      <c r="F694" s="23" t="inlineStr">
        <is>
          <t>SOHIPREN</t>
        </is>
      </c>
      <c r="G694" s="23" t="n"/>
      <c r="H694" s="23" t="inlineStr">
        <is>
          <t>draft</t>
        </is>
      </c>
      <c r="I694" s="23" t="inlineStr">
        <is>
          <t>JOHN DEERE</t>
        </is>
      </c>
      <c r="J694" s="23" t="inlineStr">
        <is>
          <t>CARREGADOR FRONTAL</t>
        </is>
      </c>
      <c r="K694" s="23" t="inlineStr">
        <is>
          <t>PRINCIPAL</t>
        </is>
      </c>
      <c r="L694" s="23" t="n"/>
      <c r="M694" s="31" t="n"/>
      <c r="N694" s="31" t="n"/>
      <c r="O694" s="31" t="n"/>
      <c r="P694" s="31" t="n"/>
      <c r="Q694" s="31" t="n"/>
      <c r="R694" s="34">
        <f>IFERROR(IF(AND(O694&gt;0,P694&gt;0,Q694&gt;0),(O694*P694*Q694)/6000,""),"")</f>
        <v/>
      </c>
      <c r="S694" s="34">
        <f>IFERROR(IF(AND(N694&gt;0,R694&gt;0),MAX(N694,R694),IF(N694&gt;0,N694,IF(R694&gt;0,R694,""))),"")</f>
        <v/>
      </c>
      <c r="T694" s="36" t="n"/>
      <c r="U694" s="38" t="inlineStr">
        <is>
          <t>FALTA</t>
        </is>
      </c>
      <c r="V694" s="36" t="n">
        <v>517</v>
      </c>
      <c r="W694" s="39" t="n">
        <v>0.3</v>
      </c>
      <c r="X694" s="41">
        <f>IFERROR(V694+T694,"")</f>
        <v/>
      </c>
      <c r="Y694" s="41">
        <f>IFERROR(IF(W694&lt;1,X694/(1-W694),""),"")</f>
        <v/>
      </c>
      <c r="Z694" s="43">
        <f>'01_CONFIG_GLOBAL'!$C$14</f>
        <v/>
      </c>
      <c r="AA694" s="41">
        <f>IFERROR(Y694*Z694,"")</f>
        <v/>
      </c>
      <c r="AB694" s="41">
        <f>IFERROR(IF(Z694&lt;1,Y694/(1-Z694),""),"")</f>
        <v/>
      </c>
      <c r="AC694" s="23" t="n"/>
      <c r="AD694" s="36" t="n"/>
      <c r="AE694" s="23" t="n"/>
      <c r="AF694" s="36" t="n"/>
      <c r="AG694" s="23" t="n"/>
      <c r="AH694" s="36" t="n"/>
      <c r="AI694" s="41">
        <f>IFERROR(AVERAGE(AD694,AF694,AH694),"")</f>
        <v/>
      </c>
      <c r="AJ694" s="29">
        <f>IFERROR(IF(AI694="","sem dados",IF(AB694&lt;AI694*0.95,"abaixo",IF(AB694&gt;AI694*1.05,"acima","em linha"))),"")</f>
        <v/>
      </c>
      <c r="AK694" s="23" t="inlineStr">
        <is>
          <t>não</t>
        </is>
      </c>
      <c r="AL694" s="23" t="n"/>
      <c r="AM694" s="23" t="n"/>
      <c r="AN694" s="23" t="n"/>
      <c r="AO694" s="44">
        <f>A694</f>
        <v/>
      </c>
      <c r="AP694" s="44">
        <f>D694</f>
        <v/>
      </c>
    </row>
    <row r="695" hidden="1" ht="15.75" customHeight="1" s="93">
      <c r="A695" s="23" t="inlineStr">
        <is>
          <t>5.0208.0544828.0</t>
        </is>
      </c>
      <c r="B695" s="23" t="inlineStr">
        <is>
          <t>544828</t>
        </is>
      </c>
      <c r="C695" s="29">
        <f>IFERROR(LOWER(SUBSTITUTE(SUBSTITUTE(SUBSTITUTE(SUBSTITUTE(D695," ","-"),"/","-"),".",""),",","")),"")</f>
        <v/>
      </c>
      <c r="D695" s="23" t="inlineStr">
        <is>
          <t>BOD 16 C.C.C.L</t>
        </is>
      </c>
      <c r="E695" s="23" t="inlineStr">
        <is>
          <t>Bombas Hidráulicas</t>
        </is>
      </c>
      <c r="F695" s="23" t="inlineStr">
        <is>
          <t>SOHIPREN</t>
        </is>
      </c>
      <c r="G695" s="23" t="n"/>
      <c r="H695" s="23" t="inlineStr">
        <is>
          <t>draft</t>
        </is>
      </c>
      <c r="I695" s="23" t="inlineStr">
        <is>
          <t>JOHN DEERE</t>
        </is>
      </c>
      <c r="J695" s="23" t="inlineStr">
        <is>
          <t>TRATOR DE PNEUS</t>
        </is>
      </c>
      <c r="K695" s="23" t="inlineStr">
        <is>
          <t>BOMBA 3 PONTO</t>
        </is>
      </c>
      <c r="L695" s="23" t="n"/>
      <c r="M695" s="31" t="n"/>
      <c r="N695" s="31" t="n"/>
      <c r="O695" s="31" t="n"/>
      <c r="P695" s="31" t="n"/>
      <c r="Q695" s="31" t="n"/>
      <c r="R695" s="34">
        <f>IFERROR(IF(AND(O695&gt;0,P695&gt;0,Q695&gt;0),(O695*P695*Q695)/6000,""),"")</f>
        <v/>
      </c>
      <c r="S695" s="34">
        <f>IFERROR(IF(AND(N695&gt;0,R695&gt;0),MAX(N695,R695),IF(N695&gt;0,N695,IF(R695&gt;0,R695,""))),"")</f>
        <v/>
      </c>
      <c r="T695" s="36" t="n"/>
      <c r="U695" s="38" t="inlineStr">
        <is>
          <t>FALTA</t>
        </is>
      </c>
      <c r="V695" s="36" t="n">
        <v>605</v>
      </c>
      <c r="W695" s="39" t="n">
        <v>0.3</v>
      </c>
      <c r="X695" s="41">
        <f>IFERROR(V695+T695,"")</f>
        <v/>
      </c>
      <c r="Y695" s="41">
        <f>IFERROR(IF(W695&lt;1,X695/(1-W695),""),"")</f>
        <v/>
      </c>
      <c r="Z695" s="43">
        <f>'01_CONFIG_GLOBAL'!$C$14</f>
        <v/>
      </c>
      <c r="AA695" s="41">
        <f>IFERROR(Y695*Z695,"")</f>
        <v/>
      </c>
      <c r="AB695" s="41">
        <f>IFERROR(IF(Z695&lt;1,Y695/(1-Z695),""),"")</f>
        <v/>
      </c>
      <c r="AC695" s="23" t="n"/>
      <c r="AD695" s="36" t="n"/>
      <c r="AE695" s="23" t="n"/>
      <c r="AF695" s="36" t="n"/>
      <c r="AG695" s="23" t="n"/>
      <c r="AH695" s="36" t="n"/>
      <c r="AI695" s="41">
        <f>IFERROR(AVERAGE(AD695,AF695,AH695),"")</f>
        <v/>
      </c>
      <c r="AJ695" s="29">
        <f>IFERROR(IF(AI695="","sem dados",IF(AB695&lt;AI695*0.95,"abaixo",IF(AB695&gt;AI695*1.05,"acima","em linha"))),"")</f>
        <v/>
      </c>
      <c r="AK695" s="23" t="inlineStr">
        <is>
          <t>não</t>
        </is>
      </c>
      <c r="AL695" s="23" t="n"/>
      <c r="AM695" s="23" t="n"/>
      <c r="AN695" s="23" t="n"/>
      <c r="AO695" s="44">
        <f>A695</f>
        <v/>
      </c>
      <c r="AP695" s="44">
        <f>D695</f>
        <v/>
      </c>
    </row>
    <row r="696" hidden="1" ht="15.75" customHeight="1" s="93">
      <c r="A696" s="23" t="inlineStr">
        <is>
          <t>5.0208.0544889.0</t>
        </is>
      </c>
      <c r="B696" s="23" t="inlineStr">
        <is>
          <t>544889</t>
        </is>
      </c>
      <c r="C696" s="29">
        <f>IFERROR(LOWER(SUBSTITUTE(SUBSTITUTE(SUBSTITUTE(SUBSTITUTE(D696," ","-"),"/","-"),".",""),",","")),"")</f>
        <v/>
      </c>
      <c r="D696" s="23" t="inlineStr">
        <is>
          <t>BOMBA HIDRÁULICA - APLICAÇÃO 16 B1.B12.A4.L</t>
        </is>
      </c>
      <c r="E696" s="23" t="inlineStr">
        <is>
          <t>Bombas Hidráulicas</t>
        </is>
      </c>
      <c r="F696" s="23" t="inlineStr">
        <is>
          <t>SOHIPREN</t>
        </is>
      </c>
      <c r="G696" s="23" t="n"/>
      <c r="H696" s="23" t="inlineStr">
        <is>
          <t>draft</t>
        </is>
      </c>
      <c r="I696" s="23" t="inlineStr">
        <is>
          <t>JOHN DEERE</t>
        </is>
      </c>
      <c r="J696" s="23" t="inlineStr">
        <is>
          <t>TRATOR</t>
        </is>
      </c>
      <c r="K696" s="23" t="inlineStr">
        <is>
          <t>BOMBA DE DIREÇÃO</t>
        </is>
      </c>
      <c r="L696" s="23" t="inlineStr">
        <is>
          <t>AL16963 - AL37752</t>
        </is>
      </c>
      <c r="M696" s="31" t="n"/>
      <c r="N696" s="31" t="n"/>
      <c r="O696" s="31" t="n"/>
      <c r="P696" s="31" t="n"/>
      <c r="Q696" s="31" t="n"/>
      <c r="R696" s="34">
        <f>IFERROR(IF(AND(O696&gt;0,P696&gt;0,Q696&gt;0),(O696*P696*Q696)/6000,""),"")</f>
        <v/>
      </c>
      <c r="S696" s="34">
        <f>IFERROR(IF(AND(N696&gt;0,R696&gt;0),MAX(N696,R696),IF(N696&gt;0,N696,IF(R696&gt;0,R696,""))),"")</f>
        <v/>
      </c>
      <c r="T696" s="36" t="n"/>
      <c r="U696" s="38" t="inlineStr">
        <is>
          <t>FALTA</t>
        </is>
      </c>
      <c r="V696" s="36" t="n">
        <v>581</v>
      </c>
      <c r="W696" s="39" t="n">
        <v>0.3</v>
      </c>
      <c r="X696" s="41">
        <f>IFERROR(V696+T696,"")</f>
        <v/>
      </c>
      <c r="Y696" s="41">
        <f>IFERROR(IF(W696&lt;1,X696/(1-W696),""),"")</f>
        <v/>
      </c>
      <c r="Z696" s="43">
        <f>'01_CONFIG_GLOBAL'!$C$14</f>
        <v/>
      </c>
      <c r="AA696" s="41">
        <f>IFERROR(Y696*Z696,"")</f>
        <v/>
      </c>
      <c r="AB696" s="41">
        <f>IFERROR(IF(Z696&lt;1,Y696/(1-Z696),""),"")</f>
        <v/>
      </c>
      <c r="AC696" s="23" t="n"/>
      <c r="AD696" s="36" t="n"/>
      <c r="AE696" s="23" t="n"/>
      <c r="AF696" s="36" t="n"/>
      <c r="AG696" s="23" t="n"/>
      <c r="AH696" s="36" t="n"/>
      <c r="AI696" s="41">
        <f>IFERROR(AVERAGE(AD696,AF696,AH696),"")</f>
        <v/>
      </c>
      <c r="AJ696" s="29">
        <f>IFERROR(IF(AI696="","sem dados",IF(AB696&lt;AI696*0.95,"abaixo",IF(AB696&gt;AI696*1.05,"acima","em linha"))),"")</f>
        <v/>
      </c>
      <c r="AK696" s="23" t="inlineStr">
        <is>
          <t>não</t>
        </is>
      </c>
      <c r="AL696" s="23" t="n"/>
      <c r="AM696" s="23" t="n"/>
      <c r="AN696" s="23" t="n"/>
      <c r="AO696" s="44">
        <f>A696</f>
        <v/>
      </c>
      <c r="AP696" s="44">
        <f>D696</f>
        <v/>
      </c>
    </row>
    <row r="697" ht="15.75" customHeight="1" s="93">
      <c r="A697" s="23" t="inlineStr">
        <is>
          <t>5.1305.0565115.0</t>
        </is>
      </c>
      <c r="B697" s="23" t="inlineStr">
        <is>
          <t>565115</t>
        </is>
      </c>
      <c r="C697" s="29">
        <f>IFERROR(LOWER(SUBSTITUTE(SUBSTITUTE(SUBSTITUTE(SUBSTITUTE(D697," ","-"),"/","-"),".",""),",","")),"")</f>
        <v/>
      </c>
      <c r="D697" s="50" t="inlineStr">
        <is>
          <t>Bomba de Aplicação JD (AL200830) Giro D - 5.1305.0565115.0</t>
        </is>
      </c>
      <c r="E697" s="50" t="inlineStr">
        <is>
          <t>Bombas Hidráulicas</t>
        </is>
      </c>
      <c r="F697" s="23" t="inlineStr">
        <is>
          <t>SOHIPREN</t>
        </is>
      </c>
      <c r="G697" s="23" t="n"/>
      <c r="H697" s="23" t="inlineStr">
        <is>
          <t>active</t>
        </is>
      </c>
      <c r="I697" s="23" t="inlineStr">
        <is>
          <t>JOHN DEREE</t>
        </is>
      </c>
      <c r="J697" s="23" t="inlineStr">
        <is>
          <t>TRATOR</t>
        </is>
      </c>
      <c r="K697" s="23" t="inlineStr">
        <is>
          <t>PRINCIPAL</t>
        </is>
      </c>
      <c r="L697" s="23" t="inlineStr">
        <is>
          <t>AL200830</t>
        </is>
      </c>
      <c r="M697" s="31" t="n"/>
      <c r="N697" s="31" t="n">
        <v>6.2</v>
      </c>
      <c r="O697" s="31" t="n">
        <v>30</v>
      </c>
      <c r="P697" s="31" t="n">
        <v>12.5</v>
      </c>
      <c r="Q697" s="31" t="n">
        <v>12.5</v>
      </c>
      <c r="R697" s="34">
        <f>IFERROR(IF(AND(O697&gt;0,P697&gt;0,Q697&gt;0),(O697*P697*Q697)/6000,""),"")</f>
        <v/>
      </c>
      <c r="S697" s="34">
        <f>IFERROR(IF(AND(N697&gt;0,R697&gt;0),MAX(N697,R697),IF(N697&gt;0,N697,IF(R697&gt;0,R697,""))),"")</f>
        <v/>
      </c>
      <c r="T697" s="36" t="n">
        <v>100</v>
      </c>
      <c r="U697" s="23" t="inlineStr">
        <is>
          <t>fornecedor</t>
        </is>
      </c>
      <c r="V697" s="36" t="n">
        <v>1346.4</v>
      </c>
      <c r="W697" s="39" t="n">
        <v>0.2</v>
      </c>
      <c r="X697" s="41">
        <f>IFERROR(V697+T697,"")</f>
        <v/>
      </c>
      <c r="Y697" s="41">
        <f>IFERROR(IF(W697&lt;1,X697/(1-W697),""),"")</f>
        <v/>
      </c>
      <c r="Z697" s="43">
        <f>'01_CONFIG_GLOBAL'!$C$14</f>
        <v/>
      </c>
      <c r="AA697" s="41">
        <f>IFERROR(Y697*Z697,"")</f>
        <v/>
      </c>
      <c r="AB697" s="41">
        <f>IFERROR(IF(Z697&lt;1,Y697/(1-Z697),""),"")</f>
        <v/>
      </c>
      <c r="AC697" s="23" t="n"/>
      <c r="AD697" s="36" t="n"/>
      <c r="AE697" s="23" t="n"/>
      <c r="AF697" s="36" t="n"/>
      <c r="AG697" s="23" t="n"/>
      <c r="AH697" s="36" t="n"/>
      <c r="AI697" s="41">
        <f>IFERROR(AVERAGE(AD697,AF697,AH697),"")</f>
        <v/>
      </c>
      <c r="AJ697" s="29">
        <f>IFERROR(IF(AI697="","sem dados",IF(AB697&lt;AI697*0.95,"abaixo",IF(AB697&gt;AI697*1.05,"acima","em linha"))),"")</f>
        <v/>
      </c>
      <c r="AK697" s="23" t="inlineStr">
        <is>
          <t>sim</t>
        </is>
      </c>
      <c r="AL697" s="23" t="n"/>
      <c r="AM697" s="23" t="n"/>
      <c r="AN697" s="23" t="n"/>
      <c r="AO697" s="44">
        <f>A697</f>
        <v/>
      </c>
      <c r="AP697" s="44">
        <f>D697</f>
        <v/>
      </c>
      <c r="AQ697" s="28" t="inlineStr">
        <is>
          <t>bomba_generica.png (genérica)</t>
        </is>
      </c>
    </row>
    <row r="698" hidden="1" ht="15.75" customHeight="1" s="93">
      <c r="A698" s="23" t="inlineStr">
        <is>
          <t>0.8007.L081933.0</t>
        </is>
      </c>
      <c r="B698" s="23" t="inlineStr">
        <is>
          <t>L081933</t>
        </is>
      </c>
      <c r="C698" s="29">
        <f>IFERROR(LOWER(SUBSTITUTE(SUBSTITUTE(SUBSTITUTE(SUBSTITUTE(D698," ","-"),"/","-"),".",""),",","")),"")</f>
        <v/>
      </c>
      <c r="D698" s="23" t="inlineStr">
        <is>
          <t>MODELO DE FUNDICAO - MP.TOMA.BO.C102  (4 PECAS) (L081929)</t>
        </is>
      </c>
      <c r="E698" s="23" t="n"/>
      <c r="F698" s="23" t="inlineStr">
        <is>
          <t>SOHIPREN</t>
        </is>
      </c>
      <c r="G698" s="23" t="n"/>
      <c r="H698" s="23" t="inlineStr">
        <is>
          <t>draft</t>
        </is>
      </c>
      <c r="I698" s="23" t="inlineStr">
        <is>
          <t>JOSE FERMINO MONTE ALTO ME</t>
        </is>
      </c>
      <c r="J698" s="23" t="n"/>
      <c r="K698" s="23" t="n"/>
      <c r="L698" s="23" t="inlineStr">
        <is>
          <t>L081929</t>
        </is>
      </c>
      <c r="M698" s="31" t="n"/>
      <c r="N698" s="31" t="n"/>
      <c r="O698" s="31" t="n"/>
      <c r="P698" s="31" t="n"/>
      <c r="Q698" s="31" t="n"/>
      <c r="R698" s="34">
        <f>IFERROR(IF(AND(O698&gt;0,P698&gt;0,Q698&gt;0),(O698*P698*Q698)/6000,""),"")</f>
        <v/>
      </c>
      <c r="S698" s="34">
        <f>IFERROR(IF(AND(N698&gt;0,R698&gt;0),MAX(N698,R698),IF(N698&gt;0,N698,IF(R698&gt;0,R698,""))),"")</f>
        <v/>
      </c>
      <c r="T698" s="36" t="n"/>
      <c r="U698" s="38" t="inlineStr">
        <is>
          <t>FALTA</t>
        </is>
      </c>
      <c r="V698" s="36" t="n">
        <v>285</v>
      </c>
      <c r="W698" s="39" t="n">
        <v>0.3</v>
      </c>
      <c r="X698" s="41">
        <f>IFERROR(V698+T698,"")</f>
        <v/>
      </c>
      <c r="Y698" s="41">
        <f>IFERROR(IF(W698&lt;1,X698/(1-W698),""),"")</f>
        <v/>
      </c>
      <c r="Z698" s="43">
        <f>'01_CONFIG_GLOBAL'!$C$14</f>
        <v/>
      </c>
      <c r="AA698" s="41">
        <f>IFERROR(Y698*Z698,"")</f>
        <v/>
      </c>
      <c r="AB698" s="41">
        <f>IFERROR(IF(Z698&lt;1,Y698/(1-Z698),""),"")</f>
        <v/>
      </c>
      <c r="AC698" s="23" t="n"/>
      <c r="AD698" s="36" t="n"/>
      <c r="AE698" s="23" t="n"/>
      <c r="AF698" s="36" t="n"/>
      <c r="AG698" s="23" t="n"/>
      <c r="AH698" s="36" t="n"/>
      <c r="AI698" s="41">
        <f>IFERROR(AVERAGE(AD698,AF698,AH698),"")</f>
        <v/>
      </c>
      <c r="AJ698" s="29">
        <f>IFERROR(IF(AI698="","sem dados",IF(AB698&lt;AI698*0.95,"abaixo",IF(AB698&gt;AI698*1.05,"acima","em linha"))),"")</f>
        <v/>
      </c>
      <c r="AK698" s="23" t="inlineStr">
        <is>
          <t>não</t>
        </is>
      </c>
      <c r="AL698" s="23" t="n"/>
      <c r="AM698" s="23" t="n"/>
      <c r="AN698" s="23" t="n"/>
      <c r="AO698" s="44">
        <f>A698</f>
        <v/>
      </c>
      <c r="AP698" s="44">
        <f>D698</f>
        <v/>
      </c>
    </row>
    <row r="699" hidden="1" ht="15.75" customHeight="1" s="93">
      <c r="A699" s="23" t="inlineStr">
        <is>
          <t>0.8007.L081991.0</t>
        </is>
      </c>
      <c r="B699" s="23" t="inlineStr">
        <is>
          <t>L081991</t>
        </is>
      </c>
      <c r="C699" s="29">
        <f>IFERROR(LOWER(SUBSTITUTE(SUBSTITUTE(SUBSTITUTE(SUBSTITUTE(D699," ","-"),"/","-"),".",""),",","")),"")</f>
        <v/>
      </c>
      <c r="D699" s="23" t="inlineStr">
        <is>
          <t>MODELO DE FUNDICAO - MP.TOMA.BO.C103 (MODELO +CX MACHO)</t>
        </is>
      </c>
      <c r="E699" s="23" t="n"/>
      <c r="F699" s="23" t="inlineStr">
        <is>
          <t>SOHIPREN</t>
        </is>
      </c>
      <c r="G699" s="23" t="n"/>
      <c r="H699" s="23" t="inlineStr">
        <is>
          <t>draft</t>
        </is>
      </c>
      <c r="I699" s="23" t="inlineStr">
        <is>
          <t>JOSE FERMINO MONTE ALTO ME</t>
        </is>
      </c>
      <c r="J699" s="23" t="n"/>
      <c r="K699" s="23" t="n"/>
      <c r="L699" s="23" t="inlineStr">
        <is>
          <t>L081929</t>
        </is>
      </c>
      <c r="M699" s="31" t="n"/>
      <c r="N699" s="31" t="n"/>
      <c r="O699" s="31" t="n"/>
      <c r="P699" s="31" t="n"/>
      <c r="Q699" s="31" t="n"/>
      <c r="R699" s="34">
        <f>IFERROR(IF(AND(O699&gt;0,P699&gt;0,Q699&gt;0),(O699*P699*Q699)/6000,""),"")</f>
        <v/>
      </c>
      <c r="S699" s="34">
        <f>IFERROR(IF(AND(N699&gt;0,R699&gt;0),MAX(N699,R699),IF(N699&gt;0,N699,IF(R699&gt;0,R699,""))),"")</f>
        <v/>
      </c>
      <c r="T699" s="36" t="n"/>
      <c r="U699" s="38" t="inlineStr">
        <is>
          <t>FALTA</t>
        </is>
      </c>
      <c r="V699" s="36" t="n">
        <v>285</v>
      </c>
      <c r="W699" s="39" t="n">
        <v>0.3</v>
      </c>
      <c r="X699" s="41">
        <f>IFERROR(V699+T699,"")</f>
        <v/>
      </c>
      <c r="Y699" s="41">
        <f>IFERROR(IF(W699&lt;1,X699/(1-W699),""),"")</f>
        <v/>
      </c>
      <c r="Z699" s="43">
        <f>'01_CONFIG_GLOBAL'!$C$14</f>
        <v/>
      </c>
      <c r="AA699" s="41">
        <f>IFERROR(Y699*Z699,"")</f>
        <v/>
      </c>
      <c r="AB699" s="41">
        <f>IFERROR(IF(Z699&lt;1,Y699/(1-Z699),""),"")</f>
        <v/>
      </c>
      <c r="AC699" s="23" t="n"/>
      <c r="AD699" s="36" t="n"/>
      <c r="AE699" s="23" t="n"/>
      <c r="AF699" s="36" t="n"/>
      <c r="AG699" s="23" t="n"/>
      <c r="AH699" s="36" t="n"/>
      <c r="AI699" s="41">
        <f>IFERROR(AVERAGE(AD699,AF699,AH699),"")</f>
        <v/>
      </c>
      <c r="AJ699" s="29">
        <f>IFERROR(IF(AI699="","sem dados",IF(AB699&lt;AI699*0.95,"abaixo",IF(AB699&gt;AI699*1.05,"acima","em linha"))),"")</f>
        <v/>
      </c>
      <c r="AK699" s="23" t="inlineStr">
        <is>
          <t>não</t>
        </is>
      </c>
      <c r="AL699" s="23" t="n"/>
      <c r="AM699" s="23" t="n"/>
      <c r="AN699" s="23" t="n"/>
      <c r="AO699" s="44">
        <f>A699</f>
        <v/>
      </c>
      <c r="AP699" s="44">
        <f>D699</f>
        <v/>
      </c>
    </row>
    <row r="700" hidden="1" ht="15.75" customHeight="1" s="93">
      <c r="A700" s="23" t="inlineStr">
        <is>
          <t>5.5203.0548773.0</t>
        </is>
      </c>
      <c r="B700" s="23" t="inlineStr">
        <is>
          <t>548773</t>
        </is>
      </c>
      <c r="C700" s="29">
        <f>IFERROR(LOWER(SUBSTITUTE(SUBSTITUTE(SUBSTITUTE(SUBSTITUTE(D700," ","-"),"/","-"),".",""),",","")),"")</f>
        <v/>
      </c>
      <c r="D700" s="23" t="inlineStr">
        <is>
          <t>MUD BO 5,5 F4.A2.C3.L</t>
        </is>
      </c>
      <c r="E700" s="23" t="n"/>
      <c r="F700" s="23" t="inlineStr">
        <is>
          <t>SOHIPREN</t>
        </is>
      </c>
      <c r="G700" s="23" t="n"/>
      <c r="H700" s="23" t="inlineStr">
        <is>
          <t>draft</t>
        </is>
      </c>
      <c r="I700" s="23" t="inlineStr">
        <is>
          <t>JUMIL</t>
        </is>
      </c>
      <c r="J700" s="23" t="inlineStr">
        <is>
          <t>PLANTADEIRA</t>
        </is>
      </c>
      <c r="K700" s="23" t="inlineStr">
        <is>
          <t>TURBINA</t>
        </is>
      </c>
      <c r="L700" s="23" t="n"/>
      <c r="M700" s="31" t="n"/>
      <c r="N700" s="31" t="n"/>
      <c r="O700" s="31" t="n"/>
      <c r="P700" s="31" t="n"/>
      <c r="Q700" s="31" t="n"/>
      <c r="R700" s="34">
        <f>IFERROR(IF(AND(O700&gt;0,P700&gt;0,Q700&gt;0),(O700*P700*Q700)/6000,""),"")</f>
        <v/>
      </c>
      <c r="S700" s="34">
        <f>IFERROR(IF(AND(N700&gt;0,R700&gt;0),MAX(N700,R700),IF(N700&gt;0,N700,IF(R700&gt;0,R700,""))),"")</f>
        <v/>
      </c>
      <c r="T700" s="36" t="n"/>
      <c r="U700" s="38" t="inlineStr">
        <is>
          <t>FALTA</t>
        </is>
      </c>
      <c r="V700" s="36" t="n">
        <v>895</v>
      </c>
      <c r="W700" s="39" t="n">
        <v>0.3</v>
      </c>
      <c r="X700" s="41">
        <f>IFERROR(V700+T700,"")</f>
        <v/>
      </c>
      <c r="Y700" s="41">
        <f>IFERROR(IF(W700&lt;1,X700/(1-W700),""),"")</f>
        <v/>
      </c>
      <c r="Z700" s="43">
        <f>'01_CONFIG_GLOBAL'!$C$14</f>
        <v/>
      </c>
      <c r="AA700" s="41">
        <f>IFERROR(Y700*Z700,"")</f>
        <v/>
      </c>
      <c r="AB700" s="41">
        <f>IFERROR(IF(Z700&lt;1,Y700/(1-Z700),""),"")</f>
        <v/>
      </c>
      <c r="AC700" s="23" t="n"/>
      <c r="AD700" s="36" t="n"/>
      <c r="AE700" s="23" t="n"/>
      <c r="AF700" s="36" t="n"/>
      <c r="AG700" s="23" t="n"/>
      <c r="AH700" s="36" t="n"/>
      <c r="AI700" s="41">
        <f>IFERROR(AVERAGE(AD700,AF700,AH700),"")</f>
        <v/>
      </c>
      <c r="AJ700" s="29">
        <f>IFERROR(IF(AI700="","sem dados",IF(AB700&lt;AI700*0.95,"abaixo",IF(AB700&gt;AI700*1.05,"acima","em linha"))),"")</f>
        <v/>
      </c>
      <c r="AK700" s="23" t="inlineStr">
        <is>
          <t>não</t>
        </is>
      </c>
      <c r="AL700" s="23" t="n"/>
      <c r="AM700" s="23" t="n"/>
      <c r="AN700" s="23" t="n"/>
      <c r="AO700" s="44">
        <f>A700</f>
        <v/>
      </c>
      <c r="AP700" s="44">
        <f>D700</f>
        <v/>
      </c>
    </row>
    <row r="701" hidden="1" ht="15.75" customHeight="1" s="93">
      <c r="A701" s="23" t="inlineStr">
        <is>
          <t>5.5203.0548777.0</t>
        </is>
      </c>
      <c r="B701" s="23" t="inlineStr">
        <is>
          <t>548777</t>
        </is>
      </c>
      <c r="C701" s="29">
        <f>IFERROR(LOWER(SUBSTITUTE(SUBSTITUTE(SUBSTITUTE(SUBSTITUTE(D701," ","-"),"/","-"),".",""),",","")),"")</f>
        <v/>
      </c>
      <c r="D701" s="23" t="inlineStr">
        <is>
          <t>MUD BO 5,5 F4.A2.C3.T7  5-3 BA (USAR 549548)</t>
        </is>
      </c>
      <c r="E701" s="23" t="n"/>
      <c r="F701" s="23" t="inlineStr">
        <is>
          <t>SOHIPREN</t>
        </is>
      </c>
      <c r="G701" s="23" t="n"/>
      <c r="H701" s="23" t="inlineStr">
        <is>
          <t>draft</t>
        </is>
      </c>
      <c r="I701" s="23" t="inlineStr">
        <is>
          <t>JUMIL</t>
        </is>
      </c>
      <c r="J701" s="23" t="inlineStr">
        <is>
          <t>PLANTADEIRA</t>
        </is>
      </c>
      <c r="K701" s="23" t="inlineStr">
        <is>
          <t>TURBINA  C/ VÁL Acv.</t>
        </is>
      </c>
      <c r="L701" s="23" t="n"/>
      <c r="M701" s="31" t="n"/>
      <c r="N701" s="31" t="n"/>
      <c r="O701" s="31" t="n"/>
      <c r="P701" s="31" t="n"/>
      <c r="Q701" s="31" t="n"/>
      <c r="R701" s="34">
        <f>IFERROR(IF(AND(O701&gt;0,P701&gt;0,Q701&gt;0),(O701*P701*Q701)/6000,""),"")</f>
        <v/>
      </c>
      <c r="S701" s="34">
        <f>IFERROR(IF(AND(N701&gt;0,R701&gt;0),MAX(N701,R701),IF(N701&gt;0,N701,IF(R701&gt;0,R701,""))),"")</f>
        <v/>
      </c>
      <c r="T701" s="36" t="n"/>
      <c r="U701" s="38" t="inlineStr">
        <is>
          <t>FALTA</t>
        </is>
      </c>
      <c r="V701" s="36" t="n">
        <v>895</v>
      </c>
      <c r="W701" s="39" t="n">
        <v>0.3</v>
      </c>
      <c r="X701" s="41">
        <f>IFERROR(V701+T701,"")</f>
        <v/>
      </c>
      <c r="Y701" s="41">
        <f>IFERROR(IF(W701&lt;1,X701/(1-W701),""),"")</f>
        <v/>
      </c>
      <c r="Z701" s="43">
        <f>'01_CONFIG_GLOBAL'!$C$14</f>
        <v/>
      </c>
      <c r="AA701" s="41">
        <f>IFERROR(Y701*Z701,"")</f>
        <v/>
      </c>
      <c r="AB701" s="41">
        <f>IFERROR(IF(Z701&lt;1,Y701/(1-Z701),""),"")</f>
        <v/>
      </c>
      <c r="AC701" s="23" t="n"/>
      <c r="AD701" s="36" t="n"/>
      <c r="AE701" s="23" t="n"/>
      <c r="AF701" s="36" t="n"/>
      <c r="AG701" s="23" t="n"/>
      <c r="AH701" s="36" t="n"/>
      <c r="AI701" s="41">
        <f>IFERROR(AVERAGE(AD701,AF701,AH701),"")</f>
        <v/>
      </c>
      <c r="AJ701" s="29">
        <f>IFERROR(IF(AI701="","sem dados",IF(AB701&lt;AI701*0.95,"abaixo",IF(AB701&gt;AI701*1.05,"acima","em linha"))),"")</f>
        <v/>
      </c>
      <c r="AK701" s="23" t="inlineStr">
        <is>
          <t>não</t>
        </is>
      </c>
      <c r="AL701" s="23" t="n"/>
      <c r="AM701" s="23" t="n"/>
      <c r="AN701" s="23" t="n"/>
      <c r="AO701" s="44">
        <f>A701</f>
        <v/>
      </c>
      <c r="AP701" s="44">
        <f>D701</f>
        <v/>
      </c>
    </row>
    <row r="702" hidden="1" ht="15.75" customHeight="1" s="93">
      <c r="A702" s="23" t="inlineStr">
        <is>
          <t>5.5203.0549548.0</t>
        </is>
      </c>
      <c r="B702" s="23" t="inlineStr">
        <is>
          <t>549548</t>
        </is>
      </c>
      <c r="C702" s="29">
        <f>IFERROR(LOWER(SUBSTITUTE(SUBSTITUTE(SUBSTITUTE(SUBSTITUTE(D702," ","-"),"/","-"),".",""),",","")),"")</f>
        <v/>
      </c>
      <c r="D702" s="23" t="inlineStr">
        <is>
          <t>MUD BO 5,5 F4.A2.C43.T17  5-3 BAR</t>
        </is>
      </c>
      <c r="E702" s="23" t="n"/>
      <c r="F702" s="23" t="inlineStr">
        <is>
          <t>SOHIPREN</t>
        </is>
      </c>
      <c r="G702" s="23" t="n"/>
      <c r="H702" s="23" t="inlineStr">
        <is>
          <t>draft</t>
        </is>
      </c>
      <c r="I702" s="23" t="inlineStr">
        <is>
          <t>JUMIL</t>
        </is>
      </c>
      <c r="J702" s="23" t="inlineStr">
        <is>
          <t>PLANTADEIRA</t>
        </is>
      </c>
      <c r="K702" s="23" t="inlineStr">
        <is>
          <t>MOTOR DA TURBINA</t>
        </is>
      </c>
      <c r="L702" s="23" t="inlineStr">
        <is>
          <t>F000510302/9203015/9990066</t>
        </is>
      </c>
      <c r="M702" s="31" t="n"/>
      <c r="N702" s="31" t="n"/>
      <c r="O702" s="31" t="n"/>
      <c r="P702" s="31" t="n"/>
      <c r="Q702" s="31" t="n"/>
      <c r="R702" s="34">
        <f>IFERROR(IF(AND(O702&gt;0,P702&gt;0,Q702&gt;0),(O702*P702*Q702)/6000,""),"")</f>
        <v/>
      </c>
      <c r="S702" s="34">
        <f>IFERROR(IF(AND(N702&gt;0,R702&gt;0),MAX(N702,R702),IF(N702&gt;0,N702,IF(R702&gt;0,R702,""))),"")</f>
        <v/>
      </c>
      <c r="T702" s="36" t="n"/>
      <c r="U702" s="38" t="inlineStr">
        <is>
          <t>FALTA</t>
        </is>
      </c>
      <c r="V702" s="36" t="n">
        <v>786.5</v>
      </c>
      <c r="W702" s="39" t="n">
        <v>0.3</v>
      </c>
      <c r="X702" s="41">
        <f>IFERROR(V702+T702,"")</f>
        <v/>
      </c>
      <c r="Y702" s="41">
        <f>IFERROR(IF(W702&lt;1,X702/(1-W702),""),"")</f>
        <v/>
      </c>
      <c r="Z702" s="43">
        <f>'01_CONFIG_GLOBAL'!$C$14</f>
        <v/>
      </c>
      <c r="AA702" s="41">
        <f>IFERROR(Y702*Z702,"")</f>
        <v/>
      </c>
      <c r="AB702" s="41">
        <f>IFERROR(IF(Z702&lt;1,Y702/(1-Z702),""),"")</f>
        <v/>
      </c>
      <c r="AC702" s="23" t="n"/>
      <c r="AD702" s="36" t="n"/>
      <c r="AE702" s="23" t="n"/>
      <c r="AF702" s="36" t="n"/>
      <c r="AG702" s="23" t="n"/>
      <c r="AH702" s="36" t="n"/>
      <c r="AI702" s="41">
        <f>IFERROR(AVERAGE(AD702,AF702,AH702),"")</f>
        <v/>
      </c>
      <c r="AJ702" s="29">
        <f>IFERROR(IF(AI702="","sem dados",IF(AB702&lt;AI702*0.95,"abaixo",IF(AB702&gt;AI702*1.05,"acima","em linha"))),"")</f>
        <v/>
      </c>
      <c r="AK702" s="23" t="inlineStr">
        <is>
          <t>não</t>
        </is>
      </c>
      <c r="AL702" s="23" t="n"/>
      <c r="AM702" s="23" t="n"/>
      <c r="AN702" s="23" t="n"/>
      <c r="AO702" s="44">
        <f>A702</f>
        <v/>
      </c>
      <c r="AP702" s="44">
        <f>D702</f>
        <v/>
      </c>
    </row>
    <row r="703" hidden="1" ht="15.75" customHeight="1" s="93">
      <c r="A703" s="23" t="inlineStr">
        <is>
          <t>5.0220.L082536.0</t>
        </is>
      </c>
      <c r="B703" s="23" t="inlineStr">
        <is>
          <t>L082536</t>
        </is>
      </c>
      <c r="C703" s="29">
        <f>IFERROR(LOWER(SUBSTITUTE(SUBSTITUTE(SUBSTITUTE(SUBSTITUTE(D703," ","-"),"/","-"),".",""),",","")),"")</f>
        <v/>
      </c>
      <c r="D703" s="23" t="inlineStr">
        <is>
          <t>DIVISOR MRBO 8 .G108.C159/8.C159/8.C159.G108</t>
        </is>
      </c>
      <c r="E703" s="23" t="n"/>
      <c r="F703" s="23" t="inlineStr">
        <is>
          <t>SOHIPREN</t>
        </is>
      </c>
      <c r="G703" s="23" t="n"/>
      <c r="H703" s="23" t="inlineStr">
        <is>
          <t>draft</t>
        </is>
      </c>
      <c r="I703" s="23" t="inlineStr">
        <is>
          <t>JUMIL</t>
        </is>
      </c>
      <c r="J703" s="23" t="n"/>
      <c r="K703" s="23" t="n"/>
      <c r="L703" s="23" t="n"/>
      <c r="M703" s="31" t="n"/>
      <c r="N703" s="31" t="n"/>
      <c r="O703" s="31" t="n"/>
      <c r="P703" s="31" t="n"/>
      <c r="Q703" s="31" t="n"/>
      <c r="R703" s="34">
        <f>IFERROR(IF(AND(O703&gt;0,P703&gt;0,Q703&gt;0),(O703*P703*Q703)/6000,""),"")</f>
        <v/>
      </c>
      <c r="S703" s="34">
        <f>IFERROR(IF(AND(N703&gt;0,R703&gt;0),MAX(N703,R703),IF(N703&gt;0,N703,IF(R703&gt;0,R703,""))),"")</f>
        <v/>
      </c>
      <c r="T703" s="36" t="n"/>
      <c r="U703" s="38" t="inlineStr">
        <is>
          <t>FALTA</t>
        </is>
      </c>
      <c r="V703" s="36" t="n">
        <v>4845.51</v>
      </c>
      <c r="W703" s="39" t="n">
        <v>0.3</v>
      </c>
      <c r="X703" s="41">
        <f>IFERROR(V703+T703,"")</f>
        <v/>
      </c>
      <c r="Y703" s="41">
        <f>IFERROR(IF(W703&lt;1,X703/(1-W703),""),"")</f>
        <v/>
      </c>
      <c r="Z703" s="43">
        <f>'01_CONFIG_GLOBAL'!$C$14</f>
        <v/>
      </c>
      <c r="AA703" s="41">
        <f>IFERROR(Y703*Z703,"")</f>
        <v/>
      </c>
      <c r="AB703" s="41">
        <f>IFERROR(IF(Z703&lt;1,Y703/(1-Z703),""),"")</f>
        <v/>
      </c>
      <c r="AC703" s="23" t="n"/>
      <c r="AD703" s="36" t="n"/>
      <c r="AE703" s="23" t="n"/>
      <c r="AF703" s="36" t="n"/>
      <c r="AG703" s="23" t="n"/>
      <c r="AH703" s="36" t="n"/>
      <c r="AI703" s="41">
        <f>IFERROR(AVERAGE(AD703,AF703,AH703),"")</f>
        <v/>
      </c>
      <c r="AJ703" s="29">
        <f>IFERROR(IF(AI703="","sem dados",IF(AB703&lt;AI703*0.95,"abaixo",IF(AB703&gt;AI703*1.05,"acima","em linha"))),"")</f>
        <v/>
      </c>
      <c r="AK703" s="23" t="inlineStr">
        <is>
          <t>não</t>
        </is>
      </c>
      <c r="AL703" s="23" t="n"/>
      <c r="AM703" s="23" t="n"/>
      <c r="AN703" s="23" t="n"/>
      <c r="AO703" s="44">
        <f>A703</f>
        <v/>
      </c>
      <c r="AP703" s="44">
        <f>D703</f>
        <v/>
      </c>
    </row>
    <row r="704" hidden="1" ht="15.75" customHeight="1" s="93">
      <c r="A704" s="23" t="inlineStr">
        <is>
          <t>6.5001.L082463.1</t>
        </is>
      </c>
      <c r="B704" s="23" t="inlineStr">
        <is>
          <t>L082463.1</t>
        </is>
      </c>
      <c r="C704" s="29">
        <f>IFERROR(LOWER(SUBSTITUTE(SUBSTITUTE(SUBSTITUTE(SUBSTITUTE(D704," ","-"),"/","-"),".",""),",","")),"")</f>
        <v/>
      </c>
      <c r="D704" s="23" t="inlineStr">
        <is>
          <t>VÁLVULA RETENÇÃO EM LINHA 200 L/min - 1'' BSP</t>
        </is>
      </c>
      <c r="E704" s="23" t="n"/>
      <c r="F704" s="23" t="inlineStr">
        <is>
          <t>SOHIPREN</t>
        </is>
      </c>
      <c r="G704" s="23" t="n"/>
      <c r="H704" s="23" t="inlineStr">
        <is>
          <t>draft</t>
        </is>
      </c>
      <c r="I704" s="23" t="inlineStr">
        <is>
          <t>JUMIL</t>
        </is>
      </c>
      <c r="J704" s="23" t="n"/>
      <c r="K704" s="23" t="inlineStr">
        <is>
          <t>REGULADORA DE VAZÃO - AGULHA</t>
        </is>
      </c>
      <c r="L704" s="23" t="inlineStr">
        <is>
          <t>9201224</t>
        </is>
      </c>
      <c r="M704" s="31" t="n"/>
      <c r="N704" s="31" t="n"/>
      <c r="O704" s="31" t="n"/>
      <c r="P704" s="31" t="n"/>
      <c r="Q704" s="31" t="n"/>
      <c r="R704" s="34">
        <f>IFERROR(IF(AND(O704&gt;0,P704&gt;0,Q704&gt;0),(O704*P704*Q704)/6000,""),"")</f>
        <v/>
      </c>
      <c r="S704" s="34">
        <f>IFERROR(IF(AND(N704&gt;0,R704&gt;0),MAX(N704,R704),IF(N704&gt;0,N704,IF(R704&gt;0,R704,""))),"")</f>
        <v/>
      </c>
      <c r="T704" s="36" t="n"/>
      <c r="U704" s="38" t="inlineStr">
        <is>
          <t>FALTA</t>
        </is>
      </c>
      <c r="V704" s="36" t="n">
        <v>110</v>
      </c>
      <c r="W704" s="39" t="n">
        <v>0.3</v>
      </c>
      <c r="X704" s="41">
        <f>IFERROR(V704+T704,"")</f>
        <v/>
      </c>
      <c r="Y704" s="41">
        <f>IFERROR(IF(W704&lt;1,X704/(1-W704),""),"")</f>
        <v/>
      </c>
      <c r="Z704" s="43">
        <f>'01_CONFIG_GLOBAL'!$C$14</f>
        <v/>
      </c>
      <c r="AA704" s="41">
        <f>IFERROR(Y704*Z704,"")</f>
        <v/>
      </c>
      <c r="AB704" s="41">
        <f>IFERROR(IF(Z704&lt;1,Y704/(1-Z704),""),"")</f>
        <v/>
      </c>
      <c r="AC704" s="23" t="n"/>
      <c r="AD704" s="36" t="n"/>
      <c r="AE704" s="23" t="n"/>
      <c r="AF704" s="36" t="n"/>
      <c r="AG704" s="23" t="n"/>
      <c r="AH704" s="36" t="n"/>
      <c r="AI704" s="41">
        <f>IFERROR(AVERAGE(AD704,AF704,AH704),"")</f>
        <v/>
      </c>
      <c r="AJ704" s="29">
        <f>IFERROR(IF(AI704="","sem dados",IF(AB704&lt;AI704*0.95,"abaixo",IF(AB704&gt;AI704*1.05,"acima","em linha"))),"")</f>
        <v/>
      </c>
      <c r="AK704" s="23" t="inlineStr">
        <is>
          <t>não</t>
        </is>
      </c>
      <c r="AL704" s="23" t="n"/>
      <c r="AM704" s="23" t="n"/>
      <c r="AN704" s="23" t="n"/>
      <c r="AO704" s="44">
        <f>A704</f>
        <v/>
      </c>
      <c r="AP704" s="44">
        <f>D704</f>
        <v/>
      </c>
    </row>
    <row r="705" hidden="1" ht="15.75" customHeight="1" s="93">
      <c r="A705" s="23" t="inlineStr">
        <is>
          <t>5.5206.L013150.0</t>
        </is>
      </c>
      <c r="B705" s="23" t="inlineStr">
        <is>
          <t>L01315</t>
        </is>
      </c>
      <c r="C705" s="29">
        <f>IFERROR(LOWER(SUBSTITUTE(SUBSTITUTE(SUBSTITUTE(SUBSTITUTE(D705," ","-"),"/","-"),".",""),",","")),"")</f>
        <v/>
      </c>
      <c r="D705" s="23" t="inlineStr">
        <is>
          <t>MUD BO 11 C14.C.C115.BL</t>
        </is>
      </c>
      <c r="E705" s="23" t="n"/>
      <c r="F705" s="23" t="inlineStr">
        <is>
          <t>SOHIPREN</t>
        </is>
      </c>
      <c r="G705" s="23" t="n"/>
      <c r="H705" s="23" t="inlineStr">
        <is>
          <t>draft</t>
        </is>
      </c>
      <c r="I705" s="23" t="inlineStr">
        <is>
          <t>JUMIL</t>
        </is>
      </c>
      <c r="J705" s="23" t="inlineStr">
        <is>
          <t>PLANTADEIRA</t>
        </is>
      </c>
      <c r="K705" s="23" t="inlineStr">
        <is>
          <t>MOTOR TURBINA</t>
        </is>
      </c>
      <c r="L705" s="23" t="inlineStr">
        <is>
          <t>9203063</t>
        </is>
      </c>
      <c r="M705" s="31" t="n"/>
      <c r="N705" s="31" t="n"/>
      <c r="O705" s="31" t="n"/>
      <c r="P705" s="31" t="n"/>
      <c r="Q705" s="31" t="n"/>
      <c r="R705" s="34">
        <f>IFERROR(IF(AND(O705&gt;0,P705&gt;0,Q705&gt;0),(O705*P705*Q705)/6000,""),"")</f>
        <v/>
      </c>
      <c r="S705" s="34">
        <f>IFERROR(IF(AND(N705&gt;0,R705&gt;0),MAX(N705,R705),IF(N705&gt;0,N705,IF(R705&gt;0,R705,""))),"")</f>
        <v/>
      </c>
      <c r="T705" s="36" t="n"/>
      <c r="U705" s="38" t="inlineStr">
        <is>
          <t>FALTA</t>
        </is>
      </c>
      <c r="V705" s="36" t="n">
        <v>778</v>
      </c>
      <c r="W705" s="39" t="n">
        <v>0.3</v>
      </c>
      <c r="X705" s="41">
        <f>IFERROR(V705+T705,"")</f>
        <v/>
      </c>
      <c r="Y705" s="41">
        <f>IFERROR(IF(W705&lt;1,X705/(1-W705),""),"")</f>
        <v/>
      </c>
      <c r="Z705" s="43">
        <f>'01_CONFIG_GLOBAL'!$C$14</f>
        <v/>
      </c>
      <c r="AA705" s="41">
        <f>IFERROR(Y705*Z705,"")</f>
        <v/>
      </c>
      <c r="AB705" s="41">
        <f>IFERROR(IF(Z705&lt;1,Y705/(1-Z705),""),"")</f>
        <v/>
      </c>
      <c r="AC705" s="23" t="n"/>
      <c r="AD705" s="36" t="n"/>
      <c r="AE705" s="23" t="n"/>
      <c r="AF705" s="36" t="n"/>
      <c r="AG705" s="23" t="n"/>
      <c r="AH705" s="36" t="n"/>
      <c r="AI705" s="41">
        <f>IFERROR(AVERAGE(AD705,AF705,AH705),"")</f>
        <v/>
      </c>
      <c r="AJ705" s="29">
        <f>IFERROR(IF(AI705="","sem dados",IF(AB705&lt;AI705*0.95,"abaixo",IF(AB705&gt;AI705*1.05,"acima","em linha"))),"")</f>
        <v/>
      </c>
      <c r="AK705" s="23" t="inlineStr">
        <is>
          <t>não</t>
        </is>
      </c>
      <c r="AL705" s="23" t="n"/>
      <c r="AM705" s="23" t="n"/>
      <c r="AN705" s="23" t="n"/>
      <c r="AO705" s="44">
        <f>A705</f>
        <v/>
      </c>
      <c r="AP705" s="44">
        <f>D705</f>
        <v/>
      </c>
    </row>
    <row r="706" hidden="1" ht="15.75" customHeight="1" s="93">
      <c r="A706" s="23" t="inlineStr">
        <is>
          <t>5.5205.L011960.0</t>
        </is>
      </c>
      <c r="B706" s="23" t="inlineStr">
        <is>
          <t>L01196</t>
        </is>
      </c>
      <c r="C706" s="29">
        <f>IFERROR(LOWER(SUBSTITUTE(SUBSTITUTE(SUBSTITUTE(SUBSTITUTE(D706," ","-"),"/","-"),".",""),",","")),"")</f>
        <v/>
      </c>
      <c r="D706" s="23" t="inlineStr">
        <is>
          <t>MUD BO 8 C14.C.C115.BL</t>
        </is>
      </c>
      <c r="E706" s="23" t="n"/>
      <c r="F706" s="23" t="inlineStr">
        <is>
          <t>SOHIPREN</t>
        </is>
      </c>
      <c r="G706" s="23" t="n"/>
      <c r="H706" s="23" t="inlineStr">
        <is>
          <t>draft</t>
        </is>
      </c>
      <c r="I706" s="23" t="inlineStr">
        <is>
          <t>JUMIL</t>
        </is>
      </c>
      <c r="J706" s="23" t="inlineStr">
        <is>
          <t>PLANTADEIRA</t>
        </is>
      </c>
      <c r="K706" s="23" t="inlineStr">
        <is>
          <t>MOTOR TURBINA GHERBEZZA</t>
        </is>
      </c>
      <c r="L706" s="23" t="inlineStr">
        <is>
          <t>9203050-R979108378</t>
        </is>
      </c>
      <c r="M706" s="31" t="n"/>
      <c r="N706" s="31" t="n"/>
      <c r="O706" s="31" t="n"/>
      <c r="P706" s="31" t="n"/>
      <c r="Q706" s="31" t="n"/>
      <c r="R706" s="34">
        <f>IFERROR(IF(AND(O706&gt;0,P706&gt;0,Q706&gt;0),(O706*P706*Q706)/6000,""),"")</f>
        <v/>
      </c>
      <c r="S706" s="34">
        <f>IFERROR(IF(AND(N706&gt;0,R706&gt;0),MAX(N706,R706),IF(N706&gt;0,N706,IF(R706&gt;0,R706,""))),"")</f>
        <v/>
      </c>
      <c r="T706" s="36" t="n"/>
      <c r="U706" s="38" t="inlineStr">
        <is>
          <t>FALTA</t>
        </is>
      </c>
      <c r="V706" s="36" t="n">
        <v>645</v>
      </c>
      <c r="W706" s="39" t="n">
        <v>0.3</v>
      </c>
      <c r="X706" s="41">
        <f>IFERROR(V706+T706,"")</f>
        <v/>
      </c>
      <c r="Y706" s="41">
        <f>IFERROR(IF(W706&lt;1,X706/(1-W706),""),"")</f>
        <v/>
      </c>
      <c r="Z706" s="43">
        <f>'01_CONFIG_GLOBAL'!$C$14</f>
        <v/>
      </c>
      <c r="AA706" s="41">
        <f>IFERROR(Y706*Z706,"")</f>
        <v/>
      </c>
      <c r="AB706" s="41">
        <f>IFERROR(IF(Z706&lt;1,Y706/(1-Z706),""),"")</f>
        <v/>
      </c>
      <c r="AC706" s="23" t="n"/>
      <c r="AD706" s="36" t="n"/>
      <c r="AE706" s="23" t="n"/>
      <c r="AF706" s="36" t="n"/>
      <c r="AG706" s="23" t="n"/>
      <c r="AH706" s="36" t="n"/>
      <c r="AI706" s="41">
        <f>IFERROR(AVERAGE(AD706,AF706,AH706),"")</f>
        <v/>
      </c>
      <c r="AJ706" s="29">
        <f>IFERROR(IF(AI706="","sem dados",IF(AB706&lt;AI706*0.95,"abaixo",IF(AB706&gt;AI706*1.05,"acima","em linha"))),"")</f>
        <v/>
      </c>
      <c r="AK706" s="23" t="inlineStr">
        <is>
          <t>não</t>
        </is>
      </c>
      <c r="AL706" s="23" t="n"/>
      <c r="AM706" s="23" t="n"/>
      <c r="AN706" s="23" t="n"/>
      <c r="AO706" s="44">
        <f>A706</f>
        <v/>
      </c>
      <c r="AP706" s="44">
        <f>D706</f>
        <v/>
      </c>
    </row>
    <row r="707" hidden="1" ht="15.75" customHeight="1" s="93">
      <c r="A707" s="23" t="inlineStr">
        <is>
          <t>5.5202.L012310.0</t>
        </is>
      </c>
      <c r="B707" s="23" t="inlineStr">
        <is>
          <t>L01231</t>
        </is>
      </c>
      <c r="C707" s="29">
        <f>IFERROR(LOWER(SUBSTITUTE(SUBSTITUTE(SUBSTITUTE(SUBSTITUTE(D707," ","-"),"/","-"),".",""),",","")),"")</f>
        <v/>
      </c>
      <c r="D707" s="23" t="inlineStr">
        <is>
          <t>MUI BO 2,5 F4.A2.C1.T17 5-3 BAR</t>
        </is>
      </c>
      <c r="E707" s="23" t="n"/>
      <c r="F707" s="23" t="inlineStr">
        <is>
          <t>SOHIPREN</t>
        </is>
      </c>
      <c r="G707" s="23" t="n"/>
      <c r="H707" s="23" t="inlineStr">
        <is>
          <t>draft</t>
        </is>
      </c>
      <c r="I707" s="23" t="inlineStr">
        <is>
          <t>JUMIL</t>
        </is>
      </c>
      <c r="J707" s="23" t="inlineStr">
        <is>
          <t>PLANTADEIRA</t>
        </is>
      </c>
      <c r="K707" s="23" t="inlineStr">
        <is>
          <t>TURBINA  C/ VÁL Acv.</t>
        </is>
      </c>
      <c r="L707" s="23" t="n"/>
      <c r="M707" s="31" t="n"/>
      <c r="N707" s="31" t="n"/>
      <c r="O707" s="31" t="n"/>
      <c r="P707" s="31" t="n"/>
      <c r="Q707" s="31" t="n"/>
      <c r="R707" s="34">
        <f>IFERROR(IF(AND(O707&gt;0,P707&gt;0,Q707&gt;0),(O707*P707*Q707)/6000,""),"")</f>
        <v/>
      </c>
      <c r="S707" s="34">
        <f>IFERROR(IF(AND(N707&gt;0,R707&gt;0),MAX(N707,R707),IF(N707&gt;0,N707,IF(R707&gt;0,R707,""))),"")</f>
        <v/>
      </c>
      <c r="T707" s="36" t="n"/>
      <c r="U707" s="38" t="inlineStr">
        <is>
          <t>FALTA</t>
        </is>
      </c>
      <c r="V707" s="36" t="n">
        <v>998</v>
      </c>
      <c r="W707" s="39" t="n">
        <v>0.3</v>
      </c>
      <c r="X707" s="41">
        <f>IFERROR(V707+T707,"")</f>
        <v/>
      </c>
      <c r="Y707" s="41">
        <f>IFERROR(IF(W707&lt;1,X707/(1-W707),""),"")</f>
        <v/>
      </c>
      <c r="Z707" s="43">
        <f>'01_CONFIG_GLOBAL'!$C$14</f>
        <v/>
      </c>
      <c r="AA707" s="41">
        <f>IFERROR(Y707*Z707,"")</f>
        <v/>
      </c>
      <c r="AB707" s="41">
        <f>IFERROR(IF(Z707&lt;1,Y707/(1-Z707),""),"")</f>
        <v/>
      </c>
      <c r="AC707" s="23" t="n"/>
      <c r="AD707" s="36" t="n"/>
      <c r="AE707" s="23" t="n"/>
      <c r="AF707" s="36" t="n"/>
      <c r="AG707" s="23" t="n"/>
      <c r="AH707" s="36" t="n"/>
      <c r="AI707" s="41">
        <f>IFERROR(AVERAGE(AD707,AF707,AH707),"")</f>
        <v/>
      </c>
      <c r="AJ707" s="29">
        <f>IFERROR(IF(AI707="","sem dados",IF(AB707&lt;AI707*0.95,"abaixo",IF(AB707&gt;AI707*1.05,"acima","em linha"))),"")</f>
        <v/>
      </c>
      <c r="AK707" s="23" t="inlineStr">
        <is>
          <t>não</t>
        </is>
      </c>
      <c r="AL707" s="23" t="n"/>
      <c r="AM707" s="23" t="n"/>
      <c r="AN707" s="23" t="n"/>
      <c r="AO707" s="44">
        <f>A707</f>
        <v/>
      </c>
      <c r="AP707" s="44">
        <f>D707</f>
        <v/>
      </c>
    </row>
    <row r="708" hidden="1" ht="15.75" customHeight="1" s="93">
      <c r="A708" s="23" t="inlineStr">
        <is>
          <t>5.5107.L012820.0</t>
        </is>
      </c>
      <c r="B708" s="23" t="inlineStr">
        <is>
          <t>L01282</t>
        </is>
      </c>
      <c r="C708" s="29">
        <f>IFERROR(LOWER(SUBSTITUTE(SUBSTITUTE(SUBSTITUTE(SUBSTITUTE(D708," ","-"),"/","-"),".",""),",","")),"")</f>
        <v/>
      </c>
      <c r="D708" s="23" t="inlineStr">
        <is>
          <t>MUD B1 5 CX.C.C20.L</t>
        </is>
      </c>
      <c r="E708" s="23" t="n"/>
      <c r="F708" s="23" t="inlineStr">
        <is>
          <t>SOHIPREN</t>
        </is>
      </c>
      <c r="G708" s="23" t="n"/>
      <c r="H708" s="23" t="inlineStr">
        <is>
          <t>draft</t>
        </is>
      </c>
      <c r="I708" s="23" t="inlineStr">
        <is>
          <t>JUMIL - KUHN</t>
        </is>
      </c>
      <c r="J708" s="23" t="inlineStr">
        <is>
          <t>PLANTADEIRA</t>
        </is>
      </c>
      <c r="K708" s="23" t="inlineStr">
        <is>
          <t>MOTOR TURBINA</t>
        </is>
      </c>
      <c r="L708" s="23" t="inlineStr">
        <is>
          <t>10MC5X933U34-9203019-05131005001-0037000I-86401813</t>
        </is>
      </c>
      <c r="M708" s="31" t="n"/>
      <c r="N708" s="31" t="n"/>
      <c r="O708" s="31" t="n"/>
      <c r="P708" s="31" t="n"/>
      <c r="Q708" s="31" t="n"/>
      <c r="R708" s="34">
        <f>IFERROR(IF(AND(O708&gt;0,P708&gt;0,Q708&gt;0),(O708*P708*Q708)/6000,""),"")</f>
        <v/>
      </c>
      <c r="S708" s="34">
        <f>IFERROR(IF(AND(N708&gt;0,R708&gt;0),MAX(N708,R708),IF(N708&gt;0,N708,IF(R708&gt;0,R708,""))),"")</f>
        <v/>
      </c>
      <c r="T708" s="36" t="n"/>
      <c r="U708" s="38" t="inlineStr">
        <is>
          <t>FALTA</t>
        </is>
      </c>
      <c r="V708" s="36" t="n">
        <v>2045.77</v>
      </c>
      <c r="W708" s="39" t="n">
        <v>0.3</v>
      </c>
      <c r="X708" s="41">
        <f>IFERROR(V708+T708,"")</f>
        <v/>
      </c>
      <c r="Y708" s="41">
        <f>IFERROR(IF(W708&lt;1,X708/(1-W708),""),"")</f>
        <v/>
      </c>
      <c r="Z708" s="43">
        <f>'01_CONFIG_GLOBAL'!$C$14</f>
        <v/>
      </c>
      <c r="AA708" s="41">
        <f>IFERROR(Y708*Z708,"")</f>
        <v/>
      </c>
      <c r="AB708" s="41">
        <f>IFERROR(IF(Z708&lt;1,Y708/(1-Z708),""),"")</f>
        <v/>
      </c>
      <c r="AC708" s="23" t="n"/>
      <c r="AD708" s="36" t="n"/>
      <c r="AE708" s="23" t="n"/>
      <c r="AF708" s="36" t="n"/>
      <c r="AG708" s="23" t="n"/>
      <c r="AH708" s="36" t="n"/>
      <c r="AI708" s="41">
        <f>IFERROR(AVERAGE(AD708,AF708,AH708),"")</f>
        <v/>
      </c>
      <c r="AJ708" s="29">
        <f>IFERROR(IF(AI708="","sem dados",IF(AB708&lt;AI708*0.95,"abaixo",IF(AB708&gt;AI708*1.05,"acima","em linha"))),"")</f>
        <v/>
      </c>
      <c r="AK708" s="23" t="inlineStr">
        <is>
          <t>não</t>
        </is>
      </c>
      <c r="AL708" s="23" t="n"/>
      <c r="AM708" s="23" t="n"/>
      <c r="AN708" s="23" t="n"/>
      <c r="AO708" s="44">
        <f>A708</f>
        <v/>
      </c>
      <c r="AP708" s="44">
        <f>D708</f>
        <v/>
      </c>
    </row>
    <row r="709" hidden="1" ht="15.75" customHeight="1" s="93">
      <c r="A709" s="23" t="inlineStr">
        <is>
          <t>5.0210.0546422.0</t>
        </is>
      </c>
      <c r="B709" s="23" t="inlineStr">
        <is>
          <t>546422</t>
        </is>
      </c>
      <c r="C709" s="29">
        <f>IFERROR(LOWER(SUBSTITUTE(SUBSTITUTE(SUBSTITUTE(SUBSTITUTE(D709," ","-"),"/","-"),".",""),",","")),"")</f>
        <v/>
      </c>
      <c r="D709" s="23" t="inlineStr">
        <is>
          <t>BOD 22,5 E.C.A.L</t>
        </is>
      </c>
      <c r="E709" s="23" t="inlineStr">
        <is>
          <t>Bombas Hidráulicas</t>
        </is>
      </c>
      <c r="F709" s="23" t="inlineStr">
        <is>
          <t>SOHIPREN</t>
        </is>
      </c>
      <c r="G709" s="23" t="n"/>
      <c r="H709" s="23" t="inlineStr">
        <is>
          <t>draft</t>
        </is>
      </c>
      <c r="I709" s="23" t="inlineStr">
        <is>
          <t>KOMATSU</t>
        </is>
      </c>
      <c r="J709" s="23" t="inlineStr">
        <is>
          <t>EMPILHADEIRA</t>
        </is>
      </c>
      <c r="K709" s="23" t="inlineStr">
        <is>
          <t>PRINCIPAL</t>
        </is>
      </c>
      <c r="L709" s="23" t="inlineStr">
        <is>
          <t>37D1KD2020/11101022014</t>
        </is>
      </c>
      <c r="M709" s="31" t="n"/>
      <c r="N709" s="31" t="n"/>
      <c r="O709" s="31" t="n"/>
      <c r="P709" s="31" t="n"/>
      <c r="Q709" s="31" t="n"/>
      <c r="R709" s="34">
        <f>IFERROR(IF(AND(O709&gt;0,P709&gt;0,Q709&gt;0),(O709*P709*Q709)/6000,""),"")</f>
        <v/>
      </c>
      <c r="S709" s="34">
        <f>IFERROR(IF(AND(N709&gt;0,R709&gt;0),MAX(N709,R709),IF(N709&gt;0,N709,IF(R709&gt;0,R709,""))),"")</f>
        <v/>
      </c>
      <c r="T709" s="36" t="n"/>
      <c r="U709" s="38" t="inlineStr">
        <is>
          <t>FALTA</t>
        </is>
      </c>
      <c r="V709" s="36" t="n">
        <v>550</v>
      </c>
      <c r="W709" s="39" t="n">
        <v>0.3</v>
      </c>
      <c r="X709" s="41">
        <f>IFERROR(V709+T709,"")</f>
        <v/>
      </c>
      <c r="Y709" s="41">
        <f>IFERROR(IF(W709&lt;1,X709/(1-W709),""),"")</f>
        <v/>
      </c>
      <c r="Z709" s="43">
        <f>'01_CONFIG_GLOBAL'!$C$14</f>
        <v/>
      </c>
      <c r="AA709" s="41">
        <f>IFERROR(Y709*Z709,"")</f>
        <v/>
      </c>
      <c r="AB709" s="41">
        <f>IFERROR(IF(Z709&lt;1,Y709/(1-Z709),""),"")</f>
        <v/>
      </c>
      <c r="AC709" s="23" t="n"/>
      <c r="AD709" s="36" t="n"/>
      <c r="AE709" s="23" t="n"/>
      <c r="AF709" s="36" t="n"/>
      <c r="AG709" s="23" t="n"/>
      <c r="AH709" s="36" t="n"/>
      <c r="AI709" s="41">
        <f>IFERROR(AVERAGE(AD709,AF709,AH709),"")</f>
        <v/>
      </c>
      <c r="AJ709" s="29">
        <f>IFERROR(IF(AI709="","sem dados",IF(AB709&lt;AI709*0.95,"abaixo",IF(AB709&gt;AI709*1.05,"acima","em linha"))),"")</f>
        <v/>
      </c>
      <c r="AK709" s="23" t="inlineStr">
        <is>
          <t>não</t>
        </is>
      </c>
      <c r="AL709" s="23" t="n"/>
      <c r="AM709" s="23" t="n"/>
      <c r="AN709" s="23" t="n"/>
      <c r="AO709" s="44">
        <f>A709</f>
        <v/>
      </c>
      <c r="AP709" s="44">
        <f>D709</f>
        <v/>
      </c>
    </row>
    <row r="710" hidden="1" ht="15.75" customHeight="1" s="93">
      <c r="A710" s="23" t="inlineStr">
        <is>
          <t>5.5205.L012390.0</t>
        </is>
      </c>
      <c r="B710" s="23" t="inlineStr">
        <is>
          <t>L01239</t>
        </is>
      </c>
      <c r="C710" s="29">
        <f>IFERROR(LOWER(SUBSTITUTE(SUBSTITUTE(SUBSTITUTE(SUBSTITUTE(D710," ","-"),"/","-"),".",""),",","")),"")</f>
        <v/>
      </c>
      <c r="D710" s="23" t="inlineStr">
        <is>
          <t>MRBO 8 F4.A2.A104.L12</t>
        </is>
      </c>
      <c r="E710" s="23" t="n"/>
      <c r="F710" s="23" t="inlineStr">
        <is>
          <t>SOHIPREN</t>
        </is>
      </c>
      <c r="G710" s="23" t="n"/>
      <c r="H710" s="23" t="inlineStr">
        <is>
          <t>draft</t>
        </is>
      </c>
      <c r="I710" s="23" t="inlineStr">
        <is>
          <t>KTR</t>
        </is>
      </c>
      <c r="J710" s="23" t="inlineStr">
        <is>
          <t>DIVERSOS</t>
        </is>
      </c>
      <c r="K710" s="23" t="inlineStr">
        <is>
          <t>MOTOR BI DIRECIONAL</t>
        </is>
      </c>
      <c r="L710" s="23" t="inlineStr">
        <is>
          <t>R979026889</t>
        </is>
      </c>
      <c r="M710" s="31" t="n"/>
      <c r="N710" s="31" t="n"/>
      <c r="O710" s="31" t="n"/>
      <c r="P710" s="31" t="n"/>
      <c r="Q710" s="31" t="n"/>
      <c r="R710" s="34">
        <f>IFERROR(IF(AND(O710&gt;0,P710&gt;0,Q710&gt;0),(O710*P710*Q710)/6000,""),"")</f>
        <v/>
      </c>
      <c r="S710" s="34">
        <f>IFERROR(IF(AND(N710&gt;0,R710&gt;0),MAX(N710,R710),IF(N710&gt;0,N710,IF(R710&gt;0,R710,""))),"")</f>
        <v/>
      </c>
      <c r="T710" s="36" t="n"/>
      <c r="U710" s="38" t="inlineStr">
        <is>
          <t>FALTA</t>
        </is>
      </c>
      <c r="V710" s="36" t="n">
        <v>632</v>
      </c>
      <c r="W710" s="39" t="n">
        <v>0.3</v>
      </c>
      <c r="X710" s="41">
        <f>IFERROR(V710+T710,"")</f>
        <v/>
      </c>
      <c r="Y710" s="41">
        <f>IFERROR(IF(W710&lt;1,X710/(1-W710),""),"")</f>
        <v/>
      </c>
      <c r="Z710" s="43">
        <f>'01_CONFIG_GLOBAL'!$C$14</f>
        <v/>
      </c>
      <c r="AA710" s="41">
        <f>IFERROR(Y710*Z710,"")</f>
        <v/>
      </c>
      <c r="AB710" s="41">
        <f>IFERROR(IF(Z710&lt;1,Y710/(1-Z710),""),"")</f>
        <v/>
      </c>
      <c r="AC710" s="23" t="n"/>
      <c r="AD710" s="36" t="n"/>
      <c r="AE710" s="23" t="n"/>
      <c r="AF710" s="36" t="n"/>
      <c r="AG710" s="23" t="n"/>
      <c r="AH710" s="36" t="n"/>
      <c r="AI710" s="41">
        <f>IFERROR(AVERAGE(AD710,AF710,AH710),"")</f>
        <v/>
      </c>
      <c r="AJ710" s="29">
        <f>IFERROR(IF(AI710="","sem dados",IF(AB710&lt;AI710*0.95,"abaixo",IF(AB710&gt;AI710*1.05,"acima","em linha"))),"")</f>
        <v/>
      </c>
      <c r="AK710" s="23" t="inlineStr">
        <is>
          <t>não</t>
        </is>
      </c>
      <c r="AL710" s="23" t="n"/>
      <c r="AM710" s="23" t="n"/>
      <c r="AN710" s="23" t="n"/>
      <c r="AO710" s="44">
        <f>A710</f>
        <v/>
      </c>
      <c r="AP710" s="44">
        <f>D710</f>
        <v/>
      </c>
    </row>
    <row r="711" hidden="1" ht="15.75" customHeight="1" s="93">
      <c r="A711" s="23" t="inlineStr">
        <is>
          <t>0.2031.L082161.0</t>
        </is>
      </c>
      <c r="B711" s="23" t="inlineStr">
        <is>
          <t>L082161</t>
        </is>
      </c>
      <c r="C711" s="29">
        <f>IFERROR(LOWER(SUBSTITUTE(SUBSTITUTE(SUBSTITUTE(SUBSTITUTE(D711," ","-"),"/","-"),".",""),",","")),"")</f>
        <v/>
      </c>
      <c r="D711" s="23" t="inlineStr">
        <is>
          <t>ACOP. BOWEX 80 FLE PA SAE 11,5 CUBO 2,3 13 T SAE1 3/4 PKS</t>
        </is>
      </c>
      <c r="E711" s="23" t="n"/>
      <c r="F711" s="23" t="inlineStr">
        <is>
          <t>SOHIPREN</t>
        </is>
      </c>
      <c r="G711" s="23" t="n"/>
      <c r="H711" s="23" t="inlineStr">
        <is>
          <t>draft</t>
        </is>
      </c>
      <c r="I711" s="23" t="inlineStr">
        <is>
          <t>KTR do Brasil</t>
        </is>
      </c>
      <c r="J711" s="23" t="n"/>
      <c r="K711" s="23" t="n"/>
      <c r="L711" s="23" t="inlineStr">
        <is>
          <t>910421009002</t>
        </is>
      </c>
      <c r="M711" s="31" t="n"/>
      <c r="N711" s="31" t="n"/>
      <c r="O711" s="31" t="n"/>
      <c r="P711" s="31" t="n"/>
      <c r="Q711" s="31" t="n"/>
      <c r="R711" s="34">
        <f>IFERROR(IF(AND(O711&gt;0,P711&gt;0,Q711&gt;0),(O711*P711*Q711)/6000,""),"")</f>
        <v/>
      </c>
      <c r="S711" s="34">
        <f>IFERROR(IF(AND(N711&gt;0,R711&gt;0),MAX(N711,R711),IF(N711&gt;0,N711,IF(R711&gt;0,R711,""))),"")</f>
        <v/>
      </c>
      <c r="T711" s="36" t="n"/>
      <c r="U711" s="38" t="inlineStr">
        <is>
          <t>FALTA</t>
        </is>
      </c>
      <c r="V711" s="36" t="n">
        <v>9817.5</v>
      </c>
      <c r="W711" s="39" t="n">
        <v>0.3</v>
      </c>
      <c r="X711" s="41">
        <f>IFERROR(V711+T711,"")</f>
        <v/>
      </c>
      <c r="Y711" s="41">
        <f>IFERROR(IF(W711&lt;1,X711/(1-W711),""),"")</f>
        <v/>
      </c>
      <c r="Z711" s="43">
        <f>'01_CONFIG_GLOBAL'!$C$14</f>
        <v/>
      </c>
      <c r="AA711" s="41">
        <f>IFERROR(Y711*Z711,"")</f>
        <v/>
      </c>
      <c r="AB711" s="41">
        <f>IFERROR(IF(Z711&lt;1,Y711/(1-Z711),""),"")</f>
        <v/>
      </c>
      <c r="AC711" s="23" t="n"/>
      <c r="AD711" s="36" t="n"/>
      <c r="AE711" s="23" t="n"/>
      <c r="AF711" s="36" t="n"/>
      <c r="AG711" s="23" t="n"/>
      <c r="AH711" s="36" t="n"/>
      <c r="AI711" s="41">
        <f>IFERROR(AVERAGE(AD711,AF711,AH711),"")</f>
        <v/>
      </c>
      <c r="AJ711" s="29">
        <f>IFERROR(IF(AI711="","sem dados",IF(AB711&lt;AI711*0.95,"abaixo",IF(AB711&gt;AI711*1.05,"acima","em linha"))),"")</f>
        <v/>
      </c>
      <c r="AK711" s="23" t="inlineStr">
        <is>
          <t>não</t>
        </is>
      </c>
      <c r="AL711" s="23" t="n"/>
      <c r="AM711" s="23" t="n"/>
      <c r="AN711" s="23" t="n"/>
      <c r="AO711" s="44">
        <f>A711</f>
        <v/>
      </c>
      <c r="AP711" s="44">
        <f>D711</f>
        <v/>
      </c>
    </row>
    <row r="712" hidden="1" ht="15.75" customHeight="1" s="93">
      <c r="A712" s="23" t="inlineStr">
        <is>
          <t>0.2031.L082094.0</t>
        </is>
      </c>
      <c r="B712" s="23" t="inlineStr">
        <is>
          <t>L082094</t>
        </is>
      </c>
      <c r="C712" s="29">
        <f>IFERROR(LOWER(SUBSTITUTE(SUBSTITUTE(SUBSTITUTE(SUBSTITUTE(D712," ","-"),"/","-"),".",""),",","")),"")</f>
        <v/>
      </c>
      <c r="D712" s="23" t="inlineStr">
        <is>
          <t>ACOPLAMENTO C/SENSOR TORQUE MONITEX-BT 42/800 completo - 2m</t>
        </is>
      </c>
      <c r="E712" s="23" t="n"/>
      <c r="F712" s="23" t="inlineStr">
        <is>
          <t>SOHIPREN</t>
        </is>
      </c>
      <c r="G712" s="23" t="n"/>
      <c r="H712" s="23" t="inlineStr">
        <is>
          <t>draft</t>
        </is>
      </c>
      <c r="I712" s="23" t="inlineStr">
        <is>
          <t>KTR do Brasil</t>
        </is>
      </c>
      <c r="J712" s="23" t="n"/>
      <c r="K712" s="23" t="n"/>
      <c r="L712" s="23" t="inlineStr">
        <is>
          <t>910421009002</t>
        </is>
      </c>
      <c r="M712" s="31" t="n"/>
      <c r="N712" s="31" t="n"/>
      <c r="O712" s="31" t="n"/>
      <c r="P712" s="31" t="n"/>
      <c r="Q712" s="31" t="n"/>
      <c r="R712" s="34">
        <f>IFERROR(IF(AND(O712&gt;0,P712&gt;0,Q712&gt;0),(O712*P712*Q712)/6000,""),"")</f>
        <v/>
      </c>
      <c r="S712" s="34">
        <f>IFERROR(IF(AND(N712&gt;0,R712&gt;0),MAX(N712,R712),IF(N712&gt;0,N712,IF(R712&gt;0,R712,""))),"")</f>
        <v/>
      </c>
      <c r="T712" s="36" t="n"/>
      <c r="U712" s="38" t="inlineStr">
        <is>
          <t>FALTA</t>
        </is>
      </c>
      <c r="V712" s="36" t="n">
        <v>9817.5</v>
      </c>
      <c r="W712" s="39" t="n">
        <v>0.3</v>
      </c>
      <c r="X712" s="41">
        <f>IFERROR(V712+T712,"")</f>
        <v/>
      </c>
      <c r="Y712" s="41">
        <f>IFERROR(IF(W712&lt;1,X712/(1-W712),""),"")</f>
        <v/>
      </c>
      <c r="Z712" s="43">
        <f>'01_CONFIG_GLOBAL'!$C$14</f>
        <v/>
      </c>
      <c r="AA712" s="41">
        <f>IFERROR(Y712*Z712,"")</f>
        <v/>
      </c>
      <c r="AB712" s="41">
        <f>IFERROR(IF(Z712&lt;1,Y712/(1-Z712),""),"")</f>
        <v/>
      </c>
      <c r="AC712" s="23" t="n"/>
      <c r="AD712" s="36" t="n"/>
      <c r="AE712" s="23" t="n"/>
      <c r="AF712" s="36" t="n"/>
      <c r="AG712" s="23" t="n"/>
      <c r="AH712" s="36" t="n"/>
      <c r="AI712" s="41">
        <f>IFERROR(AVERAGE(AD712,AF712,AH712),"")</f>
        <v/>
      </c>
      <c r="AJ712" s="29">
        <f>IFERROR(IF(AI712="","sem dados",IF(AB712&lt;AI712*0.95,"abaixo",IF(AB712&gt;AI712*1.05,"acima","em linha"))),"")</f>
        <v/>
      </c>
      <c r="AK712" s="23" t="inlineStr">
        <is>
          <t>não</t>
        </is>
      </c>
      <c r="AL712" s="23" t="n"/>
      <c r="AM712" s="23" t="n"/>
      <c r="AN712" s="23" t="n"/>
      <c r="AO712" s="44">
        <f>A712</f>
        <v/>
      </c>
      <c r="AP712" s="44">
        <f>D712</f>
        <v/>
      </c>
    </row>
    <row r="713" hidden="1" ht="15.75" customHeight="1" s="93">
      <c r="A713" s="23" t="inlineStr">
        <is>
          <t>5.5208.L007270.0</t>
        </is>
      </c>
      <c r="B713" s="23" t="inlineStr">
        <is>
          <t>L00727</t>
        </is>
      </c>
      <c r="C713" s="29">
        <f>IFERROR(LOWER(SUBSTITUTE(SUBSTITUTE(SUBSTITUTE(SUBSTITUTE(D713," ","-"),"/","-"),".",""),",","")),"")</f>
        <v/>
      </c>
      <c r="D713" s="23" t="inlineStr">
        <is>
          <t>MRBO 8 B1.C.C3.L</t>
        </is>
      </c>
      <c r="E713" s="23" t="n"/>
      <c r="F713" s="23" t="inlineStr">
        <is>
          <t>SOHIPREN</t>
        </is>
      </c>
      <c r="G713" s="23" t="n"/>
      <c r="H713" s="23" t="inlineStr">
        <is>
          <t>draft</t>
        </is>
      </c>
      <c r="I713" s="23" t="inlineStr">
        <is>
          <t>KTR DO BRASIL</t>
        </is>
      </c>
      <c r="J713" s="23" t="inlineStr">
        <is>
          <t>TROCADOR DE CALOR</t>
        </is>
      </c>
      <c r="K713" s="23" t="inlineStr">
        <is>
          <t>ACIONAMENTO DO VENTILADOR</t>
        </is>
      </c>
      <c r="L713" s="23" t="n"/>
      <c r="M713" s="31" t="n"/>
      <c r="N713" s="31" t="n"/>
      <c r="O713" s="31" t="n"/>
      <c r="P713" s="31" t="n"/>
      <c r="Q713" s="31" t="n"/>
      <c r="R713" s="34">
        <f>IFERROR(IF(AND(O713&gt;0,P713&gt;0,Q713&gt;0),(O713*P713*Q713)/6000,""),"")</f>
        <v/>
      </c>
      <c r="S713" s="34">
        <f>IFERROR(IF(AND(N713&gt;0,R713&gt;0),MAX(N713,R713),IF(N713&gt;0,N713,IF(R713&gt;0,R713,""))),"")</f>
        <v/>
      </c>
      <c r="T713" s="36" t="n"/>
      <c r="U713" s="38" t="inlineStr">
        <is>
          <t>FALTA</t>
        </is>
      </c>
      <c r="V713" s="36" t="n">
        <v>456.5</v>
      </c>
      <c r="W713" s="39" t="n">
        <v>0.3</v>
      </c>
      <c r="X713" s="41">
        <f>IFERROR(V713+T713,"")</f>
        <v/>
      </c>
      <c r="Y713" s="41">
        <f>IFERROR(IF(W713&lt;1,X713/(1-W713),""),"")</f>
        <v/>
      </c>
      <c r="Z713" s="43">
        <f>'01_CONFIG_GLOBAL'!$C$14</f>
        <v/>
      </c>
      <c r="AA713" s="41">
        <f>IFERROR(Y713*Z713,"")</f>
        <v/>
      </c>
      <c r="AB713" s="41">
        <f>IFERROR(IF(Z713&lt;1,Y713/(1-Z713),""),"")</f>
        <v/>
      </c>
      <c r="AC713" s="23" t="n"/>
      <c r="AD713" s="36" t="n"/>
      <c r="AE713" s="23" t="n"/>
      <c r="AF713" s="36" t="n"/>
      <c r="AG713" s="23" t="n"/>
      <c r="AH713" s="36" t="n"/>
      <c r="AI713" s="41">
        <f>IFERROR(AVERAGE(AD713,AF713,AH713),"")</f>
        <v/>
      </c>
      <c r="AJ713" s="29">
        <f>IFERROR(IF(AI713="","sem dados",IF(AB713&lt;AI713*0.95,"abaixo",IF(AB713&gt;AI713*1.05,"acima","em linha"))),"")</f>
        <v/>
      </c>
      <c r="AK713" s="23" t="inlineStr">
        <is>
          <t>não</t>
        </is>
      </c>
      <c r="AL713" s="23" t="n"/>
      <c r="AM713" s="23" t="n"/>
      <c r="AN713" s="23" t="n"/>
      <c r="AO713" s="44">
        <f>A713</f>
        <v/>
      </c>
      <c r="AP713" s="44">
        <f>D713</f>
        <v/>
      </c>
    </row>
    <row r="714" hidden="1" ht="15.75" customHeight="1" s="93">
      <c r="A714" s="23" t="inlineStr">
        <is>
          <t>5.0220.0548869.0</t>
        </is>
      </c>
      <c r="B714" s="23" t="inlineStr">
        <is>
          <t>548869</t>
        </is>
      </c>
      <c r="C714" s="29">
        <f>IFERROR(LOWER(SUBSTITUTE(SUBSTITUTE(SUBSTITUTE(SUBSTITUTE(D714," ","-"),"/","-"),".",""),",","")),"")</f>
        <v/>
      </c>
      <c r="D714" s="23" t="inlineStr">
        <is>
          <t>BOMBA HIDRÁULICA - APLICAÇÃO 8 B12.C29.C29/11 B15.L</t>
        </is>
      </c>
      <c r="E714" s="23" t="inlineStr">
        <is>
          <t>Bombas Hidráulicas</t>
        </is>
      </c>
      <c r="F714" s="23" t="inlineStr">
        <is>
          <t>SOHIPREN</t>
        </is>
      </c>
      <c r="G714" s="23" t="n"/>
      <c r="H714" s="23" t="inlineStr">
        <is>
          <t>draft</t>
        </is>
      </c>
      <c r="I714" s="23" t="inlineStr">
        <is>
          <t>LANDINI</t>
        </is>
      </c>
      <c r="J714" s="23" t="inlineStr">
        <is>
          <t>TRATOR</t>
        </is>
      </c>
      <c r="K714" s="23" t="n"/>
      <c r="L714" s="23" t="inlineStr">
        <is>
          <t>3655100J9A</t>
        </is>
      </c>
      <c r="M714" s="31" t="n"/>
      <c r="N714" s="31" t="n"/>
      <c r="O714" s="31" t="n"/>
      <c r="P714" s="31" t="n"/>
      <c r="Q714" s="31" t="n"/>
      <c r="R714" s="34">
        <f>IFERROR(IF(AND(O714&gt;0,P714&gt;0,Q714&gt;0),(O714*P714*Q714)/6000,""),"")</f>
        <v/>
      </c>
      <c r="S714" s="34">
        <f>IFERROR(IF(AND(N714&gt;0,R714&gt;0),MAX(N714,R714),IF(N714&gt;0,N714,IF(R714&gt;0,R714,""))),"")</f>
        <v/>
      </c>
      <c r="T714" s="36" t="n"/>
      <c r="U714" s="38" t="inlineStr">
        <is>
          <t>FALTA</t>
        </is>
      </c>
      <c r="V714" s="36" t="n">
        <v>1034</v>
      </c>
      <c r="W714" s="39" t="n">
        <v>0.3</v>
      </c>
      <c r="X714" s="41">
        <f>IFERROR(V714+T714,"")</f>
        <v/>
      </c>
      <c r="Y714" s="41">
        <f>IFERROR(IF(W714&lt;1,X714/(1-W714),""),"")</f>
        <v/>
      </c>
      <c r="Z714" s="43">
        <f>'01_CONFIG_GLOBAL'!$C$14</f>
        <v/>
      </c>
      <c r="AA714" s="41">
        <f>IFERROR(Y714*Z714,"")</f>
        <v/>
      </c>
      <c r="AB714" s="41">
        <f>IFERROR(IF(Z714&lt;1,Y714/(1-Z714),""),"")</f>
        <v/>
      </c>
      <c r="AC714" s="23" t="n"/>
      <c r="AD714" s="36" t="n"/>
      <c r="AE714" s="23" t="n"/>
      <c r="AF714" s="36" t="n"/>
      <c r="AG714" s="23" t="n"/>
      <c r="AH714" s="36" t="n"/>
      <c r="AI714" s="41">
        <f>IFERROR(AVERAGE(AD714,AF714,AH714),"")</f>
        <v/>
      </c>
      <c r="AJ714" s="29">
        <f>IFERROR(IF(AI714="","sem dados",IF(AB714&lt;AI714*0.95,"abaixo",IF(AB714&gt;AI714*1.05,"acima","em linha"))),"")</f>
        <v/>
      </c>
      <c r="AK714" s="23" t="inlineStr">
        <is>
          <t>não</t>
        </is>
      </c>
      <c r="AL714" s="23" t="n"/>
      <c r="AM714" s="23" t="n"/>
      <c r="AN714" s="23" t="n"/>
      <c r="AO714" s="44">
        <f>A714</f>
        <v/>
      </c>
      <c r="AP714" s="44">
        <f>D714</f>
        <v/>
      </c>
    </row>
    <row r="715" hidden="1" ht="15.75" customHeight="1" s="93">
      <c r="A715" s="23" t="inlineStr">
        <is>
          <t>5.0206.0543324.0</t>
        </is>
      </c>
      <c r="B715" s="23" t="inlineStr">
        <is>
          <t>543324</t>
        </is>
      </c>
      <c r="C715" s="29">
        <f>IFERROR(LOWER(SUBSTITUTE(SUBSTITUTE(SUBSTITUTE(SUBSTITUTE(D715," ","-"),"/","-"),".",""),",","")),"")</f>
        <v/>
      </c>
      <c r="D715" s="23" t="inlineStr">
        <is>
          <t>BOMBA HIDRÁULICA - APLICAÇÃO 11 B22.C12.B2.L</t>
        </is>
      </c>
      <c r="E715" s="23" t="inlineStr">
        <is>
          <t>Bombas Hidráulicas</t>
        </is>
      </c>
      <c r="F715" s="23" t="inlineStr">
        <is>
          <t>SOHIPREN</t>
        </is>
      </c>
      <c r="G715" s="23" t="n"/>
      <c r="H715" s="23" t="inlineStr">
        <is>
          <t>draft</t>
        </is>
      </c>
      <c r="I715" s="23" t="inlineStr">
        <is>
          <t>LANDINI</t>
        </is>
      </c>
      <c r="J715" s="23" t="inlineStr">
        <is>
          <t>TRATOR</t>
        </is>
      </c>
      <c r="K715" s="23" t="inlineStr">
        <is>
          <t>PRINCIPAL</t>
        </is>
      </c>
      <c r="L715" s="23" t="inlineStr">
        <is>
          <t>3533911/3534941</t>
        </is>
      </c>
      <c r="M715" s="31" t="n"/>
      <c r="N715" s="31" t="n"/>
      <c r="O715" s="31" t="n"/>
      <c r="P715" s="31" t="n"/>
      <c r="Q715" s="31" t="n"/>
      <c r="R715" s="34">
        <f>IFERROR(IF(AND(O715&gt;0,P715&gt;0,Q715&gt;0),(O715*P715*Q715)/6000,""),"")</f>
        <v/>
      </c>
      <c r="S715" s="34">
        <f>IFERROR(IF(AND(N715&gt;0,R715&gt;0),MAX(N715,R715),IF(N715&gt;0,N715,IF(R715&gt;0,R715,""))),"")</f>
        <v/>
      </c>
      <c r="T715" s="36" t="n"/>
      <c r="U715" s="38" t="inlineStr">
        <is>
          <t>FALTA</t>
        </is>
      </c>
      <c r="V715" s="36" t="n">
        <v>517</v>
      </c>
      <c r="W715" s="39" t="n">
        <v>0.3</v>
      </c>
      <c r="X715" s="41">
        <f>IFERROR(V715+T715,"")</f>
        <v/>
      </c>
      <c r="Y715" s="41">
        <f>IFERROR(IF(W715&lt;1,X715/(1-W715),""),"")</f>
        <v/>
      </c>
      <c r="Z715" s="43">
        <f>'01_CONFIG_GLOBAL'!$C$14</f>
        <v/>
      </c>
      <c r="AA715" s="41">
        <f>IFERROR(Y715*Z715,"")</f>
        <v/>
      </c>
      <c r="AB715" s="41">
        <f>IFERROR(IF(Z715&lt;1,Y715/(1-Z715),""),"")</f>
        <v/>
      </c>
      <c r="AC715" s="23" t="n"/>
      <c r="AD715" s="36" t="n"/>
      <c r="AE715" s="23" t="n"/>
      <c r="AF715" s="36" t="n"/>
      <c r="AG715" s="23" t="n"/>
      <c r="AH715" s="36" t="n"/>
      <c r="AI715" s="41">
        <f>IFERROR(AVERAGE(AD715,AF715,AH715),"")</f>
        <v/>
      </c>
      <c r="AJ715" s="29">
        <f>IFERROR(IF(AI715="","sem dados",IF(AB715&lt;AI715*0.95,"abaixo",IF(AB715&gt;AI715*1.05,"acima","em linha"))),"")</f>
        <v/>
      </c>
      <c r="AK715" s="23" t="inlineStr">
        <is>
          <t>não</t>
        </is>
      </c>
      <c r="AL715" s="23" t="n"/>
      <c r="AM715" s="23" t="n"/>
      <c r="AN715" s="23" t="n"/>
      <c r="AO715" s="44">
        <f>A715</f>
        <v/>
      </c>
      <c r="AP715" s="44">
        <f>D715</f>
        <v/>
      </c>
    </row>
    <row r="716" hidden="1" ht="15.75" customHeight="1" s="93">
      <c r="A716" s="23" t="inlineStr">
        <is>
          <t>5.0206.0543325.0</t>
        </is>
      </c>
      <c r="B716" s="23" t="inlineStr">
        <is>
          <t>543325</t>
        </is>
      </c>
      <c r="C716" s="29">
        <f>IFERROR(LOWER(SUBSTITUTE(SUBSTITUTE(SUBSTITUTE(SUBSTITUTE(D716," ","-"),"/","-"),".",""),",","")),"")</f>
        <v/>
      </c>
      <c r="D716" s="23" t="inlineStr">
        <is>
          <t>BOMBA HIDRÁULICA - APLICAÇÃO 11 B14.B14.B12.L</t>
        </is>
      </c>
      <c r="E716" s="23" t="inlineStr">
        <is>
          <t>Bombas Hidráulicas</t>
        </is>
      </c>
      <c r="F716" s="23" t="inlineStr">
        <is>
          <t>SOHIPREN</t>
        </is>
      </c>
      <c r="G716" s="23" t="n"/>
      <c r="H716" s="23" t="inlineStr">
        <is>
          <t>draft</t>
        </is>
      </c>
      <c r="I716" s="23" t="inlineStr">
        <is>
          <t>LANDINI</t>
        </is>
      </c>
      <c r="J716" s="23" t="inlineStr">
        <is>
          <t>TRATOR</t>
        </is>
      </c>
      <c r="K716" s="23" t="inlineStr">
        <is>
          <t>SISTEMA EXTERNO</t>
        </is>
      </c>
      <c r="L716" s="23" t="inlineStr">
        <is>
          <t>1825210M91/3539858M91</t>
        </is>
      </c>
      <c r="M716" s="31" t="n"/>
      <c r="N716" s="31" t="n"/>
      <c r="O716" s="31" t="n"/>
      <c r="P716" s="31" t="n"/>
      <c r="Q716" s="31" t="n"/>
      <c r="R716" s="34">
        <f>IFERROR(IF(AND(O716&gt;0,P716&gt;0,Q716&gt;0),(O716*P716*Q716)/6000,""),"")</f>
        <v/>
      </c>
      <c r="S716" s="34">
        <f>IFERROR(IF(AND(N716&gt;0,R716&gt;0),MAX(N716,R716),IF(N716&gt;0,N716,IF(R716&gt;0,R716,""))),"")</f>
        <v/>
      </c>
      <c r="T716" s="36" t="n"/>
      <c r="U716" s="38" t="inlineStr">
        <is>
          <t>FALTA</t>
        </is>
      </c>
      <c r="V716" s="36" t="n">
        <v>517</v>
      </c>
      <c r="W716" s="39" t="n">
        <v>0.3</v>
      </c>
      <c r="X716" s="41">
        <f>IFERROR(V716+T716,"")</f>
        <v/>
      </c>
      <c r="Y716" s="41">
        <f>IFERROR(IF(W716&lt;1,X716/(1-W716),""),"")</f>
        <v/>
      </c>
      <c r="Z716" s="43">
        <f>'01_CONFIG_GLOBAL'!$C$14</f>
        <v/>
      </c>
      <c r="AA716" s="41">
        <f>IFERROR(Y716*Z716,"")</f>
        <v/>
      </c>
      <c r="AB716" s="41">
        <f>IFERROR(IF(Z716&lt;1,Y716/(1-Z716),""),"")</f>
        <v/>
      </c>
      <c r="AC716" s="23" t="n"/>
      <c r="AD716" s="36" t="n"/>
      <c r="AE716" s="23" t="n"/>
      <c r="AF716" s="36" t="n"/>
      <c r="AG716" s="23" t="n"/>
      <c r="AH716" s="36" t="n"/>
      <c r="AI716" s="41">
        <f>IFERROR(AVERAGE(AD716,AF716,AH716),"")</f>
        <v/>
      </c>
      <c r="AJ716" s="29">
        <f>IFERROR(IF(AI716="","sem dados",IF(AB716&lt;AI716*0.95,"abaixo",IF(AB716&gt;AI716*1.05,"acima","em linha"))),"")</f>
        <v/>
      </c>
      <c r="AK716" s="23" t="inlineStr">
        <is>
          <t>não</t>
        </is>
      </c>
      <c r="AL716" s="23" t="n"/>
      <c r="AM716" s="23" t="n"/>
      <c r="AN716" s="23" t="n"/>
      <c r="AO716" s="44">
        <f>A716</f>
        <v/>
      </c>
      <c r="AP716" s="44">
        <f>D716</f>
        <v/>
      </c>
    </row>
    <row r="717" hidden="1" ht="15.75" customHeight="1" s="93">
      <c r="A717" s="23" t="inlineStr">
        <is>
          <t>5.0207.0544033.0</t>
        </is>
      </c>
      <c r="B717" s="23" t="inlineStr">
        <is>
          <t>544033</t>
        </is>
      </c>
      <c r="C717" s="29">
        <f>IFERROR(LOWER(SUBSTITUTE(SUBSTITUTE(SUBSTITUTE(SUBSTITUTE(D717," ","-"),"/","-"),".",""),",","")),"")</f>
        <v/>
      </c>
      <c r="D717" s="23" t="inlineStr">
        <is>
          <t>BOMBA HIDRÁULICA - APLICAÇÃO 14 B14.B14.B2.L</t>
        </is>
      </c>
      <c r="E717" s="23" t="inlineStr">
        <is>
          <t>Bombas Hidráulicas</t>
        </is>
      </c>
      <c r="F717" s="23" t="inlineStr">
        <is>
          <t>SOHIPREN</t>
        </is>
      </c>
      <c r="G717" s="23" t="n"/>
      <c r="H717" s="23" t="inlineStr">
        <is>
          <t>draft</t>
        </is>
      </c>
      <c r="I717" s="23" t="inlineStr">
        <is>
          <t>LANDINI</t>
        </is>
      </c>
      <c r="J717" s="23" t="inlineStr">
        <is>
          <t>TRATOR</t>
        </is>
      </c>
      <c r="K717" s="23" t="n"/>
      <c r="L717" s="23" t="inlineStr">
        <is>
          <t>3531399M91</t>
        </is>
      </c>
      <c r="M717" s="31" t="n"/>
      <c r="N717" s="31" t="n"/>
      <c r="O717" s="31" t="n"/>
      <c r="P717" s="31" t="n"/>
      <c r="Q717" s="31" t="n"/>
      <c r="R717" s="34">
        <f>IFERROR(IF(AND(O717&gt;0,P717&gt;0,Q717&gt;0),(O717*P717*Q717)/6000,""),"")</f>
        <v/>
      </c>
      <c r="S717" s="34">
        <f>IFERROR(IF(AND(N717&gt;0,R717&gt;0),MAX(N717,R717),IF(N717&gt;0,N717,IF(R717&gt;0,R717,""))),"")</f>
        <v/>
      </c>
      <c r="T717" s="36" t="n"/>
      <c r="U717" s="38" t="inlineStr">
        <is>
          <t>FALTA</t>
        </is>
      </c>
      <c r="V717" s="36" t="n">
        <v>534.6</v>
      </c>
      <c r="W717" s="39" t="n">
        <v>0.3</v>
      </c>
      <c r="X717" s="41">
        <f>IFERROR(V717+T717,"")</f>
        <v/>
      </c>
      <c r="Y717" s="41">
        <f>IFERROR(IF(W717&lt;1,X717/(1-W717),""),"")</f>
        <v/>
      </c>
      <c r="Z717" s="43">
        <f>'01_CONFIG_GLOBAL'!$C$14</f>
        <v/>
      </c>
      <c r="AA717" s="41">
        <f>IFERROR(Y717*Z717,"")</f>
        <v/>
      </c>
      <c r="AB717" s="41">
        <f>IFERROR(IF(Z717&lt;1,Y717/(1-Z717),""),"")</f>
        <v/>
      </c>
      <c r="AC717" s="23" t="n"/>
      <c r="AD717" s="36" t="n"/>
      <c r="AE717" s="23" t="n"/>
      <c r="AF717" s="36" t="n"/>
      <c r="AG717" s="23" t="n"/>
      <c r="AH717" s="36" t="n"/>
      <c r="AI717" s="41">
        <f>IFERROR(AVERAGE(AD717,AF717,AH717),"")</f>
        <v/>
      </c>
      <c r="AJ717" s="29">
        <f>IFERROR(IF(AI717="","sem dados",IF(AB717&lt;AI717*0.95,"abaixo",IF(AB717&gt;AI717*1.05,"acima","em linha"))),"")</f>
        <v/>
      </c>
      <c r="AK717" s="23" t="inlineStr">
        <is>
          <t>não</t>
        </is>
      </c>
      <c r="AL717" s="23" t="n"/>
      <c r="AM717" s="23" t="n"/>
      <c r="AN717" s="23" t="n"/>
      <c r="AO717" s="44">
        <f>A717</f>
        <v/>
      </c>
      <c r="AP717" s="44">
        <f>D717</f>
        <v/>
      </c>
    </row>
    <row r="718" hidden="1" ht="15.75" customHeight="1" s="93">
      <c r="A718" s="23" t="inlineStr">
        <is>
          <t>5.0207.0544034.0</t>
        </is>
      </c>
      <c r="B718" s="23" t="inlineStr">
        <is>
          <t>544034</t>
        </is>
      </c>
      <c r="C718" s="29">
        <f>IFERROR(LOWER(SUBSTITUTE(SUBSTITUTE(SUBSTITUTE(SUBSTITUTE(D718," ","-"),"/","-"),".",""),",","")),"")</f>
        <v/>
      </c>
      <c r="D718" s="23" t="inlineStr">
        <is>
          <t>BOMBA HIDRÁULICA - APLICAÇÃO 14 B22.C12.B2.L</t>
        </is>
      </c>
      <c r="E718" s="23" t="inlineStr">
        <is>
          <t>Bombas Hidráulicas</t>
        </is>
      </c>
      <c r="F718" s="23" t="inlineStr">
        <is>
          <t>SOHIPREN</t>
        </is>
      </c>
      <c r="G718" s="23" t="n"/>
      <c r="H718" s="23" t="inlineStr">
        <is>
          <t>draft</t>
        </is>
      </c>
      <c r="I718" s="23" t="inlineStr">
        <is>
          <t>LANDINI</t>
        </is>
      </c>
      <c r="J718" s="23" t="inlineStr">
        <is>
          <t>TRATOR</t>
        </is>
      </c>
      <c r="K718" s="23" t="n"/>
      <c r="L718" s="23" t="inlineStr">
        <is>
          <t>3538957M91/3543134M91</t>
        </is>
      </c>
      <c r="M718" s="31" t="n"/>
      <c r="N718" s="31" t="n"/>
      <c r="O718" s="31" t="n"/>
      <c r="P718" s="31" t="n"/>
      <c r="Q718" s="31" t="n"/>
      <c r="R718" s="34">
        <f>IFERROR(IF(AND(O718&gt;0,P718&gt;0,Q718&gt;0),(O718*P718*Q718)/6000,""),"")</f>
        <v/>
      </c>
      <c r="S718" s="34">
        <f>IFERROR(IF(AND(N718&gt;0,R718&gt;0),MAX(N718,R718),IF(N718&gt;0,N718,IF(R718&gt;0,R718,""))),"")</f>
        <v/>
      </c>
      <c r="T718" s="36" t="n"/>
      <c r="U718" s="38" t="inlineStr">
        <is>
          <t>FALTA</t>
        </is>
      </c>
      <c r="V718" s="36" t="n">
        <v>534.6</v>
      </c>
      <c r="W718" s="39" t="n">
        <v>0.3</v>
      </c>
      <c r="X718" s="41">
        <f>IFERROR(V718+T718,"")</f>
        <v/>
      </c>
      <c r="Y718" s="41">
        <f>IFERROR(IF(W718&lt;1,X718/(1-W718),""),"")</f>
        <v/>
      </c>
      <c r="Z718" s="43">
        <f>'01_CONFIG_GLOBAL'!$C$14</f>
        <v/>
      </c>
      <c r="AA718" s="41">
        <f>IFERROR(Y718*Z718,"")</f>
        <v/>
      </c>
      <c r="AB718" s="41">
        <f>IFERROR(IF(Z718&lt;1,Y718/(1-Z718),""),"")</f>
        <v/>
      </c>
      <c r="AC718" s="23" t="n"/>
      <c r="AD718" s="36" t="n"/>
      <c r="AE718" s="23" t="n"/>
      <c r="AF718" s="36" t="n"/>
      <c r="AG718" s="23" t="n"/>
      <c r="AH718" s="36" t="n"/>
      <c r="AI718" s="41">
        <f>IFERROR(AVERAGE(AD718,AF718,AH718),"")</f>
        <v/>
      </c>
      <c r="AJ718" s="29">
        <f>IFERROR(IF(AI718="","sem dados",IF(AB718&lt;AI718*0.95,"abaixo",IF(AB718&gt;AI718*1.05,"acima","em linha"))),"")</f>
        <v/>
      </c>
      <c r="AK718" s="23" t="inlineStr">
        <is>
          <t>não</t>
        </is>
      </c>
      <c r="AL718" s="23" t="n"/>
      <c r="AM718" s="23" t="n"/>
      <c r="AN718" s="23" t="n"/>
      <c r="AO718" s="44">
        <f>A718</f>
        <v/>
      </c>
      <c r="AP718" s="44">
        <f>D718</f>
        <v/>
      </c>
    </row>
    <row r="719" hidden="1" ht="15.75" customHeight="1" s="93">
      <c r="A719" s="23" t="inlineStr">
        <is>
          <t>5.0502.0501513.0</t>
        </is>
      </c>
      <c r="B719" s="23" t="inlineStr">
        <is>
          <t>501513</t>
        </is>
      </c>
      <c r="C719" s="29">
        <f>IFERROR(LOWER(SUBSTITUTE(SUBSTITUTE(SUBSTITUTE(SUBSTITUTE(D719," ","-"),"/","-"),".",""),",","")),"")</f>
        <v/>
      </c>
      <c r="D719" s="23" t="inlineStr">
        <is>
          <t>MC1 26 401.1.11.97.61</t>
        </is>
      </c>
      <c r="E719" s="23" t="n"/>
      <c r="F719" s="23" t="inlineStr">
        <is>
          <t>SOHIPREN</t>
        </is>
      </c>
      <c r="G719" s="23" t="n"/>
      <c r="H719" s="23" t="inlineStr">
        <is>
          <t>draft</t>
        </is>
      </c>
      <c r="I719" s="23" t="inlineStr">
        <is>
          <t>LANDINI</t>
        </is>
      </c>
      <c r="J719" s="23" t="inlineStr">
        <is>
          <t>TRATOR</t>
        </is>
      </c>
      <c r="K719" s="23" t="inlineStr">
        <is>
          <t>DIREÇÃO</t>
        </is>
      </c>
      <c r="L719" s="23" t="inlineStr">
        <is>
          <t>145495M91/1425495R9/1425495M92M3549614</t>
        </is>
      </c>
      <c r="M719" s="31" t="n"/>
      <c r="N719" s="31" t="n"/>
      <c r="O719" s="31" t="n"/>
      <c r="P719" s="31" t="n"/>
      <c r="Q719" s="31" t="n"/>
      <c r="R719" s="34">
        <f>IFERROR(IF(AND(O719&gt;0,P719&gt;0,Q719&gt;0),(O719*P719*Q719)/6000,""),"")</f>
        <v/>
      </c>
      <c r="S719" s="34">
        <f>IFERROR(IF(AND(N719&gt;0,R719&gt;0),MAX(N719,R719),IF(N719&gt;0,N719,IF(R719&gt;0,R719,""))),"")</f>
        <v/>
      </c>
      <c r="T719" s="36" t="n"/>
      <c r="U719" s="38" t="inlineStr">
        <is>
          <t>FALTA</t>
        </is>
      </c>
      <c r="V719" s="36" t="n">
        <v>1045</v>
      </c>
      <c r="W719" s="39" t="n">
        <v>0.3</v>
      </c>
      <c r="X719" s="41">
        <f>IFERROR(V719+T719,"")</f>
        <v/>
      </c>
      <c r="Y719" s="41">
        <f>IFERROR(IF(W719&lt;1,X719/(1-W719),""),"")</f>
        <v/>
      </c>
      <c r="Z719" s="43">
        <f>'01_CONFIG_GLOBAL'!$C$14</f>
        <v/>
      </c>
      <c r="AA719" s="41">
        <f>IFERROR(Y719*Z719,"")</f>
        <v/>
      </c>
      <c r="AB719" s="41">
        <f>IFERROR(IF(Z719&lt;1,Y719/(1-Z719),""),"")</f>
        <v/>
      </c>
      <c r="AC719" s="23" t="n"/>
      <c r="AD719" s="36" t="n"/>
      <c r="AE719" s="23" t="n"/>
      <c r="AF719" s="36" t="n"/>
      <c r="AG719" s="23" t="n"/>
      <c r="AH719" s="36" t="n"/>
      <c r="AI719" s="41">
        <f>IFERROR(AVERAGE(AD719,AF719,AH719),"")</f>
        <v/>
      </c>
      <c r="AJ719" s="29">
        <f>IFERROR(IF(AI719="","sem dados",IF(AB719&lt;AI719*0.95,"abaixo",IF(AB719&gt;AI719*1.05,"acima","em linha"))),"")</f>
        <v/>
      </c>
      <c r="AK719" s="23" t="inlineStr">
        <is>
          <t>não</t>
        </is>
      </c>
      <c r="AL719" s="23" t="n"/>
      <c r="AM719" s="23" t="n"/>
      <c r="AN719" s="23" t="n"/>
      <c r="AO719" s="44">
        <f>A719</f>
        <v/>
      </c>
      <c r="AP719" s="44">
        <f>D719</f>
        <v/>
      </c>
    </row>
    <row r="720" hidden="1" ht="15.75" customHeight="1" s="93">
      <c r="A720" s="23" t="inlineStr">
        <is>
          <t>5.0208.0544855.0</t>
        </is>
      </c>
      <c r="B720" s="23" t="inlineStr">
        <is>
          <t>544855</t>
        </is>
      </c>
      <c r="C720" s="29">
        <f>IFERROR(LOWER(SUBSTITUTE(SUBSTITUTE(SUBSTITUTE(SUBSTITUTE(D720," ","-"),"/","-"),".",""),",","")),"")</f>
        <v/>
      </c>
      <c r="D720" s="23" t="inlineStr">
        <is>
          <t>BOMBA HIDRÁULICA - APLICAÇÃO 16 B1.P1.A.L</t>
        </is>
      </c>
      <c r="E720" s="23" t="inlineStr">
        <is>
          <t>Bombas Hidráulicas</t>
        </is>
      </c>
      <c r="F720" s="23" t="inlineStr">
        <is>
          <t>SOHIPREN</t>
        </is>
      </c>
      <c r="G720" s="23" t="n"/>
      <c r="H720" s="23" t="inlineStr">
        <is>
          <t>draft</t>
        </is>
      </c>
      <c r="I720" s="23" t="inlineStr">
        <is>
          <t>LAVRALE MÁQUINA AGRICOLAS</t>
        </is>
      </c>
      <c r="J720" s="23" t="inlineStr">
        <is>
          <t>VALETADEIRA</t>
        </is>
      </c>
      <c r="K720" s="23" t="inlineStr">
        <is>
          <t>PRINCIPAL MULTIPLICADORA</t>
        </is>
      </c>
      <c r="L720" s="23" t="inlineStr">
        <is>
          <t>510625022</t>
        </is>
      </c>
      <c r="M720" s="31" t="n"/>
      <c r="N720" s="31" t="n"/>
      <c r="O720" s="31" t="n"/>
      <c r="P720" s="31" t="n"/>
      <c r="Q720" s="31" t="n"/>
      <c r="R720" s="34">
        <f>IFERROR(IF(AND(O720&gt;0,P720&gt;0,Q720&gt;0),(O720*P720*Q720)/6000,""),"")</f>
        <v/>
      </c>
      <c r="S720" s="34">
        <f>IFERROR(IF(AND(N720&gt;0,R720&gt;0),MAX(N720,R720),IF(N720&gt;0,N720,IF(R720&gt;0,R720,""))),"")</f>
        <v/>
      </c>
      <c r="T720" s="36" t="n"/>
      <c r="U720" s="38" t="inlineStr">
        <is>
          <t>FALTA</t>
        </is>
      </c>
      <c r="V720" s="36" t="n">
        <v>665</v>
      </c>
      <c r="W720" s="39" t="n">
        <v>0.3</v>
      </c>
      <c r="X720" s="41">
        <f>IFERROR(V720+T720,"")</f>
        <v/>
      </c>
      <c r="Y720" s="41">
        <f>IFERROR(IF(W720&lt;1,X720/(1-W720),""),"")</f>
        <v/>
      </c>
      <c r="Z720" s="43">
        <f>'01_CONFIG_GLOBAL'!$C$14</f>
        <v/>
      </c>
      <c r="AA720" s="41">
        <f>IFERROR(Y720*Z720,"")</f>
        <v/>
      </c>
      <c r="AB720" s="41">
        <f>IFERROR(IF(Z720&lt;1,Y720/(1-Z720),""),"")</f>
        <v/>
      </c>
      <c r="AC720" s="23" t="n"/>
      <c r="AD720" s="36" t="n"/>
      <c r="AE720" s="23" t="n"/>
      <c r="AF720" s="36" t="n"/>
      <c r="AG720" s="23" t="n"/>
      <c r="AH720" s="36" t="n"/>
      <c r="AI720" s="41">
        <f>IFERROR(AVERAGE(AD720,AF720,AH720),"")</f>
        <v/>
      </c>
      <c r="AJ720" s="29">
        <f>IFERROR(IF(AI720="","sem dados",IF(AB720&lt;AI720*0.95,"abaixo",IF(AB720&gt;AI720*1.05,"acima","em linha"))),"")</f>
        <v/>
      </c>
      <c r="AK720" s="23" t="inlineStr">
        <is>
          <t>não</t>
        </is>
      </c>
      <c r="AL720" s="23" t="n"/>
      <c r="AM720" s="23" t="n"/>
      <c r="AN720" s="23" t="n"/>
      <c r="AO720" s="44">
        <f>A720</f>
        <v/>
      </c>
      <c r="AP720" s="44">
        <f>D720</f>
        <v/>
      </c>
    </row>
    <row r="721" hidden="1" ht="15.75" customHeight="1" s="93">
      <c r="A721" s="23" t="inlineStr">
        <is>
          <t>5.0220.L026153.0</t>
        </is>
      </c>
      <c r="B721" s="23" t="inlineStr">
        <is>
          <t>L026153</t>
        </is>
      </c>
      <c r="C721" s="29">
        <f>IFERROR(LOWER(SUBSTITUTE(SUBSTITUTE(SUBSTITUTE(SUBSTITUTE(D721," ","-"),"/","-"),".",""),",","")),"")</f>
        <v/>
      </c>
      <c r="D721" s="23" t="inlineStr">
        <is>
          <t>BOMBA HIDRÁULICA - APLICAÇÃO 14 E9.B19.A113/4.A112/11.A.L</t>
        </is>
      </c>
      <c r="E721" s="23" t="inlineStr">
        <is>
          <t>Bombas Hidráulicas</t>
        </is>
      </c>
      <c r="F721" s="23" t="inlineStr">
        <is>
          <t>SOHIPREN</t>
        </is>
      </c>
      <c r="G721" s="23" t="n"/>
      <c r="H721" s="23" t="inlineStr">
        <is>
          <t>draft</t>
        </is>
      </c>
      <c r="I721" s="23" t="inlineStr">
        <is>
          <t>LIEBHERR                                    li</t>
        </is>
      </c>
      <c r="J721" s="23" t="inlineStr">
        <is>
          <t>OUTROS VEICULOS</t>
        </is>
      </c>
      <c r="K721" s="23" t="n"/>
      <c r="L721" s="23" t="inlineStr">
        <is>
          <t>10007927/0510565432</t>
        </is>
      </c>
      <c r="M721" s="31" t="n"/>
      <c r="N721" s="31" t="n"/>
      <c r="O721" s="31" t="n"/>
      <c r="P721" s="31" t="n"/>
      <c r="Q721" s="31" t="n"/>
      <c r="R721" s="34">
        <f>IFERROR(IF(AND(O721&gt;0,P721&gt;0,Q721&gt;0),(O721*P721*Q721)/6000,""),"")</f>
        <v/>
      </c>
      <c r="S721" s="34">
        <f>IFERROR(IF(AND(N721&gt;0,R721&gt;0),MAX(N721,R721),IF(N721&gt;0,N721,IF(R721&gt;0,R721,""))),"")</f>
        <v/>
      </c>
      <c r="T721" s="36" t="n"/>
      <c r="U721" s="38" t="inlineStr">
        <is>
          <t>FALTA</t>
        </is>
      </c>
      <c r="V721" s="36" t="n">
        <v>1595</v>
      </c>
      <c r="W721" s="39" t="n">
        <v>0.3</v>
      </c>
      <c r="X721" s="41">
        <f>IFERROR(V721+T721,"")</f>
        <v/>
      </c>
      <c r="Y721" s="41">
        <f>IFERROR(IF(W721&lt;1,X721/(1-W721),""),"")</f>
        <v/>
      </c>
      <c r="Z721" s="43">
        <f>'01_CONFIG_GLOBAL'!$C$14</f>
        <v/>
      </c>
      <c r="AA721" s="41">
        <f>IFERROR(Y721*Z721,"")</f>
        <v/>
      </c>
      <c r="AB721" s="41">
        <f>IFERROR(IF(Z721&lt;1,Y721/(1-Z721),""),"")</f>
        <v/>
      </c>
      <c r="AC721" s="23" t="n"/>
      <c r="AD721" s="36" t="n"/>
      <c r="AE721" s="23" t="n"/>
      <c r="AF721" s="36" t="n"/>
      <c r="AG721" s="23" t="n"/>
      <c r="AH721" s="36" t="n"/>
      <c r="AI721" s="41">
        <f>IFERROR(AVERAGE(AD721,AF721,AH721),"")</f>
        <v/>
      </c>
      <c r="AJ721" s="29">
        <f>IFERROR(IF(AI721="","sem dados",IF(AB721&lt;AI721*0.95,"abaixo",IF(AB721&gt;AI721*1.05,"acima","em linha"))),"")</f>
        <v/>
      </c>
      <c r="AK721" s="23" t="inlineStr">
        <is>
          <t>não</t>
        </is>
      </c>
      <c r="AL721" s="23" t="n"/>
      <c r="AM721" s="23" t="n"/>
      <c r="AN721" s="23" t="n"/>
      <c r="AO721" s="44">
        <f>A721</f>
        <v/>
      </c>
      <c r="AP721" s="44">
        <f>D721</f>
        <v/>
      </c>
    </row>
    <row r="722" hidden="1" ht="15.75" customHeight="1" s="93">
      <c r="A722" s="23" t="inlineStr">
        <is>
          <t>5.1307.0565056.0</t>
        </is>
      </c>
      <c r="B722" s="23" t="inlineStr">
        <is>
          <t>565056</t>
        </is>
      </c>
      <c r="C722" s="29">
        <f>IFERROR(LOWER(SUBSTITUTE(SUBSTITUTE(SUBSTITUTE(SUBSTITUTE(D722," ","-"),"/","-"),".",""),",","")),"")</f>
        <v/>
      </c>
      <c r="D722" s="23" t="inlineStr">
        <is>
          <t>BOMBA LINDE H18/H20</t>
        </is>
      </c>
      <c r="E722" s="23" t="inlineStr">
        <is>
          <t>Bombas Hidráulicas</t>
        </is>
      </c>
      <c r="F722" s="23" t="inlineStr">
        <is>
          <t>SOHIPREN</t>
        </is>
      </c>
      <c r="G722" s="23" t="n"/>
      <c r="H722" s="23" t="inlineStr">
        <is>
          <t>draft</t>
        </is>
      </c>
      <c r="I722" s="23" t="inlineStr">
        <is>
          <t>LINDE</t>
        </is>
      </c>
      <c r="J722" s="23" t="inlineStr">
        <is>
          <t>EMPILHADEIRA</t>
        </is>
      </c>
      <c r="K722" s="23" t="inlineStr">
        <is>
          <t>PRINCIPAL E DIREÇÃO</t>
        </is>
      </c>
      <c r="L722" s="23" t="inlineStr">
        <is>
          <t>11102014024</t>
        </is>
      </c>
      <c r="M722" s="31" t="n"/>
      <c r="N722" s="31" t="n"/>
      <c r="O722" s="31" t="n"/>
      <c r="P722" s="31" t="n"/>
      <c r="Q722" s="31" t="n"/>
      <c r="R722" s="34">
        <f>IFERROR(IF(AND(O722&gt;0,P722&gt;0,Q722&gt;0),(O722*P722*Q722)/6000,""),"")</f>
        <v/>
      </c>
      <c r="S722" s="34">
        <f>IFERROR(IF(AND(N722&gt;0,R722&gt;0),MAX(N722,R722),IF(N722&gt;0,N722,IF(R722&gt;0,R722,""))),"")</f>
        <v/>
      </c>
      <c r="T722" s="36" t="n"/>
      <c r="U722" s="38" t="inlineStr">
        <is>
          <t>FALTA</t>
        </is>
      </c>
      <c r="V722" s="36" t="n">
        <v>987.8</v>
      </c>
      <c r="W722" s="39" t="n">
        <v>0.3</v>
      </c>
      <c r="X722" s="41">
        <f>IFERROR(V722+T722,"")</f>
        <v/>
      </c>
      <c r="Y722" s="41">
        <f>IFERROR(IF(W722&lt;1,X722/(1-W722),""),"")</f>
        <v/>
      </c>
      <c r="Z722" s="43">
        <f>'01_CONFIG_GLOBAL'!$C$14</f>
        <v/>
      </c>
      <c r="AA722" s="41">
        <f>IFERROR(Y722*Z722,"")</f>
        <v/>
      </c>
      <c r="AB722" s="41">
        <f>IFERROR(IF(Z722&lt;1,Y722/(1-Z722),""),"")</f>
        <v/>
      </c>
      <c r="AC722" s="23" t="n"/>
      <c r="AD722" s="36" t="n"/>
      <c r="AE722" s="23" t="n"/>
      <c r="AF722" s="36" t="n"/>
      <c r="AG722" s="23" t="n"/>
      <c r="AH722" s="36" t="n"/>
      <c r="AI722" s="41">
        <f>IFERROR(AVERAGE(AD722,AF722,AH722),"")</f>
        <v/>
      </c>
      <c r="AJ722" s="29">
        <f>IFERROR(IF(AI722="","sem dados",IF(AB722&lt;AI722*0.95,"abaixo",IF(AB722&gt;AI722*1.05,"acima","em linha"))),"")</f>
        <v/>
      </c>
      <c r="AK722" s="23" t="inlineStr">
        <is>
          <t>não</t>
        </is>
      </c>
      <c r="AL722" s="23" t="n"/>
      <c r="AM722" s="23" t="n"/>
      <c r="AN722" s="23" t="n"/>
      <c r="AO722" s="44">
        <f>A722</f>
        <v/>
      </c>
      <c r="AP722" s="44">
        <f>D722</f>
        <v/>
      </c>
    </row>
    <row r="723" hidden="1" ht="15.75" customHeight="1" s="93">
      <c r="A723" s="23" t="inlineStr">
        <is>
          <t>1.0025.L080453.0</t>
        </is>
      </c>
      <c r="B723" s="23" t="inlineStr">
        <is>
          <t>L080453</t>
        </is>
      </c>
      <c r="C723" s="29">
        <f>IFERROR(LOWER(SUBSTITUTE(SUBSTITUTE(SUBSTITUTE(SUBSTITUTE(D723," ","-"),"/","-"),".",""),",","")),"")</f>
        <v/>
      </c>
      <c r="D723" s="23" t="inlineStr">
        <is>
          <t>2633051203 LUVA ADAPTADORA 9Z/18Z</t>
        </is>
      </c>
      <c r="E723" s="23" t="n"/>
      <c r="F723" s="23" t="inlineStr">
        <is>
          <t>SOHIPREN</t>
        </is>
      </c>
      <c r="G723" s="23" t="n"/>
      <c r="H723" s="23" t="inlineStr">
        <is>
          <t>draft</t>
        </is>
      </c>
      <c r="I723" s="23" t="inlineStr">
        <is>
          <t>LINDE</t>
        </is>
      </c>
      <c r="J723" s="23" t="inlineStr">
        <is>
          <t>BOMBA HPV75</t>
        </is>
      </c>
      <c r="K723" s="23" t="inlineStr">
        <is>
          <t>ACOPLAMENTO PARA BOMBA DE CARGA LIVENZA</t>
        </is>
      </c>
      <c r="L723" s="23" t="inlineStr">
        <is>
          <t>2633051203</t>
        </is>
      </c>
      <c r="M723" s="31" t="n"/>
      <c r="N723" s="31" t="n"/>
      <c r="O723" s="31" t="n"/>
      <c r="P723" s="31" t="n"/>
      <c r="Q723" s="31" t="n"/>
      <c r="R723" s="34">
        <f>IFERROR(IF(AND(O723&gt;0,P723&gt;0,Q723&gt;0),(O723*P723*Q723)/6000,""),"")</f>
        <v/>
      </c>
      <c r="S723" s="34">
        <f>IFERROR(IF(AND(N723&gt;0,R723&gt;0),MAX(N723,R723),IF(N723&gt;0,N723,IF(R723&gt;0,R723,""))),"")</f>
        <v/>
      </c>
      <c r="T723" s="36" t="n"/>
      <c r="U723" s="38" t="inlineStr">
        <is>
          <t>FALTA</t>
        </is>
      </c>
      <c r="V723" s="36" t="n">
        <v>545.6</v>
      </c>
      <c r="W723" s="39" t="n">
        <v>0.3</v>
      </c>
      <c r="X723" s="41">
        <f>IFERROR(V723+T723,"")</f>
        <v/>
      </c>
      <c r="Y723" s="41">
        <f>IFERROR(IF(W723&lt;1,X723/(1-W723),""),"")</f>
        <v/>
      </c>
      <c r="Z723" s="43">
        <f>'01_CONFIG_GLOBAL'!$C$14</f>
        <v/>
      </c>
      <c r="AA723" s="41">
        <f>IFERROR(Y723*Z723,"")</f>
        <v/>
      </c>
      <c r="AB723" s="41">
        <f>IFERROR(IF(Z723&lt;1,Y723/(1-Z723),""),"")</f>
        <v/>
      </c>
      <c r="AC723" s="23" t="n"/>
      <c r="AD723" s="36" t="n"/>
      <c r="AE723" s="23" t="n"/>
      <c r="AF723" s="36" t="n"/>
      <c r="AG723" s="23" t="n"/>
      <c r="AH723" s="36" t="n"/>
      <c r="AI723" s="41">
        <f>IFERROR(AVERAGE(AD723,AF723,AH723),"")</f>
        <v/>
      </c>
      <c r="AJ723" s="29">
        <f>IFERROR(IF(AI723="","sem dados",IF(AB723&lt;AI723*0.95,"abaixo",IF(AB723&gt;AI723*1.05,"acima","em linha"))),"")</f>
        <v/>
      </c>
      <c r="AK723" s="23" t="inlineStr">
        <is>
          <t>não</t>
        </is>
      </c>
      <c r="AL723" s="23" t="n"/>
      <c r="AM723" s="23" t="n"/>
      <c r="AN723" s="23" t="n"/>
      <c r="AO723" s="44">
        <f>A723</f>
        <v/>
      </c>
      <c r="AP723" s="44">
        <f>D723</f>
        <v/>
      </c>
    </row>
    <row r="724" hidden="1" ht="15.75" customHeight="1" s="93">
      <c r="A724" s="23" t="inlineStr">
        <is>
          <t>1.0025.L080554.0</t>
        </is>
      </c>
      <c r="B724" s="23" t="inlineStr">
        <is>
          <t>L080554</t>
        </is>
      </c>
      <c r="C724" s="29">
        <f>IFERROR(LOWER(SUBSTITUTE(SUBSTITUTE(SUBSTITUTE(SUBSTITUTE(D724," ","-"),"/","-"),".",""),",","")),"")</f>
        <v/>
      </c>
      <c r="D724" s="23" t="inlineStr">
        <is>
          <t>2673051202 - LUVA ADAPTADORA 16/32 24Z - 16/32 13Z</t>
        </is>
      </c>
      <c r="E724" s="23" t="n"/>
      <c r="F724" s="23" t="inlineStr">
        <is>
          <t>SOHIPREN</t>
        </is>
      </c>
      <c r="G724" s="23" t="n"/>
      <c r="H724" s="23" t="inlineStr">
        <is>
          <t>draft</t>
        </is>
      </c>
      <c r="I724" s="23" t="inlineStr">
        <is>
          <t>LINDE</t>
        </is>
      </c>
      <c r="J724" s="23" t="inlineStr">
        <is>
          <t>BOMBA HPV75</t>
        </is>
      </c>
      <c r="K724" s="23" t="inlineStr">
        <is>
          <t>ACOPLAMENTO PARA BOMBA DE CARGA LIVENZA</t>
        </is>
      </c>
      <c r="L724" s="23" t="inlineStr">
        <is>
          <t>2633051203</t>
        </is>
      </c>
      <c r="M724" s="31" t="n"/>
      <c r="N724" s="31" t="n"/>
      <c r="O724" s="31" t="n"/>
      <c r="P724" s="31" t="n"/>
      <c r="Q724" s="31" t="n"/>
      <c r="R724" s="34">
        <f>IFERROR(IF(AND(O724&gt;0,P724&gt;0,Q724&gt;0),(O724*P724*Q724)/6000,""),"")</f>
        <v/>
      </c>
      <c r="S724" s="34">
        <f>IFERROR(IF(AND(N724&gt;0,R724&gt;0),MAX(N724,R724),IF(N724&gt;0,N724,IF(R724&gt;0,R724,""))),"")</f>
        <v/>
      </c>
      <c r="T724" s="36" t="n"/>
      <c r="U724" s="38" t="inlineStr">
        <is>
          <t>FALTA</t>
        </is>
      </c>
      <c r="V724" s="36" t="n">
        <v>196.46</v>
      </c>
      <c r="W724" s="39" t="n">
        <v>0.3</v>
      </c>
      <c r="X724" s="41">
        <f>IFERROR(V724+T724,"")</f>
        <v/>
      </c>
      <c r="Y724" s="41">
        <f>IFERROR(IF(W724&lt;1,X724/(1-W724),""),"")</f>
        <v/>
      </c>
      <c r="Z724" s="43">
        <f>'01_CONFIG_GLOBAL'!$C$14</f>
        <v/>
      </c>
      <c r="AA724" s="41">
        <f>IFERROR(Y724*Z724,"")</f>
        <v/>
      </c>
      <c r="AB724" s="41">
        <f>IFERROR(IF(Z724&lt;1,Y724/(1-Z724),""),"")</f>
        <v/>
      </c>
      <c r="AC724" s="23" t="n"/>
      <c r="AD724" s="36" t="n"/>
      <c r="AE724" s="23" t="n"/>
      <c r="AF724" s="36" t="n"/>
      <c r="AG724" s="23" t="n"/>
      <c r="AH724" s="36" t="n"/>
      <c r="AI724" s="41">
        <f>IFERROR(AVERAGE(AD724,AF724,AH724),"")</f>
        <v/>
      </c>
      <c r="AJ724" s="29">
        <f>IFERROR(IF(AI724="","sem dados",IF(AB724&lt;AI724*0.95,"abaixo",IF(AB724&gt;AI724*1.05,"acima","em linha"))),"")</f>
        <v/>
      </c>
      <c r="AK724" s="23" t="inlineStr">
        <is>
          <t>não</t>
        </is>
      </c>
      <c r="AL724" s="23" t="n"/>
      <c r="AM724" s="23" t="n"/>
      <c r="AN724" s="23" t="n"/>
      <c r="AO724" s="44">
        <f>A724</f>
        <v/>
      </c>
      <c r="AP724" s="44">
        <f>D724</f>
        <v/>
      </c>
    </row>
    <row r="725" hidden="1" ht="15.75" customHeight="1" s="93">
      <c r="A725" s="23" t="inlineStr">
        <is>
          <t>1.0025.L080552.0</t>
        </is>
      </c>
      <c r="B725" s="23" t="inlineStr">
        <is>
          <t>L080552</t>
        </is>
      </c>
      <c r="C725" s="29">
        <f>IFERROR(LOWER(SUBSTITUTE(SUBSTITUTE(SUBSTITUTE(SUBSTITUTE(D725," ","-"),"/","-"),".",""),",","")),"")</f>
        <v/>
      </c>
      <c r="D725" s="23" t="inlineStr">
        <is>
          <t>2653051210 - LUVA ADAPTADORA 16/32 21Z - 16/32 13Z</t>
        </is>
      </c>
      <c r="E725" s="23" t="n"/>
      <c r="F725" s="23" t="inlineStr">
        <is>
          <t>SOHIPREN</t>
        </is>
      </c>
      <c r="G725" s="23" t="n"/>
      <c r="H725" s="23" t="inlineStr">
        <is>
          <t>draft</t>
        </is>
      </c>
      <c r="I725" s="23" t="inlineStr">
        <is>
          <t>LINDE</t>
        </is>
      </c>
      <c r="J725" s="23" t="inlineStr">
        <is>
          <t>BOMBA HPV75</t>
        </is>
      </c>
      <c r="K725" s="23" t="inlineStr">
        <is>
          <t>ACOPLAMENTO PARA BOMBA DE CARGA LIVENZA</t>
        </is>
      </c>
      <c r="L725" s="23" t="inlineStr">
        <is>
          <t>2633051203</t>
        </is>
      </c>
      <c r="M725" s="31" t="n"/>
      <c r="N725" s="31" t="n"/>
      <c r="O725" s="31" t="n"/>
      <c r="P725" s="31" t="n"/>
      <c r="Q725" s="31" t="n"/>
      <c r="R725" s="34">
        <f>IFERROR(IF(AND(O725&gt;0,P725&gt;0,Q725&gt;0),(O725*P725*Q725)/6000,""),"")</f>
        <v/>
      </c>
      <c r="S725" s="34">
        <f>IFERROR(IF(AND(N725&gt;0,R725&gt;0),MAX(N725,R725),IF(N725&gt;0,N725,IF(R725&gt;0,R725,""))),"")</f>
        <v/>
      </c>
      <c r="T725" s="36" t="n"/>
      <c r="U725" s="38" t="inlineStr">
        <is>
          <t>FALTA</t>
        </is>
      </c>
      <c r="V725" s="36" t="n">
        <v>196.46</v>
      </c>
      <c r="W725" s="39" t="n">
        <v>0.3</v>
      </c>
      <c r="X725" s="41">
        <f>IFERROR(V725+T725,"")</f>
        <v/>
      </c>
      <c r="Y725" s="41">
        <f>IFERROR(IF(W725&lt;1,X725/(1-W725),""),"")</f>
        <v/>
      </c>
      <c r="Z725" s="43">
        <f>'01_CONFIG_GLOBAL'!$C$14</f>
        <v/>
      </c>
      <c r="AA725" s="41">
        <f>IFERROR(Y725*Z725,"")</f>
        <v/>
      </c>
      <c r="AB725" s="41">
        <f>IFERROR(IF(Z725&lt;1,Y725/(1-Z725),""),"")</f>
        <v/>
      </c>
      <c r="AC725" s="23" t="n"/>
      <c r="AD725" s="36" t="n"/>
      <c r="AE725" s="23" t="n"/>
      <c r="AF725" s="36" t="n"/>
      <c r="AG725" s="23" t="n"/>
      <c r="AH725" s="36" t="n"/>
      <c r="AI725" s="41">
        <f>IFERROR(AVERAGE(AD725,AF725,AH725),"")</f>
        <v/>
      </c>
      <c r="AJ725" s="29">
        <f>IFERROR(IF(AI725="","sem dados",IF(AB725&lt;AI725*0.95,"abaixo",IF(AB725&gt;AI725*1.05,"acima","em linha"))),"")</f>
        <v/>
      </c>
      <c r="AK725" s="23" t="inlineStr">
        <is>
          <t>não</t>
        </is>
      </c>
      <c r="AL725" s="23" t="n"/>
      <c r="AM725" s="23" t="n"/>
      <c r="AN725" s="23" t="n"/>
      <c r="AO725" s="44">
        <f>A725</f>
        <v/>
      </c>
      <c r="AP725" s="44">
        <f>D725</f>
        <v/>
      </c>
    </row>
    <row r="726" hidden="1" ht="15.75" customHeight="1" s="93">
      <c r="A726" s="23" t="inlineStr">
        <is>
          <t>1.0025.L080553.0</t>
        </is>
      </c>
      <c r="B726" s="23" t="inlineStr">
        <is>
          <t>L080553</t>
        </is>
      </c>
      <c r="C726" s="29">
        <f>IFERROR(LOWER(SUBSTITUTE(SUBSTITUTE(SUBSTITUTE(SUBSTITUTE(D726," ","-"),"/","-"),".",""),",","")),"")</f>
        <v/>
      </c>
      <c r="D726" s="23" t="inlineStr">
        <is>
          <t>2663051204 - LUVA ADAPTADORA 16/32 22Z - 16/32 13Z</t>
        </is>
      </c>
      <c r="E726" s="23" t="n"/>
      <c r="F726" s="23" t="inlineStr">
        <is>
          <t>SOHIPREN</t>
        </is>
      </c>
      <c r="G726" s="23" t="n"/>
      <c r="H726" s="23" t="inlineStr">
        <is>
          <t>draft</t>
        </is>
      </c>
      <c r="I726" s="23" t="inlineStr">
        <is>
          <t>LINDE</t>
        </is>
      </c>
      <c r="J726" s="23" t="inlineStr">
        <is>
          <t>BOMBA HPV75</t>
        </is>
      </c>
      <c r="K726" s="23" t="inlineStr">
        <is>
          <t>ACOPLAMENTO PARA BOMBA DE CARGA LIVENZA</t>
        </is>
      </c>
      <c r="L726" s="23" t="inlineStr">
        <is>
          <t>2633051203</t>
        </is>
      </c>
      <c r="M726" s="31" t="n"/>
      <c r="N726" s="31" t="n"/>
      <c r="O726" s="31" t="n"/>
      <c r="P726" s="31" t="n"/>
      <c r="Q726" s="31" t="n"/>
      <c r="R726" s="34">
        <f>IFERROR(IF(AND(O726&gt;0,P726&gt;0,Q726&gt;0),(O726*P726*Q726)/6000,""),"")</f>
        <v/>
      </c>
      <c r="S726" s="34">
        <f>IFERROR(IF(AND(N726&gt;0,R726&gt;0),MAX(N726,R726),IF(N726&gt;0,N726,IF(R726&gt;0,R726,""))),"")</f>
        <v/>
      </c>
      <c r="T726" s="36" t="n"/>
      <c r="U726" s="38" t="inlineStr">
        <is>
          <t>FALTA</t>
        </is>
      </c>
      <c r="V726" s="36" t="n">
        <v>196.46</v>
      </c>
      <c r="W726" s="39" t="n">
        <v>0.3</v>
      </c>
      <c r="X726" s="41">
        <f>IFERROR(V726+T726,"")</f>
        <v/>
      </c>
      <c r="Y726" s="41">
        <f>IFERROR(IF(W726&lt;1,X726/(1-W726),""),"")</f>
        <v/>
      </c>
      <c r="Z726" s="43">
        <f>'01_CONFIG_GLOBAL'!$C$14</f>
        <v/>
      </c>
      <c r="AA726" s="41">
        <f>IFERROR(Y726*Z726,"")</f>
        <v/>
      </c>
      <c r="AB726" s="41">
        <f>IFERROR(IF(Z726&lt;1,Y726/(1-Z726),""),"")</f>
        <v/>
      </c>
      <c r="AC726" s="23" t="n"/>
      <c r="AD726" s="36" t="n"/>
      <c r="AE726" s="23" t="n"/>
      <c r="AF726" s="36" t="n"/>
      <c r="AG726" s="23" t="n"/>
      <c r="AH726" s="36" t="n"/>
      <c r="AI726" s="41">
        <f>IFERROR(AVERAGE(AD726,AF726,AH726),"")</f>
        <v/>
      </c>
      <c r="AJ726" s="29">
        <f>IFERROR(IF(AI726="","sem dados",IF(AB726&lt;AI726*0.95,"abaixo",IF(AB726&gt;AI726*1.05,"acima","em linha"))),"")</f>
        <v/>
      </c>
      <c r="AK726" s="23" t="inlineStr">
        <is>
          <t>não</t>
        </is>
      </c>
      <c r="AL726" s="23" t="n"/>
      <c r="AM726" s="23" t="n"/>
      <c r="AN726" s="23" t="n"/>
      <c r="AO726" s="44">
        <f>A726</f>
        <v/>
      </c>
      <c r="AP726" s="44">
        <f>D726</f>
        <v/>
      </c>
    </row>
    <row r="727" hidden="1" ht="15.75" customHeight="1" s="93">
      <c r="A727" s="23" t="inlineStr">
        <is>
          <t>1.0025.L082333.0</t>
        </is>
      </c>
      <c r="B727" s="23" t="inlineStr">
        <is>
          <t>L082333</t>
        </is>
      </c>
      <c r="C727" s="29">
        <f>IFERROR(LOWER(SUBSTITUTE(SUBSTITUTE(SUBSTITUTE(SUBSTITUTE(D727," ","-"),"/","-"),".",""),",","")),"")</f>
        <v/>
      </c>
      <c r="D727" s="23" t="inlineStr">
        <is>
          <t>LUVA ESTRIADA MACHO 21Z DIN 5480 X FEMEA 23Z ASIB.91</t>
        </is>
      </c>
      <c r="E727" s="23" t="n"/>
      <c r="F727" s="23" t="inlineStr">
        <is>
          <t>SOHIPREN</t>
        </is>
      </c>
      <c r="G727" s="23" t="n"/>
      <c r="H727" s="23" t="inlineStr">
        <is>
          <t>draft</t>
        </is>
      </c>
      <c r="I727" s="23" t="inlineStr">
        <is>
          <t>LINDE</t>
        </is>
      </c>
      <c r="J727" s="23" t="inlineStr">
        <is>
          <t>BOMBA HPV75</t>
        </is>
      </c>
      <c r="K727" s="23" t="inlineStr">
        <is>
          <t>ACOPLAMENTO PARA BOMBA DE CARGA LIVENZA</t>
        </is>
      </c>
      <c r="L727" s="23" t="inlineStr">
        <is>
          <t>2633051203</t>
        </is>
      </c>
      <c r="M727" s="31" t="n"/>
      <c r="N727" s="31" t="n"/>
      <c r="O727" s="31" t="n"/>
      <c r="P727" s="31" t="n"/>
      <c r="Q727" s="31" t="n"/>
      <c r="R727" s="34">
        <f>IFERROR(IF(AND(O727&gt;0,P727&gt;0,Q727&gt;0),(O727*P727*Q727)/6000,""),"")</f>
        <v/>
      </c>
      <c r="S727" s="34">
        <f>IFERROR(IF(AND(N727&gt;0,R727&gt;0),MAX(N727,R727),IF(N727&gt;0,N727,IF(R727&gt;0,R727,""))),"")</f>
        <v/>
      </c>
      <c r="T727" s="36" t="n"/>
      <c r="U727" s="38" t="inlineStr">
        <is>
          <t>FALTA</t>
        </is>
      </c>
      <c r="V727" s="36" t="n">
        <v>196.46</v>
      </c>
      <c r="W727" s="39" t="n">
        <v>0.3</v>
      </c>
      <c r="X727" s="41">
        <f>IFERROR(V727+T727,"")</f>
        <v/>
      </c>
      <c r="Y727" s="41">
        <f>IFERROR(IF(W727&lt;1,X727/(1-W727),""),"")</f>
        <v/>
      </c>
      <c r="Z727" s="43">
        <f>'01_CONFIG_GLOBAL'!$C$14</f>
        <v/>
      </c>
      <c r="AA727" s="41">
        <f>IFERROR(Y727*Z727,"")</f>
        <v/>
      </c>
      <c r="AB727" s="41">
        <f>IFERROR(IF(Z727&lt;1,Y727/(1-Z727),""),"")</f>
        <v/>
      </c>
      <c r="AC727" s="23" t="n"/>
      <c r="AD727" s="36" t="n"/>
      <c r="AE727" s="23" t="n"/>
      <c r="AF727" s="36" t="n"/>
      <c r="AG727" s="23" t="n"/>
      <c r="AH727" s="36" t="n"/>
      <c r="AI727" s="41">
        <f>IFERROR(AVERAGE(AD727,AF727,AH727),"")</f>
        <v/>
      </c>
      <c r="AJ727" s="29">
        <f>IFERROR(IF(AI727="","sem dados",IF(AB727&lt;AI727*0.95,"abaixo",IF(AB727&gt;AI727*1.05,"acima","em linha"))),"")</f>
        <v/>
      </c>
      <c r="AK727" s="23" t="inlineStr">
        <is>
          <t>não</t>
        </is>
      </c>
      <c r="AL727" s="23" t="n"/>
      <c r="AM727" s="23" t="n"/>
      <c r="AN727" s="23" t="n"/>
      <c r="AO727" s="44">
        <f>A727</f>
        <v/>
      </c>
      <c r="AP727" s="44">
        <f>D727</f>
        <v/>
      </c>
    </row>
    <row r="728" hidden="1" ht="15.75" customHeight="1" s="93">
      <c r="A728" s="23" t="inlineStr">
        <is>
          <t>5.0220.L025483.0</t>
        </is>
      </c>
      <c r="B728" s="23" t="inlineStr">
        <is>
          <t>L025483</t>
        </is>
      </c>
      <c r="C728" s="29">
        <f>IFERROR(LOWER(SUBSTITUTE(SUBSTITUTE(SUBSTITUTE(SUBSTITUTE(D728," ","-"),"/","-"),".",""),",","")),"")</f>
        <v/>
      </c>
      <c r="D728" s="23" t="inlineStr">
        <is>
          <t>BOD 22,5 E18.C.C1/8.C21.L</t>
        </is>
      </c>
      <c r="E728" s="23" t="inlineStr">
        <is>
          <t>Bombas Hidráulicas</t>
        </is>
      </c>
      <c r="F728" s="23" t="inlineStr">
        <is>
          <t>SOHIPREN</t>
        </is>
      </c>
      <c r="G728" s="23" t="n"/>
      <c r="H728" s="23" t="inlineStr">
        <is>
          <t>draft</t>
        </is>
      </c>
      <c r="I728" s="23" t="inlineStr">
        <is>
          <t>LINDE</t>
        </is>
      </c>
      <c r="J728" s="23" t="inlineStr">
        <is>
          <t>BOMBAS DE PISTÕES</t>
        </is>
      </c>
      <c r="K728" s="23" t="inlineStr">
        <is>
          <t>AUXILIAR</t>
        </is>
      </c>
      <c r="L728" s="23" t="inlineStr">
        <is>
          <t>T2208X0001</t>
        </is>
      </c>
      <c r="M728" s="31" t="n"/>
      <c r="N728" s="31" t="n"/>
      <c r="O728" s="31" t="n"/>
      <c r="P728" s="31" t="n"/>
      <c r="Q728" s="31" t="n"/>
      <c r="R728" s="34">
        <f>IFERROR(IF(AND(O728&gt;0,P728&gt;0,Q728&gt;0),(O728*P728*Q728)/6000,""),"")</f>
        <v/>
      </c>
      <c r="S728" s="34">
        <f>IFERROR(IF(AND(N728&gt;0,R728&gt;0),MAX(N728,R728),IF(N728&gt;0,N728,IF(R728&gt;0,R728,""))),"")</f>
        <v/>
      </c>
      <c r="T728" s="36" t="n"/>
      <c r="U728" s="38" t="inlineStr">
        <is>
          <t>FALTA</t>
        </is>
      </c>
      <c r="V728" s="36" t="n">
        <v>1551</v>
      </c>
      <c r="W728" s="39" t="n">
        <v>0.3</v>
      </c>
      <c r="X728" s="41">
        <f>IFERROR(V728+T728,"")</f>
        <v/>
      </c>
      <c r="Y728" s="41">
        <f>IFERROR(IF(W728&lt;1,X728/(1-W728),""),"")</f>
        <v/>
      </c>
      <c r="Z728" s="43">
        <f>'01_CONFIG_GLOBAL'!$C$14</f>
        <v/>
      </c>
      <c r="AA728" s="41">
        <f>IFERROR(Y728*Z728,"")</f>
        <v/>
      </c>
      <c r="AB728" s="41">
        <f>IFERROR(IF(Z728&lt;1,Y728/(1-Z728),""),"")</f>
        <v/>
      </c>
      <c r="AC728" s="23" t="n"/>
      <c r="AD728" s="36" t="n"/>
      <c r="AE728" s="23" t="n"/>
      <c r="AF728" s="36" t="n"/>
      <c r="AG728" s="23" t="n"/>
      <c r="AH728" s="36" t="n"/>
      <c r="AI728" s="41">
        <f>IFERROR(AVERAGE(AD728,AF728,AH728),"")</f>
        <v/>
      </c>
      <c r="AJ728" s="29">
        <f>IFERROR(IF(AI728="","sem dados",IF(AB728&lt;AI728*0.95,"abaixo",IF(AB728&gt;AI728*1.05,"acima","em linha"))),"")</f>
        <v/>
      </c>
      <c r="AK728" s="23" t="inlineStr">
        <is>
          <t>não</t>
        </is>
      </c>
      <c r="AL728" s="23" t="n"/>
      <c r="AM728" s="23" t="n"/>
      <c r="AN728" s="23" t="n"/>
      <c r="AO728" s="44">
        <f>A728</f>
        <v/>
      </c>
      <c r="AP728" s="44">
        <f>D728</f>
        <v/>
      </c>
    </row>
    <row r="729" hidden="1" ht="15.75" customHeight="1" s="93">
      <c r="A729" s="23" t="inlineStr">
        <is>
          <t>5.0208.0544902.0</t>
        </is>
      </c>
      <c r="B729" s="23" t="inlineStr">
        <is>
          <t>544902</t>
        </is>
      </c>
      <c r="C729" s="29">
        <f>IFERROR(LOWER(SUBSTITUTE(SUBSTITUTE(SUBSTITUTE(SUBSTITUTE(D729," ","-"),"/","-"),".",""),",","")),"")</f>
        <v/>
      </c>
      <c r="D729" s="23" t="inlineStr">
        <is>
          <t>BOD 16 E18.C.C1.L</t>
        </is>
      </c>
      <c r="E729" s="23" t="inlineStr">
        <is>
          <t>Bombas Hidráulicas</t>
        </is>
      </c>
      <c r="F729" s="23" t="inlineStr">
        <is>
          <t>SOHIPREN</t>
        </is>
      </c>
      <c r="G729" s="23" t="n"/>
      <c r="H729" s="23" t="inlineStr">
        <is>
          <t>draft</t>
        </is>
      </c>
      <c r="I729" s="23" t="inlineStr">
        <is>
          <t>LINDE</t>
        </is>
      </c>
      <c r="J729" s="23" t="inlineStr">
        <is>
          <t>BOMBAS DE PISTÕES</t>
        </is>
      </c>
      <c r="K729" s="23" t="inlineStr">
        <is>
          <t>AUXILIAR</t>
        </is>
      </c>
      <c r="L729" s="23" t="inlineStr">
        <is>
          <t>A16XXX0001</t>
        </is>
      </c>
      <c r="M729" s="31" t="n"/>
      <c r="N729" s="31" t="n"/>
      <c r="O729" s="31" t="n"/>
      <c r="P729" s="31" t="n"/>
      <c r="Q729" s="31" t="n"/>
      <c r="R729" s="34">
        <f>IFERROR(IF(AND(O729&gt;0,P729&gt;0,Q729&gt;0),(O729*P729*Q729)/6000,""),"")</f>
        <v/>
      </c>
      <c r="S729" s="34">
        <f>IFERROR(IF(AND(N729&gt;0,R729&gt;0),MAX(N729,R729),IF(N729&gt;0,N729,IF(R729&gt;0,R729,""))),"")</f>
        <v/>
      </c>
      <c r="T729" s="36" t="n"/>
      <c r="U729" s="38" t="inlineStr">
        <is>
          <t>FALTA</t>
        </is>
      </c>
      <c r="V729" s="36" t="n">
        <v>605</v>
      </c>
      <c r="W729" s="39" t="n">
        <v>0.3</v>
      </c>
      <c r="X729" s="41">
        <f>IFERROR(V729+T729,"")</f>
        <v/>
      </c>
      <c r="Y729" s="41">
        <f>IFERROR(IF(W729&lt;1,X729/(1-W729),""),"")</f>
        <v/>
      </c>
      <c r="Z729" s="43">
        <f>'01_CONFIG_GLOBAL'!$C$14</f>
        <v/>
      </c>
      <c r="AA729" s="41">
        <f>IFERROR(Y729*Z729,"")</f>
        <v/>
      </c>
      <c r="AB729" s="41">
        <f>IFERROR(IF(Z729&lt;1,Y729/(1-Z729),""),"")</f>
        <v/>
      </c>
      <c r="AC729" s="23" t="n"/>
      <c r="AD729" s="36" t="n"/>
      <c r="AE729" s="23" t="n"/>
      <c r="AF729" s="36" t="n"/>
      <c r="AG729" s="23" t="n"/>
      <c r="AH729" s="36" t="n"/>
      <c r="AI729" s="41">
        <f>IFERROR(AVERAGE(AD729,AF729,AH729),"")</f>
        <v/>
      </c>
      <c r="AJ729" s="29">
        <f>IFERROR(IF(AI729="","sem dados",IF(AB729&lt;AI729*0.95,"abaixo",IF(AB729&gt;AI729*1.05,"acima","em linha"))),"")</f>
        <v/>
      </c>
      <c r="AK729" s="23" t="inlineStr">
        <is>
          <t>não</t>
        </is>
      </c>
      <c r="AL729" s="23" t="n"/>
      <c r="AM729" s="23" t="n"/>
      <c r="AN729" s="23" t="n"/>
      <c r="AO729" s="44">
        <f>A729</f>
        <v/>
      </c>
      <c r="AP729" s="44">
        <f>D729</f>
        <v/>
      </c>
    </row>
    <row r="730" hidden="1" ht="15.75" customHeight="1" s="93">
      <c r="A730" s="23" t="inlineStr">
        <is>
          <t>5.0521.L025688.0</t>
        </is>
      </c>
      <c r="B730" s="23" t="inlineStr">
        <is>
          <t>L025688</t>
        </is>
      </c>
      <c r="C730" s="29">
        <f>IFERROR(LOWER(SUBSTITUTE(SUBSTITUTE(SUBSTITUTE(SUBSTITUTE(D730," ","-"),"/","-"),".",""),",","")),"")</f>
        <v/>
      </c>
      <c r="D730" s="23" t="inlineStr">
        <is>
          <t>MC1 40 201.2.21.74/19.C21/19.C21.L</t>
        </is>
      </c>
      <c r="E730" s="23" t="n"/>
      <c r="F730" s="23" t="inlineStr">
        <is>
          <t>SOHIPREN</t>
        </is>
      </c>
      <c r="G730" s="23" t="n"/>
      <c r="H730" s="23" t="inlineStr">
        <is>
          <t>draft</t>
        </is>
      </c>
      <c r="I730" s="23" t="inlineStr">
        <is>
          <t>LUMA - GTM</t>
        </is>
      </c>
      <c r="J730" s="23" t="inlineStr">
        <is>
          <t>PODADEIRA</t>
        </is>
      </c>
      <c r="K730" s="23" t="inlineStr">
        <is>
          <t>PODADEIRA DE LARANJEIRAS</t>
        </is>
      </c>
      <c r="L730" s="23" t="n"/>
      <c r="M730" s="31" t="n"/>
      <c r="N730" s="31" t="n"/>
      <c r="O730" s="31" t="n"/>
      <c r="P730" s="31" t="n"/>
      <c r="Q730" s="31" t="n"/>
      <c r="R730" s="34">
        <f>IFERROR(IF(AND(O730&gt;0,P730&gt;0,Q730&gt;0),(O730*P730*Q730)/6000,""),"")</f>
        <v/>
      </c>
      <c r="S730" s="34">
        <f>IFERROR(IF(AND(N730&gt;0,R730&gt;0),MAX(N730,R730),IF(N730&gt;0,N730,IF(R730&gt;0,R730,""))),"")</f>
        <v/>
      </c>
      <c r="T730" s="36" t="n"/>
      <c r="U730" s="38" t="inlineStr">
        <is>
          <t>FALTA</t>
        </is>
      </c>
      <c r="V730" s="36" t="n">
        <v>1452</v>
      </c>
      <c r="W730" s="39" t="n">
        <v>0.3</v>
      </c>
      <c r="X730" s="41">
        <f>IFERROR(V730+T730,"")</f>
        <v/>
      </c>
      <c r="Y730" s="41">
        <f>IFERROR(IF(W730&lt;1,X730/(1-W730),""),"")</f>
        <v/>
      </c>
      <c r="Z730" s="43">
        <f>'01_CONFIG_GLOBAL'!$C$14</f>
        <v/>
      </c>
      <c r="AA730" s="41">
        <f>IFERROR(Y730*Z730,"")</f>
        <v/>
      </c>
      <c r="AB730" s="41">
        <f>IFERROR(IF(Z730&lt;1,Y730/(1-Z730),""),"")</f>
        <v/>
      </c>
      <c r="AC730" s="23" t="n"/>
      <c r="AD730" s="36" t="n"/>
      <c r="AE730" s="23" t="n"/>
      <c r="AF730" s="36" t="n"/>
      <c r="AG730" s="23" t="n"/>
      <c r="AH730" s="36" t="n"/>
      <c r="AI730" s="41">
        <f>IFERROR(AVERAGE(AD730,AF730,AH730),"")</f>
        <v/>
      </c>
      <c r="AJ730" s="29">
        <f>IFERROR(IF(AI730="","sem dados",IF(AB730&lt;AI730*0.95,"abaixo",IF(AB730&gt;AI730*1.05,"acima","em linha"))),"")</f>
        <v/>
      </c>
      <c r="AK730" s="23" t="inlineStr">
        <is>
          <t>não</t>
        </is>
      </c>
      <c r="AL730" s="23" t="n"/>
      <c r="AM730" s="23" t="n"/>
      <c r="AN730" s="23" t="n"/>
      <c r="AO730" s="44">
        <f>A730</f>
        <v/>
      </c>
      <c r="AP730" s="44">
        <f>D730</f>
        <v/>
      </c>
    </row>
    <row r="731" hidden="1" ht="15.75" customHeight="1" s="93">
      <c r="A731" s="23" t="inlineStr">
        <is>
          <t>5.0205.L025596.0</t>
        </is>
      </c>
      <c r="B731" s="23" t="inlineStr">
        <is>
          <t>L025596</t>
        </is>
      </c>
      <c r="C731" s="29">
        <f>IFERROR(LOWER(SUBSTITUTE(SUBSTITUTE(SUBSTITUTE(SUBSTITUTE(D731," ","-"),"/","-"),".",""),",","")),"")</f>
        <v/>
      </c>
      <c r="D731" s="23" t="inlineStr">
        <is>
          <t>BOD 8 B1.B.B12.L</t>
        </is>
      </c>
      <c r="E731" s="23" t="inlineStr">
        <is>
          <t>Bombas Hidráulicas</t>
        </is>
      </c>
      <c r="F731" s="23" t="inlineStr">
        <is>
          <t>SOHIPREN</t>
        </is>
      </c>
      <c r="G731" s="23" t="n"/>
      <c r="H731" s="23" t="inlineStr">
        <is>
          <t>draft</t>
        </is>
      </c>
      <c r="I731" s="23" t="inlineStr">
        <is>
          <t>MADAL</t>
        </is>
      </c>
      <c r="J731" s="23" t="inlineStr">
        <is>
          <t>EMPILHADEIRA</t>
        </is>
      </c>
      <c r="K731" s="23" t="inlineStr">
        <is>
          <t>EMBREAGEM</t>
        </is>
      </c>
      <c r="L731" s="23" t="inlineStr">
        <is>
          <t>0.5412</t>
        </is>
      </c>
      <c r="M731" s="31" t="n"/>
      <c r="N731" s="31" t="n"/>
      <c r="O731" s="31" t="n"/>
      <c r="P731" s="31" t="n"/>
      <c r="Q731" s="31" t="n"/>
      <c r="R731" s="34">
        <f>IFERROR(IF(AND(O731&gt;0,P731&gt;0,Q731&gt;0),(O731*P731*Q731)/6000,""),"")</f>
        <v/>
      </c>
      <c r="S731" s="34">
        <f>IFERROR(IF(AND(N731&gt;0,R731&gt;0),MAX(N731,R731),IF(N731&gt;0,N731,IF(R731&gt;0,R731,""))),"")</f>
        <v/>
      </c>
      <c r="T731" s="36" t="n"/>
      <c r="U731" s="38" t="inlineStr">
        <is>
          <t>FALTA</t>
        </is>
      </c>
      <c r="V731" s="36" t="n">
        <v>517</v>
      </c>
      <c r="W731" s="39" t="n">
        <v>0.3</v>
      </c>
      <c r="X731" s="41">
        <f>IFERROR(V731+T731,"")</f>
        <v/>
      </c>
      <c r="Y731" s="41">
        <f>IFERROR(IF(W731&lt;1,X731/(1-W731),""),"")</f>
        <v/>
      </c>
      <c r="Z731" s="43">
        <f>'01_CONFIG_GLOBAL'!$C$14</f>
        <v/>
      </c>
      <c r="AA731" s="41">
        <f>IFERROR(Y731*Z731,"")</f>
        <v/>
      </c>
      <c r="AB731" s="41">
        <f>IFERROR(IF(Z731&lt;1,Y731/(1-Z731),""),"")</f>
        <v/>
      </c>
      <c r="AC731" s="23" t="n"/>
      <c r="AD731" s="36" t="n"/>
      <c r="AE731" s="23" t="n"/>
      <c r="AF731" s="36" t="n"/>
      <c r="AG731" s="23" t="n"/>
      <c r="AH731" s="36" t="n"/>
      <c r="AI731" s="41">
        <f>IFERROR(AVERAGE(AD731,AF731,AH731),"")</f>
        <v/>
      </c>
      <c r="AJ731" s="29">
        <f>IFERROR(IF(AI731="","sem dados",IF(AB731&lt;AI731*0.95,"abaixo",IF(AB731&gt;AI731*1.05,"acima","em linha"))),"")</f>
        <v/>
      </c>
      <c r="AK731" s="23" t="inlineStr">
        <is>
          <t>não</t>
        </is>
      </c>
      <c r="AL731" s="23" t="n"/>
      <c r="AM731" s="23" t="n"/>
      <c r="AN731" s="23" t="n"/>
      <c r="AO731" s="44">
        <f>A731</f>
        <v/>
      </c>
      <c r="AP731" s="44">
        <f>D731</f>
        <v/>
      </c>
    </row>
    <row r="732" hidden="1" ht="15.75" customHeight="1" s="93">
      <c r="A732" s="23" t="inlineStr">
        <is>
          <t>5.0208.0544856.0</t>
        </is>
      </c>
      <c r="B732" s="23" t="inlineStr">
        <is>
          <t>544856</t>
        </is>
      </c>
      <c r="C732" s="29">
        <f>IFERROR(LOWER(SUBSTITUTE(SUBSTITUTE(SUBSTITUTE(SUBSTITUTE(D732," ","-"),"/","-"),".",""),",","")),"")</f>
        <v/>
      </c>
      <c r="D732" s="23" t="inlineStr">
        <is>
          <t>BOMBA HIDRÁULICA - APLICAÇÃO 16 B1.B10.A1.D5 (9-90 + 10 BAR)</t>
        </is>
      </c>
      <c r="E732" s="23" t="inlineStr">
        <is>
          <t>Bombas Hidráulicas</t>
        </is>
      </c>
      <c r="F732" s="23" t="inlineStr">
        <is>
          <t>SOHIPREN</t>
        </is>
      </c>
      <c r="G732" s="23" t="n"/>
      <c r="H732" s="23" t="inlineStr">
        <is>
          <t>draft</t>
        </is>
      </c>
      <c r="I732" s="23" t="inlineStr">
        <is>
          <t>MADAL</t>
        </is>
      </c>
      <c r="J732" s="23" t="inlineStr">
        <is>
          <t>EMPILHADEIRA</t>
        </is>
      </c>
      <c r="K732" s="23" t="inlineStr">
        <is>
          <t>PRINCIPAL</t>
        </is>
      </c>
      <c r="L732" s="23" t="n"/>
      <c r="M732" s="31" t="n"/>
      <c r="N732" s="31" t="n"/>
      <c r="O732" s="31" t="n"/>
      <c r="P732" s="31" t="n"/>
      <c r="Q732" s="31" t="n"/>
      <c r="R732" s="34">
        <f>IFERROR(IF(AND(O732&gt;0,P732&gt;0,Q732&gt;0),(O732*P732*Q732)/6000,""),"")</f>
        <v/>
      </c>
      <c r="S732" s="34">
        <f>IFERROR(IF(AND(N732&gt;0,R732&gt;0),MAX(N732,R732),IF(N732&gt;0,N732,IF(R732&gt;0,R732,""))),"")</f>
        <v/>
      </c>
      <c r="T732" s="36" t="n"/>
      <c r="U732" s="38" t="inlineStr">
        <is>
          <t>FALTA</t>
        </is>
      </c>
      <c r="V732" s="36" t="n">
        <v>566.5</v>
      </c>
      <c r="W732" s="39" t="n">
        <v>0.3</v>
      </c>
      <c r="X732" s="41">
        <f>IFERROR(V732+T732,"")</f>
        <v/>
      </c>
      <c r="Y732" s="41">
        <f>IFERROR(IF(W732&lt;1,X732/(1-W732),""),"")</f>
        <v/>
      </c>
      <c r="Z732" s="43">
        <f>'01_CONFIG_GLOBAL'!$C$14</f>
        <v/>
      </c>
      <c r="AA732" s="41">
        <f>IFERROR(Y732*Z732,"")</f>
        <v/>
      </c>
      <c r="AB732" s="41">
        <f>IFERROR(IF(Z732&lt;1,Y732/(1-Z732),""),"")</f>
        <v/>
      </c>
      <c r="AC732" s="23" t="n"/>
      <c r="AD732" s="36" t="n"/>
      <c r="AE732" s="23" t="n"/>
      <c r="AF732" s="36" t="n"/>
      <c r="AG732" s="23" t="n"/>
      <c r="AH732" s="36" t="n"/>
      <c r="AI732" s="41">
        <f>IFERROR(AVERAGE(AD732,AF732,AH732),"")</f>
        <v/>
      </c>
      <c r="AJ732" s="29">
        <f>IFERROR(IF(AI732="","sem dados",IF(AB732&lt;AI732*0.95,"abaixo",IF(AB732&gt;AI732*1.05,"acima","em linha"))),"")</f>
        <v/>
      </c>
      <c r="AK732" s="23" t="inlineStr">
        <is>
          <t>não</t>
        </is>
      </c>
      <c r="AL732" s="23" t="n"/>
      <c r="AM732" s="23" t="n"/>
      <c r="AN732" s="23" t="n"/>
      <c r="AO732" s="44">
        <f>A732</f>
        <v/>
      </c>
      <c r="AP732" s="44">
        <f>D732</f>
        <v/>
      </c>
    </row>
    <row r="733" hidden="1" ht="15.75" customHeight="1" s="93">
      <c r="A733" s="23" t="inlineStr">
        <is>
          <t>0.9002.F001271.0</t>
        </is>
      </c>
      <c r="B733" s="23" t="inlineStr">
        <is>
          <t>F001271</t>
        </is>
      </c>
      <c r="C733" s="29">
        <f>IFERROR(LOWER(SUBSTITUTE(SUBSTITUTE(SUBSTITUTE(SUBSTITUTE(D733," ","-"),"/","-"),".",""),",","")),"")</f>
        <v/>
      </c>
      <c r="D733" s="23" t="inlineStr">
        <is>
          <t>COMPENSADO NAVAL 30 MM (2,50 X 1,60)M A/B MOVELEIRO</t>
        </is>
      </c>
      <c r="E733" s="23" t="n"/>
      <c r="F733" s="23" t="inlineStr">
        <is>
          <t>SOHIPREN</t>
        </is>
      </c>
      <c r="G733" s="23" t="n"/>
      <c r="H733" s="23" t="inlineStr">
        <is>
          <t>draft</t>
        </is>
      </c>
      <c r="I733" s="23" t="inlineStr">
        <is>
          <t>MADEIRAMIX</t>
        </is>
      </c>
      <c r="J733" s="23" t="n"/>
      <c r="K733" s="23" t="n"/>
      <c r="L733" s="23" t="inlineStr">
        <is>
          <t>34687</t>
        </is>
      </c>
      <c r="M733" s="31" t="n"/>
      <c r="N733" s="31" t="n"/>
      <c r="O733" s="31" t="n"/>
      <c r="P733" s="31" t="n"/>
      <c r="Q733" s="31" t="n"/>
      <c r="R733" s="34">
        <f>IFERROR(IF(AND(O733&gt;0,P733&gt;0,Q733&gt;0),(O733*P733*Q733)/6000,""),"")</f>
        <v/>
      </c>
      <c r="S733" s="34">
        <f>IFERROR(IF(AND(N733&gt;0,R733&gt;0),MAX(N733,R733),IF(N733&gt;0,N733,IF(R733&gt;0,R733,""))),"")</f>
        <v/>
      </c>
      <c r="T733" s="36" t="n"/>
      <c r="U733" s="38" t="inlineStr">
        <is>
          <t>FALTA</t>
        </is>
      </c>
      <c r="V733" s="36" t="n">
        <v>285</v>
      </c>
      <c r="W733" s="39" t="n">
        <v>0.3</v>
      </c>
      <c r="X733" s="41">
        <f>IFERROR(V733+T733,"")</f>
        <v/>
      </c>
      <c r="Y733" s="41">
        <f>IFERROR(IF(W733&lt;1,X733/(1-W733),""),"")</f>
        <v/>
      </c>
      <c r="Z733" s="43">
        <f>'01_CONFIG_GLOBAL'!$C$14</f>
        <v/>
      </c>
      <c r="AA733" s="41">
        <f>IFERROR(Y733*Z733,"")</f>
        <v/>
      </c>
      <c r="AB733" s="41">
        <f>IFERROR(IF(Z733&lt;1,Y733/(1-Z733),""),"")</f>
        <v/>
      </c>
      <c r="AC733" s="23" t="n"/>
      <c r="AD733" s="36" t="n"/>
      <c r="AE733" s="23" t="n"/>
      <c r="AF733" s="36" t="n"/>
      <c r="AG733" s="23" t="n"/>
      <c r="AH733" s="36" t="n"/>
      <c r="AI733" s="41">
        <f>IFERROR(AVERAGE(AD733,AF733,AH733),"")</f>
        <v/>
      </c>
      <c r="AJ733" s="29">
        <f>IFERROR(IF(AI733="","sem dados",IF(AB733&lt;AI733*0.95,"abaixo",IF(AB733&gt;AI733*1.05,"acima","em linha"))),"")</f>
        <v/>
      </c>
      <c r="AK733" s="23" t="inlineStr">
        <is>
          <t>não</t>
        </is>
      </c>
      <c r="AL733" s="23" t="n"/>
      <c r="AM733" s="23" t="n"/>
      <c r="AN733" s="23" t="n"/>
      <c r="AO733" s="44">
        <f>A733</f>
        <v/>
      </c>
      <c r="AP733" s="44">
        <f>D733</f>
        <v/>
      </c>
    </row>
    <row r="734" hidden="1" ht="15.75" customHeight="1" s="93">
      <c r="A734" s="23" t="inlineStr">
        <is>
          <t>0.9002.F001328.0</t>
        </is>
      </c>
      <c r="B734" s="23" t="inlineStr">
        <is>
          <t>F001328</t>
        </is>
      </c>
      <c r="C734" s="29">
        <f>IFERROR(LOWER(SUBSTITUTE(SUBSTITUTE(SUBSTITUTE(SUBSTITUTE(D734," ","-"),"/","-"),".",""),",","")),"")</f>
        <v/>
      </c>
      <c r="D734" s="23" t="inlineStr">
        <is>
          <t>COMPENSADO NAVAL 30 MM (2,20 X 1,60)M A/B MOVELEIRO</t>
        </is>
      </c>
      <c r="E734" s="23" t="n"/>
      <c r="F734" s="23" t="inlineStr">
        <is>
          <t>SOHIPREN</t>
        </is>
      </c>
      <c r="G734" s="23" t="n"/>
      <c r="H734" s="23" t="inlineStr">
        <is>
          <t>draft</t>
        </is>
      </c>
      <c r="I734" s="23" t="inlineStr">
        <is>
          <t>MADEIRAMIX</t>
        </is>
      </c>
      <c r="J734" s="23" t="n"/>
      <c r="K734" s="23" t="n"/>
      <c r="L734" s="23" t="inlineStr">
        <is>
          <t>17417</t>
        </is>
      </c>
      <c r="M734" s="31" t="n"/>
      <c r="N734" s="31" t="n"/>
      <c r="O734" s="31" t="n"/>
      <c r="P734" s="31" t="n"/>
      <c r="Q734" s="31" t="n"/>
      <c r="R734" s="34">
        <f>IFERROR(IF(AND(O734&gt;0,P734&gt;0,Q734&gt;0),(O734*P734*Q734)/6000,""),"")</f>
        <v/>
      </c>
      <c r="S734" s="34">
        <f>IFERROR(IF(AND(N734&gt;0,R734&gt;0),MAX(N734,R734),IF(N734&gt;0,N734,IF(R734&gt;0,R734,""))),"")</f>
        <v/>
      </c>
      <c r="T734" s="36" t="n"/>
      <c r="U734" s="38" t="inlineStr">
        <is>
          <t>FALTA</t>
        </is>
      </c>
      <c r="V734" s="36" t="n">
        <v>285</v>
      </c>
      <c r="W734" s="39" t="n">
        <v>0.3</v>
      </c>
      <c r="X734" s="41">
        <f>IFERROR(V734+T734,"")</f>
        <v/>
      </c>
      <c r="Y734" s="41">
        <f>IFERROR(IF(W734&lt;1,X734/(1-W734),""),"")</f>
        <v/>
      </c>
      <c r="Z734" s="43">
        <f>'01_CONFIG_GLOBAL'!$C$14</f>
        <v/>
      </c>
      <c r="AA734" s="41">
        <f>IFERROR(Y734*Z734,"")</f>
        <v/>
      </c>
      <c r="AB734" s="41">
        <f>IFERROR(IF(Z734&lt;1,Y734/(1-Z734),""),"")</f>
        <v/>
      </c>
      <c r="AC734" s="23" t="n"/>
      <c r="AD734" s="36" t="n"/>
      <c r="AE734" s="23" t="n"/>
      <c r="AF734" s="36" t="n"/>
      <c r="AG734" s="23" t="n"/>
      <c r="AH734" s="36" t="n"/>
      <c r="AI734" s="41">
        <f>IFERROR(AVERAGE(AD734,AF734,AH734),"")</f>
        <v/>
      </c>
      <c r="AJ734" s="29">
        <f>IFERROR(IF(AI734="","sem dados",IF(AB734&lt;AI734*0.95,"abaixo",IF(AB734&gt;AI734*1.05,"acima","em linha"))),"")</f>
        <v/>
      </c>
      <c r="AK734" s="23" t="inlineStr">
        <is>
          <t>não</t>
        </is>
      </c>
      <c r="AL734" s="23" t="n"/>
      <c r="AM734" s="23" t="n"/>
      <c r="AN734" s="23" t="n"/>
      <c r="AO734" s="44">
        <f>A734</f>
        <v/>
      </c>
      <c r="AP734" s="44">
        <f>D734</f>
        <v/>
      </c>
    </row>
    <row r="735" hidden="1" ht="15.75" customHeight="1" s="93">
      <c r="A735" s="23" t="inlineStr">
        <is>
          <t>0.2206.F001186.0</t>
        </is>
      </c>
      <c r="B735" s="23" t="inlineStr">
        <is>
          <t>F001186</t>
        </is>
      </c>
      <c r="C735" s="29">
        <f>IFERROR(LOWER(SUBSTITUTE(SUBSTITUTE(SUBSTITUTE(SUBSTITUTE(D735," ","-"),"/","-"),".",""),",","")),"")</f>
        <v/>
      </c>
      <c r="D735" s="23" t="inlineStr">
        <is>
          <t>ADAPTADOR RETO MM 3/4" NPT X 3/4" JIC</t>
        </is>
      </c>
      <c r="E735" s="23" t="n"/>
      <c r="F735" s="23" t="inlineStr">
        <is>
          <t>SOHIPREN</t>
        </is>
      </c>
      <c r="G735" s="23" t="n"/>
      <c r="H735" s="23" t="inlineStr">
        <is>
          <t>draft</t>
        </is>
      </c>
      <c r="I735" s="23" t="inlineStr">
        <is>
          <t>MAMUTH</t>
        </is>
      </c>
      <c r="J735" s="23" t="n"/>
      <c r="K735" s="23" t="n"/>
      <c r="L735" s="23" t="inlineStr">
        <is>
          <t>M021-12-08E</t>
        </is>
      </c>
      <c r="M735" s="31" t="n"/>
      <c r="N735" s="31" t="n"/>
      <c r="O735" s="31" t="n"/>
      <c r="P735" s="31" t="n"/>
      <c r="Q735" s="31" t="n"/>
      <c r="R735" s="34">
        <f>IFERROR(IF(AND(O735&gt;0,P735&gt;0,Q735&gt;0),(O735*P735*Q735)/6000,""),"")</f>
        <v/>
      </c>
      <c r="S735" s="34">
        <f>IFERROR(IF(AND(N735&gt;0,R735&gt;0),MAX(N735,R735),IF(N735&gt;0,N735,IF(R735&gt;0,R735,""))),"")</f>
        <v/>
      </c>
      <c r="T735" s="36" t="n"/>
      <c r="U735" s="38" t="inlineStr">
        <is>
          <t>FALTA</t>
        </is>
      </c>
      <c r="V735" s="36" t="n">
        <v>335.5</v>
      </c>
      <c r="W735" s="39" t="n">
        <v>0.3</v>
      </c>
      <c r="X735" s="41">
        <f>IFERROR(V735+T735,"")</f>
        <v/>
      </c>
      <c r="Y735" s="41">
        <f>IFERROR(IF(W735&lt;1,X735/(1-W735),""),"")</f>
        <v/>
      </c>
      <c r="Z735" s="43">
        <f>'01_CONFIG_GLOBAL'!$C$14</f>
        <v/>
      </c>
      <c r="AA735" s="41">
        <f>IFERROR(Y735*Z735,"")</f>
        <v/>
      </c>
      <c r="AB735" s="41">
        <f>IFERROR(IF(Z735&lt;1,Y735/(1-Z735),""),"")</f>
        <v/>
      </c>
      <c r="AC735" s="23" t="n"/>
      <c r="AD735" s="36" t="n"/>
      <c r="AE735" s="23" t="n"/>
      <c r="AF735" s="36" t="n"/>
      <c r="AG735" s="23" t="n"/>
      <c r="AH735" s="36" t="n"/>
      <c r="AI735" s="41">
        <f>IFERROR(AVERAGE(AD735,AF735,AH735),"")</f>
        <v/>
      </c>
      <c r="AJ735" s="29">
        <f>IFERROR(IF(AI735="","sem dados",IF(AB735&lt;AI735*0.95,"abaixo",IF(AB735&gt;AI735*1.05,"acima","em linha"))),"")</f>
        <v/>
      </c>
      <c r="AK735" s="23" t="inlineStr">
        <is>
          <t>não</t>
        </is>
      </c>
      <c r="AL735" s="23" t="n"/>
      <c r="AM735" s="23" t="n"/>
      <c r="AN735" s="23" t="n"/>
      <c r="AO735" s="44">
        <f>A735</f>
        <v/>
      </c>
      <c r="AP735" s="44">
        <f>D735</f>
        <v/>
      </c>
    </row>
    <row r="736" hidden="1" ht="15.75" customHeight="1" s="93">
      <c r="A736" s="23" t="inlineStr">
        <is>
          <t>0.0162.F001129.0</t>
        </is>
      </c>
      <c r="B736" s="23" t="inlineStr">
        <is>
          <t>F001129</t>
        </is>
      </c>
      <c r="C736" s="29">
        <f>IFERROR(LOWER(SUBSTITUTE(SUBSTITUTE(SUBSTITUTE(SUBSTITUTE(D736," ","-"),"/","-"),".",""),",","")),"")</f>
        <v/>
      </c>
      <c r="D736" s="23" t="inlineStr">
        <is>
          <t>MANG. MONT. MR2ATS-081.5000 - M2P100-10-08E1.0000 - M2P-BI-2</t>
        </is>
      </c>
      <c r="E736" s="23" t="n"/>
      <c r="F736" s="23" t="inlineStr">
        <is>
          <t>SOHIPREN</t>
        </is>
      </c>
      <c r="G736" s="23" t="n"/>
      <c r="H736" s="23" t="inlineStr">
        <is>
          <t>draft</t>
        </is>
      </c>
      <c r="I736" s="23" t="inlineStr">
        <is>
          <t>MAMUTH</t>
        </is>
      </c>
      <c r="J736" s="23" t="n"/>
      <c r="K736" s="23" t="n"/>
      <c r="L736" s="23" t="inlineStr">
        <is>
          <t>PVOV225357.0001</t>
        </is>
      </c>
      <c r="M736" s="31" t="n"/>
      <c r="N736" s="31" t="n"/>
      <c r="O736" s="31" t="n"/>
      <c r="P736" s="31" t="n"/>
      <c r="Q736" s="31" t="n"/>
      <c r="R736" s="34">
        <f>IFERROR(IF(AND(O736&gt;0,P736&gt;0,Q736&gt;0),(O736*P736*Q736)/6000,""),"")</f>
        <v/>
      </c>
      <c r="S736" s="34">
        <f>IFERROR(IF(AND(N736&gt;0,R736&gt;0),MAX(N736,R736),IF(N736&gt;0,N736,IF(R736&gt;0,R736,""))),"")</f>
        <v/>
      </c>
      <c r="T736" s="36" t="n"/>
      <c r="U736" s="38" t="inlineStr">
        <is>
          <t>FALTA</t>
        </is>
      </c>
      <c r="V736" s="36" t="n">
        <v>59</v>
      </c>
      <c r="W736" s="39" t="n">
        <v>0.3</v>
      </c>
      <c r="X736" s="41">
        <f>IFERROR(V736+T736,"")</f>
        <v/>
      </c>
      <c r="Y736" s="41">
        <f>IFERROR(IF(W736&lt;1,X736/(1-W736),""),"")</f>
        <v/>
      </c>
      <c r="Z736" s="43">
        <f>'01_CONFIG_GLOBAL'!$C$14</f>
        <v/>
      </c>
      <c r="AA736" s="41">
        <f>IFERROR(Y736*Z736,"")</f>
        <v/>
      </c>
      <c r="AB736" s="41">
        <f>IFERROR(IF(Z736&lt;1,Y736/(1-Z736),""),"")</f>
        <v/>
      </c>
      <c r="AC736" s="23" t="n"/>
      <c r="AD736" s="36" t="n"/>
      <c r="AE736" s="23" t="n"/>
      <c r="AF736" s="36" t="n"/>
      <c r="AG736" s="23" t="n"/>
      <c r="AH736" s="36" t="n"/>
      <c r="AI736" s="41">
        <f>IFERROR(AVERAGE(AD736,AF736,AH736),"")</f>
        <v/>
      </c>
      <c r="AJ736" s="29">
        <f>IFERROR(IF(AI736="","sem dados",IF(AB736&lt;AI736*0.95,"abaixo",IF(AB736&gt;AI736*1.05,"acima","em linha"))),"")</f>
        <v/>
      </c>
      <c r="AK736" s="23" t="inlineStr">
        <is>
          <t>não</t>
        </is>
      </c>
      <c r="AL736" s="23" t="n"/>
      <c r="AM736" s="23" t="n"/>
      <c r="AN736" s="23" t="n"/>
      <c r="AO736" s="44">
        <f>A736</f>
        <v/>
      </c>
      <c r="AP736" s="44">
        <f>D736</f>
        <v/>
      </c>
    </row>
    <row r="737" hidden="1" ht="15.75" customHeight="1" s="93">
      <c r="A737" s="23" t="inlineStr">
        <is>
          <t>0.0162.F001130.0</t>
        </is>
      </c>
      <c r="B737" s="23" t="inlineStr">
        <is>
          <t>F001130</t>
        </is>
      </c>
      <c r="C737" s="29">
        <f>IFERROR(LOWER(SUBSTITUTE(SUBSTITUTE(SUBSTITUTE(SUBSTITUTE(D737," ","-"),"/","-"),".",""),",","")),"")</f>
        <v/>
      </c>
      <c r="D737" s="23" t="inlineStr">
        <is>
          <t>MANG. MONT. MR2ATS-041.0000 - M2P-BI-20-01-T12E1.0000 - FF-0</t>
        </is>
      </c>
      <c r="E737" s="23" t="n"/>
      <c r="F737" s="23" t="inlineStr">
        <is>
          <t>SOHIPREN</t>
        </is>
      </c>
      <c r="G737" s="23" t="n"/>
      <c r="H737" s="23" t="inlineStr">
        <is>
          <t>draft</t>
        </is>
      </c>
      <c r="I737" s="23" t="inlineStr">
        <is>
          <t>MAMUTH</t>
        </is>
      </c>
      <c r="J737" s="23" t="n"/>
      <c r="K737" s="23" t="n"/>
      <c r="L737" s="23" t="inlineStr">
        <is>
          <t>PVOV225357.0002</t>
        </is>
      </c>
      <c r="M737" s="31" t="n"/>
      <c r="N737" s="31" t="n"/>
      <c r="O737" s="31" t="n"/>
      <c r="P737" s="31" t="n"/>
      <c r="Q737" s="31" t="n"/>
      <c r="R737" s="34">
        <f>IFERROR(IF(AND(O737&gt;0,P737&gt;0,Q737&gt;0),(O737*P737*Q737)/6000,""),"")</f>
        <v/>
      </c>
      <c r="S737" s="34">
        <f>IFERROR(IF(AND(N737&gt;0,R737&gt;0),MAX(N737,R737),IF(N737&gt;0,N737,IF(R737&gt;0,R737,""))),"")</f>
        <v/>
      </c>
      <c r="T737" s="36" t="n"/>
      <c r="U737" s="38" t="inlineStr">
        <is>
          <t>FALTA</t>
        </is>
      </c>
      <c r="V737" s="36" t="n">
        <v>59</v>
      </c>
      <c r="W737" s="39" t="n">
        <v>0.3</v>
      </c>
      <c r="X737" s="41">
        <f>IFERROR(V737+T737,"")</f>
        <v/>
      </c>
      <c r="Y737" s="41">
        <f>IFERROR(IF(W737&lt;1,X737/(1-W737),""),"")</f>
        <v/>
      </c>
      <c r="Z737" s="43">
        <f>'01_CONFIG_GLOBAL'!$C$14</f>
        <v/>
      </c>
      <c r="AA737" s="41">
        <f>IFERROR(Y737*Z737,"")</f>
        <v/>
      </c>
      <c r="AB737" s="41">
        <f>IFERROR(IF(Z737&lt;1,Y737/(1-Z737),""),"")</f>
        <v/>
      </c>
      <c r="AC737" s="23" t="n"/>
      <c r="AD737" s="36" t="n"/>
      <c r="AE737" s="23" t="n"/>
      <c r="AF737" s="36" t="n"/>
      <c r="AG737" s="23" t="n"/>
      <c r="AH737" s="36" t="n"/>
      <c r="AI737" s="41">
        <f>IFERROR(AVERAGE(AD737,AF737,AH737),"")</f>
        <v/>
      </c>
      <c r="AJ737" s="29">
        <f>IFERROR(IF(AI737="","sem dados",IF(AB737&lt;AI737*0.95,"abaixo",IF(AB737&gt;AI737*1.05,"acima","em linha"))),"")</f>
        <v/>
      </c>
      <c r="AK737" s="23" t="inlineStr">
        <is>
          <t>não</t>
        </is>
      </c>
      <c r="AL737" s="23" t="n"/>
      <c r="AM737" s="23" t="n"/>
      <c r="AN737" s="23" t="n"/>
      <c r="AO737" s="44">
        <f>A737</f>
        <v/>
      </c>
      <c r="AP737" s="44">
        <f>D737</f>
        <v/>
      </c>
    </row>
    <row r="738" hidden="1" ht="15.75" customHeight="1" s="93">
      <c r="A738" s="23" t="inlineStr">
        <is>
          <t>0.2206.F001272.0</t>
        </is>
      </c>
      <c r="B738" s="23" t="inlineStr">
        <is>
          <t>F001272</t>
        </is>
      </c>
      <c r="C738" s="29">
        <f>IFERROR(LOWER(SUBSTITUTE(SUBSTITUTE(SUBSTITUTE(SUBSTITUTE(D738," ","-"),"/","-"),".",""),",","")),"")</f>
        <v/>
      </c>
      <c r="D738" s="23" t="inlineStr">
        <is>
          <t>ADAPTADOR MM 7/8 JIC X M20 PAR</t>
        </is>
      </c>
      <c r="E738" s="23" t="n"/>
      <c r="F738" s="23" t="inlineStr">
        <is>
          <t>SOHIPREN</t>
        </is>
      </c>
      <c r="G738" s="23" t="n"/>
      <c r="H738" s="23" t="inlineStr">
        <is>
          <t>draft</t>
        </is>
      </c>
      <c r="I738" s="23" t="inlineStr">
        <is>
          <t>MAMUTH</t>
        </is>
      </c>
      <c r="J738" s="23" t="n"/>
      <c r="K738" s="23" t="n"/>
      <c r="L738" s="23" t="inlineStr">
        <is>
          <t>MMTXMN-20-12E</t>
        </is>
      </c>
      <c r="M738" s="31" t="n"/>
      <c r="N738" s="31" t="n"/>
      <c r="O738" s="31" t="n"/>
      <c r="P738" s="31" t="n"/>
      <c r="Q738" s="31" t="n"/>
      <c r="R738" s="34">
        <f>IFERROR(IF(AND(O738&gt;0,P738&gt;0,Q738&gt;0),(O738*P738*Q738)/6000,""),"")</f>
        <v/>
      </c>
      <c r="S738" s="34">
        <f>IFERROR(IF(AND(N738&gt;0,R738&gt;0),MAX(N738,R738),IF(N738&gt;0,N738,IF(R738&gt;0,R738,""))),"")</f>
        <v/>
      </c>
      <c r="T738" s="36" t="n"/>
      <c r="U738" s="38" t="inlineStr">
        <is>
          <t>FALTA</t>
        </is>
      </c>
      <c r="V738" s="36" t="n">
        <v>335.5</v>
      </c>
      <c r="W738" s="39" t="n">
        <v>0.3</v>
      </c>
      <c r="X738" s="41">
        <f>IFERROR(V738+T738,"")</f>
        <v/>
      </c>
      <c r="Y738" s="41">
        <f>IFERROR(IF(W738&lt;1,X738/(1-W738),""),"")</f>
        <v/>
      </c>
      <c r="Z738" s="43">
        <f>'01_CONFIG_GLOBAL'!$C$14</f>
        <v/>
      </c>
      <c r="AA738" s="41">
        <f>IFERROR(Y738*Z738,"")</f>
        <v/>
      </c>
      <c r="AB738" s="41">
        <f>IFERROR(IF(Z738&lt;1,Y738/(1-Z738),""),"")</f>
        <v/>
      </c>
      <c r="AC738" s="23" t="n"/>
      <c r="AD738" s="36" t="n"/>
      <c r="AE738" s="23" t="n"/>
      <c r="AF738" s="36" t="n"/>
      <c r="AG738" s="23" t="n"/>
      <c r="AH738" s="36" t="n"/>
      <c r="AI738" s="41">
        <f>IFERROR(AVERAGE(AD738,AF738,AH738),"")</f>
        <v/>
      </c>
      <c r="AJ738" s="29">
        <f>IFERROR(IF(AI738="","sem dados",IF(AB738&lt;AI738*0.95,"abaixo",IF(AB738&gt;AI738*1.05,"acima","em linha"))),"")</f>
        <v/>
      </c>
      <c r="AK738" s="23" t="inlineStr">
        <is>
          <t>não</t>
        </is>
      </c>
      <c r="AL738" s="23" t="n"/>
      <c r="AM738" s="23" t="n"/>
      <c r="AN738" s="23" t="n"/>
      <c r="AO738" s="44">
        <f>A738</f>
        <v/>
      </c>
      <c r="AP738" s="44">
        <f>D738</f>
        <v/>
      </c>
    </row>
    <row r="739" hidden="1" ht="15.75" customHeight="1" s="93">
      <c r="A739" s="23" t="inlineStr">
        <is>
          <t>0.2206.F001212.0</t>
        </is>
      </c>
      <c r="B739" s="23" t="inlineStr">
        <is>
          <t>F001212</t>
        </is>
      </c>
      <c r="C739" s="29">
        <f>IFERROR(LOWER(SUBSTITUTE(SUBSTITUTE(SUBSTITUTE(SUBSTITUTE(D739," ","-"),"/","-"),".",""),",","")),"")</f>
        <v/>
      </c>
      <c r="D739" s="23" t="inlineStr">
        <is>
          <t>ADAPTADOR MM 1/4" BSP X 7/8" JIC</t>
        </is>
      </c>
      <c r="E739" s="23" t="n"/>
      <c r="F739" s="23" t="inlineStr">
        <is>
          <t>SOHIPREN</t>
        </is>
      </c>
      <c r="G739" s="23" t="n"/>
      <c r="H739" s="23" t="inlineStr">
        <is>
          <t>draft</t>
        </is>
      </c>
      <c r="I739" s="23" t="inlineStr">
        <is>
          <t>MAMUTH</t>
        </is>
      </c>
      <c r="J739" s="23" t="n"/>
      <c r="K739" s="23" t="n"/>
      <c r="L739" s="23" t="inlineStr">
        <is>
          <t>M021BSP-04-08</t>
        </is>
      </c>
      <c r="M739" s="31" t="n"/>
      <c r="N739" s="31" t="n"/>
      <c r="O739" s="31" t="n"/>
      <c r="P739" s="31" t="n"/>
      <c r="Q739" s="31" t="n"/>
      <c r="R739" s="34">
        <f>IFERROR(IF(AND(O739&gt;0,P739&gt;0,Q739&gt;0),(O739*P739*Q739)/6000,""),"")</f>
        <v/>
      </c>
      <c r="S739" s="34">
        <f>IFERROR(IF(AND(N739&gt;0,R739&gt;0),MAX(N739,R739),IF(N739&gt;0,N739,IF(R739&gt;0,R739,""))),"")</f>
        <v/>
      </c>
      <c r="T739" s="36" t="n"/>
      <c r="U739" s="38" t="inlineStr">
        <is>
          <t>FALTA</t>
        </is>
      </c>
      <c r="V739" s="36" t="n">
        <v>335.5</v>
      </c>
      <c r="W739" s="39" t="n">
        <v>0.3</v>
      </c>
      <c r="X739" s="41">
        <f>IFERROR(V739+T739,"")</f>
        <v/>
      </c>
      <c r="Y739" s="41">
        <f>IFERROR(IF(W739&lt;1,X739/(1-W739),""),"")</f>
        <v/>
      </c>
      <c r="Z739" s="43">
        <f>'01_CONFIG_GLOBAL'!$C$14</f>
        <v/>
      </c>
      <c r="AA739" s="41">
        <f>IFERROR(Y739*Z739,"")</f>
        <v/>
      </c>
      <c r="AB739" s="41">
        <f>IFERROR(IF(Z739&lt;1,Y739/(1-Z739),""),"")</f>
        <v/>
      </c>
      <c r="AC739" s="23" t="n"/>
      <c r="AD739" s="36" t="n"/>
      <c r="AE739" s="23" t="n"/>
      <c r="AF739" s="36" t="n"/>
      <c r="AG739" s="23" t="n"/>
      <c r="AH739" s="36" t="n"/>
      <c r="AI739" s="41">
        <f>IFERROR(AVERAGE(AD739,AF739,AH739),"")</f>
        <v/>
      </c>
      <c r="AJ739" s="29">
        <f>IFERROR(IF(AI739="","sem dados",IF(AB739&lt;AI739*0.95,"abaixo",IF(AB739&gt;AI739*1.05,"acima","em linha"))),"")</f>
        <v/>
      </c>
      <c r="AK739" s="23" t="inlineStr">
        <is>
          <t>não</t>
        </is>
      </c>
      <c r="AL739" s="23" t="n"/>
      <c r="AM739" s="23" t="n"/>
      <c r="AN739" s="23" t="n"/>
      <c r="AO739" s="44">
        <f>A739</f>
        <v/>
      </c>
      <c r="AP739" s="44">
        <f>D739</f>
        <v/>
      </c>
    </row>
    <row r="740" hidden="1" ht="15.75" customHeight="1" s="93">
      <c r="A740" s="23" t="inlineStr">
        <is>
          <t>0.7005.F001213.0</t>
        </is>
      </c>
      <c r="B740" s="23" t="inlineStr">
        <is>
          <t>F001213</t>
        </is>
      </c>
      <c r="C740" s="29">
        <f>IFERROR(LOWER(SUBSTITUTE(SUBSTITUTE(SUBSTITUTE(SUBSTITUTE(D740," ","-"),"/","-"),".",""),",","")),"")</f>
        <v/>
      </c>
      <c r="D740" s="23" t="inlineStr">
        <is>
          <t>ABRACADEIRA NYLON 4,8 X 250</t>
        </is>
      </c>
      <c r="E740" s="23" t="n"/>
      <c r="F740" s="23" t="inlineStr">
        <is>
          <t>SOHIPREN</t>
        </is>
      </c>
      <c r="G740" s="23" t="n"/>
      <c r="H740" s="23" t="inlineStr">
        <is>
          <t>draft</t>
        </is>
      </c>
      <c r="I740" s="23" t="inlineStr">
        <is>
          <t>MAMUTH</t>
        </is>
      </c>
      <c r="J740" s="23" t="n"/>
      <c r="K740" s="23" t="n"/>
      <c r="L740" s="23" t="inlineStr">
        <is>
          <t>13209202</t>
        </is>
      </c>
      <c r="M740" s="31" t="n"/>
      <c r="N740" s="31" t="n"/>
      <c r="O740" s="31" t="n"/>
      <c r="P740" s="31" t="n"/>
      <c r="Q740" s="31" t="n"/>
      <c r="R740" s="34">
        <f>IFERROR(IF(AND(O740&gt;0,P740&gt;0,Q740&gt;0),(O740*P740*Q740)/6000,""),"")</f>
        <v/>
      </c>
      <c r="S740" s="34">
        <f>IFERROR(IF(AND(N740&gt;0,R740&gt;0),MAX(N740,R740),IF(N740&gt;0,N740,IF(R740&gt;0,R740,""))),"")</f>
        <v/>
      </c>
      <c r="T740" s="36" t="n"/>
      <c r="U740" s="38" t="inlineStr">
        <is>
          <t>FALTA</t>
        </is>
      </c>
      <c r="V740" s="36" t="n">
        <v>285</v>
      </c>
      <c r="W740" s="39" t="n">
        <v>0.3</v>
      </c>
      <c r="X740" s="41">
        <f>IFERROR(V740+T740,"")</f>
        <v/>
      </c>
      <c r="Y740" s="41">
        <f>IFERROR(IF(W740&lt;1,X740/(1-W740),""),"")</f>
        <v/>
      </c>
      <c r="Z740" s="43">
        <f>'01_CONFIG_GLOBAL'!$C$14</f>
        <v/>
      </c>
      <c r="AA740" s="41">
        <f>IFERROR(Y740*Z740,"")</f>
        <v/>
      </c>
      <c r="AB740" s="41">
        <f>IFERROR(IF(Z740&lt;1,Y740/(1-Z740),""),"")</f>
        <v/>
      </c>
      <c r="AC740" s="23" t="n"/>
      <c r="AD740" s="36" t="n"/>
      <c r="AE740" s="23" t="n"/>
      <c r="AF740" s="36" t="n"/>
      <c r="AG740" s="23" t="n"/>
      <c r="AH740" s="36" t="n"/>
      <c r="AI740" s="41">
        <f>IFERROR(AVERAGE(AD740,AF740,AH740),"")</f>
        <v/>
      </c>
      <c r="AJ740" s="29">
        <f>IFERROR(IF(AI740="","sem dados",IF(AB740&lt;AI740*0.95,"abaixo",IF(AB740&gt;AI740*1.05,"acima","em linha"))),"")</f>
        <v/>
      </c>
      <c r="AK740" s="23" t="inlineStr">
        <is>
          <t>não</t>
        </is>
      </c>
      <c r="AL740" s="23" t="n"/>
      <c r="AM740" s="23" t="n"/>
      <c r="AN740" s="23" t="n"/>
      <c r="AO740" s="44">
        <f>A740</f>
        <v/>
      </c>
      <c r="AP740" s="44">
        <f>D740</f>
        <v/>
      </c>
    </row>
    <row r="741" hidden="1" ht="15.75" customHeight="1" s="93">
      <c r="A741" s="23" t="inlineStr">
        <is>
          <t>0.2206.F001340.0</t>
        </is>
      </c>
      <c r="B741" s="23" t="inlineStr">
        <is>
          <t>F001340</t>
        </is>
      </c>
      <c r="C741" s="29">
        <f>IFERROR(LOWER(SUBSTITUTE(SUBSTITUTE(SUBSTITUTE(SUBSTITUTE(D741," ","-"),"/","-"),".",""),",","")),"")</f>
        <v/>
      </c>
      <c r="D741" s="23" t="inlineStr">
        <is>
          <t>FG JIC 2.1/2 X 2 (SO PINO)</t>
        </is>
      </c>
      <c r="E741" s="23" t="n"/>
      <c r="F741" s="23" t="inlineStr">
        <is>
          <t>SOHIPREN</t>
        </is>
      </c>
      <c r="G741" s="23" t="n"/>
      <c r="H741" s="23" t="inlineStr">
        <is>
          <t>draft</t>
        </is>
      </c>
      <c r="I741" s="23" t="inlineStr">
        <is>
          <t>MAMUTH</t>
        </is>
      </c>
      <c r="J741" s="23" t="n"/>
      <c r="K741" s="23" t="n"/>
      <c r="L741" s="23" t="inlineStr">
        <is>
          <t>M2P100-32-32E</t>
        </is>
      </c>
      <c r="M741" s="31" t="n"/>
      <c r="N741" s="31" t="n"/>
      <c r="O741" s="31" t="n"/>
      <c r="P741" s="31" t="n"/>
      <c r="Q741" s="31" t="n"/>
      <c r="R741" s="34">
        <f>IFERROR(IF(AND(O741&gt;0,P741&gt;0,Q741&gt;0),(O741*P741*Q741)/6000,""),"")</f>
        <v/>
      </c>
      <c r="S741" s="34">
        <f>IFERROR(IF(AND(N741&gt;0,R741&gt;0),MAX(N741,R741),IF(N741&gt;0,N741,IF(R741&gt;0,R741,""))),"")</f>
        <v/>
      </c>
      <c r="T741" s="36" t="n"/>
      <c r="U741" s="38" t="inlineStr">
        <is>
          <t>FALTA</t>
        </is>
      </c>
      <c r="V741" s="36" t="n">
        <v>335.5</v>
      </c>
      <c r="W741" s="39" t="n">
        <v>0.3</v>
      </c>
      <c r="X741" s="41">
        <f>IFERROR(V741+T741,"")</f>
        <v/>
      </c>
      <c r="Y741" s="41">
        <f>IFERROR(IF(W741&lt;1,X741/(1-W741),""),"")</f>
        <v/>
      </c>
      <c r="Z741" s="43">
        <f>'01_CONFIG_GLOBAL'!$C$14</f>
        <v/>
      </c>
      <c r="AA741" s="41">
        <f>IFERROR(Y741*Z741,"")</f>
        <v/>
      </c>
      <c r="AB741" s="41">
        <f>IFERROR(IF(Z741&lt;1,Y741/(1-Z741),""),"")</f>
        <v/>
      </c>
      <c r="AC741" s="23" t="n"/>
      <c r="AD741" s="36" t="n"/>
      <c r="AE741" s="23" t="n"/>
      <c r="AF741" s="36" t="n"/>
      <c r="AG741" s="23" t="n"/>
      <c r="AH741" s="36" t="n"/>
      <c r="AI741" s="41">
        <f>IFERROR(AVERAGE(AD741,AF741,AH741),"")</f>
        <v/>
      </c>
      <c r="AJ741" s="29">
        <f>IFERROR(IF(AI741="","sem dados",IF(AB741&lt;AI741*0.95,"abaixo",IF(AB741&gt;AI741*1.05,"acima","em linha"))),"")</f>
        <v/>
      </c>
      <c r="AK741" s="23" t="inlineStr">
        <is>
          <t>não</t>
        </is>
      </c>
      <c r="AL741" s="23" t="n"/>
      <c r="AM741" s="23" t="n"/>
      <c r="AN741" s="23" t="n"/>
      <c r="AO741" s="44">
        <f>A741</f>
        <v/>
      </c>
      <c r="AP741" s="44">
        <f>D741</f>
        <v/>
      </c>
    </row>
    <row r="742" hidden="1" ht="15.75" customHeight="1" s="93">
      <c r="A742" s="23" t="inlineStr">
        <is>
          <t>0.2206.F001292.0</t>
        </is>
      </c>
      <c r="B742" s="23" t="inlineStr">
        <is>
          <t>F001292</t>
        </is>
      </c>
      <c r="C742" s="29">
        <f>IFERROR(LOWER(SUBSTITUTE(SUBSTITUTE(SUBSTITUTE(SUBSTITUTE(D742," ","-"),"/","-"),".",""),",","")),"")</f>
        <v/>
      </c>
      <c r="D742" s="23" t="inlineStr">
        <is>
          <t>BUCHA RED GALV CL 10 MF 1"1/2 X FF 1"</t>
        </is>
      </c>
      <c r="E742" s="23" t="n"/>
      <c r="F742" s="23" t="inlineStr">
        <is>
          <t>SOHIPREN</t>
        </is>
      </c>
      <c r="G742" s="23" t="n"/>
      <c r="H742" s="23" t="inlineStr">
        <is>
          <t>draft</t>
        </is>
      </c>
      <c r="I742" s="23" t="inlineStr">
        <is>
          <t>MAMUTH</t>
        </is>
      </c>
      <c r="J742" s="23" t="n"/>
      <c r="K742" s="23" t="n"/>
      <c r="L742" s="23" t="inlineStr">
        <is>
          <t>TUPY-241-24-16</t>
        </is>
      </c>
      <c r="M742" s="31" t="n"/>
      <c r="N742" s="31" t="n"/>
      <c r="O742" s="31" t="n"/>
      <c r="P742" s="31" t="n"/>
      <c r="Q742" s="31" t="n"/>
      <c r="R742" s="34">
        <f>IFERROR(IF(AND(O742&gt;0,P742&gt;0,Q742&gt;0),(O742*P742*Q742)/6000,""),"")</f>
        <v/>
      </c>
      <c r="S742" s="34">
        <f>IFERROR(IF(AND(N742&gt;0,R742&gt;0),MAX(N742,R742),IF(N742&gt;0,N742,IF(R742&gt;0,R742,""))),"")</f>
        <v/>
      </c>
      <c r="T742" s="36" t="n"/>
      <c r="U742" s="38" t="inlineStr">
        <is>
          <t>FALTA</t>
        </is>
      </c>
      <c r="V742" s="36" t="n">
        <v>335.5</v>
      </c>
      <c r="W742" s="39" t="n">
        <v>0.3</v>
      </c>
      <c r="X742" s="41">
        <f>IFERROR(V742+T742,"")</f>
        <v/>
      </c>
      <c r="Y742" s="41">
        <f>IFERROR(IF(W742&lt;1,X742/(1-W742),""),"")</f>
        <v/>
      </c>
      <c r="Z742" s="43">
        <f>'01_CONFIG_GLOBAL'!$C$14</f>
        <v/>
      </c>
      <c r="AA742" s="41">
        <f>IFERROR(Y742*Z742,"")</f>
        <v/>
      </c>
      <c r="AB742" s="41">
        <f>IFERROR(IF(Z742&lt;1,Y742/(1-Z742),""),"")</f>
        <v/>
      </c>
      <c r="AC742" s="23" t="n"/>
      <c r="AD742" s="36" t="n"/>
      <c r="AE742" s="23" t="n"/>
      <c r="AF742" s="36" t="n"/>
      <c r="AG742" s="23" t="n"/>
      <c r="AH742" s="36" t="n"/>
      <c r="AI742" s="41">
        <f>IFERROR(AVERAGE(AD742,AF742,AH742),"")</f>
        <v/>
      </c>
      <c r="AJ742" s="29">
        <f>IFERROR(IF(AI742="","sem dados",IF(AB742&lt;AI742*0.95,"abaixo",IF(AB742&gt;AI742*1.05,"acima","em linha"))),"")</f>
        <v/>
      </c>
      <c r="AK742" s="23" t="inlineStr">
        <is>
          <t>não</t>
        </is>
      </c>
      <c r="AL742" s="23" t="n"/>
      <c r="AM742" s="23" t="n"/>
      <c r="AN742" s="23" t="n"/>
      <c r="AO742" s="44">
        <f>A742</f>
        <v/>
      </c>
      <c r="AP742" s="44">
        <f>D742</f>
        <v/>
      </c>
    </row>
    <row r="743" hidden="1" ht="15.75" customHeight="1" s="93">
      <c r="A743" s="23" t="inlineStr">
        <is>
          <t>0.2206.F001293.0</t>
        </is>
      </c>
      <c r="B743" s="23" t="inlineStr">
        <is>
          <t>F001293</t>
        </is>
      </c>
      <c r="C743" s="29">
        <f>IFERROR(LOWER(SUBSTITUTE(SUBSTITUTE(SUBSTITUTE(SUBSTITUTE(D743," ","-"),"/","-"),".",""),",","")),"")</f>
        <v/>
      </c>
      <c r="D743" s="23" t="inlineStr">
        <is>
          <t>ADAPTADOR MM 1" NPT X 1.1/16" JIC</t>
        </is>
      </c>
      <c r="E743" s="23" t="n"/>
      <c r="F743" s="23" t="inlineStr">
        <is>
          <t>SOHIPREN</t>
        </is>
      </c>
      <c r="G743" s="23" t="n"/>
      <c r="H743" s="23" t="inlineStr">
        <is>
          <t>draft</t>
        </is>
      </c>
      <c r="I743" s="23" t="inlineStr">
        <is>
          <t>MAMUTH</t>
        </is>
      </c>
      <c r="J743" s="23" t="n"/>
      <c r="K743" s="23" t="n"/>
      <c r="L743" s="23" t="inlineStr">
        <is>
          <t>M021-16-12E</t>
        </is>
      </c>
      <c r="M743" s="31" t="n"/>
      <c r="N743" s="31" t="n"/>
      <c r="O743" s="31" t="n"/>
      <c r="P743" s="31" t="n"/>
      <c r="Q743" s="31" t="n"/>
      <c r="R743" s="34">
        <f>IFERROR(IF(AND(O743&gt;0,P743&gt;0,Q743&gt;0),(O743*P743*Q743)/6000,""),"")</f>
        <v/>
      </c>
      <c r="S743" s="34">
        <f>IFERROR(IF(AND(N743&gt;0,R743&gt;0),MAX(N743,R743),IF(N743&gt;0,N743,IF(R743&gt;0,R743,""))),"")</f>
        <v/>
      </c>
      <c r="T743" s="36" t="n"/>
      <c r="U743" s="38" t="inlineStr">
        <is>
          <t>FALTA</t>
        </is>
      </c>
      <c r="V743" s="36" t="n">
        <v>335.5</v>
      </c>
      <c r="W743" s="39" t="n">
        <v>0.3</v>
      </c>
      <c r="X743" s="41">
        <f>IFERROR(V743+T743,"")</f>
        <v/>
      </c>
      <c r="Y743" s="41">
        <f>IFERROR(IF(W743&lt;1,X743/(1-W743),""),"")</f>
        <v/>
      </c>
      <c r="Z743" s="43">
        <f>'01_CONFIG_GLOBAL'!$C$14</f>
        <v/>
      </c>
      <c r="AA743" s="41">
        <f>IFERROR(Y743*Z743,"")</f>
        <v/>
      </c>
      <c r="AB743" s="41">
        <f>IFERROR(IF(Z743&lt;1,Y743/(1-Z743),""),"")</f>
        <v/>
      </c>
      <c r="AC743" s="23" t="n"/>
      <c r="AD743" s="36" t="n"/>
      <c r="AE743" s="23" t="n"/>
      <c r="AF743" s="36" t="n"/>
      <c r="AG743" s="23" t="n"/>
      <c r="AH743" s="36" t="n"/>
      <c r="AI743" s="41">
        <f>IFERROR(AVERAGE(AD743,AF743,AH743),"")</f>
        <v/>
      </c>
      <c r="AJ743" s="29">
        <f>IFERROR(IF(AI743="","sem dados",IF(AB743&lt;AI743*0.95,"abaixo",IF(AB743&gt;AI743*1.05,"acima","em linha"))),"")</f>
        <v/>
      </c>
      <c r="AK743" s="23" t="inlineStr">
        <is>
          <t>não</t>
        </is>
      </c>
      <c r="AL743" s="23" t="n"/>
      <c r="AM743" s="23" t="n"/>
      <c r="AN743" s="23" t="n"/>
      <c r="AO743" s="44">
        <f>A743</f>
        <v/>
      </c>
      <c r="AP743" s="44">
        <f>D743</f>
        <v/>
      </c>
    </row>
    <row r="744" hidden="1" ht="15.75" customHeight="1" s="93">
      <c r="A744" s="23" t="inlineStr">
        <is>
          <t>0.0162.F001478.0</t>
        </is>
      </c>
      <c r="B744" s="23" t="inlineStr">
        <is>
          <t>F001478</t>
        </is>
      </c>
      <c r="C744" s="29">
        <f>IFERROR(LOWER(SUBSTITUTE(SUBSTITUTE(SUBSTITUTE(SUBSTITUTE(D744," ","-"),"/","-"),".",""),",","")),"")</f>
        <v/>
      </c>
      <c r="D744" s="23" t="inlineStr">
        <is>
          <t>MANG. MONT. M4SH-160.2000-M2P100-20-16E1.0000-M2P101-12-16E</t>
        </is>
      </c>
      <c r="E744" s="23" t="n"/>
      <c r="F744" s="23" t="inlineStr">
        <is>
          <t>SOHIPREN</t>
        </is>
      </c>
      <c r="G744" s="23" t="n"/>
      <c r="H744" s="23" t="inlineStr">
        <is>
          <t>draft</t>
        </is>
      </c>
      <c r="I744" s="23" t="inlineStr">
        <is>
          <t>MAMUTH</t>
        </is>
      </c>
      <c r="J744" s="23" t="n"/>
      <c r="K744" s="23" t="n"/>
      <c r="L744" s="23" t="inlineStr">
        <is>
          <t>PVOV225357.0002</t>
        </is>
      </c>
      <c r="M744" s="31" t="n"/>
      <c r="N744" s="31" t="n"/>
      <c r="O744" s="31" t="n"/>
      <c r="P744" s="31" t="n"/>
      <c r="Q744" s="31" t="n"/>
      <c r="R744" s="34">
        <f>IFERROR(IF(AND(O744&gt;0,P744&gt;0,Q744&gt;0),(O744*P744*Q744)/6000,""),"")</f>
        <v/>
      </c>
      <c r="S744" s="34">
        <f>IFERROR(IF(AND(N744&gt;0,R744&gt;0),MAX(N744,R744),IF(N744&gt;0,N744,IF(R744&gt;0,R744,""))),"")</f>
        <v/>
      </c>
      <c r="T744" s="36" t="n"/>
      <c r="U744" s="38" t="inlineStr">
        <is>
          <t>FALTA</t>
        </is>
      </c>
      <c r="V744" s="36" t="n">
        <v>59</v>
      </c>
      <c r="W744" s="39" t="n">
        <v>0.3</v>
      </c>
      <c r="X744" s="41">
        <f>IFERROR(V744+T744,"")</f>
        <v/>
      </c>
      <c r="Y744" s="41">
        <f>IFERROR(IF(W744&lt;1,X744/(1-W744),""),"")</f>
        <v/>
      </c>
      <c r="Z744" s="43">
        <f>'01_CONFIG_GLOBAL'!$C$14</f>
        <v/>
      </c>
      <c r="AA744" s="41">
        <f>IFERROR(Y744*Z744,"")</f>
        <v/>
      </c>
      <c r="AB744" s="41">
        <f>IFERROR(IF(Z744&lt;1,Y744/(1-Z744),""),"")</f>
        <v/>
      </c>
      <c r="AC744" s="23" t="n"/>
      <c r="AD744" s="36" t="n"/>
      <c r="AE744" s="23" t="n"/>
      <c r="AF744" s="36" t="n"/>
      <c r="AG744" s="23" t="n"/>
      <c r="AH744" s="36" t="n"/>
      <c r="AI744" s="41">
        <f>IFERROR(AVERAGE(AD744,AF744,AH744),"")</f>
        <v/>
      </c>
      <c r="AJ744" s="29">
        <f>IFERROR(IF(AI744="","sem dados",IF(AB744&lt;AI744*0.95,"abaixo",IF(AB744&gt;AI744*1.05,"acima","em linha"))),"")</f>
        <v/>
      </c>
      <c r="AK744" s="23" t="inlineStr">
        <is>
          <t>não</t>
        </is>
      </c>
      <c r="AL744" s="23" t="n"/>
      <c r="AM744" s="23" t="n"/>
      <c r="AN744" s="23" t="n"/>
      <c r="AO744" s="44">
        <f>A744</f>
        <v/>
      </c>
      <c r="AP744" s="44">
        <f>D744</f>
        <v/>
      </c>
    </row>
    <row r="745" hidden="1" ht="15.75" customHeight="1" s="93">
      <c r="A745" s="23" t="inlineStr">
        <is>
          <t>0.0162.F001479.0</t>
        </is>
      </c>
      <c r="B745" s="23" t="inlineStr">
        <is>
          <t>F001479</t>
        </is>
      </c>
      <c r="C745" s="29">
        <f>IFERROR(LOWER(SUBSTITUTE(SUBSTITUTE(SUBSTITUTE(SUBSTITUTE(D745," ","-"),"/","-"),".",""),",","")),"")</f>
        <v/>
      </c>
      <c r="D745" s="23" t="inlineStr">
        <is>
          <t>MANG. MONT. M4SH-120.2000-M2P100-16-12E1.0000-M2P101-08-12E</t>
        </is>
      </c>
      <c r="E745" s="23" t="n"/>
      <c r="F745" s="23" t="inlineStr">
        <is>
          <t>SOHIPREN</t>
        </is>
      </c>
      <c r="G745" s="23" t="n"/>
      <c r="H745" s="23" t="inlineStr">
        <is>
          <t>draft</t>
        </is>
      </c>
      <c r="I745" s="23" t="inlineStr">
        <is>
          <t>MAMUTH</t>
        </is>
      </c>
      <c r="J745" s="23" t="n"/>
      <c r="K745" s="23" t="n"/>
      <c r="L745" s="23" t="inlineStr">
        <is>
          <t>PVOV225357.0002</t>
        </is>
      </c>
      <c r="M745" s="31" t="n"/>
      <c r="N745" s="31" t="n"/>
      <c r="O745" s="31" t="n"/>
      <c r="P745" s="31" t="n"/>
      <c r="Q745" s="31" t="n"/>
      <c r="R745" s="34">
        <f>IFERROR(IF(AND(O745&gt;0,P745&gt;0,Q745&gt;0),(O745*P745*Q745)/6000,""),"")</f>
        <v/>
      </c>
      <c r="S745" s="34">
        <f>IFERROR(IF(AND(N745&gt;0,R745&gt;0),MAX(N745,R745),IF(N745&gt;0,N745,IF(R745&gt;0,R745,""))),"")</f>
        <v/>
      </c>
      <c r="T745" s="36" t="n"/>
      <c r="U745" s="38" t="inlineStr">
        <is>
          <t>FALTA</t>
        </is>
      </c>
      <c r="V745" s="36" t="n">
        <v>59</v>
      </c>
      <c r="W745" s="39" t="n">
        <v>0.3</v>
      </c>
      <c r="X745" s="41">
        <f>IFERROR(V745+T745,"")</f>
        <v/>
      </c>
      <c r="Y745" s="41">
        <f>IFERROR(IF(W745&lt;1,X745/(1-W745),""),"")</f>
        <v/>
      </c>
      <c r="Z745" s="43">
        <f>'01_CONFIG_GLOBAL'!$C$14</f>
        <v/>
      </c>
      <c r="AA745" s="41">
        <f>IFERROR(Y745*Z745,"")</f>
        <v/>
      </c>
      <c r="AB745" s="41">
        <f>IFERROR(IF(Z745&lt;1,Y745/(1-Z745),""),"")</f>
        <v/>
      </c>
      <c r="AC745" s="23" t="n"/>
      <c r="AD745" s="36" t="n"/>
      <c r="AE745" s="23" t="n"/>
      <c r="AF745" s="36" t="n"/>
      <c r="AG745" s="23" t="n"/>
      <c r="AH745" s="36" t="n"/>
      <c r="AI745" s="41">
        <f>IFERROR(AVERAGE(AD745,AF745,AH745),"")</f>
        <v/>
      </c>
      <c r="AJ745" s="29">
        <f>IFERROR(IF(AI745="","sem dados",IF(AB745&lt;AI745*0.95,"abaixo",IF(AB745&gt;AI745*1.05,"acima","em linha"))),"")</f>
        <v/>
      </c>
      <c r="AK745" s="23" t="inlineStr">
        <is>
          <t>não</t>
        </is>
      </c>
      <c r="AL745" s="23" t="n"/>
      <c r="AM745" s="23" t="n"/>
      <c r="AN745" s="23" t="n"/>
      <c r="AO745" s="44">
        <f>A745</f>
        <v/>
      </c>
      <c r="AP745" s="44">
        <f>D745</f>
        <v/>
      </c>
    </row>
    <row r="746" hidden="1" ht="15.75" customHeight="1" s="93">
      <c r="A746" s="23" t="inlineStr">
        <is>
          <t>0.0162.F001477.0</t>
        </is>
      </c>
      <c r="B746" s="23" t="inlineStr">
        <is>
          <t>F001477</t>
        </is>
      </c>
      <c r="C746" s="29">
        <f>IFERROR(LOWER(SUBSTITUTE(SUBSTITUTE(SUBSTITUTE(SUBSTITUTE(D746," ","-"),"/","-"),".",""),",","")),"")</f>
        <v/>
      </c>
      <c r="D746" s="23" t="inlineStr">
        <is>
          <t>MANG. MONT. M4SH-160.2000-M2P100-16-16E1.0000-M2P101-12-16E</t>
        </is>
      </c>
      <c r="E746" s="23" t="n"/>
      <c r="F746" s="23" t="inlineStr">
        <is>
          <t>SOHIPREN</t>
        </is>
      </c>
      <c r="G746" s="23" t="n"/>
      <c r="H746" s="23" t="inlineStr">
        <is>
          <t>draft</t>
        </is>
      </c>
      <c r="I746" s="23" t="inlineStr">
        <is>
          <t>MAMUTH</t>
        </is>
      </c>
      <c r="J746" s="23" t="n"/>
      <c r="K746" s="23" t="n"/>
      <c r="L746" s="23" t="inlineStr">
        <is>
          <t>PVOV225357.0002</t>
        </is>
      </c>
      <c r="M746" s="31" t="n"/>
      <c r="N746" s="31" t="n"/>
      <c r="O746" s="31" t="n"/>
      <c r="P746" s="31" t="n"/>
      <c r="Q746" s="31" t="n"/>
      <c r="R746" s="34">
        <f>IFERROR(IF(AND(O746&gt;0,P746&gt;0,Q746&gt;0),(O746*P746*Q746)/6000,""),"")</f>
        <v/>
      </c>
      <c r="S746" s="34">
        <f>IFERROR(IF(AND(N746&gt;0,R746&gt;0),MAX(N746,R746),IF(N746&gt;0,N746,IF(R746&gt;0,R746,""))),"")</f>
        <v/>
      </c>
      <c r="T746" s="36" t="n"/>
      <c r="U746" s="38" t="inlineStr">
        <is>
          <t>FALTA</t>
        </is>
      </c>
      <c r="V746" s="36" t="n">
        <v>59</v>
      </c>
      <c r="W746" s="39" t="n">
        <v>0.3</v>
      </c>
      <c r="X746" s="41">
        <f>IFERROR(V746+T746,"")</f>
        <v/>
      </c>
      <c r="Y746" s="41">
        <f>IFERROR(IF(W746&lt;1,X746/(1-W746),""),"")</f>
        <v/>
      </c>
      <c r="Z746" s="43">
        <f>'01_CONFIG_GLOBAL'!$C$14</f>
        <v/>
      </c>
      <c r="AA746" s="41">
        <f>IFERROR(Y746*Z746,"")</f>
        <v/>
      </c>
      <c r="AB746" s="41">
        <f>IFERROR(IF(Z746&lt;1,Y746/(1-Z746),""),"")</f>
        <v/>
      </c>
      <c r="AC746" s="23" t="n"/>
      <c r="AD746" s="36" t="n"/>
      <c r="AE746" s="23" t="n"/>
      <c r="AF746" s="36" t="n"/>
      <c r="AG746" s="23" t="n"/>
      <c r="AH746" s="36" t="n"/>
      <c r="AI746" s="41">
        <f>IFERROR(AVERAGE(AD746,AF746,AH746),"")</f>
        <v/>
      </c>
      <c r="AJ746" s="29">
        <f>IFERROR(IF(AI746="","sem dados",IF(AB746&lt;AI746*0.95,"abaixo",IF(AB746&gt;AI746*1.05,"acima","em linha"))),"")</f>
        <v/>
      </c>
      <c r="AK746" s="23" t="inlineStr">
        <is>
          <t>não</t>
        </is>
      </c>
      <c r="AL746" s="23" t="n"/>
      <c r="AM746" s="23" t="n"/>
      <c r="AN746" s="23" t="n"/>
      <c r="AO746" s="44">
        <f>A746</f>
        <v/>
      </c>
      <c r="AP746" s="44">
        <f>D746</f>
        <v/>
      </c>
    </row>
    <row r="747" hidden="1" ht="15.75" customHeight="1" s="93">
      <c r="A747" s="23" t="inlineStr">
        <is>
          <t>0.0162.F001485.0</t>
        </is>
      </c>
      <c r="B747" s="23" t="inlineStr">
        <is>
          <t>F001485</t>
        </is>
      </c>
      <c r="C747" s="29">
        <f>IFERROR(LOWER(SUBSTITUTE(SUBSTITUTE(SUBSTITUTE(SUBSTITUTE(D747," ","-"),"/","-"),".",""),",","")),"")</f>
        <v/>
      </c>
      <c r="D747" s="23" t="inlineStr">
        <is>
          <t>MR2ATS-081.5000-M2P100-10-082.0000-M2P-CA-082</t>
        </is>
      </c>
      <c r="E747" s="23" t="n"/>
      <c r="F747" s="23" t="inlineStr">
        <is>
          <t>SOHIPREN</t>
        </is>
      </c>
      <c r="G747" s="23" t="n"/>
      <c r="H747" s="23" t="inlineStr">
        <is>
          <t>draft</t>
        </is>
      </c>
      <c r="I747" s="23" t="inlineStr">
        <is>
          <t>MAMUTH</t>
        </is>
      </c>
      <c r="J747" s="23" t="n"/>
      <c r="K747" s="23" t="n"/>
      <c r="L747" s="23" t="inlineStr">
        <is>
          <t>PVOV225357.0002</t>
        </is>
      </c>
      <c r="M747" s="31" t="n"/>
      <c r="N747" s="31" t="n"/>
      <c r="O747" s="31" t="n"/>
      <c r="P747" s="31" t="n"/>
      <c r="Q747" s="31" t="n"/>
      <c r="R747" s="34">
        <f>IFERROR(IF(AND(O747&gt;0,P747&gt;0,Q747&gt;0),(O747*P747*Q747)/6000,""),"")</f>
        <v/>
      </c>
      <c r="S747" s="34">
        <f>IFERROR(IF(AND(N747&gt;0,R747&gt;0),MAX(N747,R747),IF(N747&gt;0,N747,IF(R747&gt;0,R747,""))),"")</f>
        <v/>
      </c>
      <c r="T747" s="36" t="n"/>
      <c r="U747" s="38" t="inlineStr">
        <is>
          <t>FALTA</t>
        </is>
      </c>
      <c r="V747" s="36" t="n">
        <v>59</v>
      </c>
      <c r="W747" s="39" t="n">
        <v>0.3</v>
      </c>
      <c r="X747" s="41">
        <f>IFERROR(V747+T747,"")</f>
        <v/>
      </c>
      <c r="Y747" s="41">
        <f>IFERROR(IF(W747&lt;1,X747/(1-W747),""),"")</f>
        <v/>
      </c>
      <c r="Z747" s="43">
        <f>'01_CONFIG_GLOBAL'!$C$14</f>
        <v/>
      </c>
      <c r="AA747" s="41">
        <f>IFERROR(Y747*Z747,"")</f>
        <v/>
      </c>
      <c r="AB747" s="41">
        <f>IFERROR(IF(Z747&lt;1,Y747/(1-Z747),""),"")</f>
        <v/>
      </c>
      <c r="AC747" s="23" t="n"/>
      <c r="AD747" s="36" t="n"/>
      <c r="AE747" s="23" t="n"/>
      <c r="AF747" s="36" t="n"/>
      <c r="AG747" s="23" t="n"/>
      <c r="AH747" s="36" t="n"/>
      <c r="AI747" s="41">
        <f>IFERROR(AVERAGE(AD747,AF747,AH747),"")</f>
        <v/>
      </c>
      <c r="AJ747" s="29">
        <f>IFERROR(IF(AI747="","sem dados",IF(AB747&lt;AI747*0.95,"abaixo",IF(AB747&gt;AI747*1.05,"acima","em linha"))),"")</f>
        <v/>
      </c>
      <c r="AK747" s="23" t="inlineStr">
        <is>
          <t>não</t>
        </is>
      </c>
      <c r="AL747" s="23" t="n"/>
      <c r="AM747" s="23" t="n"/>
      <c r="AN747" s="23" t="n"/>
      <c r="AO747" s="44">
        <f>A747</f>
        <v/>
      </c>
      <c r="AP747" s="44">
        <f>D747</f>
        <v/>
      </c>
    </row>
    <row r="748" hidden="1" ht="15.75" customHeight="1" s="93">
      <c r="A748" s="23" t="inlineStr">
        <is>
          <t>5.0207.L026775.0</t>
        </is>
      </c>
      <c r="B748" s="23" t="inlineStr">
        <is>
          <t>L026775</t>
        </is>
      </c>
      <c r="C748" s="29">
        <f>IFERROR(LOWER(SUBSTITUTE(SUBSTITUTE(SUBSTITUTE(SUBSTITUTE(D748," ","-"),"/","-"),".",""),",","")),"")</f>
        <v/>
      </c>
      <c r="D748" s="23" t="inlineStr">
        <is>
          <t>BOD 14 C11.P1.G.L</t>
        </is>
      </c>
      <c r="E748" s="23" t="inlineStr">
        <is>
          <t>Bombas Hidráulicas</t>
        </is>
      </c>
      <c r="F748" s="23" t="inlineStr">
        <is>
          <t>SOHIPREN</t>
        </is>
      </c>
      <c r="G748" s="23" t="n"/>
      <c r="H748" s="23" t="inlineStr">
        <is>
          <t>draft</t>
        </is>
      </c>
      <c r="I748" s="23" t="inlineStr">
        <is>
          <t>MANCINI</t>
        </is>
      </c>
      <c r="J748" s="23" t="inlineStr">
        <is>
          <t>CARREGADOR FRONTAL</t>
        </is>
      </c>
      <c r="K748" s="23" t="inlineStr">
        <is>
          <t>PRINCIPAL</t>
        </is>
      </c>
      <c r="L748" s="23" t="n"/>
      <c r="M748" s="31" t="n"/>
      <c r="N748" s="31" t="n"/>
      <c r="O748" s="31" t="n"/>
      <c r="P748" s="31" t="n"/>
      <c r="Q748" s="31" t="n"/>
      <c r="R748" s="34">
        <f>IFERROR(IF(AND(O748&gt;0,P748&gt;0,Q748&gt;0),(O748*P748*Q748)/6000,""),"")</f>
        <v/>
      </c>
      <c r="S748" s="34">
        <f>IFERROR(IF(AND(N748&gt;0,R748&gt;0),MAX(N748,R748),IF(N748&gt;0,N748,IF(R748&gt;0,R748,""))),"")</f>
        <v/>
      </c>
      <c r="T748" s="36" t="n"/>
      <c r="U748" s="38" t="inlineStr">
        <is>
          <t>FALTA</t>
        </is>
      </c>
      <c r="V748" s="36" t="n">
        <v>517</v>
      </c>
      <c r="W748" s="39" t="n">
        <v>0.3</v>
      </c>
      <c r="X748" s="41">
        <f>IFERROR(V748+T748,"")</f>
        <v/>
      </c>
      <c r="Y748" s="41">
        <f>IFERROR(IF(W748&lt;1,X748/(1-W748),""),"")</f>
        <v/>
      </c>
      <c r="Z748" s="43">
        <f>'01_CONFIG_GLOBAL'!$C$14</f>
        <v/>
      </c>
      <c r="AA748" s="41">
        <f>IFERROR(Y748*Z748,"")</f>
        <v/>
      </c>
      <c r="AB748" s="41">
        <f>IFERROR(IF(Z748&lt;1,Y748/(1-Z748),""),"")</f>
        <v/>
      </c>
      <c r="AC748" s="23" t="n"/>
      <c r="AD748" s="36" t="n"/>
      <c r="AE748" s="23" t="n"/>
      <c r="AF748" s="36" t="n"/>
      <c r="AG748" s="23" t="n"/>
      <c r="AH748" s="36" t="n"/>
      <c r="AI748" s="41">
        <f>IFERROR(AVERAGE(AD748,AF748,AH748),"")</f>
        <v/>
      </c>
      <c r="AJ748" s="29">
        <f>IFERROR(IF(AI748="","sem dados",IF(AB748&lt;AI748*0.95,"abaixo",IF(AB748&gt;AI748*1.05,"acima","em linha"))),"")</f>
        <v/>
      </c>
      <c r="AK748" s="23" t="inlineStr">
        <is>
          <t>não</t>
        </is>
      </c>
      <c r="AL748" s="23" t="n"/>
      <c r="AM748" s="23" t="n"/>
      <c r="AN748" s="23" t="n"/>
      <c r="AO748" s="44">
        <f>A748</f>
        <v/>
      </c>
      <c r="AP748" s="44">
        <f>D748</f>
        <v/>
      </c>
    </row>
    <row r="749" hidden="1" ht="15.75" customHeight="1" s="93">
      <c r="A749" s="23" t="inlineStr">
        <is>
          <t>5.0506.0505048.0</t>
        </is>
      </c>
      <c r="B749" s="23" t="inlineStr">
        <is>
          <t>505048</t>
        </is>
      </c>
      <c r="C749" s="29">
        <f>IFERROR(LOWER(SUBSTITUTE(SUBSTITUTE(SUBSTITUTE(SUBSTITUTE(D749," ","-"),"/","-"),".",""),",","")),"")</f>
        <v/>
      </c>
      <c r="D749" s="23" t="inlineStr">
        <is>
          <t>MC1 60 201.2.21.95.61</t>
        </is>
      </c>
      <c r="E749" s="23" t="n"/>
      <c r="F749" s="23" t="inlineStr">
        <is>
          <t>SOHIPREN</t>
        </is>
      </c>
      <c r="G749" s="23" t="n"/>
      <c r="H749" s="23" t="inlineStr">
        <is>
          <t>draft</t>
        </is>
      </c>
      <c r="I749" s="23" t="inlineStr">
        <is>
          <t>MANCINI</t>
        </is>
      </c>
      <c r="J749" s="23" t="inlineStr">
        <is>
          <t>CARREGADOR FRONTAL</t>
        </is>
      </c>
      <c r="K749" s="23" t="inlineStr">
        <is>
          <t>PRINCIPAL</t>
        </is>
      </c>
      <c r="L749" s="23" t="n"/>
      <c r="M749" s="31" t="n"/>
      <c r="N749" s="31" t="n"/>
      <c r="O749" s="31" t="n"/>
      <c r="P749" s="31" t="n"/>
      <c r="Q749" s="31" t="n"/>
      <c r="R749" s="34">
        <f>IFERROR(IF(AND(O749&gt;0,P749&gt;0,Q749&gt;0),(O749*P749*Q749)/6000,""),"")</f>
        <v/>
      </c>
      <c r="S749" s="34">
        <f>IFERROR(IF(AND(N749&gt;0,R749&gt;0),MAX(N749,R749),IF(N749&gt;0,N749,IF(R749&gt;0,R749,""))),"")</f>
        <v/>
      </c>
      <c r="T749" s="36" t="n"/>
      <c r="U749" s="38" t="inlineStr">
        <is>
          <t>FALTA</t>
        </is>
      </c>
      <c r="V749" s="36" t="n">
        <v>1045</v>
      </c>
      <c r="W749" s="39" t="n">
        <v>0.3</v>
      </c>
      <c r="X749" s="41">
        <f>IFERROR(V749+T749,"")</f>
        <v/>
      </c>
      <c r="Y749" s="41">
        <f>IFERROR(IF(W749&lt;1,X749/(1-W749),""),"")</f>
        <v/>
      </c>
      <c r="Z749" s="43">
        <f>'01_CONFIG_GLOBAL'!$C$14</f>
        <v/>
      </c>
      <c r="AA749" s="41">
        <f>IFERROR(Y749*Z749,"")</f>
        <v/>
      </c>
      <c r="AB749" s="41">
        <f>IFERROR(IF(Z749&lt;1,Y749/(1-Z749),""),"")</f>
        <v/>
      </c>
      <c r="AC749" s="23" t="n"/>
      <c r="AD749" s="36" t="n"/>
      <c r="AE749" s="23" t="n"/>
      <c r="AF749" s="36" t="n"/>
      <c r="AG749" s="23" t="n"/>
      <c r="AH749" s="36" t="n"/>
      <c r="AI749" s="41">
        <f>IFERROR(AVERAGE(AD749,AF749,AH749),"")</f>
        <v/>
      </c>
      <c r="AJ749" s="29">
        <f>IFERROR(IF(AI749="","sem dados",IF(AB749&lt;AI749*0.95,"abaixo",IF(AB749&gt;AI749*1.05,"acima","em linha"))),"")</f>
        <v/>
      </c>
      <c r="AK749" s="23" t="inlineStr">
        <is>
          <t>não</t>
        </is>
      </c>
      <c r="AL749" s="23" t="n"/>
      <c r="AM749" s="23" t="n"/>
      <c r="AN749" s="23" t="n"/>
      <c r="AO749" s="44">
        <f>A749</f>
        <v/>
      </c>
      <c r="AP749" s="44">
        <f>D749</f>
        <v/>
      </c>
    </row>
    <row r="750" hidden="1" ht="15.75" customHeight="1" s="93">
      <c r="A750" s="23" t="inlineStr">
        <is>
          <t>5.0207.0544057.0</t>
        </is>
      </c>
      <c r="B750" s="23" t="inlineStr">
        <is>
          <t>544057</t>
        </is>
      </c>
      <c r="C750" s="29">
        <f>IFERROR(LOWER(SUBSTITUTE(SUBSTITUTE(SUBSTITUTE(SUBSTITUTE(D750," ","-"),"/","-"),".",""),",","")),"")</f>
        <v/>
      </c>
      <c r="D750" s="23" t="inlineStr">
        <is>
          <t>BOMBA HIDRÁULICA - APLICAÇÃO 14 C11.P1.A.L</t>
        </is>
      </c>
      <c r="E750" s="23" t="inlineStr">
        <is>
          <t>Bombas Hidráulicas</t>
        </is>
      </c>
      <c r="F750" s="23" t="inlineStr">
        <is>
          <t>SOHIPREN</t>
        </is>
      </c>
      <c r="G750" s="23" t="n"/>
      <c r="H750" s="23" t="inlineStr">
        <is>
          <t>draft</t>
        </is>
      </c>
      <c r="I750" s="23" t="inlineStr">
        <is>
          <t>MANCINI</t>
        </is>
      </c>
      <c r="J750" s="23" t="inlineStr">
        <is>
          <t>CARREGADOR FRONTAL</t>
        </is>
      </c>
      <c r="K750" s="23" t="inlineStr">
        <is>
          <t>PRINCIPAL</t>
        </is>
      </c>
      <c r="L750" s="23" t="n"/>
      <c r="M750" s="31" t="n"/>
      <c r="N750" s="31" t="n"/>
      <c r="O750" s="31" t="n"/>
      <c r="P750" s="31" t="n"/>
      <c r="Q750" s="31" t="n"/>
      <c r="R750" s="34">
        <f>IFERROR(IF(AND(O750&gt;0,P750&gt;0,Q750&gt;0),(O750*P750*Q750)/6000,""),"")</f>
        <v/>
      </c>
      <c r="S750" s="34">
        <f>IFERROR(IF(AND(N750&gt;0,R750&gt;0),MAX(N750,R750),IF(N750&gt;0,N750,IF(R750&gt;0,R750,""))),"")</f>
        <v/>
      </c>
      <c r="T750" s="36" t="n"/>
      <c r="U750" s="38" t="inlineStr">
        <is>
          <t>FALTA</t>
        </is>
      </c>
      <c r="V750" s="36" t="n">
        <v>419.4</v>
      </c>
      <c r="W750" s="39" t="n">
        <v>0.3</v>
      </c>
      <c r="X750" s="41">
        <f>IFERROR(V750+T750,"")</f>
        <v/>
      </c>
      <c r="Y750" s="41">
        <f>IFERROR(IF(W750&lt;1,X750/(1-W750),""),"")</f>
        <v/>
      </c>
      <c r="Z750" s="43">
        <f>'01_CONFIG_GLOBAL'!$C$14</f>
        <v/>
      </c>
      <c r="AA750" s="41">
        <f>IFERROR(Y750*Z750,"")</f>
        <v/>
      </c>
      <c r="AB750" s="41">
        <f>IFERROR(IF(Z750&lt;1,Y750/(1-Z750),""),"")</f>
        <v/>
      </c>
      <c r="AC750" s="23" t="n"/>
      <c r="AD750" s="36" t="n"/>
      <c r="AE750" s="23" t="n"/>
      <c r="AF750" s="36" t="n"/>
      <c r="AG750" s="23" t="n"/>
      <c r="AH750" s="36" t="n"/>
      <c r="AI750" s="41">
        <f>IFERROR(AVERAGE(AD750,AF750,AH750),"")</f>
        <v/>
      </c>
      <c r="AJ750" s="29">
        <f>IFERROR(IF(AI750="","sem dados",IF(AB750&lt;AI750*0.95,"abaixo",IF(AB750&gt;AI750*1.05,"acima","em linha"))),"")</f>
        <v/>
      </c>
      <c r="AK750" s="23" t="inlineStr">
        <is>
          <t>não</t>
        </is>
      </c>
      <c r="AL750" s="23" t="n"/>
      <c r="AM750" s="23" t="n"/>
      <c r="AN750" s="23" t="n"/>
      <c r="AO750" s="44">
        <f>A750</f>
        <v/>
      </c>
      <c r="AP750" s="44">
        <f>D750</f>
        <v/>
      </c>
    </row>
    <row r="751" hidden="1" ht="15.75" customHeight="1" s="93">
      <c r="A751" s="23" t="inlineStr">
        <is>
          <t>5.0205.0542410.0</t>
        </is>
      </c>
      <c r="B751" s="23" t="inlineStr">
        <is>
          <t>542410</t>
        </is>
      </c>
      <c r="C751" s="29">
        <f>IFERROR(LOWER(SUBSTITUTE(SUBSTITUTE(SUBSTITUTE(SUBSTITUTE(D751," ","-"),"/","-"),".",""),",","")),"")</f>
        <v/>
      </c>
      <c r="D751" s="23" t="inlineStr">
        <is>
          <t>BOD 8 B.B.B.L</t>
        </is>
      </c>
      <c r="E751" s="23" t="inlineStr">
        <is>
          <t>Bombas Hidráulicas</t>
        </is>
      </c>
      <c r="F751" s="23" t="inlineStr">
        <is>
          <t>SOHIPREN</t>
        </is>
      </c>
      <c r="G751" s="23" t="n"/>
      <c r="H751" s="23" t="inlineStr">
        <is>
          <t>draft</t>
        </is>
      </c>
      <c r="I751" s="23" t="inlineStr">
        <is>
          <t>MARA</t>
        </is>
      </c>
      <c r="J751" s="23" t="inlineStr">
        <is>
          <t>NIVELADOR</t>
        </is>
      </c>
      <c r="K751" s="23" t="inlineStr">
        <is>
          <t>PRINCIPAL</t>
        </is>
      </c>
      <c r="L751" s="23" t="inlineStr">
        <is>
          <t>50205 / M7</t>
        </is>
      </c>
      <c r="M751" s="31" t="n"/>
      <c r="N751" s="31" t="n"/>
      <c r="O751" s="31" t="n"/>
      <c r="P751" s="31" t="n"/>
      <c r="Q751" s="31" t="n"/>
      <c r="R751" s="34">
        <f>IFERROR(IF(AND(O751&gt;0,P751&gt;0,Q751&gt;0),(O751*P751*Q751)/6000,""),"")</f>
        <v/>
      </c>
      <c r="S751" s="34">
        <f>IFERROR(IF(AND(N751&gt;0,R751&gt;0),MAX(N751,R751),IF(N751&gt;0,N751,IF(R751&gt;0,R751,""))),"")</f>
        <v/>
      </c>
      <c r="T751" s="36" t="n"/>
      <c r="U751" s="38" t="inlineStr">
        <is>
          <t>FALTA</t>
        </is>
      </c>
      <c r="V751" s="36" t="n">
        <v>605</v>
      </c>
      <c r="W751" s="39" t="n">
        <v>0.3</v>
      </c>
      <c r="X751" s="41">
        <f>IFERROR(V751+T751,"")</f>
        <v/>
      </c>
      <c r="Y751" s="41">
        <f>IFERROR(IF(W751&lt;1,X751/(1-W751),""),"")</f>
        <v/>
      </c>
      <c r="Z751" s="43">
        <f>'01_CONFIG_GLOBAL'!$C$14</f>
        <v/>
      </c>
      <c r="AA751" s="41">
        <f>IFERROR(Y751*Z751,"")</f>
        <v/>
      </c>
      <c r="AB751" s="41">
        <f>IFERROR(IF(Z751&lt;1,Y751/(1-Z751),""),"")</f>
        <v/>
      </c>
      <c r="AC751" s="23" t="n"/>
      <c r="AD751" s="36" t="n"/>
      <c r="AE751" s="23" t="n"/>
      <c r="AF751" s="36" t="n"/>
      <c r="AG751" s="23" t="n"/>
      <c r="AH751" s="36" t="n"/>
      <c r="AI751" s="41">
        <f>IFERROR(AVERAGE(AD751,AF751,AH751),"")</f>
        <v/>
      </c>
      <c r="AJ751" s="29">
        <f>IFERROR(IF(AI751="","sem dados",IF(AB751&lt;AI751*0.95,"abaixo",IF(AB751&gt;AI751*1.05,"acima","em linha"))),"")</f>
        <v/>
      </c>
      <c r="AK751" s="23" t="inlineStr">
        <is>
          <t>não</t>
        </is>
      </c>
      <c r="AL751" s="23" t="n"/>
      <c r="AM751" s="23" t="n"/>
      <c r="AN751" s="23" t="n"/>
      <c r="AO751" s="44">
        <f>A751</f>
        <v/>
      </c>
      <c r="AP751" s="44">
        <f>D751</f>
        <v/>
      </c>
    </row>
    <row r="752" hidden="1" ht="15.75" customHeight="1" s="93">
      <c r="A752" s="23" t="inlineStr">
        <is>
          <t>5.0208.0544802.0</t>
        </is>
      </c>
      <c r="B752" s="23" t="inlineStr">
        <is>
          <t>544802</t>
        </is>
      </c>
      <c r="C752" s="29">
        <f>IFERROR(LOWER(SUBSTITUTE(SUBSTITUTE(SUBSTITUTE(SUBSTITUTE(D752," ","-"),"/","-"),".",""),",","")),"")</f>
        <v/>
      </c>
      <c r="D752" s="23" t="inlineStr">
        <is>
          <t>BOD 16 B.B.B.L</t>
        </is>
      </c>
      <c r="E752" s="23" t="inlineStr">
        <is>
          <t>Bombas Hidráulicas</t>
        </is>
      </c>
      <c r="F752" s="23" t="inlineStr">
        <is>
          <t>SOHIPREN</t>
        </is>
      </c>
      <c r="G752" s="23" t="n"/>
      <c r="H752" s="23" t="inlineStr">
        <is>
          <t>draft</t>
        </is>
      </c>
      <c r="I752" s="23" t="inlineStr">
        <is>
          <t>MARA</t>
        </is>
      </c>
      <c r="J752" s="23" t="inlineStr">
        <is>
          <t>NIVELADOR</t>
        </is>
      </c>
      <c r="K752" s="23" t="inlineStr">
        <is>
          <t>PRINCIPAL</t>
        </is>
      </c>
      <c r="L752" s="23" t="inlineStr">
        <is>
          <t>50208 / MDE</t>
        </is>
      </c>
      <c r="M752" s="31" t="n"/>
      <c r="N752" s="31" t="n"/>
      <c r="O752" s="31" t="n"/>
      <c r="P752" s="31" t="n"/>
      <c r="Q752" s="31" t="n"/>
      <c r="R752" s="34">
        <f>IFERROR(IF(AND(O752&gt;0,P752&gt;0,Q752&gt;0),(O752*P752*Q752)/6000,""),"")</f>
        <v/>
      </c>
      <c r="S752" s="34">
        <f>IFERROR(IF(AND(N752&gt;0,R752&gt;0),MAX(N752,R752),IF(N752&gt;0,N752,IF(R752&gt;0,R752,""))),"")</f>
        <v/>
      </c>
      <c r="T752" s="36" t="n"/>
      <c r="U752" s="38" t="inlineStr">
        <is>
          <t>FALTA</t>
        </is>
      </c>
      <c r="V752" s="36" t="n">
        <v>517</v>
      </c>
      <c r="W752" s="39" t="n">
        <v>0.3</v>
      </c>
      <c r="X752" s="41">
        <f>IFERROR(V752+T752,"")</f>
        <v/>
      </c>
      <c r="Y752" s="41">
        <f>IFERROR(IF(W752&lt;1,X752/(1-W752),""),"")</f>
        <v/>
      </c>
      <c r="Z752" s="43">
        <f>'01_CONFIG_GLOBAL'!$C$14</f>
        <v/>
      </c>
      <c r="AA752" s="41">
        <f>IFERROR(Y752*Z752,"")</f>
        <v/>
      </c>
      <c r="AB752" s="41">
        <f>IFERROR(IF(Z752&lt;1,Y752/(1-Z752),""),"")</f>
        <v/>
      </c>
      <c r="AC752" s="23" t="n"/>
      <c r="AD752" s="36" t="n"/>
      <c r="AE752" s="23" t="n"/>
      <c r="AF752" s="36" t="n"/>
      <c r="AG752" s="23" t="n"/>
      <c r="AH752" s="36" t="n"/>
      <c r="AI752" s="41">
        <f>IFERROR(AVERAGE(AD752,AF752,AH752),"")</f>
        <v/>
      </c>
      <c r="AJ752" s="29">
        <f>IFERROR(IF(AI752="","sem dados",IF(AB752&lt;AI752*0.95,"abaixo",IF(AB752&gt;AI752*1.05,"acima","em linha"))),"")</f>
        <v/>
      </c>
      <c r="AK752" s="23" t="inlineStr">
        <is>
          <t>não</t>
        </is>
      </c>
      <c r="AL752" s="23" t="n"/>
      <c r="AM752" s="23" t="n"/>
      <c r="AN752" s="23" t="n"/>
      <c r="AO752" s="44">
        <f>A752</f>
        <v/>
      </c>
      <c r="AP752" s="44">
        <f>D752</f>
        <v/>
      </c>
    </row>
    <row r="753" hidden="1" ht="15.75" customHeight="1" s="93">
      <c r="A753" s="23" t="inlineStr">
        <is>
          <t>5.0504.L010490.0</t>
        </is>
      </c>
      <c r="B753" s="23" t="inlineStr">
        <is>
          <t>L01049</t>
        </is>
      </c>
      <c r="C753" s="29">
        <f>IFERROR(LOWER(SUBSTITUTE(SUBSTITUTE(SUBSTITUTE(SUBSTITUTE(D753," ","-"),"/","-"),".",""),",","")),"")</f>
        <v/>
      </c>
      <c r="D753" s="23" t="inlineStr">
        <is>
          <t>MUD.MC1 40.201.2.11.74.61</t>
        </is>
      </c>
      <c r="E753" s="23" t="n"/>
      <c r="F753" s="23" t="inlineStr">
        <is>
          <t>SOHIPREN</t>
        </is>
      </c>
      <c r="G753" s="23" t="n"/>
      <c r="H753" s="23" t="inlineStr">
        <is>
          <t>draft</t>
        </is>
      </c>
      <c r="I753" s="23" t="inlineStr">
        <is>
          <t>MARCHESAN</t>
        </is>
      </c>
      <c r="J753" s="23" t="inlineStr">
        <is>
          <t>DISTRIBUIDOR</t>
        </is>
      </c>
      <c r="K753" s="23" t="inlineStr">
        <is>
          <t>MOTOR DO TROCADOR DE CALOR</t>
        </is>
      </c>
      <c r="L753" s="23" t="n"/>
      <c r="M753" s="31" t="n"/>
      <c r="N753" s="31" t="n"/>
      <c r="O753" s="31" t="n"/>
      <c r="P753" s="31" t="n"/>
      <c r="Q753" s="31" t="n"/>
      <c r="R753" s="34">
        <f>IFERROR(IF(AND(O753&gt;0,P753&gt;0,Q753&gt;0),(O753*P753*Q753)/6000,""),"")</f>
        <v/>
      </c>
      <c r="S753" s="34">
        <f>IFERROR(IF(AND(N753&gt;0,R753&gt;0),MAX(N753,R753),IF(N753&gt;0,N753,IF(R753&gt;0,R753,""))),"")</f>
        <v/>
      </c>
      <c r="T753" s="36" t="n"/>
      <c r="U753" s="38" t="inlineStr">
        <is>
          <t>FALTA</t>
        </is>
      </c>
      <c r="V753" s="36" t="n">
        <v>850.51</v>
      </c>
      <c r="W753" s="39" t="n">
        <v>0.3</v>
      </c>
      <c r="X753" s="41">
        <f>IFERROR(V753+T753,"")</f>
        <v/>
      </c>
      <c r="Y753" s="41">
        <f>IFERROR(IF(W753&lt;1,X753/(1-W753),""),"")</f>
        <v/>
      </c>
      <c r="Z753" s="43">
        <f>'01_CONFIG_GLOBAL'!$C$14</f>
        <v/>
      </c>
      <c r="AA753" s="41">
        <f>IFERROR(Y753*Z753,"")</f>
        <v/>
      </c>
      <c r="AB753" s="41">
        <f>IFERROR(IF(Z753&lt;1,Y753/(1-Z753),""),"")</f>
        <v/>
      </c>
      <c r="AC753" s="23" t="n"/>
      <c r="AD753" s="36" t="n"/>
      <c r="AE753" s="23" t="n"/>
      <c r="AF753" s="36" t="n"/>
      <c r="AG753" s="23" t="n"/>
      <c r="AH753" s="36" t="n"/>
      <c r="AI753" s="41">
        <f>IFERROR(AVERAGE(AD753,AF753,AH753),"")</f>
        <v/>
      </c>
      <c r="AJ753" s="29">
        <f>IFERROR(IF(AI753="","sem dados",IF(AB753&lt;AI753*0.95,"abaixo",IF(AB753&gt;AI753*1.05,"acima","em linha"))),"")</f>
        <v/>
      </c>
      <c r="AK753" s="23" t="inlineStr">
        <is>
          <t>não</t>
        </is>
      </c>
      <c r="AL753" s="23" t="n"/>
      <c r="AM753" s="23" t="n"/>
      <c r="AN753" s="23" t="n"/>
      <c r="AO753" s="44">
        <f>A753</f>
        <v/>
      </c>
      <c r="AP753" s="44">
        <f>D753</f>
        <v/>
      </c>
    </row>
    <row r="754" hidden="1" ht="15.75" customHeight="1" s="93">
      <c r="A754" s="23" t="inlineStr">
        <is>
          <t>5.0502.L010600.0</t>
        </is>
      </c>
      <c r="B754" s="23" t="inlineStr">
        <is>
          <t>L01060</t>
        </is>
      </c>
      <c r="C754" s="29">
        <f>IFERROR(LOWER(SUBSTITUTE(SUBSTITUTE(SUBSTITUTE(SUBSTITUTE(D754," ","-"),"/","-"),".",""),",","")),"")</f>
        <v/>
      </c>
      <c r="D754" s="23" t="inlineStr">
        <is>
          <t>MUD.MC1 26 201.2.11.74.61</t>
        </is>
      </c>
      <c r="E754" s="23" t="n"/>
      <c r="F754" s="23" t="inlineStr">
        <is>
          <t>SOHIPREN</t>
        </is>
      </c>
      <c r="G754" s="23" t="n"/>
      <c r="H754" s="23" t="inlineStr">
        <is>
          <t>draft</t>
        </is>
      </c>
      <c r="I754" s="23" t="inlineStr">
        <is>
          <t>MARCHESAN</t>
        </is>
      </c>
      <c r="J754" s="23" t="inlineStr">
        <is>
          <t>FERTILIZADORA</t>
        </is>
      </c>
      <c r="K754" s="23" t="inlineStr">
        <is>
          <t>MOTOR DO TROCADOR DE CALOR</t>
        </is>
      </c>
      <c r="L754" s="23" t="inlineStr">
        <is>
          <t>503063300</t>
        </is>
      </c>
      <c r="M754" s="31" t="n"/>
      <c r="N754" s="31" t="n"/>
      <c r="O754" s="31" t="n"/>
      <c r="P754" s="31" t="n"/>
      <c r="Q754" s="31" t="n"/>
      <c r="R754" s="34">
        <f>IFERROR(IF(AND(O754&gt;0,P754&gt;0,Q754&gt;0),(O754*P754*Q754)/6000,""),"")</f>
        <v/>
      </c>
      <c r="S754" s="34">
        <f>IFERROR(IF(AND(N754&gt;0,R754&gt;0),MAX(N754,R754),IF(N754&gt;0,N754,IF(R754&gt;0,R754,""))),"")</f>
        <v/>
      </c>
      <c r="T754" s="36" t="n"/>
      <c r="U754" s="38" t="inlineStr">
        <is>
          <t>FALTA</t>
        </is>
      </c>
      <c r="V754" s="36" t="n">
        <v>1045</v>
      </c>
      <c r="W754" s="39" t="n">
        <v>0.3</v>
      </c>
      <c r="X754" s="41">
        <f>IFERROR(V754+T754,"")</f>
        <v/>
      </c>
      <c r="Y754" s="41">
        <f>IFERROR(IF(W754&lt;1,X754/(1-W754),""),"")</f>
        <v/>
      </c>
      <c r="Z754" s="43">
        <f>'01_CONFIG_GLOBAL'!$C$14</f>
        <v/>
      </c>
      <c r="AA754" s="41">
        <f>IFERROR(Y754*Z754,"")</f>
        <v/>
      </c>
      <c r="AB754" s="41">
        <f>IFERROR(IF(Z754&lt;1,Y754/(1-Z754),""),"")</f>
        <v/>
      </c>
      <c r="AC754" s="23" t="n"/>
      <c r="AD754" s="36" t="n"/>
      <c r="AE754" s="23" t="n"/>
      <c r="AF754" s="36" t="n"/>
      <c r="AG754" s="23" t="n"/>
      <c r="AH754" s="36" t="n"/>
      <c r="AI754" s="41">
        <f>IFERROR(AVERAGE(AD754,AF754,AH754),"")</f>
        <v/>
      </c>
      <c r="AJ754" s="29">
        <f>IFERROR(IF(AI754="","sem dados",IF(AB754&lt;AI754*0.95,"abaixo",IF(AB754&gt;AI754*1.05,"acima","em linha"))),"")</f>
        <v/>
      </c>
      <c r="AK754" s="23" t="inlineStr">
        <is>
          <t>não</t>
        </is>
      </c>
      <c r="AL754" s="23" t="n"/>
      <c r="AM754" s="23" t="n"/>
      <c r="AN754" s="23" t="n"/>
      <c r="AO754" s="44">
        <f>A754</f>
        <v/>
      </c>
      <c r="AP754" s="44">
        <f>D754</f>
        <v/>
      </c>
    </row>
    <row r="755" hidden="1" ht="15.75" customHeight="1" s="93">
      <c r="A755" s="23" t="inlineStr">
        <is>
          <t>5.5202.L012540.0</t>
        </is>
      </c>
      <c r="B755" s="23" t="inlineStr">
        <is>
          <t>L01254</t>
        </is>
      </c>
      <c r="C755" s="29">
        <f>IFERROR(LOWER(SUBSTITUTE(SUBSTITUTE(SUBSTITUTE(SUBSTITUTE(D755," ","-"),"/","-"),".",""),",","")),"")</f>
        <v/>
      </c>
      <c r="D755" s="23" t="inlineStr">
        <is>
          <t>MUI 4 B104.C.C103.M103</t>
        </is>
      </c>
      <c r="E755" s="23" t="n"/>
      <c r="F755" s="23" t="inlineStr">
        <is>
          <t>SOHIPREN</t>
        </is>
      </c>
      <c r="G755" s="23" t="n"/>
      <c r="H755" s="23" t="inlineStr">
        <is>
          <t>draft</t>
        </is>
      </c>
      <c r="I755" s="23" t="inlineStr">
        <is>
          <t>MARCHESAN</t>
        </is>
      </c>
      <c r="J755" s="23" t="inlineStr">
        <is>
          <t>PLANTADEIRA</t>
        </is>
      </c>
      <c r="K755" s="23" t="inlineStr">
        <is>
          <t>MOTOR TURBINA</t>
        </is>
      </c>
      <c r="L755" s="23" t="inlineStr">
        <is>
          <t>0513013304-019980E0-PLM20.3,9S0-ILS1-LRG/RG-N-L-C-</t>
        </is>
      </c>
      <c r="M755" s="31" t="n"/>
      <c r="N755" s="31" t="n"/>
      <c r="O755" s="31" t="n"/>
      <c r="P755" s="31" t="n"/>
      <c r="Q755" s="31" t="n"/>
      <c r="R755" s="34">
        <f>IFERROR(IF(AND(O755&gt;0,P755&gt;0,Q755&gt;0),(O755*P755*Q755)/6000,""),"")</f>
        <v/>
      </c>
      <c r="S755" s="34">
        <f>IFERROR(IF(AND(N755&gt;0,R755&gt;0),MAX(N755,R755),IF(N755&gt;0,N755,IF(R755&gt;0,R755,""))),"")</f>
        <v/>
      </c>
      <c r="T755" s="36" t="n"/>
      <c r="U755" s="38" t="inlineStr">
        <is>
          <t>FALTA</t>
        </is>
      </c>
      <c r="V755" s="36" t="n">
        <v>786.5</v>
      </c>
      <c r="W755" s="39" t="n">
        <v>0.3</v>
      </c>
      <c r="X755" s="41">
        <f>IFERROR(V755+T755,"")</f>
        <v/>
      </c>
      <c r="Y755" s="41">
        <f>IFERROR(IF(W755&lt;1,X755/(1-W755),""),"")</f>
        <v/>
      </c>
      <c r="Z755" s="43">
        <f>'01_CONFIG_GLOBAL'!$C$14</f>
        <v/>
      </c>
      <c r="AA755" s="41">
        <f>IFERROR(Y755*Z755,"")</f>
        <v/>
      </c>
      <c r="AB755" s="41">
        <f>IFERROR(IF(Z755&lt;1,Y755/(1-Z755),""),"")</f>
        <v/>
      </c>
      <c r="AC755" s="23" t="n"/>
      <c r="AD755" s="36" t="n"/>
      <c r="AE755" s="23" t="n"/>
      <c r="AF755" s="36" t="n"/>
      <c r="AG755" s="23" t="n"/>
      <c r="AH755" s="36" t="n"/>
      <c r="AI755" s="41">
        <f>IFERROR(AVERAGE(AD755,AF755,AH755),"")</f>
        <v/>
      </c>
      <c r="AJ755" s="29">
        <f>IFERROR(IF(AI755="","sem dados",IF(AB755&lt;AI755*0.95,"abaixo",IF(AB755&gt;AI755*1.05,"acima","em linha"))),"")</f>
        <v/>
      </c>
      <c r="AK755" s="23" t="inlineStr">
        <is>
          <t>não</t>
        </is>
      </c>
      <c r="AL755" s="23" t="n"/>
      <c r="AM755" s="23" t="n"/>
      <c r="AN755" s="23" t="n"/>
      <c r="AO755" s="44">
        <f>A755</f>
        <v/>
      </c>
      <c r="AP755" s="44">
        <f>D755</f>
        <v/>
      </c>
    </row>
    <row r="756" hidden="1" ht="15.75" customHeight="1" s="93">
      <c r="A756" s="23" t="inlineStr">
        <is>
          <t>5.1301.L026991.0</t>
        </is>
      </c>
      <c r="B756" s="23" t="inlineStr">
        <is>
          <t>L026991</t>
        </is>
      </c>
      <c r="C756" s="29">
        <f>IFERROR(LOWER(SUBSTITUTE(SUBSTITUTE(SUBSTITUTE(SUBSTITUTE(D756," ","-"),"/","-"),".",""),",","")),"")</f>
        <v/>
      </c>
      <c r="D756" s="23" t="inlineStr">
        <is>
          <t>MOTOR DE PISTÕES - LSF11-005-MB-CV-K</t>
        </is>
      </c>
      <c r="E756" s="23" t="n"/>
      <c r="F756" s="23" t="inlineStr">
        <is>
          <t>SOHIPREN</t>
        </is>
      </c>
      <c r="G756" s="23" t="n"/>
      <c r="H756" s="23" t="inlineStr">
        <is>
          <t>draft</t>
        </is>
      </c>
      <c r="I756" s="23" t="inlineStr">
        <is>
          <t>MARCHESAN</t>
        </is>
      </c>
      <c r="J756" s="23" t="inlineStr">
        <is>
          <t>PLANTADEIRA</t>
        </is>
      </c>
      <c r="K756" s="23" t="inlineStr">
        <is>
          <t>MOTOR TURBINA</t>
        </is>
      </c>
      <c r="L756" s="23" t="inlineStr">
        <is>
          <t>0513013312-F11</t>
        </is>
      </c>
      <c r="M756" s="31" t="n"/>
      <c r="N756" s="31" t="n"/>
      <c r="O756" s="31" t="n"/>
      <c r="P756" s="31" t="n"/>
      <c r="Q756" s="31" t="n"/>
      <c r="R756" s="34">
        <f>IFERROR(IF(AND(O756&gt;0,P756&gt;0,Q756&gt;0),(O756*P756*Q756)/6000,""),"")</f>
        <v/>
      </c>
      <c r="S756" s="34">
        <f>IFERROR(IF(AND(N756&gt;0,R756&gt;0),MAX(N756,R756),IF(N756&gt;0,N756,IF(R756&gt;0,R756,""))),"")</f>
        <v/>
      </c>
      <c r="T756" s="36" t="n"/>
      <c r="U756" s="38" t="inlineStr">
        <is>
          <t>FALTA</t>
        </is>
      </c>
      <c r="V756" s="36" t="n">
        <v>9915</v>
      </c>
      <c r="W756" s="39" t="n">
        <v>0.3</v>
      </c>
      <c r="X756" s="41">
        <f>IFERROR(V756+T756,"")</f>
        <v/>
      </c>
      <c r="Y756" s="41">
        <f>IFERROR(IF(W756&lt;1,X756/(1-W756),""),"")</f>
        <v/>
      </c>
      <c r="Z756" s="43">
        <f>'01_CONFIG_GLOBAL'!$C$14</f>
        <v/>
      </c>
      <c r="AA756" s="41">
        <f>IFERROR(Y756*Z756,"")</f>
        <v/>
      </c>
      <c r="AB756" s="41">
        <f>IFERROR(IF(Z756&lt;1,Y756/(1-Z756),""),"")</f>
        <v/>
      </c>
      <c r="AC756" s="23" t="n"/>
      <c r="AD756" s="36" t="n"/>
      <c r="AE756" s="23" t="n"/>
      <c r="AF756" s="36" t="n"/>
      <c r="AG756" s="23" t="n"/>
      <c r="AH756" s="36" t="n"/>
      <c r="AI756" s="41">
        <f>IFERROR(AVERAGE(AD756,AF756,AH756),"")</f>
        <v/>
      </c>
      <c r="AJ756" s="29">
        <f>IFERROR(IF(AI756="","sem dados",IF(AB756&lt;AI756*0.95,"abaixo",IF(AB756&gt;AI756*1.05,"acima","em linha"))),"")</f>
        <v/>
      </c>
      <c r="AK756" s="23" t="inlineStr">
        <is>
          <t>não</t>
        </is>
      </c>
      <c r="AL756" s="23" t="n"/>
      <c r="AM756" s="23" t="n"/>
      <c r="AN756" s="23" t="n"/>
      <c r="AO756" s="44">
        <f>A756</f>
        <v/>
      </c>
      <c r="AP756" s="44">
        <f>D756</f>
        <v/>
      </c>
    </row>
    <row r="757" hidden="1" ht="15.75" customHeight="1" s="93">
      <c r="A757" s="23" t="inlineStr">
        <is>
          <t>5.0220.L026894.0</t>
        </is>
      </c>
      <c r="B757" s="23" t="inlineStr">
        <is>
          <t>L026894</t>
        </is>
      </c>
      <c r="C757" s="29">
        <f>IFERROR(LOWER(SUBSTITUTE(SUBSTITUTE(SUBSTITUTE(SUBSTITUTE(D757," ","-"),"/","-"),".",""),",","")),"")</f>
        <v/>
      </c>
      <c r="D757" s="23" t="inlineStr">
        <is>
          <t>BOD 5,5 B.B.B104/4.B104.L</t>
        </is>
      </c>
      <c r="E757" s="23" t="inlineStr">
        <is>
          <t>Bombas Hidráulicas</t>
        </is>
      </c>
      <c r="F757" s="23" t="inlineStr">
        <is>
          <t>SOHIPREN</t>
        </is>
      </c>
      <c r="G757" s="23" t="n"/>
      <c r="H757" s="23" t="inlineStr">
        <is>
          <t>draft</t>
        </is>
      </c>
      <c r="I757" s="23" t="inlineStr">
        <is>
          <t>MARZOCCHI</t>
        </is>
      </c>
      <c r="J757" s="23" t="n"/>
      <c r="K757" s="23" t="inlineStr">
        <is>
          <t>PRINCIPAL</t>
        </is>
      </c>
      <c r="L757" s="23" t="inlineStr">
        <is>
          <t>A1D9/P1D6</t>
        </is>
      </c>
      <c r="M757" s="31" t="n"/>
      <c r="N757" s="31" t="n"/>
      <c r="O757" s="31" t="n"/>
      <c r="P757" s="31" t="n"/>
      <c r="Q757" s="31" t="n"/>
      <c r="R757" s="34">
        <f>IFERROR(IF(AND(O757&gt;0,P757&gt;0,Q757&gt;0),(O757*P757*Q757)/6000,""),"")</f>
        <v/>
      </c>
      <c r="S757" s="34">
        <f>IFERROR(IF(AND(N757&gt;0,R757&gt;0),MAX(N757,R757),IF(N757&gt;0,N757,IF(R757&gt;0,R757,""))),"")</f>
        <v/>
      </c>
      <c r="T757" s="36" t="n"/>
      <c r="U757" s="38" t="inlineStr">
        <is>
          <t>FALTA</t>
        </is>
      </c>
      <c r="V757" s="36" t="n">
        <v>1034</v>
      </c>
      <c r="W757" s="39" t="n">
        <v>0.3</v>
      </c>
      <c r="X757" s="41">
        <f>IFERROR(V757+T757,"")</f>
        <v/>
      </c>
      <c r="Y757" s="41">
        <f>IFERROR(IF(W757&lt;1,X757/(1-W757),""),"")</f>
        <v/>
      </c>
      <c r="Z757" s="43">
        <f>'01_CONFIG_GLOBAL'!$C$14</f>
        <v/>
      </c>
      <c r="AA757" s="41">
        <f>IFERROR(Y757*Z757,"")</f>
        <v/>
      </c>
      <c r="AB757" s="41">
        <f>IFERROR(IF(Z757&lt;1,Y757/(1-Z757),""),"")</f>
        <v/>
      </c>
      <c r="AC757" s="23" t="n"/>
      <c r="AD757" s="36" t="n"/>
      <c r="AE757" s="23" t="n"/>
      <c r="AF757" s="36" t="n"/>
      <c r="AG757" s="23" t="n"/>
      <c r="AH757" s="36" t="n"/>
      <c r="AI757" s="41">
        <f>IFERROR(AVERAGE(AD757,AF757,AH757),"")</f>
        <v/>
      </c>
      <c r="AJ757" s="29">
        <f>IFERROR(IF(AI757="","sem dados",IF(AB757&lt;AI757*0.95,"abaixo",IF(AB757&gt;AI757*1.05,"acima","em linha"))),"")</f>
        <v/>
      </c>
      <c r="AK757" s="23" t="inlineStr">
        <is>
          <t>não</t>
        </is>
      </c>
      <c r="AL757" s="23" t="n"/>
      <c r="AM757" s="23" t="n"/>
      <c r="AN757" s="23" t="n"/>
      <c r="AO757" s="44">
        <f>A757</f>
        <v/>
      </c>
      <c r="AP757" s="44">
        <f>D757</f>
        <v/>
      </c>
    </row>
    <row r="758" hidden="1" ht="15.75" customHeight="1" s="93">
      <c r="A758" s="23" t="inlineStr">
        <is>
          <t>5.0220.L026773.0</t>
        </is>
      </c>
      <c r="B758" s="23" t="inlineStr">
        <is>
          <t>L026773</t>
        </is>
      </c>
      <c r="C758" s="29">
        <f>IFERROR(LOWER(SUBSTITUTE(SUBSTITUTE(SUBSTITUTE(SUBSTITUTE(D758," ","-"),"/","-"),".",""),",","")),"")</f>
        <v/>
      </c>
      <c r="D758" s="23" t="inlineStr">
        <is>
          <t>BOD 22,5 B.B.A117/4.A12/4.A12.L</t>
        </is>
      </c>
      <c r="E758" s="23" t="inlineStr">
        <is>
          <t>Bombas Hidráulicas</t>
        </is>
      </c>
      <c r="F758" s="23" t="inlineStr">
        <is>
          <t>SOHIPREN</t>
        </is>
      </c>
      <c r="G758" s="23" t="n"/>
      <c r="H758" s="23" t="inlineStr">
        <is>
          <t>draft</t>
        </is>
      </c>
      <c r="I758" s="23" t="inlineStr">
        <is>
          <t>MARZOCCHI</t>
        </is>
      </c>
      <c r="J758" s="23" t="inlineStr">
        <is>
          <t>UNIDADE HIDRAULICA</t>
        </is>
      </c>
      <c r="K758" s="23" t="inlineStr">
        <is>
          <t>PRINCIPAL</t>
        </is>
      </c>
      <c r="L758" s="23" t="inlineStr">
        <is>
          <t>ALPA2-D30-1 / GHP1-2-6 / GHPP2-D-6</t>
        </is>
      </c>
      <c r="M758" s="31" t="n"/>
      <c r="N758" s="31" t="n"/>
      <c r="O758" s="31" t="n"/>
      <c r="P758" s="31" t="n"/>
      <c r="Q758" s="31" t="n"/>
      <c r="R758" s="34">
        <f>IFERROR(IF(AND(O758&gt;0,P758&gt;0,Q758&gt;0),(O758*P758*Q758)/6000,""),"")</f>
        <v/>
      </c>
      <c r="S758" s="34">
        <f>IFERROR(IF(AND(N758&gt;0,R758&gt;0),MAX(N758,R758),IF(N758&gt;0,N758,IF(R758&gt;0,R758,""))),"")</f>
        <v/>
      </c>
      <c r="T758" s="36" t="n"/>
      <c r="U758" s="38" t="inlineStr">
        <is>
          <t>FALTA</t>
        </is>
      </c>
      <c r="V758" s="36" t="n">
        <v>1034</v>
      </c>
      <c r="W758" s="39" t="n">
        <v>0.3</v>
      </c>
      <c r="X758" s="41">
        <f>IFERROR(V758+T758,"")</f>
        <v/>
      </c>
      <c r="Y758" s="41">
        <f>IFERROR(IF(W758&lt;1,X758/(1-W758),""),"")</f>
        <v/>
      </c>
      <c r="Z758" s="43">
        <f>'01_CONFIG_GLOBAL'!$C$14</f>
        <v/>
      </c>
      <c r="AA758" s="41">
        <f>IFERROR(Y758*Z758,"")</f>
        <v/>
      </c>
      <c r="AB758" s="41">
        <f>IFERROR(IF(Z758&lt;1,Y758/(1-Z758),""),"")</f>
        <v/>
      </c>
      <c r="AC758" s="23" t="n"/>
      <c r="AD758" s="36" t="n"/>
      <c r="AE758" s="23" t="n"/>
      <c r="AF758" s="36" t="n"/>
      <c r="AG758" s="23" t="n"/>
      <c r="AH758" s="36" t="n"/>
      <c r="AI758" s="41">
        <f>IFERROR(AVERAGE(AD758,AF758,AH758),"")</f>
        <v/>
      </c>
      <c r="AJ758" s="29">
        <f>IFERROR(IF(AI758="","sem dados",IF(AB758&lt;AI758*0.95,"abaixo",IF(AB758&gt;AI758*1.05,"acima","em linha"))),"")</f>
        <v/>
      </c>
      <c r="AK758" s="23" t="inlineStr">
        <is>
          <t>não</t>
        </is>
      </c>
      <c r="AL758" s="23" t="n"/>
      <c r="AM758" s="23" t="n"/>
      <c r="AN758" s="23" t="n"/>
      <c r="AO758" s="44">
        <f>A758</f>
        <v/>
      </c>
      <c r="AP758" s="44">
        <f>D758</f>
        <v/>
      </c>
    </row>
    <row r="759" hidden="1" ht="15.75" customHeight="1" s="93">
      <c r="A759" s="23" t="inlineStr">
        <is>
          <t>5.0203.L025550.0</t>
        </is>
      </c>
      <c r="B759" s="23" t="inlineStr">
        <is>
          <t>L025550</t>
        </is>
      </c>
      <c r="C759" s="29">
        <f>IFERROR(LOWER(SUBSTITUTE(SUBSTITUTE(SUBSTITUTE(SUBSTITUTE(D759," ","-"),"/","-"),".",""),",","")),"")</f>
        <v/>
      </c>
      <c r="D759" s="23" t="inlineStr">
        <is>
          <t>BOD 2,5 B.B.B12/ 2,5.B12.L</t>
        </is>
      </c>
      <c r="E759" s="23" t="inlineStr">
        <is>
          <t>Bombas Hidráulicas</t>
        </is>
      </c>
      <c r="F759" s="23" t="inlineStr">
        <is>
          <t>SOHIPREN</t>
        </is>
      </c>
      <c r="G759" s="23" t="n"/>
      <c r="H759" s="23" t="inlineStr">
        <is>
          <t>draft</t>
        </is>
      </c>
      <c r="I759" s="23" t="inlineStr">
        <is>
          <t>MARZOCCHI</t>
        </is>
      </c>
      <c r="J759" s="23" t="inlineStr">
        <is>
          <t>INDUSTRIAL</t>
        </is>
      </c>
      <c r="K759" s="23" t="inlineStr">
        <is>
          <t>PRINCIPAL</t>
        </is>
      </c>
      <c r="L759" s="23" t="inlineStr">
        <is>
          <t>ALPA1-D-3/GHPP1-D-3</t>
        </is>
      </c>
      <c r="M759" s="31" t="n"/>
      <c r="N759" s="31" t="n"/>
      <c r="O759" s="31" t="n"/>
      <c r="P759" s="31" t="n"/>
      <c r="Q759" s="31" t="n"/>
      <c r="R759" s="34">
        <f>IFERROR(IF(AND(O759&gt;0,P759&gt;0,Q759&gt;0),(O759*P759*Q759)/6000,""),"")</f>
        <v/>
      </c>
      <c r="S759" s="34">
        <f>IFERROR(IF(AND(N759&gt;0,R759&gt;0),MAX(N759,R759),IF(N759&gt;0,N759,IF(R759&gt;0,R759,""))),"")</f>
        <v/>
      </c>
      <c r="T759" s="36" t="n"/>
      <c r="U759" s="38" t="inlineStr">
        <is>
          <t>FALTA</t>
        </is>
      </c>
      <c r="V759" s="36" t="n">
        <v>517</v>
      </c>
      <c r="W759" s="39" t="n">
        <v>0.3</v>
      </c>
      <c r="X759" s="41">
        <f>IFERROR(V759+T759,"")</f>
        <v/>
      </c>
      <c r="Y759" s="41">
        <f>IFERROR(IF(W759&lt;1,X759/(1-W759),""),"")</f>
        <v/>
      </c>
      <c r="Z759" s="43">
        <f>'01_CONFIG_GLOBAL'!$C$14</f>
        <v/>
      </c>
      <c r="AA759" s="41">
        <f>IFERROR(Y759*Z759,"")</f>
        <v/>
      </c>
      <c r="AB759" s="41">
        <f>IFERROR(IF(Z759&lt;1,Y759/(1-Z759),""),"")</f>
        <v/>
      </c>
      <c r="AC759" s="23" t="n"/>
      <c r="AD759" s="36" t="n"/>
      <c r="AE759" s="23" t="n"/>
      <c r="AF759" s="36" t="n"/>
      <c r="AG759" s="23" t="n"/>
      <c r="AH759" s="36" t="n"/>
      <c r="AI759" s="41">
        <f>IFERROR(AVERAGE(AD759,AF759,AH759),"")</f>
        <v/>
      </c>
      <c r="AJ759" s="29">
        <f>IFERROR(IF(AI759="","sem dados",IF(AB759&lt;AI759*0.95,"abaixo",IF(AB759&gt;AI759*1.05,"acima","em linha"))),"")</f>
        <v/>
      </c>
      <c r="AK759" s="23" t="inlineStr">
        <is>
          <t>não</t>
        </is>
      </c>
      <c r="AL759" s="23" t="n"/>
      <c r="AM759" s="23" t="n"/>
      <c r="AN759" s="23" t="n"/>
      <c r="AO759" s="44">
        <f>A759</f>
        <v/>
      </c>
      <c r="AP759" s="44">
        <f>D759</f>
        <v/>
      </c>
    </row>
    <row r="760" hidden="1" ht="15.75" customHeight="1" s="93">
      <c r="A760" s="23" t="inlineStr">
        <is>
          <t>5.0205.L026705.0</t>
        </is>
      </c>
      <c r="B760" s="23" t="inlineStr">
        <is>
          <t>L026705</t>
        </is>
      </c>
      <c r="C760" s="29">
        <f>IFERROR(LOWER(SUBSTITUTE(SUBSTITUTE(SUBSTITUTE(SUBSTITUTE(D760," ","-"),"/","-"),".",""),",","")),"")</f>
        <v/>
      </c>
      <c r="D760" s="23" t="inlineStr">
        <is>
          <t>BOD 8 B.B.B103.L</t>
        </is>
      </c>
      <c r="E760" s="23" t="inlineStr">
        <is>
          <t>Bombas Hidráulicas</t>
        </is>
      </c>
      <c r="F760" s="23" t="inlineStr">
        <is>
          <t>SOHIPREN</t>
        </is>
      </c>
      <c r="G760" s="23" t="n"/>
      <c r="H760" s="23" t="inlineStr">
        <is>
          <t>draft</t>
        </is>
      </c>
      <c r="I760" s="23" t="inlineStr">
        <is>
          <t>MARZZOCCHI</t>
        </is>
      </c>
      <c r="J760" s="23" t="inlineStr">
        <is>
          <t>INDUSTRIAL</t>
        </is>
      </c>
      <c r="K760" s="23" t="inlineStr">
        <is>
          <t>MOVIMENTAÇÃO</t>
        </is>
      </c>
      <c r="L760" s="23" t="inlineStr">
        <is>
          <t>ALP2-D10</t>
        </is>
      </c>
      <c r="M760" s="31" t="n"/>
      <c r="N760" s="31" t="n"/>
      <c r="O760" s="31" t="n"/>
      <c r="P760" s="31" t="n"/>
      <c r="Q760" s="31" t="n"/>
      <c r="R760" s="34">
        <f>IFERROR(IF(AND(O760&gt;0,P760&gt;0,Q760&gt;0),(O760*P760*Q760)/6000,""),"")</f>
        <v/>
      </c>
      <c r="S760" s="34">
        <f>IFERROR(IF(AND(N760&gt;0,R760&gt;0),MAX(N760,R760),IF(N760&gt;0,N760,IF(R760&gt;0,R760,""))),"")</f>
        <v/>
      </c>
      <c r="T760" s="36" t="n"/>
      <c r="U760" s="38" t="inlineStr">
        <is>
          <t>FALTA</t>
        </is>
      </c>
      <c r="V760" s="36" t="n">
        <v>665</v>
      </c>
      <c r="W760" s="39" t="n">
        <v>0.3</v>
      </c>
      <c r="X760" s="41">
        <f>IFERROR(V760+T760,"")</f>
        <v/>
      </c>
      <c r="Y760" s="41">
        <f>IFERROR(IF(W760&lt;1,X760/(1-W760),""),"")</f>
        <v/>
      </c>
      <c r="Z760" s="43">
        <f>'01_CONFIG_GLOBAL'!$C$14</f>
        <v/>
      </c>
      <c r="AA760" s="41">
        <f>IFERROR(Y760*Z760,"")</f>
        <v/>
      </c>
      <c r="AB760" s="41">
        <f>IFERROR(IF(Z760&lt;1,Y760/(1-Z760),""),"")</f>
        <v/>
      </c>
      <c r="AC760" s="23" t="n"/>
      <c r="AD760" s="36" t="n"/>
      <c r="AE760" s="23" t="n"/>
      <c r="AF760" s="36" t="n"/>
      <c r="AG760" s="23" t="n"/>
      <c r="AH760" s="36" t="n"/>
      <c r="AI760" s="41">
        <f>IFERROR(AVERAGE(AD760,AF760,AH760),"")</f>
        <v/>
      </c>
      <c r="AJ760" s="29">
        <f>IFERROR(IF(AI760="","sem dados",IF(AB760&lt;AI760*0.95,"abaixo",IF(AB760&gt;AI760*1.05,"acima","em linha"))),"")</f>
        <v/>
      </c>
      <c r="AK760" s="23" t="inlineStr">
        <is>
          <t>não</t>
        </is>
      </c>
      <c r="AL760" s="23" t="n"/>
      <c r="AM760" s="23" t="n"/>
      <c r="AN760" s="23" t="n"/>
      <c r="AO760" s="44">
        <f>A760</f>
        <v/>
      </c>
      <c r="AP760" s="44">
        <f>D760</f>
        <v/>
      </c>
    </row>
    <row r="761" hidden="1" ht="15.75" customHeight="1" s="93">
      <c r="A761" s="23" t="inlineStr">
        <is>
          <t>5.0504.0503015.0</t>
        </is>
      </c>
      <c r="B761" s="23" t="inlineStr">
        <is>
          <t>503015</t>
        </is>
      </c>
      <c r="C761" s="29">
        <f>IFERROR(LOWER(SUBSTITUTE(SUBSTITUTE(SUBSTITUTE(SUBSTITUTE(D761," ","-"),"/","-"),".",""),",","")),"")</f>
        <v/>
      </c>
      <c r="D761" s="23" t="inlineStr">
        <is>
          <t>MC1 40 201.2.36.96.61</t>
        </is>
      </c>
      <c r="E761" s="23" t="n"/>
      <c r="F761" s="23" t="inlineStr">
        <is>
          <t>SOHIPREN</t>
        </is>
      </c>
      <c r="G761" s="23" t="n"/>
      <c r="H761" s="23" t="inlineStr">
        <is>
          <t>draft</t>
        </is>
      </c>
      <c r="I761" s="23" t="inlineStr">
        <is>
          <t>MASAL</t>
        </is>
      </c>
      <c r="J761" s="23" t="inlineStr">
        <is>
          <t>GUINDAUTO</t>
        </is>
      </c>
      <c r="K761" s="23" t="inlineStr">
        <is>
          <t>PRINCIPAL</t>
        </is>
      </c>
      <c r="L761" s="23" t="n"/>
      <c r="M761" s="31" t="n"/>
      <c r="N761" s="31" t="n"/>
      <c r="O761" s="31" t="n"/>
      <c r="P761" s="31" t="n"/>
      <c r="Q761" s="31" t="n"/>
      <c r="R761" s="34">
        <f>IFERROR(IF(AND(O761&gt;0,P761&gt;0,Q761&gt;0),(O761*P761*Q761)/6000,""),"")</f>
        <v/>
      </c>
      <c r="S761" s="34">
        <f>IFERROR(IF(AND(N761&gt;0,R761&gt;0),MAX(N761,R761),IF(N761&gt;0,N761,IF(R761&gt;0,R761,""))),"")</f>
        <v/>
      </c>
      <c r="T761" s="36" t="n"/>
      <c r="U761" s="38" t="inlineStr">
        <is>
          <t>FALTA</t>
        </is>
      </c>
      <c r="V761" s="36" t="n">
        <v>1150</v>
      </c>
      <c r="W761" s="39" t="n">
        <v>0.3</v>
      </c>
      <c r="X761" s="41">
        <f>IFERROR(V761+T761,"")</f>
        <v/>
      </c>
      <c r="Y761" s="41">
        <f>IFERROR(IF(W761&lt;1,X761/(1-W761),""),"")</f>
        <v/>
      </c>
      <c r="Z761" s="43">
        <f>'01_CONFIG_GLOBAL'!$C$14</f>
        <v/>
      </c>
      <c r="AA761" s="41">
        <f>IFERROR(Y761*Z761,"")</f>
        <v/>
      </c>
      <c r="AB761" s="41">
        <f>IFERROR(IF(Z761&lt;1,Y761/(1-Z761),""),"")</f>
        <v/>
      </c>
      <c r="AC761" s="23" t="n"/>
      <c r="AD761" s="36" t="n"/>
      <c r="AE761" s="23" t="n"/>
      <c r="AF761" s="36" t="n"/>
      <c r="AG761" s="23" t="n"/>
      <c r="AH761" s="36" t="n"/>
      <c r="AI761" s="41">
        <f>IFERROR(AVERAGE(AD761,AF761,AH761),"")</f>
        <v/>
      </c>
      <c r="AJ761" s="29">
        <f>IFERROR(IF(AI761="","sem dados",IF(AB761&lt;AI761*0.95,"abaixo",IF(AB761&gt;AI761*1.05,"acima","em linha"))),"")</f>
        <v/>
      </c>
      <c r="AK761" s="23" t="inlineStr">
        <is>
          <t>não</t>
        </is>
      </c>
      <c r="AL761" s="23" t="n"/>
      <c r="AM761" s="23" t="n"/>
      <c r="AN761" s="23" t="n"/>
      <c r="AO761" s="44">
        <f>A761</f>
        <v/>
      </c>
      <c r="AP761" s="44">
        <f>D761</f>
        <v/>
      </c>
    </row>
    <row r="762" hidden="1" ht="15.75" customHeight="1" s="93">
      <c r="A762" s="23" t="inlineStr">
        <is>
          <t>5.0238.0547568.0</t>
        </is>
      </c>
      <c r="B762" s="23" t="inlineStr">
        <is>
          <t>547568</t>
        </is>
      </c>
      <c r="C762" s="29">
        <f>IFERROR(LOWER(SUBSTITUTE(SUBSTITUTE(SUBSTITUTE(SUBSTITUTE(D762," ","-"),"/","-"),".",""),",","")),"")</f>
        <v/>
      </c>
      <c r="D762" s="23" t="inlineStr">
        <is>
          <t>KIT.BO.19.A.A42</t>
        </is>
      </c>
      <c r="E762" s="23" t="n"/>
      <c r="F762" s="23" t="inlineStr">
        <is>
          <t>SOHIPREN</t>
        </is>
      </c>
      <c r="G762" s="23" t="n"/>
      <c r="H762" s="23" t="inlineStr">
        <is>
          <t>draft</t>
        </is>
      </c>
      <c r="I762" s="23" t="inlineStr">
        <is>
          <t>MASSEY</t>
        </is>
      </c>
      <c r="J762" s="23" t="inlineStr">
        <is>
          <t>TRATOR</t>
        </is>
      </c>
      <c r="K762" s="23" t="inlineStr">
        <is>
          <t>PRINCIPAL</t>
        </is>
      </c>
      <c r="L762" s="23" t="inlineStr">
        <is>
          <t>9511089150/90652956/11223019002</t>
        </is>
      </c>
      <c r="M762" s="31" t="n"/>
      <c r="N762" s="31" t="n"/>
      <c r="O762" s="31" t="n"/>
      <c r="P762" s="31" t="n"/>
      <c r="Q762" s="31" t="n"/>
      <c r="R762" s="34">
        <f>IFERROR(IF(AND(O762&gt;0,P762&gt;0,Q762&gt;0),(O762*P762*Q762)/6000,""),"")</f>
        <v/>
      </c>
      <c r="S762" s="34">
        <f>IFERROR(IF(AND(N762&gt;0,R762&gt;0),MAX(N762,R762),IF(N762&gt;0,N762,IF(R762&gt;0,R762,""))),"")</f>
        <v/>
      </c>
      <c r="T762" s="36" t="n"/>
      <c r="U762" s="38" t="inlineStr">
        <is>
          <t>FALTA</t>
        </is>
      </c>
      <c r="V762" s="36" t="n">
        <v>440</v>
      </c>
      <c r="W762" s="39" t="n">
        <v>0.3</v>
      </c>
      <c r="X762" s="41">
        <f>IFERROR(V762+T762,"")</f>
        <v/>
      </c>
      <c r="Y762" s="41">
        <f>IFERROR(IF(W762&lt;1,X762/(1-W762),""),"")</f>
        <v/>
      </c>
      <c r="Z762" s="43">
        <f>'01_CONFIG_GLOBAL'!$C$14</f>
        <v/>
      </c>
      <c r="AA762" s="41">
        <f>IFERROR(Y762*Z762,"")</f>
        <v/>
      </c>
      <c r="AB762" s="41">
        <f>IFERROR(IF(Z762&lt;1,Y762/(1-Z762),""),"")</f>
        <v/>
      </c>
      <c r="AC762" s="23" t="n"/>
      <c r="AD762" s="36" t="n"/>
      <c r="AE762" s="23" t="n"/>
      <c r="AF762" s="36" t="n"/>
      <c r="AG762" s="23" t="n"/>
      <c r="AH762" s="36" t="n"/>
      <c r="AI762" s="41">
        <f>IFERROR(AVERAGE(AD762,AF762,AH762),"")</f>
        <v/>
      </c>
      <c r="AJ762" s="29">
        <f>IFERROR(IF(AI762="","sem dados",IF(AB762&lt;AI762*0.95,"abaixo",IF(AB762&gt;AI762*1.05,"acima","em linha"))),"")</f>
        <v/>
      </c>
      <c r="AK762" s="23" t="inlineStr">
        <is>
          <t>não</t>
        </is>
      </c>
      <c r="AL762" s="23" t="n"/>
      <c r="AM762" s="23" t="n"/>
      <c r="AN762" s="23" t="n"/>
      <c r="AO762" s="44">
        <f>A762</f>
        <v/>
      </c>
      <c r="AP762" s="44">
        <f>D762</f>
        <v/>
      </c>
    </row>
    <row r="763" hidden="1" ht="15.75" customHeight="1" s="93">
      <c r="A763" s="23" t="inlineStr">
        <is>
          <t>5.1302.0565074.0</t>
        </is>
      </c>
      <c r="B763" s="23" t="inlineStr">
        <is>
          <t>565074</t>
        </is>
      </c>
      <c r="C763" s="29">
        <f>IFERROR(LOWER(SUBSTITUTE(SUBSTITUTE(SUBSTITUTE(SUBSTITUTE(D763," ","-"),"/","-"),".",""),",","")),"")</f>
        <v/>
      </c>
      <c r="D763" s="23" t="inlineStr">
        <is>
          <t>BOMBA HIDRÁULICA - APLICAÇÃO  MF A-19 (062976)</t>
        </is>
      </c>
      <c r="E763" s="23" t="inlineStr">
        <is>
          <t>Bombas Hidráulicas</t>
        </is>
      </c>
      <c r="F763" s="23" t="inlineStr">
        <is>
          <t>SOHIPREN</t>
        </is>
      </c>
      <c r="G763" s="23" t="n"/>
      <c r="H763" s="23" t="inlineStr">
        <is>
          <t>draft</t>
        </is>
      </c>
      <c r="I763" s="23" t="inlineStr">
        <is>
          <t>MASSEY FERGUNSON</t>
        </is>
      </c>
      <c r="J763" s="23" t="inlineStr">
        <is>
          <t>TRATOR</t>
        </is>
      </c>
      <c r="K763" s="23" t="inlineStr">
        <is>
          <t>PRINCIPAL</t>
        </is>
      </c>
      <c r="L763" s="23" t="inlineStr">
        <is>
          <t>R979028174/062976T1</t>
        </is>
      </c>
      <c r="M763" s="31" t="n"/>
      <c r="N763" s="31" t="n"/>
      <c r="O763" s="31" t="n"/>
      <c r="P763" s="31" t="n"/>
      <c r="Q763" s="31" t="n"/>
      <c r="R763" s="34">
        <f>IFERROR(IF(AND(O763&gt;0,P763&gt;0,Q763&gt;0),(O763*P763*Q763)/6000,""),"")</f>
        <v/>
      </c>
      <c r="S763" s="34">
        <f>IFERROR(IF(AND(N763&gt;0,R763&gt;0),MAX(N763,R763),IF(N763&gt;0,N763,IF(R763&gt;0,R763,""))),"")</f>
        <v/>
      </c>
      <c r="T763" s="36" t="n"/>
      <c r="U763" s="38" t="inlineStr">
        <is>
          <t>FALTA</t>
        </is>
      </c>
      <c r="V763" s="36" t="n">
        <v>3190</v>
      </c>
      <c r="W763" s="39" t="n">
        <v>0.3</v>
      </c>
      <c r="X763" s="41">
        <f>IFERROR(V763+T763,"")</f>
        <v/>
      </c>
      <c r="Y763" s="41">
        <f>IFERROR(IF(W763&lt;1,X763/(1-W763),""),"")</f>
        <v/>
      </c>
      <c r="Z763" s="43">
        <f>'01_CONFIG_GLOBAL'!$C$14</f>
        <v/>
      </c>
      <c r="AA763" s="41">
        <f>IFERROR(Y763*Z763,"")</f>
        <v/>
      </c>
      <c r="AB763" s="41">
        <f>IFERROR(IF(Z763&lt;1,Y763/(1-Z763),""),"")</f>
        <v/>
      </c>
      <c r="AC763" s="23" t="n"/>
      <c r="AD763" s="36" t="n"/>
      <c r="AE763" s="23" t="n"/>
      <c r="AF763" s="36" t="n"/>
      <c r="AG763" s="23" t="n"/>
      <c r="AH763" s="36" t="n"/>
      <c r="AI763" s="41">
        <f>IFERROR(AVERAGE(AD763,AF763,AH763),"")</f>
        <v/>
      </c>
      <c r="AJ763" s="29">
        <f>IFERROR(IF(AI763="","sem dados",IF(AB763&lt;AI763*0.95,"abaixo",IF(AB763&gt;AI763*1.05,"acima","em linha"))),"")</f>
        <v/>
      </c>
      <c r="AK763" s="23" t="inlineStr">
        <is>
          <t>não</t>
        </is>
      </c>
      <c r="AL763" s="23" t="n"/>
      <c r="AM763" s="23" t="n"/>
      <c r="AN763" s="23" t="n"/>
      <c r="AO763" s="44">
        <f>A763</f>
        <v/>
      </c>
      <c r="AP763" s="44">
        <f>D763</f>
        <v/>
      </c>
    </row>
    <row r="764" hidden="1" ht="15.75" customHeight="1" s="93">
      <c r="A764" s="23" t="inlineStr">
        <is>
          <t>5.1302.0565079.0</t>
        </is>
      </c>
      <c r="B764" s="23" t="inlineStr">
        <is>
          <t>565079</t>
        </is>
      </c>
      <c r="C764" s="29">
        <f>IFERROR(LOWER(SUBSTITUTE(SUBSTITUTE(SUBSTITUTE(SUBSTITUTE(D764," ","-"),"/","-"),".",""),",","")),"")</f>
        <v/>
      </c>
      <c r="D764" s="23" t="inlineStr">
        <is>
          <t>BOMBA HIDRÁULICA - APLICAÇÃO MF A-020 (6231836M1) GIRO I (PROTOTIPO)</t>
        </is>
      </c>
      <c r="E764" s="23" t="inlineStr">
        <is>
          <t>Bombas Hidráulicas</t>
        </is>
      </c>
      <c r="F764" s="23" t="inlineStr">
        <is>
          <t>SOHIPREN</t>
        </is>
      </c>
      <c r="G764" s="23" t="n"/>
      <c r="H764" s="23" t="inlineStr">
        <is>
          <t>draft</t>
        </is>
      </c>
      <c r="I764" s="23" t="inlineStr">
        <is>
          <t>MASSEY FERGUNSON</t>
        </is>
      </c>
      <c r="J764" s="23" t="inlineStr">
        <is>
          <t>TRATOR</t>
        </is>
      </c>
      <c r="K764" s="23" t="inlineStr">
        <is>
          <t>PRINCIPAL</t>
        </is>
      </c>
      <c r="L764" s="23" t="inlineStr">
        <is>
          <t>6231836M91-3129920039-30112040043-12111011055</t>
        </is>
      </c>
      <c r="M764" s="31" t="n"/>
      <c r="N764" s="31" t="n"/>
      <c r="O764" s="31" t="n"/>
      <c r="P764" s="31" t="n"/>
      <c r="Q764" s="31" t="n"/>
      <c r="R764" s="34">
        <f>IFERROR(IF(AND(O764&gt;0,P764&gt;0,Q764&gt;0),(O764*P764*Q764)/6000,""),"")</f>
        <v/>
      </c>
      <c r="S764" s="34">
        <f>IFERROR(IF(AND(N764&gt;0,R764&gt;0),MAX(N764,R764),IF(N764&gt;0,N764,IF(R764&gt;0,R764,""))),"")</f>
        <v/>
      </c>
      <c r="T764" s="36" t="n"/>
      <c r="U764" s="38" t="inlineStr">
        <is>
          <t>FALTA</t>
        </is>
      </c>
      <c r="V764" s="36" t="n">
        <v>1578</v>
      </c>
      <c r="W764" s="39" t="n">
        <v>0.3</v>
      </c>
      <c r="X764" s="41">
        <f>IFERROR(V764+T764,"")</f>
        <v/>
      </c>
      <c r="Y764" s="41">
        <f>IFERROR(IF(W764&lt;1,X764/(1-W764),""),"")</f>
        <v/>
      </c>
      <c r="Z764" s="43">
        <f>'01_CONFIG_GLOBAL'!$C$14</f>
        <v/>
      </c>
      <c r="AA764" s="41">
        <f>IFERROR(Y764*Z764,"")</f>
        <v/>
      </c>
      <c r="AB764" s="41">
        <f>IFERROR(IF(Z764&lt;1,Y764/(1-Z764),""),"")</f>
        <v/>
      </c>
      <c r="AC764" s="23" t="n"/>
      <c r="AD764" s="36" t="n"/>
      <c r="AE764" s="23" t="n"/>
      <c r="AF764" s="36" t="n"/>
      <c r="AG764" s="23" t="n"/>
      <c r="AH764" s="36" t="n"/>
      <c r="AI764" s="41">
        <f>IFERROR(AVERAGE(AD764,AF764,AH764),"")</f>
        <v/>
      </c>
      <c r="AJ764" s="29">
        <f>IFERROR(IF(AI764="","sem dados",IF(AB764&lt;AI764*0.95,"abaixo",IF(AB764&gt;AI764*1.05,"acima","em linha"))),"")</f>
        <v/>
      </c>
      <c r="AK764" s="23" t="inlineStr">
        <is>
          <t>não</t>
        </is>
      </c>
      <c r="AL764" s="23" t="n"/>
      <c r="AM764" s="23" t="n"/>
      <c r="AN764" s="23" t="n"/>
      <c r="AO764" s="44">
        <f>A764</f>
        <v/>
      </c>
      <c r="AP764" s="44">
        <f>D764</f>
        <v/>
      </c>
    </row>
    <row r="765" hidden="1" ht="15.75" customHeight="1" s="93">
      <c r="A765" s="23" t="inlineStr">
        <is>
          <t>5.0233.0547301.0</t>
        </is>
      </c>
      <c r="B765" s="23" t="inlineStr">
        <is>
          <t>547301</t>
        </is>
      </c>
      <c r="C765" s="29">
        <f>IFERROR(LOWER(SUBSTITUTE(SUBSTITUTE(SUBSTITUTE(SUBSTITUTE(D765," ","-"),"/","-"),".",""),",","")),"")</f>
        <v/>
      </c>
      <c r="D765" s="23" t="inlineStr">
        <is>
          <t>KIT.BO.7.B11.A15</t>
        </is>
      </c>
      <c r="E765" s="23" t="n"/>
      <c r="F765" s="23" t="inlineStr">
        <is>
          <t>SOHIPREN</t>
        </is>
      </c>
      <c r="G765" s="23" t="n"/>
      <c r="H765" s="23" t="inlineStr">
        <is>
          <t>draft</t>
        </is>
      </c>
      <c r="I765" s="23" t="inlineStr">
        <is>
          <t>MASSEY FERGUNSON</t>
        </is>
      </c>
      <c r="J765" s="23" t="inlineStr">
        <is>
          <t>TRATOR MF</t>
        </is>
      </c>
      <c r="K765" s="23" t="inlineStr">
        <is>
          <t>KIT DIANTEIRO</t>
        </is>
      </c>
      <c r="L765" s="23" t="inlineStr">
        <is>
          <t>9511089140/90652707/9007109140/11223007001</t>
        </is>
      </c>
      <c r="M765" s="31" t="n"/>
      <c r="N765" s="31" t="n"/>
      <c r="O765" s="31" t="n"/>
      <c r="P765" s="31" t="n"/>
      <c r="Q765" s="31" t="n"/>
      <c r="R765" s="34">
        <f>IFERROR(IF(AND(O765&gt;0,P765&gt;0,Q765&gt;0),(O765*P765*Q765)/6000,""),"")</f>
        <v/>
      </c>
      <c r="S765" s="34">
        <f>IFERROR(IF(AND(N765&gt;0,R765&gt;0),MAX(N765,R765),IF(N765&gt;0,N765,IF(R765&gt;0,R765,""))),"")</f>
        <v/>
      </c>
      <c r="T765" s="36" t="n"/>
      <c r="U765" s="38" t="inlineStr">
        <is>
          <t>FALTA</t>
        </is>
      </c>
      <c r="V765" s="36" t="n">
        <v>440</v>
      </c>
      <c r="W765" s="39" t="n">
        <v>0.3</v>
      </c>
      <c r="X765" s="41">
        <f>IFERROR(V765+T765,"")</f>
        <v/>
      </c>
      <c r="Y765" s="41">
        <f>IFERROR(IF(W765&lt;1,X765/(1-W765),""),"")</f>
        <v/>
      </c>
      <c r="Z765" s="43">
        <f>'01_CONFIG_GLOBAL'!$C$14</f>
        <v/>
      </c>
      <c r="AA765" s="41">
        <f>IFERROR(Y765*Z765,"")</f>
        <v/>
      </c>
      <c r="AB765" s="41">
        <f>IFERROR(IF(Z765&lt;1,Y765/(1-Z765),""),"")</f>
        <v/>
      </c>
      <c r="AC765" s="23" t="n"/>
      <c r="AD765" s="36" t="n"/>
      <c r="AE765" s="23" t="n"/>
      <c r="AF765" s="36" t="n"/>
      <c r="AG765" s="23" t="n"/>
      <c r="AH765" s="36" t="n"/>
      <c r="AI765" s="41">
        <f>IFERROR(AVERAGE(AD765,AF765,AH765),"")</f>
        <v/>
      </c>
      <c r="AJ765" s="29">
        <f>IFERROR(IF(AI765="","sem dados",IF(AB765&lt;AI765*0.95,"abaixo",IF(AB765&gt;AI765*1.05,"acima","em linha"))),"")</f>
        <v/>
      </c>
      <c r="AK765" s="23" t="inlineStr">
        <is>
          <t>não</t>
        </is>
      </c>
      <c r="AL765" s="23" t="n"/>
      <c r="AM765" s="23" t="n"/>
      <c r="AN765" s="23" t="n"/>
      <c r="AO765" s="44">
        <f>A765</f>
        <v/>
      </c>
      <c r="AP765" s="44">
        <f>D765</f>
        <v/>
      </c>
    </row>
    <row r="766" hidden="1" ht="15.75" customHeight="1" s="93">
      <c r="A766" s="23" t="inlineStr">
        <is>
          <t>5.0235.0547407.0</t>
        </is>
      </c>
      <c r="B766" s="23" t="inlineStr">
        <is>
          <t>547407</t>
        </is>
      </c>
      <c r="C766" s="29">
        <f>IFERROR(LOWER(SUBSTITUTE(SUBSTITUTE(SUBSTITUTE(SUBSTITUTE(D766," ","-"),"/","-"),".",""),",","")),"")</f>
        <v/>
      </c>
      <c r="D766" s="23" t="inlineStr">
        <is>
          <t>KIT.BO.11.A.A42</t>
        </is>
      </c>
      <c r="E766" s="23" t="n"/>
      <c r="F766" s="23" t="inlineStr">
        <is>
          <t>SOHIPREN</t>
        </is>
      </c>
      <c r="G766" s="23" t="n"/>
      <c r="H766" s="23" t="inlineStr">
        <is>
          <t>draft</t>
        </is>
      </c>
      <c r="I766" s="23" t="inlineStr">
        <is>
          <t>MASSEY FERGUNSON</t>
        </is>
      </c>
      <c r="J766" s="23" t="inlineStr">
        <is>
          <t>TRATOR MF</t>
        </is>
      </c>
      <c r="K766" s="23" t="inlineStr">
        <is>
          <t>KIT TRASEIRO</t>
        </is>
      </c>
      <c r="L766" s="23" t="inlineStr">
        <is>
          <t>9511089141/90652941/99065007/9007109141/1122301101</t>
        </is>
      </c>
      <c r="M766" s="31" t="n"/>
      <c r="N766" s="31" t="n"/>
      <c r="O766" s="31" t="n"/>
      <c r="P766" s="31" t="n"/>
      <c r="Q766" s="31" t="n"/>
      <c r="R766" s="34">
        <f>IFERROR(IF(AND(O766&gt;0,P766&gt;0,Q766&gt;0),(O766*P766*Q766)/6000,""),"")</f>
        <v/>
      </c>
      <c r="S766" s="34">
        <f>IFERROR(IF(AND(N766&gt;0,R766&gt;0),MAX(N766,R766),IF(N766&gt;0,N766,IF(R766&gt;0,R766,""))),"")</f>
        <v/>
      </c>
      <c r="T766" s="36" t="n"/>
      <c r="U766" s="38" t="inlineStr">
        <is>
          <t>FALTA</t>
        </is>
      </c>
      <c r="V766" s="36" t="n">
        <v>468</v>
      </c>
      <c r="W766" s="39" t="n">
        <v>0.3</v>
      </c>
      <c r="X766" s="41">
        <f>IFERROR(V766+T766,"")</f>
        <v/>
      </c>
      <c r="Y766" s="41">
        <f>IFERROR(IF(W766&lt;1,X766/(1-W766),""),"")</f>
        <v/>
      </c>
      <c r="Z766" s="43">
        <f>'01_CONFIG_GLOBAL'!$C$14</f>
        <v/>
      </c>
      <c r="AA766" s="41">
        <f>IFERROR(Y766*Z766,"")</f>
        <v/>
      </c>
      <c r="AB766" s="41">
        <f>IFERROR(IF(Z766&lt;1,Y766/(1-Z766),""),"")</f>
        <v/>
      </c>
      <c r="AC766" s="23" t="n"/>
      <c r="AD766" s="36" t="n"/>
      <c r="AE766" s="23" t="n"/>
      <c r="AF766" s="36" t="n"/>
      <c r="AG766" s="23" t="n"/>
      <c r="AH766" s="36" t="n"/>
      <c r="AI766" s="41">
        <f>IFERROR(AVERAGE(AD766,AF766,AH766),"")</f>
        <v/>
      </c>
      <c r="AJ766" s="29">
        <f>IFERROR(IF(AI766="","sem dados",IF(AB766&lt;AI766*0.95,"abaixo",IF(AB766&gt;AI766*1.05,"acima","em linha"))),"")</f>
        <v/>
      </c>
      <c r="AK766" s="23" t="inlineStr">
        <is>
          <t>não</t>
        </is>
      </c>
      <c r="AL766" s="23" t="n"/>
      <c r="AM766" s="23" t="n"/>
      <c r="AN766" s="23" t="n"/>
      <c r="AO766" s="44">
        <f>A766</f>
        <v/>
      </c>
      <c r="AP766" s="44">
        <f>D766</f>
        <v/>
      </c>
    </row>
    <row r="767" hidden="1" ht="15.75" customHeight="1" s="93">
      <c r="A767" s="23" t="inlineStr">
        <is>
          <t>5.0203.0540802.0</t>
        </is>
      </c>
      <c r="B767" s="23" t="inlineStr">
        <is>
          <t>540802</t>
        </is>
      </c>
      <c r="C767" s="29">
        <f>IFERROR(LOWER(SUBSTITUTE(SUBSTITUTE(SUBSTITUTE(SUBSTITUTE(D767," ","-"),"/","-"),".",""),",","")),"")</f>
        <v/>
      </c>
      <c r="D767" s="23" t="inlineStr">
        <is>
          <t>BOD 5,5 C10.C2.C6.T11  -105+10 BAR (DEPOSITO)</t>
        </is>
      </c>
      <c r="E767" s="23" t="inlineStr">
        <is>
          <t>Bombas Hidráulicas</t>
        </is>
      </c>
      <c r="F767" s="23" t="inlineStr">
        <is>
          <t>SOHIPREN</t>
        </is>
      </c>
      <c r="G767" s="23" t="n"/>
      <c r="H767" s="23" t="inlineStr">
        <is>
          <t>draft</t>
        </is>
      </c>
      <c r="I767" s="23" t="inlineStr">
        <is>
          <t>MASSEY FERGUNSON</t>
        </is>
      </c>
      <c r="J767" s="23" t="inlineStr">
        <is>
          <t>TRATOR DE PNEUS</t>
        </is>
      </c>
      <c r="K767" s="23" t="inlineStr">
        <is>
          <t>DIREÇÃO</t>
        </is>
      </c>
      <c r="L767" s="23" t="inlineStr">
        <is>
          <t>3148760M91/3148760/9540082507</t>
        </is>
      </c>
      <c r="M767" s="31" t="n"/>
      <c r="N767" s="31" t="n"/>
      <c r="O767" s="31" t="n"/>
      <c r="P767" s="31" t="n"/>
      <c r="Q767" s="31" t="n"/>
      <c r="R767" s="34">
        <f>IFERROR(IF(AND(O767&gt;0,P767&gt;0,Q767&gt;0),(O767*P767*Q767)/6000,""),"")</f>
        <v/>
      </c>
      <c r="S767" s="34">
        <f>IFERROR(IF(AND(N767&gt;0,R767&gt;0),MAX(N767,R767),IF(N767&gt;0,N767,IF(R767&gt;0,R767,""))),"")</f>
        <v/>
      </c>
      <c r="T767" s="36" t="n"/>
      <c r="U767" s="38" t="inlineStr">
        <is>
          <t>FALTA</t>
        </is>
      </c>
      <c r="V767" s="36" t="n">
        <v>517</v>
      </c>
      <c r="W767" s="39" t="n">
        <v>0.3</v>
      </c>
      <c r="X767" s="41">
        <f>IFERROR(V767+T767,"")</f>
        <v/>
      </c>
      <c r="Y767" s="41">
        <f>IFERROR(IF(W767&lt;1,X767/(1-W767),""),"")</f>
        <v/>
      </c>
      <c r="Z767" s="43">
        <f>'01_CONFIG_GLOBAL'!$C$14</f>
        <v/>
      </c>
      <c r="AA767" s="41">
        <f>IFERROR(Y767*Z767,"")</f>
        <v/>
      </c>
      <c r="AB767" s="41">
        <f>IFERROR(IF(Z767&lt;1,Y767/(1-Z767),""),"")</f>
        <v/>
      </c>
      <c r="AC767" s="23" t="n"/>
      <c r="AD767" s="36" t="n"/>
      <c r="AE767" s="23" t="n"/>
      <c r="AF767" s="36" t="n"/>
      <c r="AG767" s="23" t="n"/>
      <c r="AH767" s="36" t="n"/>
      <c r="AI767" s="41">
        <f>IFERROR(AVERAGE(AD767,AF767,AH767),"")</f>
        <v/>
      </c>
      <c r="AJ767" s="29">
        <f>IFERROR(IF(AI767="","sem dados",IF(AB767&lt;AI767*0.95,"abaixo",IF(AB767&gt;AI767*1.05,"acima","em linha"))),"")</f>
        <v/>
      </c>
      <c r="AK767" s="23" t="inlineStr">
        <is>
          <t>não</t>
        </is>
      </c>
      <c r="AL767" s="23" t="n"/>
      <c r="AM767" s="23" t="n"/>
      <c r="AN767" s="23" t="n"/>
      <c r="AO767" s="44">
        <f>A767</f>
        <v/>
      </c>
      <c r="AP767" s="44">
        <f>D767</f>
        <v/>
      </c>
    </row>
    <row r="768" hidden="1" ht="15.75" customHeight="1" s="93">
      <c r="A768" s="23" t="inlineStr">
        <is>
          <t>5.1302.0565067.0</t>
        </is>
      </c>
      <c r="B768" s="23" t="inlineStr">
        <is>
          <t>565067</t>
        </is>
      </c>
      <c r="C768" s="29">
        <f>IFERROR(LOWER(SUBSTITUTE(SUBSTITUTE(SUBSTITUTE(SUBSTITUTE(D768," ","-"),"/","-"),".",""),",","")),"")</f>
        <v/>
      </c>
      <c r="D768" s="23" t="inlineStr">
        <is>
          <t>BOMBA HIDRÁULICA - APLICAÇÃO MF A-017 (6200419M91) GIRO D (PROTOTIPO)</t>
        </is>
      </c>
      <c r="E768" s="23" t="inlineStr">
        <is>
          <t>Bombas Hidráulicas</t>
        </is>
      </c>
      <c r="F768" s="23" t="inlineStr">
        <is>
          <t>SOHIPREN</t>
        </is>
      </c>
      <c r="G768" s="23" t="n"/>
      <c r="H768" s="23" t="inlineStr">
        <is>
          <t>draft</t>
        </is>
      </c>
      <c r="I768" s="23" t="inlineStr">
        <is>
          <t>MASSEY FERGUSON</t>
        </is>
      </c>
      <c r="J768" s="23" t="n"/>
      <c r="K768" s="23" t="n"/>
      <c r="L768" s="23" t="inlineStr">
        <is>
          <t>6200419M91</t>
        </is>
      </c>
      <c r="M768" s="31" t="n"/>
      <c r="N768" s="31" t="n"/>
      <c r="O768" s="31" t="n"/>
      <c r="P768" s="31" t="n"/>
      <c r="Q768" s="31" t="n"/>
      <c r="R768" s="34">
        <f>IFERROR(IF(AND(O768&gt;0,P768&gt;0,Q768&gt;0),(O768*P768*Q768)/6000,""),"")</f>
        <v/>
      </c>
      <c r="S768" s="34">
        <f>IFERROR(IF(AND(N768&gt;0,R768&gt;0),MAX(N768,R768),IF(N768&gt;0,N768,IF(R768&gt;0,R768,""))),"")</f>
        <v/>
      </c>
      <c r="T768" s="36" t="n"/>
      <c r="U768" s="38" t="inlineStr">
        <is>
          <t>FALTA</t>
        </is>
      </c>
      <c r="V768" s="36" t="n">
        <v>1920</v>
      </c>
      <c r="W768" s="39" t="n">
        <v>0.3</v>
      </c>
      <c r="X768" s="41">
        <f>IFERROR(V768+T768,"")</f>
        <v/>
      </c>
      <c r="Y768" s="41">
        <f>IFERROR(IF(W768&lt;1,X768/(1-W768),""),"")</f>
        <v/>
      </c>
      <c r="Z768" s="43">
        <f>'01_CONFIG_GLOBAL'!$C$14</f>
        <v/>
      </c>
      <c r="AA768" s="41">
        <f>IFERROR(Y768*Z768,"")</f>
        <v/>
      </c>
      <c r="AB768" s="41">
        <f>IFERROR(IF(Z768&lt;1,Y768/(1-Z768),""),"")</f>
        <v/>
      </c>
      <c r="AC768" s="23" t="n"/>
      <c r="AD768" s="36" t="n"/>
      <c r="AE768" s="23" t="n"/>
      <c r="AF768" s="36" t="n"/>
      <c r="AG768" s="23" t="n"/>
      <c r="AH768" s="36" t="n"/>
      <c r="AI768" s="41">
        <f>IFERROR(AVERAGE(AD768,AF768,AH768),"")</f>
        <v/>
      </c>
      <c r="AJ768" s="29">
        <f>IFERROR(IF(AI768="","sem dados",IF(AB768&lt;AI768*0.95,"abaixo",IF(AB768&gt;AI768*1.05,"acima","em linha"))),"")</f>
        <v/>
      </c>
      <c r="AK768" s="23" t="inlineStr">
        <is>
          <t>não</t>
        </is>
      </c>
      <c r="AL768" s="23" t="n"/>
      <c r="AM768" s="23" t="n"/>
      <c r="AN768" s="23" t="n"/>
      <c r="AO768" s="44">
        <f>A768</f>
        <v/>
      </c>
      <c r="AP768" s="44">
        <f>D768</f>
        <v/>
      </c>
    </row>
    <row r="769" hidden="1" ht="15.75" customHeight="1" s="93">
      <c r="A769" s="23" t="inlineStr">
        <is>
          <t>5.0209.L026771.0</t>
        </is>
      </c>
      <c r="B769" s="23" t="inlineStr">
        <is>
          <t>L026771</t>
        </is>
      </c>
      <c r="C769" s="29">
        <f>IFERROR(LOWER(SUBSTITUTE(SUBSTITUTE(SUBSTITUTE(SUBSTITUTE(D769," ","-"),"/","-"),".",""),",","")),"")</f>
        <v/>
      </c>
      <c r="D769" s="23" t="inlineStr">
        <is>
          <t>BOMBA HIDRÁULICA - APLICAÇÃO 19 E2.B8.A14.D5 9-130 BAR</t>
        </is>
      </c>
      <c r="E769" s="23" t="inlineStr">
        <is>
          <t>Bombas Hidráulicas</t>
        </is>
      </c>
      <c r="F769" s="23" t="inlineStr">
        <is>
          <t>SOHIPREN</t>
        </is>
      </c>
      <c r="G769" s="23" t="n"/>
      <c r="H769" s="23" t="inlineStr">
        <is>
          <t>draft</t>
        </is>
      </c>
      <c r="I769" s="23" t="inlineStr">
        <is>
          <t>MASSEY FERGUSON</t>
        </is>
      </c>
      <c r="J769" s="23" t="inlineStr">
        <is>
          <t>COLHEITADEIRAS</t>
        </is>
      </c>
      <c r="K769" s="23" t="n"/>
      <c r="L769" s="23" t="inlineStr">
        <is>
          <t>6302410M91/R979034336</t>
        </is>
      </c>
      <c r="M769" s="31" t="n"/>
      <c r="N769" s="31" t="n"/>
      <c r="O769" s="31" t="n"/>
      <c r="P769" s="31" t="n"/>
      <c r="Q769" s="31" t="n"/>
      <c r="R769" s="34">
        <f>IFERROR(IF(AND(O769&gt;0,P769&gt;0,Q769&gt;0),(O769*P769*Q769)/6000,""),"")</f>
        <v/>
      </c>
      <c r="S769" s="34">
        <f>IFERROR(IF(AND(N769&gt;0,R769&gt;0),MAX(N769,R769),IF(N769&gt;0,N769,IF(R769&gt;0,R769,""))),"")</f>
        <v/>
      </c>
      <c r="T769" s="36" t="n"/>
      <c r="U769" s="38" t="inlineStr">
        <is>
          <t>FALTA</t>
        </is>
      </c>
      <c r="V769" s="36" t="n">
        <v>654.5</v>
      </c>
      <c r="W769" s="39" t="n">
        <v>0.3</v>
      </c>
      <c r="X769" s="41">
        <f>IFERROR(V769+T769,"")</f>
        <v/>
      </c>
      <c r="Y769" s="41">
        <f>IFERROR(IF(W769&lt;1,X769/(1-W769),""),"")</f>
        <v/>
      </c>
      <c r="Z769" s="43">
        <f>'01_CONFIG_GLOBAL'!$C$14</f>
        <v/>
      </c>
      <c r="AA769" s="41">
        <f>IFERROR(Y769*Z769,"")</f>
        <v/>
      </c>
      <c r="AB769" s="41">
        <f>IFERROR(IF(Z769&lt;1,Y769/(1-Z769),""),"")</f>
        <v/>
      </c>
      <c r="AC769" s="23" t="n"/>
      <c r="AD769" s="36" t="n"/>
      <c r="AE769" s="23" t="n"/>
      <c r="AF769" s="36" t="n"/>
      <c r="AG769" s="23" t="n"/>
      <c r="AH769" s="36" t="n"/>
      <c r="AI769" s="41">
        <f>IFERROR(AVERAGE(AD769,AF769,AH769),"")</f>
        <v/>
      </c>
      <c r="AJ769" s="29">
        <f>IFERROR(IF(AI769="","sem dados",IF(AB769&lt;AI769*0.95,"abaixo",IF(AB769&gt;AI769*1.05,"acima","em linha"))),"")</f>
        <v/>
      </c>
      <c r="AK769" s="23" t="inlineStr">
        <is>
          <t>não</t>
        </is>
      </c>
      <c r="AL769" s="23" t="n"/>
      <c r="AM769" s="23" t="n"/>
      <c r="AN769" s="23" t="n"/>
      <c r="AO769" s="44">
        <f>A769</f>
        <v/>
      </c>
      <c r="AP769" s="44">
        <f>D769</f>
        <v/>
      </c>
    </row>
    <row r="770" hidden="1" ht="15.75" customHeight="1" s="93">
      <c r="A770" s="23" t="inlineStr">
        <is>
          <t>5.1302.L025628.0</t>
        </is>
      </c>
      <c r="B770" s="23" t="inlineStr">
        <is>
          <t>L025628</t>
        </is>
      </c>
      <c r="C770" s="29">
        <f>IFERROR(LOWER(SUBSTITUTE(SUBSTITUTE(SUBSTITUTE(SUBSTITUTE(D770," ","-"),"/","-"),".",""),",","")),"")</f>
        <v/>
      </c>
      <c r="D770" s="23" t="inlineStr">
        <is>
          <t>BOMBA HIDRÁULICA - APLICAÇÃO MF A-016 S/ TUBO DE SUCÇÃO</t>
        </is>
      </c>
      <c r="E770" s="23" t="inlineStr">
        <is>
          <t>Bombas Hidráulicas</t>
        </is>
      </c>
      <c r="F770" s="23" t="inlineStr">
        <is>
          <t>SOHIPREN</t>
        </is>
      </c>
      <c r="G770" s="23" t="n"/>
      <c r="H770" s="23" t="inlineStr">
        <is>
          <t>draft</t>
        </is>
      </c>
      <c r="I770" s="23" t="inlineStr">
        <is>
          <t>MASSEY FERGUSON</t>
        </is>
      </c>
      <c r="J770" s="23" t="n"/>
      <c r="K770" s="23" t="n"/>
      <c r="L770" s="23" t="inlineStr">
        <is>
          <t>R979017550 - 11112022040</t>
        </is>
      </c>
      <c r="M770" s="31" t="n"/>
      <c r="N770" s="31" t="n"/>
      <c r="O770" s="31" t="n"/>
      <c r="P770" s="31" t="n"/>
      <c r="Q770" s="31" t="n"/>
      <c r="R770" s="34">
        <f>IFERROR(IF(AND(O770&gt;0,P770&gt;0,Q770&gt;0),(O770*P770*Q770)/6000,""),"")</f>
        <v/>
      </c>
      <c r="S770" s="34">
        <f>IFERROR(IF(AND(N770&gt;0,R770&gt;0),MAX(N770,R770),IF(N770&gt;0,N770,IF(R770&gt;0,R770,""))),"")</f>
        <v/>
      </c>
      <c r="T770" s="36" t="n"/>
      <c r="U770" s="38" t="inlineStr">
        <is>
          <t>FALTA</t>
        </is>
      </c>
      <c r="V770" s="36" t="n">
        <v>1290</v>
      </c>
      <c r="W770" s="39" t="n">
        <v>0.3</v>
      </c>
      <c r="X770" s="41">
        <f>IFERROR(V770+T770,"")</f>
        <v/>
      </c>
      <c r="Y770" s="41">
        <f>IFERROR(IF(W770&lt;1,X770/(1-W770),""),"")</f>
        <v/>
      </c>
      <c r="Z770" s="43">
        <f>'01_CONFIG_GLOBAL'!$C$14</f>
        <v/>
      </c>
      <c r="AA770" s="41">
        <f>IFERROR(Y770*Z770,"")</f>
        <v/>
      </c>
      <c r="AB770" s="41">
        <f>IFERROR(IF(Z770&lt;1,Y770/(1-Z770),""),"")</f>
        <v/>
      </c>
      <c r="AC770" s="23" t="n"/>
      <c r="AD770" s="36" t="n"/>
      <c r="AE770" s="23" t="n"/>
      <c r="AF770" s="36" t="n"/>
      <c r="AG770" s="23" t="n"/>
      <c r="AH770" s="36" t="n"/>
      <c r="AI770" s="41">
        <f>IFERROR(AVERAGE(AD770,AF770,AH770),"")</f>
        <v/>
      </c>
      <c r="AJ770" s="29">
        <f>IFERROR(IF(AI770="","sem dados",IF(AB770&lt;AI770*0.95,"abaixo",IF(AB770&gt;AI770*1.05,"acima","em linha"))),"")</f>
        <v/>
      </c>
      <c r="AK770" s="23" t="inlineStr">
        <is>
          <t>não</t>
        </is>
      </c>
      <c r="AL770" s="23" t="n"/>
      <c r="AM770" s="23" t="n"/>
      <c r="AN770" s="23" t="n"/>
      <c r="AO770" s="44">
        <f>A770</f>
        <v/>
      </c>
      <c r="AP770" s="44">
        <f>D770</f>
        <v/>
      </c>
    </row>
    <row r="771" hidden="1" ht="15.75" customHeight="1" s="93">
      <c r="A771" s="23" t="inlineStr">
        <is>
          <t>0.2005.0000200.0</t>
        </is>
      </c>
      <c r="B771" s="23" t="inlineStr">
        <is>
          <t>200</t>
        </is>
      </c>
      <c r="C771" s="29">
        <f>IFERROR(LOWER(SUBSTITUTE(SUBSTITUTE(SUBSTITUTE(SUBSTITUTE(D771," ","-"),"/","-"),".",""),",","")),"")</f>
        <v/>
      </c>
      <c r="D771" s="23" t="inlineStr">
        <is>
          <t>MT LNHU 2104 I 12 UN IC908 (ISCAR)(PEINE INT.12 UN HTA ROSC)</t>
        </is>
      </c>
      <c r="E771" s="23" t="n"/>
      <c r="F771" s="23" t="inlineStr">
        <is>
          <t>SOHIPREN</t>
        </is>
      </c>
      <c r="G771" s="23" t="n"/>
      <c r="H771" s="23" t="inlineStr">
        <is>
          <t>draft</t>
        </is>
      </c>
      <c r="I771" s="23" t="inlineStr">
        <is>
          <t>MAXITOOL</t>
        </is>
      </c>
      <c r="J771" s="23" t="n"/>
      <c r="K771" s="23" t="n"/>
      <c r="L771" s="23" t="inlineStr">
        <is>
          <t>5669518</t>
        </is>
      </c>
      <c r="M771" s="31" t="n"/>
      <c r="N771" s="31" t="n"/>
      <c r="O771" s="31" t="n"/>
      <c r="P771" s="31" t="n"/>
      <c r="Q771" s="31" t="n"/>
      <c r="R771" s="34">
        <f>IFERROR(IF(AND(O771&gt;0,P771&gt;0,Q771&gt;0),(O771*P771*Q771)/6000,""),"")</f>
        <v/>
      </c>
      <c r="S771" s="34">
        <f>IFERROR(IF(AND(N771&gt;0,R771&gt;0),MAX(N771,R771),IF(N771&gt;0,N771,IF(R771&gt;0,R771,""))),"")</f>
        <v/>
      </c>
      <c r="T771" s="36" t="n"/>
      <c r="U771" s="38" t="inlineStr">
        <is>
          <t>FALTA</t>
        </is>
      </c>
      <c r="V771" s="36" t="n">
        <v>59</v>
      </c>
      <c r="W771" s="39" t="n">
        <v>0.3</v>
      </c>
      <c r="X771" s="41">
        <f>IFERROR(V771+T771,"")</f>
        <v/>
      </c>
      <c r="Y771" s="41">
        <f>IFERROR(IF(W771&lt;1,X771/(1-W771),""),"")</f>
        <v/>
      </c>
      <c r="Z771" s="43">
        <f>'01_CONFIG_GLOBAL'!$C$14</f>
        <v/>
      </c>
      <c r="AA771" s="41">
        <f>IFERROR(Y771*Z771,"")</f>
        <v/>
      </c>
      <c r="AB771" s="41">
        <f>IFERROR(IF(Z771&lt;1,Y771/(1-Z771),""),"")</f>
        <v/>
      </c>
      <c r="AC771" s="23" t="n"/>
      <c r="AD771" s="36" t="n"/>
      <c r="AE771" s="23" t="n"/>
      <c r="AF771" s="36" t="n"/>
      <c r="AG771" s="23" t="n"/>
      <c r="AH771" s="36" t="n"/>
      <c r="AI771" s="41">
        <f>IFERROR(AVERAGE(AD771,AF771,AH771),"")</f>
        <v/>
      </c>
      <c r="AJ771" s="29">
        <f>IFERROR(IF(AI771="","sem dados",IF(AB771&lt;AI771*0.95,"abaixo",IF(AB771&gt;AI771*1.05,"acima","em linha"))),"")</f>
        <v/>
      </c>
      <c r="AK771" s="23" t="inlineStr">
        <is>
          <t>não</t>
        </is>
      </c>
      <c r="AL771" s="23" t="n"/>
      <c r="AM771" s="23" t="n"/>
      <c r="AN771" s="23" t="n"/>
      <c r="AO771" s="44">
        <f>A771</f>
        <v/>
      </c>
      <c r="AP771" s="44">
        <f>D771</f>
        <v/>
      </c>
    </row>
    <row r="772" hidden="1" ht="15.75" customHeight="1" s="93">
      <c r="A772" s="23" t="inlineStr">
        <is>
          <t>5.0220.0548816.0</t>
        </is>
      </c>
      <c r="B772" s="23" t="inlineStr">
        <is>
          <t>548816</t>
        </is>
      </c>
      <c r="C772" s="29">
        <f>IFERROR(LOWER(SUBSTITUTE(SUBSTITUTE(SUBSTITUTE(SUBSTITUTE(D772," ","-"),"/","-"),".",""),",","")),"")</f>
        <v/>
      </c>
      <c r="D772" s="23" t="inlineStr">
        <is>
          <t>BOMBA HIDRÁULICA - APLICAÇÃO 11 B11.C12.A/4 A.L (PLACA H15)</t>
        </is>
      </c>
      <c r="E772" s="23" t="inlineStr">
        <is>
          <t>Bombas Hidráulicas</t>
        </is>
      </c>
      <c r="F772" s="23" t="inlineStr">
        <is>
          <t>SOHIPREN</t>
        </is>
      </c>
      <c r="G772" s="23" t="n"/>
      <c r="H772" s="23" t="inlineStr">
        <is>
          <t>draft</t>
        </is>
      </c>
      <c r="I772" s="23" t="inlineStr">
        <is>
          <t>MAXXION - MASSEY FERGUSON</t>
        </is>
      </c>
      <c r="J772" s="23" t="inlineStr">
        <is>
          <t>TRATOR</t>
        </is>
      </c>
      <c r="K772" s="23" t="inlineStr">
        <is>
          <t>DIREÇÃO E CONTROLE REMOTO</t>
        </is>
      </c>
      <c r="L772" s="23" t="inlineStr">
        <is>
          <t>052208T1/F000510501/9015102501/332920006/90642553</t>
        </is>
      </c>
      <c r="M772" s="31" t="n"/>
      <c r="N772" s="31" t="n"/>
      <c r="O772" s="31" t="n"/>
      <c r="P772" s="31" t="n"/>
      <c r="Q772" s="31" t="n"/>
      <c r="R772" s="34">
        <f>IFERROR(IF(AND(O772&gt;0,P772&gt;0,Q772&gt;0),(O772*P772*Q772)/6000,""),"")</f>
        <v/>
      </c>
      <c r="S772" s="34">
        <f>IFERROR(IF(AND(N772&gt;0,R772&gt;0),MAX(N772,R772),IF(N772&gt;0,N772,IF(R772&gt;0,R772,""))),"")</f>
        <v/>
      </c>
      <c r="T772" s="36" t="n"/>
      <c r="U772" s="38" t="inlineStr">
        <is>
          <t>FALTA</t>
        </is>
      </c>
      <c r="V772" s="36" t="n">
        <v>1109.9</v>
      </c>
      <c r="W772" s="39" t="n">
        <v>0.3</v>
      </c>
      <c r="X772" s="41">
        <f>IFERROR(V772+T772,"")</f>
        <v/>
      </c>
      <c r="Y772" s="41">
        <f>IFERROR(IF(W772&lt;1,X772/(1-W772),""),"")</f>
        <v/>
      </c>
      <c r="Z772" s="43">
        <f>'01_CONFIG_GLOBAL'!$C$14</f>
        <v/>
      </c>
      <c r="AA772" s="41">
        <f>IFERROR(Y772*Z772,"")</f>
        <v/>
      </c>
      <c r="AB772" s="41">
        <f>IFERROR(IF(Z772&lt;1,Y772/(1-Z772),""),"")</f>
        <v/>
      </c>
      <c r="AC772" s="23" t="n"/>
      <c r="AD772" s="36" t="n"/>
      <c r="AE772" s="23" t="n"/>
      <c r="AF772" s="36" t="n"/>
      <c r="AG772" s="23" t="n"/>
      <c r="AH772" s="36" t="n"/>
      <c r="AI772" s="41">
        <f>IFERROR(AVERAGE(AD772,AF772,AH772),"")</f>
        <v/>
      </c>
      <c r="AJ772" s="29">
        <f>IFERROR(IF(AI772="","sem dados",IF(AB772&lt;AI772*0.95,"abaixo",IF(AB772&gt;AI772*1.05,"acima","em linha"))),"")</f>
        <v/>
      </c>
      <c r="AK772" s="23" t="inlineStr">
        <is>
          <t>não</t>
        </is>
      </c>
      <c r="AL772" s="23" t="n"/>
      <c r="AM772" s="23" t="n"/>
      <c r="AN772" s="23" t="n"/>
      <c r="AO772" s="44">
        <f>A772</f>
        <v/>
      </c>
      <c r="AP772" s="44">
        <f>D772</f>
        <v/>
      </c>
    </row>
    <row r="773" hidden="1" ht="15.75" customHeight="1" s="93">
      <c r="A773" s="23" t="inlineStr">
        <is>
          <t>5.0220.0548818.0</t>
        </is>
      </c>
      <c r="B773" s="23" t="inlineStr">
        <is>
          <t>548818</t>
        </is>
      </c>
      <c r="C773" s="29">
        <f>IFERROR(LOWER(SUBSTITUTE(SUBSTITUTE(SUBSTITUTE(SUBSTITUTE(D773," ","-"),"/","-"),".",""),",","")),"")</f>
        <v/>
      </c>
      <c r="D773" s="23" t="inlineStr">
        <is>
          <t>BOMBA HIDRÁULICA - APLICAÇÃO 22,5 E9.P1.A2/8 A2.L1</t>
        </is>
      </c>
      <c r="E773" s="23" t="inlineStr">
        <is>
          <t>Bombas Hidráulicas</t>
        </is>
      </c>
      <c r="F773" s="23" t="inlineStr">
        <is>
          <t>SOHIPREN</t>
        </is>
      </c>
      <c r="G773" s="23" t="n"/>
      <c r="H773" s="23" t="inlineStr">
        <is>
          <t>draft</t>
        </is>
      </c>
      <c r="I773" s="23" t="inlineStr">
        <is>
          <t>MAXXION - MASSEY FERGUSON</t>
        </is>
      </c>
      <c r="J773" s="23" t="inlineStr">
        <is>
          <t>TRATOR DE PNEUS</t>
        </is>
      </c>
      <c r="K773" s="23" t="inlineStr">
        <is>
          <t>PRINCIPAL E DIREÇÃO</t>
        </is>
      </c>
      <c r="L773" s="23" t="inlineStr">
        <is>
          <t>038479T1/ 9510080760/ 41109403/ S041686/1112022002</t>
        </is>
      </c>
      <c r="M773" s="31" t="n"/>
      <c r="N773" s="31" t="n"/>
      <c r="O773" s="31" t="n"/>
      <c r="P773" s="31" t="n"/>
      <c r="Q773" s="31" t="n"/>
      <c r="R773" s="34">
        <f>IFERROR(IF(AND(O773&gt;0,P773&gt;0,Q773&gt;0),(O773*P773*Q773)/6000,""),"")</f>
        <v/>
      </c>
      <c r="S773" s="34">
        <f>IFERROR(IF(AND(N773&gt;0,R773&gt;0),MAX(N773,R773),IF(N773&gt;0,N773,IF(R773&gt;0,R773,""))),"")</f>
        <v/>
      </c>
      <c r="T773" s="36" t="n"/>
      <c r="U773" s="38" t="inlineStr">
        <is>
          <t>FALTA</t>
        </is>
      </c>
      <c r="V773" s="36" t="n">
        <v>1330</v>
      </c>
      <c r="W773" s="39" t="n">
        <v>0.3</v>
      </c>
      <c r="X773" s="41">
        <f>IFERROR(V773+T773,"")</f>
        <v/>
      </c>
      <c r="Y773" s="41">
        <f>IFERROR(IF(W773&lt;1,X773/(1-W773),""),"")</f>
        <v/>
      </c>
      <c r="Z773" s="43">
        <f>'01_CONFIG_GLOBAL'!$C$14</f>
        <v/>
      </c>
      <c r="AA773" s="41">
        <f>IFERROR(Y773*Z773,"")</f>
        <v/>
      </c>
      <c r="AB773" s="41">
        <f>IFERROR(IF(Z773&lt;1,Y773/(1-Z773),""),"")</f>
        <v/>
      </c>
      <c r="AC773" s="23" t="n"/>
      <c r="AD773" s="36" t="n"/>
      <c r="AE773" s="23" t="n"/>
      <c r="AF773" s="36" t="n"/>
      <c r="AG773" s="23" t="n"/>
      <c r="AH773" s="36" t="n"/>
      <c r="AI773" s="41">
        <f>IFERROR(AVERAGE(AD773,AF773,AH773),"")</f>
        <v/>
      </c>
      <c r="AJ773" s="29">
        <f>IFERROR(IF(AI773="","sem dados",IF(AB773&lt;AI773*0.95,"abaixo",IF(AB773&gt;AI773*1.05,"acima","em linha"))),"")</f>
        <v/>
      </c>
      <c r="AK773" s="23" t="inlineStr">
        <is>
          <t>não</t>
        </is>
      </c>
      <c r="AL773" s="23" t="n"/>
      <c r="AM773" s="23" t="n"/>
      <c r="AN773" s="23" t="n"/>
      <c r="AO773" s="44">
        <f>A773</f>
        <v/>
      </c>
      <c r="AP773" s="44">
        <f>D773</f>
        <v/>
      </c>
    </row>
    <row r="774" hidden="1" ht="15.75" customHeight="1" s="93">
      <c r="A774" s="23" t="inlineStr">
        <is>
          <t>5.0220.0548823.0</t>
        </is>
      </c>
      <c r="B774" s="23" t="inlineStr">
        <is>
          <t>548823</t>
        </is>
      </c>
      <c r="C774" s="29">
        <f>IFERROR(LOWER(SUBSTITUTE(SUBSTITUTE(SUBSTITUTE(SUBSTITUTE(D774," ","-"),"/","-"),".",""),",","")),"")</f>
        <v/>
      </c>
      <c r="D774" s="23" t="inlineStr">
        <is>
          <t>BOMBA HIDRÁULICA - APLICAÇÃO 22,5 E9.P1.A20/11 A16.L</t>
        </is>
      </c>
      <c r="E774" s="23" t="inlineStr">
        <is>
          <t>Bombas Hidráulicas</t>
        </is>
      </c>
      <c r="F774" s="23" t="inlineStr">
        <is>
          <t>SOHIPREN</t>
        </is>
      </c>
      <c r="G774" s="23" t="n"/>
      <c r="H774" s="23" t="inlineStr">
        <is>
          <t>draft</t>
        </is>
      </c>
      <c r="I774" s="23" t="inlineStr">
        <is>
          <t>MAXXION - MASSEY FERGUSON</t>
        </is>
      </c>
      <c r="J774" s="23" t="inlineStr">
        <is>
          <t>TRATOR</t>
        </is>
      </c>
      <c r="K774" s="23" t="inlineStr">
        <is>
          <t>DIREÇÃO E CONTROLE REMOTO</t>
        </is>
      </c>
      <c r="L774" s="23" t="inlineStr">
        <is>
          <t>41784503 / 9037112503</t>
        </is>
      </c>
      <c r="M774" s="31" t="n"/>
      <c r="N774" s="31" t="n"/>
      <c r="O774" s="31" t="n"/>
      <c r="P774" s="31" t="n"/>
      <c r="Q774" s="31" t="n"/>
      <c r="R774" s="34">
        <f>IFERROR(IF(AND(O774&gt;0,P774&gt;0,Q774&gt;0),(O774*P774*Q774)/6000,""),"")</f>
        <v/>
      </c>
      <c r="S774" s="34">
        <f>IFERROR(IF(AND(N774&gt;0,R774&gt;0),MAX(N774,R774),IF(N774&gt;0,N774,IF(R774&gt;0,R774,""))),"")</f>
        <v/>
      </c>
      <c r="T774" s="36" t="n"/>
      <c r="U774" s="38" t="inlineStr">
        <is>
          <t>FALTA</t>
        </is>
      </c>
      <c r="V774" s="36" t="n">
        <v>924</v>
      </c>
      <c r="W774" s="39" t="n">
        <v>0.3</v>
      </c>
      <c r="X774" s="41">
        <f>IFERROR(V774+T774,"")</f>
        <v/>
      </c>
      <c r="Y774" s="41">
        <f>IFERROR(IF(W774&lt;1,X774/(1-W774),""),"")</f>
        <v/>
      </c>
      <c r="Z774" s="43">
        <f>'01_CONFIG_GLOBAL'!$C$14</f>
        <v/>
      </c>
      <c r="AA774" s="41">
        <f>IFERROR(Y774*Z774,"")</f>
        <v/>
      </c>
      <c r="AB774" s="41">
        <f>IFERROR(IF(Z774&lt;1,Y774/(1-Z774),""),"")</f>
        <v/>
      </c>
      <c r="AC774" s="23" t="n"/>
      <c r="AD774" s="36" t="n"/>
      <c r="AE774" s="23" t="n"/>
      <c r="AF774" s="36" t="n"/>
      <c r="AG774" s="23" t="n"/>
      <c r="AH774" s="36" t="n"/>
      <c r="AI774" s="41">
        <f>IFERROR(AVERAGE(AD774,AF774,AH774),"")</f>
        <v/>
      </c>
      <c r="AJ774" s="29">
        <f>IFERROR(IF(AI774="","sem dados",IF(AB774&lt;AI774*0.95,"abaixo",IF(AB774&gt;AI774*1.05,"acima","em linha"))),"")</f>
        <v/>
      </c>
      <c r="AK774" s="23" t="inlineStr">
        <is>
          <t>não</t>
        </is>
      </c>
      <c r="AL774" s="23" t="n"/>
      <c r="AM774" s="23" t="n"/>
      <c r="AN774" s="23" t="n"/>
      <c r="AO774" s="44">
        <f>A774</f>
        <v/>
      </c>
      <c r="AP774" s="44">
        <f>D774</f>
        <v/>
      </c>
    </row>
    <row r="775" hidden="1" ht="15.75" customHeight="1" s="93">
      <c r="A775" s="23" t="inlineStr">
        <is>
          <t>5.0403.0575022.0</t>
        </is>
      </c>
      <c r="B775" s="23" t="inlineStr">
        <is>
          <t>575022</t>
        </is>
      </c>
      <c r="C775" s="29">
        <f>IFERROR(LOWER(SUBSTITUTE(SUBSTITUTE(SUBSTITUTE(SUBSTITUTE(D775," ","-"),"/","-"),".",""),",","")),"")</f>
        <v/>
      </c>
      <c r="D775" s="23" t="inlineStr">
        <is>
          <t>BND 28 E4.C3.F2.L</t>
        </is>
      </c>
      <c r="E775" s="23" t="n"/>
      <c r="F775" s="23" t="inlineStr">
        <is>
          <t>SOHIPREN</t>
        </is>
      </c>
      <c r="G775" s="23" t="n"/>
      <c r="H775" s="23" t="inlineStr">
        <is>
          <t>draft</t>
        </is>
      </c>
      <c r="I775" s="23" t="inlineStr">
        <is>
          <t>MAXXION - MASSEY FERGUSON</t>
        </is>
      </c>
      <c r="J775" s="23" t="inlineStr">
        <is>
          <t>TRATOR</t>
        </is>
      </c>
      <c r="K775" s="23" t="inlineStr">
        <is>
          <t>LEVANTE</t>
        </is>
      </c>
      <c r="L775" s="23" t="inlineStr">
        <is>
          <t>069504T1-12101027044-R979018716-41752703</t>
        </is>
      </c>
      <c r="M775" s="31" t="n"/>
      <c r="N775" s="31" t="n"/>
      <c r="O775" s="31" t="n"/>
      <c r="P775" s="31" t="n"/>
      <c r="Q775" s="31" t="n"/>
      <c r="R775" s="34">
        <f>IFERROR(IF(AND(O775&gt;0,P775&gt;0,Q775&gt;0),(O775*P775*Q775)/6000,""),"")</f>
        <v/>
      </c>
      <c r="S775" s="34">
        <f>IFERROR(IF(AND(N775&gt;0,R775&gt;0),MAX(N775,R775),IF(N775&gt;0,N775,IF(R775&gt;0,R775,""))),"")</f>
        <v/>
      </c>
      <c r="T775" s="36" t="n"/>
      <c r="U775" s="38" t="inlineStr">
        <is>
          <t>FALTA</t>
        </is>
      </c>
      <c r="V775" s="36" t="n">
        <v>879</v>
      </c>
      <c r="W775" s="39" t="n">
        <v>0.3</v>
      </c>
      <c r="X775" s="41">
        <f>IFERROR(V775+T775,"")</f>
        <v/>
      </c>
      <c r="Y775" s="41">
        <f>IFERROR(IF(W775&lt;1,X775/(1-W775),""),"")</f>
        <v/>
      </c>
      <c r="Z775" s="43">
        <f>'01_CONFIG_GLOBAL'!$C$14</f>
        <v/>
      </c>
      <c r="AA775" s="41">
        <f>IFERROR(Y775*Z775,"")</f>
        <v/>
      </c>
      <c r="AB775" s="41">
        <f>IFERROR(IF(Z775&lt;1,Y775/(1-Z775),""),"")</f>
        <v/>
      </c>
      <c r="AC775" s="23" t="n"/>
      <c r="AD775" s="36" t="n"/>
      <c r="AE775" s="23" t="n"/>
      <c r="AF775" s="36" t="n"/>
      <c r="AG775" s="23" t="n"/>
      <c r="AH775" s="36" t="n"/>
      <c r="AI775" s="41">
        <f>IFERROR(AVERAGE(AD775,AF775,AH775),"")</f>
        <v/>
      </c>
      <c r="AJ775" s="29">
        <f>IFERROR(IF(AI775="","sem dados",IF(AB775&lt;AI775*0.95,"abaixo",IF(AB775&gt;AI775*1.05,"acima","em linha"))),"")</f>
        <v/>
      </c>
      <c r="AK775" s="23" t="inlineStr">
        <is>
          <t>não</t>
        </is>
      </c>
      <c r="AL775" s="23" t="n"/>
      <c r="AM775" s="23" t="n"/>
      <c r="AN775" s="23" t="n"/>
      <c r="AO775" s="44">
        <f>A775</f>
        <v/>
      </c>
      <c r="AP775" s="44">
        <f>D775</f>
        <v/>
      </c>
    </row>
    <row r="776" ht="15.75" customHeight="1" s="93">
      <c r="A776" s="23" t="inlineStr">
        <is>
          <t>5.1302.0565086.0</t>
        </is>
      </c>
      <c r="B776" s="23" t="inlineStr">
        <is>
          <t>565086</t>
        </is>
      </c>
      <c r="C776" s="29">
        <f>IFERROR(LOWER(SUBSTITUTE(SUBSTITUTE(SUBSTITUTE(SUBSTITUTE(D776," ","-"),"/","-"),".",""),",","")),"")</f>
        <v/>
      </c>
      <c r="D776" s="50" t="inlineStr">
        <is>
          <t>Bomba de Aplicação Massey Ferguson A-021 (ACX3124760) Giro I - 5.1302.0565086.0</t>
        </is>
      </c>
      <c r="E776" s="50" t="inlineStr">
        <is>
          <t>Bombas Hidráulicas</t>
        </is>
      </c>
      <c r="F776" s="23" t="inlineStr">
        <is>
          <t>SOHIPREN</t>
        </is>
      </c>
      <c r="G776" s="23" t="n"/>
      <c r="H776" s="23" t="inlineStr">
        <is>
          <t>active</t>
        </is>
      </c>
      <c r="I776" s="23" t="inlineStr">
        <is>
          <t>MAXXION - MASSEY FERGUSON</t>
        </is>
      </c>
      <c r="J776" s="23" t="inlineStr">
        <is>
          <t>TRATOR</t>
        </is>
      </c>
      <c r="K776" s="23" t="inlineStr">
        <is>
          <t>DIREÇÃO E AUXILIAR</t>
        </is>
      </c>
      <c r="L776" s="23" t="inlineStr">
        <is>
          <t>ACX3124760</t>
        </is>
      </c>
      <c r="M776" s="31" t="n"/>
      <c r="N776" s="31" t="n">
        <v>5.15</v>
      </c>
      <c r="O776" s="31" t="n">
        <v>30</v>
      </c>
      <c r="P776" s="31" t="n">
        <v>12.5</v>
      </c>
      <c r="Q776" s="31" t="n">
        <v>12.5</v>
      </c>
      <c r="R776" s="34">
        <f>IFERROR(IF(AND(O776&gt;0,P776&gt;0,Q776&gt;0),(O776*P776*Q776)/6000,""),"")</f>
        <v/>
      </c>
      <c r="S776" s="34">
        <f>IFERROR(IF(AND(N776&gt;0,R776&gt;0),MAX(N776,R776),IF(N776&gt;0,N776,IF(R776&gt;0,R776,""))),"")</f>
        <v/>
      </c>
      <c r="T776" s="36" t="n">
        <v>100</v>
      </c>
      <c r="U776" s="23" t="inlineStr">
        <is>
          <t>fornecedor</t>
        </is>
      </c>
      <c r="V776" s="36" t="n">
        <v>1104.15</v>
      </c>
      <c r="W776" s="39" t="n">
        <v>0.2</v>
      </c>
      <c r="X776" s="41">
        <f>IFERROR(V776+T776,"")</f>
        <v/>
      </c>
      <c r="Y776" s="41">
        <f>IFERROR(IF(W776&lt;1,X776/(1-W776),""),"")</f>
        <v/>
      </c>
      <c r="Z776" s="43">
        <f>'01_CONFIG_GLOBAL'!$C$14</f>
        <v/>
      </c>
      <c r="AA776" s="41">
        <f>IFERROR(Y776*Z776,"")</f>
        <v/>
      </c>
      <c r="AB776" s="41">
        <f>IFERROR(IF(Z776&lt;1,Y776/(1-Z776),""),"")</f>
        <v/>
      </c>
      <c r="AC776" s="23" t="n"/>
      <c r="AD776" s="36" t="n"/>
      <c r="AE776" s="23" t="n"/>
      <c r="AF776" s="36" t="n"/>
      <c r="AG776" s="23" t="n"/>
      <c r="AH776" s="36" t="n"/>
      <c r="AI776" s="41">
        <f>IFERROR(AVERAGE(AD776,AF776,AH776),"")</f>
        <v/>
      </c>
      <c r="AJ776" s="29">
        <f>IFERROR(IF(AI776="","sem dados",IF(AB776&lt;AI776*0.95,"abaixo",IF(AB776&gt;AI776*1.05,"acima","em linha"))),"")</f>
        <v/>
      </c>
      <c r="AK776" s="23" t="inlineStr">
        <is>
          <t>sim</t>
        </is>
      </c>
      <c r="AL776" s="23" t="n"/>
      <c r="AM776" s="23" t="n"/>
      <c r="AN776" s="23" t="n"/>
      <c r="AO776" s="44">
        <f>A776</f>
        <v/>
      </c>
      <c r="AP776" s="44">
        <f>D776</f>
        <v/>
      </c>
      <c r="AQ776" s="28" t="inlineStr">
        <is>
          <t>bomba_generica.png (genérica)</t>
        </is>
      </c>
    </row>
    <row r="777" ht="15.75" customHeight="1" s="93">
      <c r="A777" s="23" t="inlineStr">
        <is>
          <t>5.1302.0565087.0</t>
        </is>
      </c>
      <c r="B777" s="23" t="inlineStr">
        <is>
          <t>565087</t>
        </is>
      </c>
      <c r="C777" s="29">
        <f>IFERROR(LOWER(SUBSTITUTE(SUBSTITUTE(SUBSTITUTE(SUBSTITUTE(D777," ","-"),"/","-"),".",""),",","")),"")</f>
        <v/>
      </c>
      <c r="D777" s="50" t="inlineStr">
        <is>
          <t>Bomba de Aplicação Massey Ferguson A-022 (ACX3124770) Giro I - 5.1302.0565087.0</t>
        </is>
      </c>
      <c r="E777" s="50" t="inlineStr">
        <is>
          <t>Bombas Hidráulicas</t>
        </is>
      </c>
      <c r="F777" s="23" t="inlineStr">
        <is>
          <t>SOHIPREN</t>
        </is>
      </c>
      <c r="G777" s="23" t="n"/>
      <c r="H777" s="23" t="inlineStr">
        <is>
          <t>active</t>
        </is>
      </c>
      <c r="I777" s="23" t="inlineStr">
        <is>
          <t>MAXXION - MASSEY FERGUSON</t>
        </is>
      </c>
      <c r="J777" s="23" t="inlineStr">
        <is>
          <t>TRATOR</t>
        </is>
      </c>
      <c r="K777" s="23" t="inlineStr">
        <is>
          <t>DIREÇÃO E AUXILIAR</t>
        </is>
      </c>
      <c r="L777" s="23" t="inlineStr">
        <is>
          <t>ACX3124770</t>
        </is>
      </c>
      <c r="M777" s="31" t="n"/>
      <c r="N777" s="31" t="n">
        <v>5.15</v>
      </c>
      <c r="O777" s="31" t="n">
        <v>30</v>
      </c>
      <c r="P777" s="31" t="n">
        <v>12.5</v>
      </c>
      <c r="Q777" s="31" t="n">
        <v>12.5</v>
      </c>
      <c r="R777" s="34">
        <f>IFERROR(IF(AND(O777&gt;0,P777&gt;0,Q777&gt;0),(O777*P777*Q777)/6000,""),"")</f>
        <v/>
      </c>
      <c r="S777" s="34">
        <f>IFERROR(IF(AND(N777&gt;0,R777&gt;0),MAX(N777,R777),IF(N777&gt;0,N777,IF(R777&gt;0,R777,""))),"")</f>
        <v/>
      </c>
      <c r="T777" s="36" t="n">
        <v>100</v>
      </c>
      <c r="U777" s="23" t="inlineStr">
        <is>
          <t>fornecedor</t>
        </is>
      </c>
      <c r="V777" s="36" t="n">
        <v>1104.15</v>
      </c>
      <c r="W777" s="39" t="n">
        <v>0.2</v>
      </c>
      <c r="X777" s="41">
        <f>IFERROR(V777+T777,"")</f>
        <v/>
      </c>
      <c r="Y777" s="41">
        <f>IFERROR(IF(W777&lt;1,X777/(1-W777),""),"")</f>
        <v/>
      </c>
      <c r="Z777" s="43">
        <f>'01_CONFIG_GLOBAL'!$C$14</f>
        <v/>
      </c>
      <c r="AA777" s="41">
        <f>IFERROR(Y777*Z777,"")</f>
        <v/>
      </c>
      <c r="AB777" s="41">
        <f>IFERROR(IF(Z777&lt;1,Y777/(1-Z777),""),"")</f>
        <v/>
      </c>
      <c r="AC777" s="23" t="n"/>
      <c r="AD777" s="36" t="n"/>
      <c r="AE777" s="23" t="n"/>
      <c r="AF777" s="36" t="n"/>
      <c r="AG777" s="23" t="n"/>
      <c r="AH777" s="36" t="n"/>
      <c r="AI777" s="41">
        <f>IFERROR(AVERAGE(AD777,AF777,AH777),"")</f>
        <v/>
      </c>
      <c r="AJ777" s="29">
        <f>IFERROR(IF(AI777="","sem dados",IF(AB777&lt;AI777*0.95,"abaixo",IF(AB777&gt;AI777*1.05,"acima","em linha"))),"")</f>
        <v/>
      </c>
      <c r="AK777" s="23" t="inlineStr">
        <is>
          <t>sim</t>
        </is>
      </c>
      <c r="AL777" s="23" t="n"/>
      <c r="AM777" s="23" t="n"/>
      <c r="AN777" s="23" t="n"/>
      <c r="AO777" s="44">
        <f>A777</f>
        <v/>
      </c>
      <c r="AP777" s="44">
        <f>D777</f>
        <v/>
      </c>
      <c r="AQ777" s="28" t="inlineStr">
        <is>
          <t>bomba_generica.png (genérica)</t>
        </is>
      </c>
    </row>
    <row r="778" ht="15.75" customHeight="1" s="93">
      <c r="A778" s="23" t="inlineStr">
        <is>
          <t>5.1302.0565088.0</t>
        </is>
      </c>
      <c r="B778" s="23" t="inlineStr">
        <is>
          <t>565088</t>
        </is>
      </c>
      <c r="C778" s="29">
        <f>IFERROR(LOWER(SUBSTITUTE(SUBSTITUTE(SUBSTITUTE(SUBSTITUTE(D778," ","-"),"/","-"),".",""),",","")),"")</f>
        <v/>
      </c>
      <c r="D778" s="50" t="inlineStr">
        <is>
          <t>Bomba de Aplicação Massey Ferguson A-601 (ACX3125900) Giro I - 5.1302.0565088.0</t>
        </is>
      </c>
      <c r="E778" s="50" t="inlineStr">
        <is>
          <t>Bombas Hidráulicas</t>
        </is>
      </c>
      <c r="F778" s="23" t="inlineStr">
        <is>
          <t>SOHIPREN</t>
        </is>
      </c>
      <c r="G778" s="23" t="n"/>
      <c r="H778" s="23" t="inlineStr">
        <is>
          <t>active</t>
        </is>
      </c>
      <c r="I778" s="23" t="inlineStr">
        <is>
          <t>MAXXION - MASSEY FERGUSON</t>
        </is>
      </c>
      <c r="J778" s="23" t="inlineStr">
        <is>
          <t>TRATOR</t>
        </is>
      </c>
      <c r="K778" s="23" t="inlineStr">
        <is>
          <t>DIREÇÃO E AUXILIAR</t>
        </is>
      </c>
      <c r="L778" s="23" t="inlineStr">
        <is>
          <t>ACX3125900</t>
        </is>
      </c>
      <c r="M778" s="31" t="n"/>
      <c r="N778" s="31" t="n">
        <v>5.2</v>
      </c>
      <c r="O778" s="31" t="n">
        <v>30</v>
      </c>
      <c r="P778" s="31" t="n">
        <v>12.5</v>
      </c>
      <c r="Q778" s="31" t="n">
        <v>12.5</v>
      </c>
      <c r="R778" s="34">
        <f>IFERROR(IF(AND(O778&gt;0,P778&gt;0,Q778&gt;0),(O778*P778*Q778)/6000,""),"")</f>
        <v/>
      </c>
      <c r="S778" s="34">
        <f>IFERROR(IF(AND(N778&gt;0,R778&gt;0),MAX(N778,R778),IF(N778&gt;0,N778,IF(R778&gt;0,R778,""))),"")</f>
        <v/>
      </c>
      <c r="T778" s="36" t="n">
        <v>100</v>
      </c>
      <c r="U778" s="23" t="inlineStr">
        <is>
          <t>fornecedor</t>
        </is>
      </c>
      <c r="V778" s="36" t="n">
        <v>1104.15</v>
      </c>
      <c r="W778" s="39" t="n">
        <v>0.2</v>
      </c>
      <c r="X778" s="41">
        <f>IFERROR(V778+T778,"")</f>
        <v/>
      </c>
      <c r="Y778" s="41">
        <f>IFERROR(IF(W778&lt;1,X778/(1-W778),""),"")</f>
        <v/>
      </c>
      <c r="Z778" s="43">
        <f>'01_CONFIG_GLOBAL'!$C$14</f>
        <v/>
      </c>
      <c r="AA778" s="41">
        <f>IFERROR(Y778*Z778,"")</f>
        <v/>
      </c>
      <c r="AB778" s="41">
        <f>IFERROR(IF(Z778&lt;1,Y778/(1-Z778),""),"")</f>
        <v/>
      </c>
      <c r="AC778" s="23" t="n"/>
      <c r="AD778" s="36" t="n"/>
      <c r="AE778" s="23" t="n"/>
      <c r="AF778" s="36" t="n"/>
      <c r="AG778" s="23" t="n"/>
      <c r="AH778" s="36" t="n"/>
      <c r="AI778" s="41">
        <f>IFERROR(AVERAGE(AD778,AF778,AH778),"")</f>
        <v/>
      </c>
      <c r="AJ778" s="29">
        <f>IFERROR(IF(AI778="","sem dados",IF(AB778&lt;AI778*0.95,"abaixo",IF(AB778&gt;AI778*1.05,"acima","em linha"))),"")</f>
        <v/>
      </c>
      <c r="AK778" s="23" t="inlineStr">
        <is>
          <t>sim</t>
        </is>
      </c>
      <c r="AL778" s="23" t="n"/>
      <c r="AM778" s="23" t="n"/>
      <c r="AN778" s="23" t="n"/>
      <c r="AO778" s="44">
        <f>A778</f>
        <v/>
      </c>
      <c r="AP778" s="44">
        <f>D778</f>
        <v/>
      </c>
      <c r="AQ778" s="28" t="inlineStr">
        <is>
          <t>bomba_generica.png (genérica)</t>
        </is>
      </c>
    </row>
    <row r="779" ht="15.75" customHeight="1" s="93">
      <c r="A779" s="23" t="inlineStr">
        <is>
          <t>5.1302.0565089.0</t>
        </is>
      </c>
      <c r="B779" s="23" t="inlineStr">
        <is>
          <t>565089</t>
        </is>
      </c>
      <c r="C779" s="29">
        <f>IFERROR(LOWER(SUBSTITUTE(SUBSTITUTE(SUBSTITUTE(SUBSTITUTE(D779," ","-"),"/","-"),".",""),",","")),"")</f>
        <v/>
      </c>
      <c r="D779" s="50" t="inlineStr">
        <is>
          <t>Bomba de Aplicação Massey Ferguson A-024 (ACX3125910) Giro I - 5.1302.0565089.0</t>
        </is>
      </c>
      <c r="E779" s="50" t="inlineStr">
        <is>
          <t>Bombas Hidráulicas</t>
        </is>
      </c>
      <c r="F779" s="23" t="inlineStr">
        <is>
          <t>SOHIPREN</t>
        </is>
      </c>
      <c r="G779" s="23" t="n"/>
      <c r="H779" s="23" t="inlineStr">
        <is>
          <t>active</t>
        </is>
      </c>
      <c r="I779" s="23" t="inlineStr">
        <is>
          <t>MAXXION - MASSEY FERGUSON</t>
        </is>
      </c>
      <c r="J779" s="23" t="inlineStr">
        <is>
          <t>TRATOR</t>
        </is>
      </c>
      <c r="K779" s="23" t="inlineStr">
        <is>
          <t>PRINCIPAL E DIREÇÃO</t>
        </is>
      </c>
      <c r="L779" s="23" t="inlineStr">
        <is>
          <t>ACX3125910</t>
        </is>
      </c>
      <c r="M779" s="31" t="n"/>
      <c r="N779" s="31" t="n">
        <v>5.98</v>
      </c>
      <c r="O779" s="31" t="n">
        <v>30</v>
      </c>
      <c r="P779" s="31" t="n">
        <v>12.5</v>
      </c>
      <c r="Q779" s="31" t="n">
        <v>12.5</v>
      </c>
      <c r="R779" s="34">
        <f>IFERROR(IF(AND(O779&gt;0,P779&gt;0,Q779&gt;0),(O779*P779*Q779)/6000,""),"")</f>
        <v/>
      </c>
      <c r="S779" s="34">
        <f>IFERROR(IF(AND(N779&gt;0,R779&gt;0),MAX(N779,R779),IF(N779&gt;0,N779,IF(R779&gt;0,R779,""))),"")</f>
        <v/>
      </c>
      <c r="T779" s="36" t="n">
        <v>100</v>
      </c>
      <c r="U779" s="23" t="inlineStr">
        <is>
          <t>fornecedor</t>
        </is>
      </c>
      <c r="V779" s="36" t="n">
        <v>1104.15</v>
      </c>
      <c r="W779" s="39" t="n">
        <v>0.2</v>
      </c>
      <c r="X779" s="41">
        <f>IFERROR(V779+T779,"")</f>
        <v/>
      </c>
      <c r="Y779" s="41">
        <f>IFERROR(IF(W779&lt;1,X779/(1-W779),""),"")</f>
        <v/>
      </c>
      <c r="Z779" s="43">
        <f>'01_CONFIG_GLOBAL'!$C$14</f>
        <v/>
      </c>
      <c r="AA779" s="41">
        <f>IFERROR(Y779*Z779,"")</f>
        <v/>
      </c>
      <c r="AB779" s="41">
        <f>IFERROR(IF(Z779&lt;1,Y779/(1-Z779),""),"")</f>
        <v/>
      </c>
      <c r="AC779" s="23" t="n"/>
      <c r="AD779" s="36" t="n"/>
      <c r="AE779" s="23" t="n"/>
      <c r="AF779" s="36" t="n"/>
      <c r="AG779" s="23" t="n"/>
      <c r="AH779" s="36" t="n"/>
      <c r="AI779" s="41">
        <f>IFERROR(AVERAGE(AD779,AF779,AH779),"")</f>
        <v/>
      </c>
      <c r="AJ779" s="29">
        <f>IFERROR(IF(AI779="","sem dados",IF(AB779&lt;AI779*0.95,"abaixo",IF(AB779&gt;AI779*1.05,"acima","em linha"))),"")</f>
        <v/>
      </c>
      <c r="AK779" s="23" t="inlineStr">
        <is>
          <t>sim</t>
        </is>
      </c>
      <c r="AL779" s="23" t="n"/>
      <c r="AM779" s="23" t="n"/>
      <c r="AN779" s="23" t="n"/>
      <c r="AO779" s="44">
        <f>A779</f>
        <v/>
      </c>
      <c r="AP779" s="44">
        <f>D779</f>
        <v/>
      </c>
      <c r="AQ779" s="28" t="inlineStr">
        <is>
          <t>bomba_generica.png (genérica)</t>
        </is>
      </c>
    </row>
    <row r="780" hidden="1" ht="15.75" customHeight="1" s="93">
      <c r="A780" s="23" t="inlineStr">
        <is>
          <t>5.1302.0565016.0</t>
        </is>
      </c>
      <c r="B780" s="23" t="inlineStr">
        <is>
          <t>565016</t>
        </is>
      </c>
      <c r="C780" s="29">
        <f>IFERROR(LOWER(SUBSTITUTE(SUBSTITUTE(SUBSTITUTE(SUBSTITUTE(D780," ","-"),"/","-"),".",""),",","")),"")</f>
        <v/>
      </c>
      <c r="D780" s="23" t="inlineStr">
        <is>
          <t>BOMBA HIDRÁULICA - APLICAÇÃO MF A-001 (1686766M91) GIRO I</t>
        </is>
      </c>
      <c r="E780" s="23" t="inlineStr">
        <is>
          <t>Bombas Hidráulicas</t>
        </is>
      </c>
      <c r="F780" s="23" t="inlineStr">
        <is>
          <t>SOHIPREN</t>
        </is>
      </c>
      <c r="G780" s="23" t="n"/>
      <c r="H780" s="23" t="inlineStr">
        <is>
          <t>draft</t>
        </is>
      </c>
      <c r="I780" s="23" t="inlineStr">
        <is>
          <t>MAXXION - MASSEY FERGUSON</t>
        </is>
      </c>
      <c r="J780" s="23" t="inlineStr">
        <is>
          <t>TRATOR</t>
        </is>
      </c>
      <c r="K780" s="23" t="inlineStr">
        <is>
          <t>BOMBA AUXILIAR</t>
        </is>
      </c>
      <c r="L780" s="23" t="n"/>
      <c r="M780" s="31" t="n"/>
      <c r="N780" s="31" t="n"/>
      <c r="O780" s="31" t="n"/>
      <c r="P780" s="31" t="n"/>
      <c r="Q780" s="31" t="n"/>
      <c r="R780" s="34">
        <f>IFERROR(IF(AND(O780&gt;0,P780&gt;0,Q780&gt;0),(O780*P780*Q780)/6000,""),"")</f>
        <v/>
      </c>
      <c r="S780" s="34">
        <f>IFERROR(IF(AND(N780&gt;0,R780&gt;0),MAX(N780,R780),IF(N780&gt;0,N780,IF(R780&gt;0,R780,""))),"")</f>
        <v/>
      </c>
      <c r="T780" s="36" t="n"/>
      <c r="U780" s="38" t="inlineStr">
        <is>
          <t>FALTA</t>
        </is>
      </c>
      <c r="V780" s="36" t="n">
        <v>1595</v>
      </c>
      <c r="W780" s="39" t="n">
        <v>0.3</v>
      </c>
      <c r="X780" s="41">
        <f>IFERROR(V780+T780,"")</f>
        <v/>
      </c>
      <c r="Y780" s="41">
        <f>IFERROR(IF(W780&lt;1,X780/(1-W780),""),"")</f>
        <v/>
      </c>
      <c r="Z780" s="43">
        <f>'01_CONFIG_GLOBAL'!$C$14</f>
        <v/>
      </c>
      <c r="AA780" s="41">
        <f>IFERROR(Y780*Z780,"")</f>
        <v/>
      </c>
      <c r="AB780" s="41">
        <f>IFERROR(IF(Z780&lt;1,Y780/(1-Z780),""),"")</f>
        <v/>
      </c>
      <c r="AC780" s="23" t="n"/>
      <c r="AD780" s="36" t="n"/>
      <c r="AE780" s="23" t="n"/>
      <c r="AF780" s="36" t="n"/>
      <c r="AG780" s="23" t="n"/>
      <c r="AH780" s="36" t="n"/>
      <c r="AI780" s="41">
        <f>IFERROR(AVERAGE(AD780,AF780,AH780),"")</f>
        <v/>
      </c>
      <c r="AJ780" s="29">
        <f>IFERROR(IF(AI780="","sem dados",IF(AB780&lt;AI780*0.95,"abaixo",IF(AB780&gt;AI780*1.05,"acima","em linha"))),"")</f>
        <v/>
      </c>
      <c r="AK780" s="23" t="inlineStr">
        <is>
          <t>não</t>
        </is>
      </c>
      <c r="AL780" s="23" t="n"/>
      <c r="AM780" s="23" t="n"/>
      <c r="AN780" s="23" t="n"/>
      <c r="AO780" s="44">
        <f>A780</f>
        <v/>
      </c>
      <c r="AP780" s="44">
        <f>D780</f>
        <v/>
      </c>
    </row>
    <row r="781" hidden="1" ht="15.75" customHeight="1" s="93">
      <c r="A781" s="23" t="inlineStr">
        <is>
          <t>5.1302.0565024.0</t>
        </is>
      </c>
      <c r="B781" s="23" t="inlineStr">
        <is>
          <t>565024</t>
        </is>
      </c>
      <c r="C781" s="29">
        <f>IFERROR(LOWER(SUBSTITUTE(SUBSTITUTE(SUBSTITUTE(SUBSTITUTE(D781," ","-"),"/","-"),".",""),",","")),"")</f>
        <v/>
      </c>
      <c r="D781" s="23" t="inlineStr">
        <is>
          <t>BOMBA HIDRÁULICA - APLICAÇÃO MF A-009 (886821M94) GIRO I</t>
        </is>
      </c>
      <c r="E781" s="23" t="inlineStr">
        <is>
          <t>Bombas Hidráulicas</t>
        </is>
      </c>
      <c r="F781" s="23" t="inlineStr">
        <is>
          <t>SOHIPREN</t>
        </is>
      </c>
      <c r="G781" s="23" t="n"/>
      <c r="H781" s="23" t="inlineStr">
        <is>
          <t>draft</t>
        </is>
      </c>
      <c r="I781" s="23" t="inlineStr">
        <is>
          <t>MAXXION - MASSEY FERGUSON</t>
        </is>
      </c>
      <c r="J781" s="23" t="inlineStr">
        <is>
          <t>TRATOR</t>
        </is>
      </c>
      <c r="K781" s="23" t="inlineStr">
        <is>
          <t>TRANSMISSÃO</t>
        </is>
      </c>
      <c r="L781" s="23" t="inlineStr">
        <is>
          <t>886821M94/886821M93/513329M/188548M/884535M93</t>
        </is>
      </c>
      <c r="M781" s="31" t="n"/>
      <c r="N781" s="31" t="n"/>
      <c r="O781" s="31" t="n"/>
      <c r="P781" s="31" t="n"/>
      <c r="Q781" s="31" t="n"/>
      <c r="R781" s="34">
        <f>IFERROR(IF(AND(O781&gt;0,P781&gt;0,Q781&gt;0),(O781*P781*Q781)/6000,""),"")</f>
        <v/>
      </c>
      <c r="S781" s="34">
        <f>IFERROR(IF(AND(N781&gt;0,R781&gt;0),MAX(N781,R781),IF(N781&gt;0,N781,IF(R781&gt;0,R781,""))),"")</f>
        <v/>
      </c>
      <c r="T781" s="36" t="n"/>
      <c r="U781" s="38" t="inlineStr">
        <is>
          <t>FALTA</t>
        </is>
      </c>
      <c r="V781" s="36" t="n">
        <v>1532.11</v>
      </c>
      <c r="W781" s="39" t="n">
        <v>0.3</v>
      </c>
      <c r="X781" s="41">
        <f>IFERROR(V781+T781,"")</f>
        <v/>
      </c>
      <c r="Y781" s="41">
        <f>IFERROR(IF(W781&lt;1,X781/(1-W781),""),"")</f>
        <v/>
      </c>
      <c r="Z781" s="43">
        <f>'01_CONFIG_GLOBAL'!$C$14</f>
        <v/>
      </c>
      <c r="AA781" s="41">
        <f>IFERROR(Y781*Z781,"")</f>
        <v/>
      </c>
      <c r="AB781" s="41">
        <f>IFERROR(IF(Z781&lt;1,Y781/(1-Z781),""),"")</f>
        <v/>
      </c>
      <c r="AC781" s="23" t="n"/>
      <c r="AD781" s="36" t="n"/>
      <c r="AE781" s="23" t="n"/>
      <c r="AF781" s="36" t="n"/>
      <c r="AG781" s="23" t="n"/>
      <c r="AH781" s="36" t="n"/>
      <c r="AI781" s="41">
        <f>IFERROR(AVERAGE(AD781,AF781,AH781),"")</f>
        <v/>
      </c>
      <c r="AJ781" s="29">
        <f>IFERROR(IF(AI781="","sem dados",IF(AB781&lt;AI781*0.95,"abaixo",IF(AB781&gt;AI781*1.05,"acima","em linha"))),"")</f>
        <v/>
      </c>
      <c r="AK781" s="23" t="inlineStr">
        <is>
          <t>não</t>
        </is>
      </c>
      <c r="AL781" s="23" t="n"/>
      <c r="AM781" s="23" t="n"/>
      <c r="AN781" s="23" t="n"/>
      <c r="AO781" s="44">
        <f>A781</f>
        <v/>
      </c>
      <c r="AP781" s="44">
        <f>D781</f>
        <v/>
      </c>
    </row>
    <row r="782" ht="15.75" customHeight="1" s="93">
      <c r="A782" s="23" t="inlineStr">
        <is>
          <t>5.1302.L027041.0</t>
        </is>
      </c>
      <c r="B782" s="23" t="inlineStr">
        <is>
          <t>L027041</t>
        </is>
      </c>
      <c r="C782" s="29">
        <f>IFERROR(LOWER(SUBSTITUTE(SUBSTITUTE(SUBSTITUTE(SUBSTITUTE(D782," ","-"),"/","-"),".",""),",","")),"")</f>
        <v/>
      </c>
      <c r="D782" s="50" t="inlineStr">
        <is>
          <t>Bomba de Aplicação MF-AX (ACW6839870) Giro I - 5.1302.L027041.0</t>
        </is>
      </c>
      <c r="E782" s="50" t="inlineStr">
        <is>
          <t>Bombas Hidráulicas</t>
        </is>
      </c>
      <c r="F782" s="23" t="inlineStr">
        <is>
          <t>SOHIPREN</t>
        </is>
      </c>
      <c r="G782" s="23" t="n"/>
      <c r="H782" s="23" t="inlineStr">
        <is>
          <t>active</t>
        </is>
      </c>
      <c r="I782" s="23" t="inlineStr">
        <is>
          <t>MAXXION - MASSEY FERGUSON</t>
        </is>
      </c>
      <c r="J782" s="23" t="inlineStr">
        <is>
          <t>TRATOR</t>
        </is>
      </c>
      <c r="K782" s="23" t="inlineStr">
        <is>
          <t>PRINCIPAL E DIREÇÃO</t>
        </is>
      </c>
      <c r="L782" s="23" t="inlineStr">
        <is>
          <t>ACW6839870 / R979108120</t>
        </is>
      </c>
      <c r="M782" s="31" t="n"/>
      <c r="N782" s="31" t="n">
        <v>3.61</v>
      </c>
      <c r="O782" s="31" t="n">
        <v>30</v>
      </c>
      <c r="P782" s="31" t="n">
        <v>12.5</v>
      </c>
      <c r="Q782" s="31" t="n">
        <v>12.5</v>
      </c>
      <c r="R782" s="34">
        <f>IFERROR(IF(AND(O782&gt;0,P782&gt;0,Q782&gt;0),(O782*P782*Q782)/6000,""),"")</f>
        <v/>
      </c>
      <c r="S782" s="34">
        <f>IFERROR(IF(AND(N782&gt;0,R782&gt;0),MAX(N782,R782),IF(N782&gt;0,N782,IF(R782&gt;0,R782,""))),"")</f>
        <v/>
      </c>
      <c r="T782" s="36" t="n">
        <v>100</v>
      </c>
      <c r="U782" s="23" t="inlineStr">
        <is>
          <t>fornecedor</t>
        </is>
      </c>
      <c r="V782" s="36" t="n">
        <v>1104.15</v>
      </c>
      <c r="W782" s="39" t="n">
        <v>0.2</v>
      </c>
      <c r="X782" s="41">
        <f>IFERROR(V782+T782,"")</f>
        <v/>
      </c>
      <c r="Y782" s="41">
        <f>IFERROR(IF(W782&lt;1,X782/(1-W782),""),"")</f>
        <v/>
      </c>
      <c r="Z782" s="43">
        <f>'01_CONFIG_GLOBAL'!$C$14</f>
        <v/>
      </c>
      <c r="AA782" s="41">
        <f>IFERROR(Y782*Z782,"")</f>
        <v/>
      </c>
      <c r="AB782" s="41">
        <f>IFERROR(IF(Z782&lt;1,Y782/(1-Z782),""),"")</f>
        <v/>
      </c>
      <c r="AC782" s="23" t="n"/>
      <c r="AD782" s="36" t="n"/>
      <c r="AE782" s="23" t="n"/>
      <c r="AF782" s="36" t="n"/>
      <c r="AG782" s="23" t="n"/>
      <c r="AH782" s="36" t="n"/>
      <c r="AI782" s="41">
        <f>IFERROR(AVERAGE(AD782,AF782,AH782),"")</f>
        <v/>
      </c>
      <c r="AJ782" s="29">
        <f>IFERROR(IF(AI782="","sem dados",IF(AB782&lt;AI782*0.95,"abaixo",IF(AB782&gt;AI782*1.05,"acima","em linha"))),"")</f>
        <v/>
      </c>
      <c r="AK782" s="23" t="inlineStr">
        <is>
          <t>sim</t>
        </is>
      </c>
      <c r="AL782" s="23" t="n"/>
      <c r="AM782" s="23" t="n"/>
      <c r="AN782" s="23" t="n"/>
      <c r="AO782" s="44">
        <f>A782</f>
        <v/>
      </c>
      <c r="AP782" s="44">
        <f>D782</f>
        <v/>
      </c>
      <c r="AQ782" s="28" t="inlineStr">
        <is>
          <t>bomba_generica.png (genérica)</t>
        </is>
      </c>
    </row>
    <row r="783" hidden="1" ht="15.75" customHeight="1" s="93">
      <c r="A783" s="23" t="inlineStr">
        <is>
          <t>5.0505.0504013.0</t>
        </is>
      </c>
      <c r="B783" s="23" t="inlineStr">
        <is>
          <t>504013</t>
        </is>
      </c>
      <c r="C783" s="29">
        <f>IFERROR(LOWER(SUBSTITUTE(SUBSTITUTE(SUBSTITUTE(SUBSTITUTE(D783," ","-"),"/","-"),".",""),",","")),"")</f>
        <v/>
      </c>
      <c r="D783" s="23" t="inlineStr">
        <is>
          <t>MC1 50 201.1.21.75.61</t>
        </is>
      </c>
      <c r="E783" s="23" t="n"/>
      <c r="F783" s="23" t="inlineStr">
        <is>
          <t>SOHIPREN</t>
        </is>
      </c>
      <c r="G783" s="23" t="n"/>
      <c r="H783" s="23" t="inlineStr">
        <is>
          <t>draft</t>
        </is>
      </c>
      <c r="I783" s="23" t="inlineStr">
        <is>
          <t>MAXXION - MASSEY FERGUSON</t>
        </is>
      </c>
      <c r="J783" s="23" t="inlineStr">
        <is>
          <t>RETRO ESCAVADEIRA</t>
        </is>
      </c>
      <c r="K783" s="23" t="inlineStr">
        <is>
          <t>PRINCIPAL</t>
        </is>
      </c>
      <c r="L783" s="23" t="inlineStr">
        <is>
          <t>3145958</t>
        </is>
      </c>
      <c r="M783" s="31" t="n"/>
      <c r="N783" s="31" t="n"/>
      <c r="O783" s="31" t="n"/>
      <c r="P783" s="31" t="n"/>
      <c r="Q783" s="31" t="n"/>
      <c r="R783" s="34">
        <f>IFERROR(IF(AND(O783&gt;0,P783&gt;0,Q783&gt;0),(O783*P783*Q783)/6000,""),"")</f>
        <v/>
      </c>
      <c r="S783" s="34">
        <f>IFERROR(IF(AND(N783&gt;0,R783&gt;0),MAX(N783,R783),IF(N783&gt;0,N783,IF(R783&gt;0,R783,""))),"")</f>
        <v/>
      </c>
      <c r="T783" s="36" t="n"/>
      <c r="U783" s="38" t="inlineStr">
        <is>
          <t>FALTA</t>
        </is>
      </c>
      <c r="V783" s="36" t="n">
        <v>7786.35</v>
      </c>
      <c r="W783" s="39" t="n">
        <v>0.3</v>
      </c>
      <c r="X783" s="41">
        <f>IFERROR(V783+T783,"")</f>
        <v/>
      </c>
      <c r="Y783" s="41">
        <f>IFERROR(IF(W783&lt;1,X783/(1-W783),""),"")</f>
        <v/>
      </c>
      <c r="Z783" s="43">
        <f>'01_CONFIG_GLOBAL'!$C$14</f>
        <v/>
      </c>
      <c r="AA783" s="41">
        <f>IFERROR(Y783*Z783,"")</f>
        <v/>
      </c>
      <c r="AB783" s="41">
        <f>IFERROR(IF(Z783&lt;1,Y783/(1-Z783),""),"")</f>
        <v/>
      </c>
      <c r="AC783" s="23" t="n"/>
      <c r="AD783" s="36" t="n"/>
      <c r="AE783" s="23" t="n"/>
      <c r="AF783" s="36" t="n"/>
      <c r="AG783" s="23" t="n"/>
      <c r="AH783" s="36" t="n"/>
      <c r="AI783" s="41">
        <f>IFERROR(AVERAGE(AD783,AF783,AH783),"")</f>
        <v/>
      </c>
      <c r="AJ783" s="29">
        <f>IFERROR(IF(AI783="","sem dados",IF(AB783&lt;AI783*0.95,"abaixo",IF(AB783&gt;AI783*1.05,"acima","em linha"))),"")</f>
        <v/>
      </c>
      <c r="AK783" s="23" t="inlineStr">
        <is>
          <t>não</t>
        </is>
      </c>
      <c r="AL783" s="23" t="n"/>
      <c r="AM783" s="23" t="n"/>
      <c r="AN783" s="23" t="n"/>
      <c r="AO783" s="44">
        <f>A783</f>
        <v/>
      </c>
      <c r="AP783" s="44">
        <f>D783</f>
        <v/>
      </c>
    </row>
    <row r="784" hidden="1" ht="15.75" customHeight="1" s="93">
      <c r="A784" s="23" t="inlineStr">
        <is>
          <t>5.0220.0547248.0</t>
        </is>
      </c>
      <c r="B784" s="23" t="inlineStr">
        <is>
          <t>547248</t>
        </is>
      </c>
      <c r="C784" s="29">
        <f>IFERROR(LOWER(SUBSTITUTE(SUBSTITUTE(SUBSTITUTE(SUBSTITUTE(D784," ","-"),"/","-"),".",""),",","")),"")</f>
        <v/>
      </c>
      <c r="D784" s="23" t="inlineStr">
        <is>
          <t>BOD 11 B11.C2.A42/19 A42.L1 (CPO TRASERO INVERTIDO)</t>
        </is>
      </c>
      <c r="E784" s="23" t="inlineStr">
        <is>
          <t>Bombas Hidráulicas</t>
        </is>
      </c>
      <c r="F784" s="23" t="inlineStr">
        <is>
          <t>SOHIPREN</t>
        </is>
      </c>
      <c r="G784" s="23" t="n"/>
      <c r="H784" s="23" t="inlineStr">
        <is>
          <t>draft</t>
        </is>
      </c>
      <c r="I784" s="23" t="inlineStr">
        <is>
          <t>MAXXION - MASSEY FERGUSON</t>
        </is>
      </c>
      <c r="J784" s="23" t="inlineStr">
        <is>
          <t>TRATOR DE PNEUS</t>
        </is>
      </c>
      <c r="K784" s="23" t="inlineStr">
        <is>
          <t>PRINCIPAL</t>
        </is>
      </c>
      <c r="L784" s="23" t="inlineStr">
        <is>
          <t>3411307M91</t>
        </is>
      </c>
      <c r="M784" s="31" t="n"/>
      <c r="N784" s="31" t="n"/>
      <c r="O784" s="31" t="n"/>
      <c r="P784" s="31" t="n"/>
      <c r="Q784" s="31" t="n"/>
      <c r="R784" s="34">
        <f>IFERROR(IF(AND(O784&gt;0,P784&gt;0,Q784&gt;0),(O784*P784*Q784)/6000,""),"")</f>
        <v/>
      </c>
      <c r="S784" s="34">
        <f>IFERROR(IF(AND(N784&gt;0,R784&gt;0),MAX(N784,R784),IF(N784&gt;0,N784,IF(R784&gt;0,R784,""))),"")</f>
        <v/>
      </c>
      <c r="T784" s="36" t="n"/>
      <c r="U784" s="38" t="inlineStr">
        <is>
          <t>FALTA</t>
        </is>
      </c>
      <c r="V784" s="36" t="n">
        <v>1615</v>
      </c>
      <c r="W784" s="39" t="n">
        <v>0.3</v>
      </c>
      <c r="X784" s="41">
        <f>IFERROR(V784+T784,"")</f>
        <v/>
      </c>
      <c r="Y784" s="41">
        <f>IFERROR(IF(W784&lt;1,X784/(1-W784),""),"")</f>
        <v/>
      </c>
      <c r="Z784" s="43">
        <f>'01_CONFIG_GLOBAL'!$C$14</f>
        <v/>
      </c>
      <c r="AA784" s="41">
        <f>IFERROR(Y784*Z784,"")</f>
        <v/>
      </c>
      <c r="AB784" s="41">
        <f>IFERROR(IF(Z784&lt;1,Y784/(1-Z784),""),"")</f>
        <v/>
      </c>
      <c r="AC784" s="23" t="n"/>
      <c r="AD784" s="36" t="n"/>
      <c r="AE784" s="23" t="n"/>
      <c r="AF784" s="36" t="n"/>
      <c r="AG784" s="23" t="n"/>
      <c r="AH784" s="36" t="n"/>
      <c r="AI784" s="41">
        <f>IFERROR(AVERAGE(AD784,AF784,AH784),"")</f>
        <v/>
      </c>
      <c r="AJ784" s="29">
        <f>IFERROR(IF(AI784="","sem dados",IF(AB784&lt;AI784*0.95,"abaixo",IF(AB784&gt;AI784*1.05,"acima","em linha"))),"")</f>
        <v/>
      </c>
      <c r="AK784" s="23" t="inlineStr">
        <is>
          <t>não</t>
        </is>
      </c>
      <c r="AL784" s="23" t="n"/>
      <c r="AM784" s="23" t="n"/>
      <c r="AN784" s="23" t="n"/>
      <c r="AO784" s="44">
        <f>A784</f>
        <v/>
      </c>
      <c r="AP784" s="44">
        <f>D784</f>
        <v/>
      </c>
    </row>
    <row r="785" hidden="1" ht="15.75" customHeight="1" s="93">
      <c r="A785" s="23" t="inlineStr">
        <is>
          <t>5.0220.0547220.0</t>
        </is>
      </c>
      <c r="B785" s="23" t="inlineStr">
        <is>
          <t>547220</t>
        </is>
      </c>
      <c r="C785" s="29">
        <f>IFERROR(LOWER(SUBSTITUTE(SUBSTITUTE(SUBSTITUTE(SUBSTITUTE(D785," ","-"),"/","-"),".",""),",","")),"")</f>
        <v/>
      </c>
      <c r="D785" s="23" t="inlineStr">
        <is>
          <t>BOMBA HIDRÁULICA - APLICAÇÃO 11 B9.P5.A42/19 A42.L1 (DEPOSITO)</t>
        </is>
      </c>
      <c r="E785" s="23" t="inlineStr">
        <is>
          <t>Bombas Hidráulicas</t>
        </is>
      </c>
      <c r="F785" s="23" t="inlineStr">
        <is>
          <t>SOHIPREN</t>
        </is>
      </c>
      <c r="G785" s="23" t="n"/>
      <c r="H785" s="23" t="inlineStr">
        <is>
          <t>draft</t>
        </is>
      </c>
      <c r="I785" s="23" t="inlineStr">
        <is>
          <t>MAXXION - MASSEY FERGUSON</t>
        </is>
      </c>
      <c r="J785" s="23" t="inlineStr">
        <is>
          <t>TRATOR DE PNEUS</t>
        </is>
      </c>
      <c r="K785" s="23" t="inlineStr">
        <is>
          <t>PRINCIPAL</t>
        </is>
      </c>
      <c r="L785" s="23" t="inlineStr">
        <is>
          <t>3411927M91</t>
        </is>
      </c>
      <c r="M785" s="31" t="n"/>
      <c r="N785" s="31" t="n"/>
      <c r="O785" s="31" t="n"/>
      <c r="P785" s="31" t="n"/>
      <c r="Q785" s="31" t="n"/>
      <c r="R785" s="34">
        <f>IFERROR(IF(AND(O785&gt;0,P785&gt;0,Q785&gt;0),(O785*P785*Q785)/6000,""),"")</f>
        <v/>
      </c>
      <c r="S785" s="34">
        <f>IFERROR(IF(AND(N785&gt;0,R785&gt;0),MAX(N785,R785),IF(N785&gt;0,N785,IF(R785&gt;0,R785,""))),"")</f>
        <v/>
      </c>
      <c r="T785" s="36" t="n"/>
      <c r="U785" s="38" t="inlineStr">
        <is>
          <t>FALTA</t>
        </is>
      </c>
      <c r="V785" s="36" t="n">
        <v>1995</v>
      </c>
      <c r="W785" s="39" t="n">
        <v>0.3</v>
      </c>
      <c r="X785" s="41">
        <f>IFERROR(V785+T785,"")</f>
        <v/>
      </c>
      <c r="Y785" s="41">
        <f>IFERROR(IF(W785&lt;1,X785/(1-W785),""),"")</f>
        <v/>
      </c>
      <c r="Z785" s="43">
        <f>'01_CONFIG_GLOBAL'!$C$14</f>
        <v/>
      </c>
      <c r="AA785" s="41">
        <f>IFERROR(Y785*Z785,"")</f>
        <v/>
      </c>
      <c r="AB785" s="41">
        <f>IFERROR(IF(Z785&lt;1,Y785/(1-Z785),""),"")</f>
        <v/>
      </c>
      <c r="AC785" s="23" t="n"/>
      <c r="AD785" s="36" t="n"/>
      <c r="AE785" s="23" t="n"/>
      <c r="AF785" s="36" t="n"/>
      <c r="AG785" s="23" t="n"/>
      <c r="AH785" s="36" t="n"/>
      <c r="AI785" s="41">
        <f>IFERROR(AVERAGE(AD785,AF785,AH785),"")</f>
        <v/>
      </c>
      <c r="AJ785" s="29">
        <f>IFERROR(IF(AI785="","sem dados",IF(AB785&lt;AI785*0.95,"abaixo",IF(AB785&gt;AI785*1.05,"acima","em linha"))),"")</f>
        <v/>
      </c>
      <c r="AK785" s="23" t="inlineStr">
        <is>
          <t>não</t>
        </is>
      </c>
      <c r="AL785" s="23" t="n"/>
      <c r="AM785" s="23" t="n"/>
      <c r="AN785" s="23" t="n"/>
      <c r="AO785" s="44">
        <f>A785</f>
        <v/>
      </c>
      <c r="AP785" s="44">
        <f>D785</f>
        <v/>
      </c>
    </row>
    <row r="786" ht="15.75" customHeight="1" s="93">
      <c r="A786" s="23" t="inlineStr">
        <is>
          <t>5.0220.0547207.0</t>
        </is>
      </c>
      <c r="B786" s="23" t="inlineStr">
        <is>
          <t>547207</t>
        </is>
      </c>
      <c r="C786" s="29">
        <f>IFERROR(LOWER(SUBSTITUTE(SUBSTITUTE(SUBSTITUTE(SUBSTITUTE(D786," ","-"),"/","-"),".",""),",","")),"")</f>
        <v/>
      </c>
      <c r="D786" s="50" t="inlineStr">
        <is>
          <t>Bomba Hidráulica Massey Ferguson MF290/292 4x4 - Principal e Direção</t>
        </is>
      </c>
      <c r="E786" s="50" t="inlineStr">
        <is>
          <t>Bombas Hidráulicas</t>
        </is>
      </c>
      <c r="F786" s="23" t="inlineStr">
        <is>
          <t>SOHIPREN</t>
        </is>
      </c>
      <c r="G786" s="23" t="n"/>
      <c r="H786" s="23" t="inlineStr">
        <is>
          <t>active</t>
        </is>
      </c>
      <c r="I786" s="23" t="inlineStr">
        <is>
          <t>MAXXION - MASSEY FERGUSON</t>
        </is>
      </c>
      <c r="J786" s="23" t="inlineStr">
        <is>
          <t>TRATOR DE PNEUS</t>
        </is>
      </c>
      <c r="K786" s="23" t="inlineStr">
        <is>
          <t>PRINCIPAL E DIREÇÃO</t>
        </is>
      </c>
      <c r="L786" s="23" t="inlineStr">
        <is>
          <t>3411929M91-9510080522</t>
        </is>
      </c>
      <c r="M786" s="31" t="n"/>
      <c r="N786" s="31" t="n">
        <v>6.63</v>
      </c>
      <c r="O786" s="31" t="n">
        <v>30</v>
      </c>
      <c r="P786" s="31" t="n">
        <v>12.5</v>
      </c>
      <c r="Q786" s="31" t="n">
        <v>12.5</v>
      </c>
      <c r="R786" s="34">
        <f>IFERROR(IF(AND(O786&gt;0,P786&gt;0,Q786&gt;0),(O786*P786*Q786)/6000,""),"")</f>
        <v/>
      </c>
      <c r="S786" s="34">
        <f>IFERROR(IF(AND(N786&gt;0,R786&gt;0),MAX(N786,R786),IF(N786&gt;0,N786,IF(R786&gt;0,R786,""))),"")</f>
        <v/>
      </c>
      <c r="T786" s="36" t="n">
        <v>100</v>
      </c>
      <c r="U786" s="23" t="inlineStr">
        <is>
          <t>fornecedor</t>
        </is>
      </c>
      <c r="V786" s="36" t="n">
        <v>1130.5</v>
      </c>
      <c r="W786" s="39" t="n">
        <v>0.2</v>
      </c>
      <c r="X786" s="41">
        <f>IFERROR(V786+T786,"")</f>
        <v/>
      </c>
      <c r="Y786" s="41">
        <f>IFERROR(IF(W786&lt;1,X786/(1-W786),""),"")</f>
        <v/>
      </c>
      <c r="Z786" s="43">
        <f>'01_CONFIG_GLOBAL'!$C$14</f>
        <v/>
      </c>
      <c r="AA786" s="41">
        <f>IFERROR(Y786*Z786,"")</f>
        <v/>
      </c>
      <c r="AB786" s="41">
        <f>IFERROR(IF(Z786&lt;1,Y786/(1-Z786),""),"")</f>
        <v/>
      </c>
      <c r="AC786" s="23" t="n"/>
      <c r="AD786" s="36" t="n"/>
      <c r="AE786" s="23" t="n"/>
      <c r="AF786" s="36" t="n"/>
      <c r="AG786" s="23" t="n"/>
      <c r="AH786" s="36" t="n"/>
      <c r="AI786" s="41">
        <f>IFERROR(AVERAGE(AD786,AF786,AH786),"")</f>
        <v/>
      </c>
      <c r="AJ786" s="29">
        <f>IFERROR(IF(AI786="","sem dados",IF(AB786&lt;AI786*0.95,"abaixo",IF(AB786&gt;AI786*1.05,"acima","em linha"))),"")</f>
        <v/>
      </c>
      <c r="AK786" s="23" t="inlineStr">
        <is>
          <t>sim</t>
        </is>
      </c>
      <c r="AL786" s="23" t="n"/>
      <c r="AM786" s="23" t="n"/>
      <c r="AN786" s="23" t="n"/>
      <c r="AO786" s="44">
        <f>A786</f>
        <v/>
      </c>
      <c r="AP786" s="44">
        <f>D786</f>
        <v/>
      </c>
      <c r="AQ786" s="28" t="inlineStr">
        <is>
          <t>LIVENZA_5.0220.0547207_ecommerce.jpg</t>
        </is>
      </c>
    </row>
    <row r="787" ht="15.75" customHeight="1" s="93">
      <c r="A787" s="23" t="inlineStr">
        <is>
          <t>5.0220.0547216.0</t>
        </is>
      </c>
      <c r="B787" s="23" t="inlineStr">
        <is>
          <t>547216</t>
        </is>
      </c>
      <c r="C787" s="29">
        <f>IFERROR(LOWER(SUBSTITUTE(SUBSTITUTE(SUBSTITUTE(SUBSTITUTE(D787," ","-"),"/","-"),".",""),",","")),"")</f>
        <v/>
      </c>
      <c r="D787" s="50" t="inlineStr">
        <is>
          <t>Bomba Hidráulica Massey Ferguson 296-4/297-4/299-4 - Principal</t>
        </is>
      </c>
      <c r="E787" s="50" t="inlineStr">
        <is>
          <t>Bombas Hidráulicas</t>
        </is>
      </c>
      <c r="F787" s="23" t="inlineStr">
        <is>
          <t>SOHIPREN</t>
        </is>
      </c>
      <c r="G787" s="23" t="n"/>
      <c r="H787" s="23" t="inlineStr">
        <is>
          <t>active</t>
        </is>
      </c>
      <c r="I787" s="23" t="inlineStr">
        <is>
          <t>MAXXION - MASSEY FERGUSON</t>
        </is>
      </c>
      <c r="J787" s="23" t="inlineStr">
        <is>
          <t>TRATOR DE PNEUS</t>
        </is>
      </c>
      <c r="K787" s="23" t="inlineStr">
        <is>
          <t>PRINCIPAL</t>
        </is>
      </c>
      <c r="L787" s="23" t="inlineStr">
        <is>
          <t>3412012M91</t>
        </is>
      </c>
      <c r="M787" s="31" t="n"/>
      <c r="N787" s="31" t="n">
        <v>8.449999999999999</v>
      </c>
      <c r="O787" s="31" t="n">
        <v>30</v>
      </c>
      <c r="P787" s="31" t="n">
        <v>12.5</v>
      </c>
      <c r="Q787" s="31" t="n">
        <v>12.5</v>
      </c>
      <c r="R787" s="34">
        <f>IFERROR(IF(AND(O787&gt;0,P787&gt;0,Q787&gt;0),(O787*P787*Q787)/6000,""),"")</f>
        <v/>
      </c>
      <c r="S787" s="34">
        <f>IFERROR(IF(AND(N787&gt;0,R787&gt;0),MAX(N787,R787),IF(N787&gt;0,N787,IF(R787&gt;0,R787,""))),"")</f>
        <v/>
      </c>
      <c r="T787" s="36" t="n">
        <v>100</v>
      </c>
      <c r="U787" s="23" t="inlineStr">
        <is>
          <t>fornecedor</t>
        </is>
      </c>
      <c r="V787" s="36" t="n">
        <v>1474.75</v>
      </c>
      <c r="W787" s="39" t="n">
        <v>0.2</v>
      </c>
      <c r="X787" s="41">
        <f>IFERROR(V787+T787,"")</f>
        <v/>
      </c>
      <c r="Y787" s="41">
        <f>IFERROR(IF(W787&lt;1,X787/(1-W787),""),"")</f>
        <v/>
      </c>
      <c r="Z787" s="43">
        <f>'01_CONFIG_GLOBAL'!$C$14</f>
        <v/>
      </c>
      <c r="AA787" s="41">
        <f>IFERROR(Y787*Z787,"")</f>
        <v/>
      </c>
      <c r="AB787" s="41">
        <f>IFERROR(IF(Z787&lt;1,Y787/(1-Z787),""),"")</f>
        <v/>
      </c>
      <c r="AC787" s="23" t="n"/>
      <c r="AD787" s="36" t="n"/>
      <c r="AE787" s="23" t="n"/>
      <c r="AF787" s="36" t="n"/>
      <c r="AG787" s="23" t="n"/>
      <c r="AH787" s="36" t="n"/>
      <c r="AI787" s="41">
        <f>IFERROR(AVERAGE(AD787,AF787,AH787),"")</f>
        <v/>
      </c>
      <c r="AJ787" s="29">
        <f>IFERROR(IF(AI787="","sem dados",IF(AB787&lt;AI787*0.95,"abaixo",IF(AB787&gt;AI787*1.05,"acima","em linha"))),"")</f>
        <v/>
      </c>
      <c r="AK787" s="23" t="inlineStr">
        <is>
          <t>sim</t>
        </is>
      </c>
      <c r="AL787" s="23" t="n"/>
      <c r="AM787" s="23" t="n"/>
      <c r="AN787" s="23" t="inlineStr">
        <is>
          <t>Fotos: assets/livenza_5.0220.0547216-CT_REV._0_p1.png</t>
        </is>
      </c>
      <c r="AO787" s="44">
        <f>A787</f>
        <v/>
      </c>
      <c r="AP787" s="44">
        <f>D787</f>
        <v/>
      </c>
      <c r="AQ787" s="28" t="inlineStr">
        <is>
          <t>0782_547216_Livenza_5_0220_0547216-CT_0_att92_p1_foto_3d_ecommerce.png | 0782_547216_Livenza_5_0220_0547216-CT_0_att92_p1_desenho_tec.png</t>
        </is>
      </c>
    </row>
    <row r="788" hidden="1" ht="15.75" customHeight="1" s="93">
      <c r="A788" s="23" t="inlineStr">
        <is>
          <t>5.0220.0547215.0</t>
        </is>
      </c>
      <c r="B788" s="23" t="inlineStr">
        <is>
          <t>547215</t>
        </is>
      </c>
      <c r="C788" s="29">
        <f>IFERROR(LOWER(SUBSTITUTE(SUBSTITUTE(SUBSTITUTE(SUBSTITUTE(D788," ","-"),"/","-"),".",""),",","")),"")</f>
        <v/>
      </c>
      <c r="D788" s="23" t="inlineStr">
        <is>
          <t>BOD 16 B11.C2.A42/19 A42.L1</t>
        </is>
      </c>
      <c r="E788" s="23" t="inlineStr">
        <is>
          <t>Bombas Hidráulicas</t>
        </is>
      </c>
      <c r="F788" s="23" t="inlineStr">
        <is>
          <t>SOHIPREN</t>
        </is>
      </c>
      <c r="G788" s="23" t="n"/>
      <c r="H788" s="23" t="inlineStr">
        <is>
          <t>draft</t>
        </is>
      </c>
      <c r="I788" s="23" t="inlineStr">
        <is>
          <t>MAXXION - MASSEY FERGUSON</t>
        </is>
      </c>
      <c r="J788" s="23" t="inlineStr">
        <is>
          <t>TRATOR DE PNEUS</t>
        </is>
      </c>
      <c r="K788" s="23" t="inlineStr">
        <is>
          <t>PRINCIPAL</t>
        </is>
      </c>
      <c r="L788" s="23" t="inlineStr">
        <is>
          <t>3411928M91</t>
        </is>
      </c>
      <c r="M788" s="31" t="n"/>
      <c r="N788" s="31" t="n"/>
      <c r="O788" s="31" t="n"/>
      <c r="P788" s="31" t="n"/>
      <c r="Q788" s="31" t="n"/>
      <c r="R788" s="34">
        <f>IFERROR(IF(AND(O788&gt;0,P788&gt;0,Q788&gt;0),(O788*P788*Q788)/6000,""),"")</f>
        <v/>
      </c>
      <c r="S788" s="34">
        <f>IFERROR(IF(AND(N788&gt;0,R788&gt;0),MAX(N788,R788),IF(N788&gt;0,N788,IF(R788&gt;0,R788,""))),"")</f>
        <v/>
      </c>
      <c r="T788" s="36" t="n"/>
      <c r="U788" s="38" t="inlineStr">
        <is>
          <t>FALTA</t>
        </is>
      </c>
      <c r="V788" s="36" t="n">
        <v>1885</v>
      </c>
      <c r="W788" s="39" t="n">
        <v>0.3</v>
      </c>
      <c r="X788" s="41">
        <f>IFERROR(V788+T788,"")</f>
        <v/>
      </c>
      <c r="Y788" s="41">
        <f>IFERROR(IF(W788&lt;1,X788/(1-W788),""),"")</f>
        <v/>
      </c>
      <c r="Z788" s="43">
        <f>'01_CONFIG_GLOBAL'!$C$14</f>
        <v/>
      </c>
      <c r="AA788" s="41">
        <f>IFERROR(Y788*Z788,"")</f>
        <v/>
      </c>
      <c r="AB788" s="41">
        <f>IFERROR(IF(Z788&lt;1,Y788/(1-Z788),""),"")</f>
        <v/>
      </c>
      <c r="AC788" s="23" t="n"/>
      <c r="AD788" s="36" t="n"/>
      <c r="AE788" s="23" t="n"/>
      <c r="AF788" s="36" t="n"/>
      <c r="AG788" s="23" t="n"/>
      <c r="AH788" s="36" t="n"/>
      <c r="AI788" s="41">
        <f>IFERROR(AVERAGE(AD788,AF788,AH788),"")</f>
        <v/>
      </c>
      <c r="AJ788" s="29">
        <f>IFERROR(IF(AI788="","sem dados",IF(AB788&lt;AI788*0.95,"abaixo",IF(AB788&gt;AI788*1.05,"acima","em linha"))),"")</f>
        <v/>
      </c>
      <c r="AK788" s="23" t="inlineStr">
        <is>
          <t>não</t>
        </is>
      </c>
      <c r="AL788" s="23" t="n"/>
      <c r="AM788" s="23" t="n"/>
      <c r="AN788" s="23" t="n"/>
      <c r="AO788" s="44">
        <f>A788</f>
        <v/>
      </c>
      <c r="AP788" s="44">
        <f>D788</f>
        <v/>
      </c>
    </row>
    <row r="789" hidden="1" ht="15.75" customHeight="1" s="93">
      <c r="A789" s="23" t="inlineStr">
        <is>
          <t>5.0210.0547448.0</t>
        </is>
      </c>
      <c r="B789" s="23" t="inlineStr">
        <is>
          <t>547448</t>
        </is>
      </c>
      <c r="C789" s="29">
        <f>IFERROR(LOWER(SUBSTITUTE(SUBSTITUTE(SUBSTITUTE(SUBSTITUTE(D789," ","-"),"/","-"),".",""),",","")),"")</f>
        <v/>
      </c>
      <c r="D789" s="23" t="inlineStr">
        <is>
          <t>BOMBA HIDRÁULICA - APLICAÇÃO 22,5 E9.P1.A4.L</t>
        </is>
      </c>
      <c r="E789" s="23" t="inlineStr">
        <is>
          <t>Bombas Hidráulicas</t>
        </is>
      </c>
      <c r="F789" s="23" t="inlineStr">
        <is>
          <t>SOHIPREN</t>
        </is>
      </c>
      <c r="G789" s="23" t="n"/>
      <c r="H789" s="23" t="inlineStr">
        <is>
          <t>draft</t>
        </is>
      </c>
      <c r="I789" s="23" t="inlineStr">
        <is>
          <t>MAXXION - MASSEY FERGUSON</t>
        </is>
      </c>
      <c r="J789" s="23" t="inlineStr">
        <is>
          <t>TRATOR</t>
        </is>
      </c>
      <c r="K789" s="23" t="inlineStr">
        <is>
          <t>DIREÇÃO</t>
        </is>
      </c>
      <c r="L789" s="23" t="inlineStr">
        <is>
          <t>020556T1 / 9510080730</t>
        </is>
      </c>
      <c r="M789" s="31" t="n"/>
      <c r="N789" s="31" t="n"/>
      <c r="O789" s="31" t="n"/>
      <c r="P789" s="31" t="n"/>
      <c r="Q789" s="31" t="n"/>
      <c r="R789" s="34">
        <f>IFERROR(IF(AND(O789&gt;0,P789&gt;0,Q789&gt;0),(O789*P789*Q789)/6000,""),"")</f>
        <v/>
      </c>
      <c r="S789" s="34">
        <f>IFERROR(IF(AND(N789&gt;0,R789&gt;0),MAX(N789,R789),IF(N789&gt;0,N789,IF(R789&gt;0,R789,""))),"")</f>
        <v/>
      </c>
      <c r="T789" s="36" t="n"/>
      <c r="U789" s="38" t="inlineStr">
        <is>
          <t>FALTA</t>
        </is>
      </c>
      <c r="V789" s="36" t="n">
        <v>473</v>
      </c>
      <c r="W789" s="39" t="n">
        <v>0.3</v>
      </c>
      <c r="X789" s="41">
        <f>IFERROR(V789+T789,"")</f>
        <v/>
      </c>
      <c r="Y789" s="41">
        <f>IFERROR(IF(W789&lt;1,X789/(1-W789),""),"")</f>
        <v/>
      </c>
      <c r="Z789" s="43">
        <f>'01_CONFIG_GLOBAL'!$C$14</f>
        <v/>
      </c>
      <c r="AA789" s="41">
        <f>IFERROR(Y789*Z789,"")</f>
        <v/>
      </c>
      <c r="AB789" s="41">
        <f>IFERROR(IF(Z789&lt;1,Y789/(1-Z789),""),"")</f>
        <v/>
      </c>
      <c r="AC789" s="23" t="n"/>
      <c r="AD789" s="36" t="n"/>
      <c r="AE789" s="23" t="n"/>
      <c r="AF789" s="36" t="n"/>
      <c r="AG789" s="23" t="n"/>
      <c r="AH789" s="36" t="n"/>
      <c r="AI789" s="41">
        <f>IFERROR(AVERAGE(AD789,AF789,AH789),"")</f>
        <v/>
      </c>
      <c r="AJ789" s="29">
        <f>IFERROR(IF(AI789="","sem dados",IF(AB789&lt;AI789*0.95,"abaixo",IF(AB789&gt;AI789*1.05,"acima","em linha"))),"")</f>
        <v/>
      </c>
      <c r="AK789" s="23" t="inlineStr">
        <is>
          <t>não</t>
        </is>
      </c>
      <c r="AL789" s="23" t="n"/>
      <c r="AM789" s="23" t="n"/>
      <c r="AN789" s="23" t="n"/>
      <c r="AO789" s="44">
        <f>A789</f>
        <v/>
      </c>
      <c r="AP789" s="44">
        <f>D789</f>
        <v/>
      </c>
    </row>
    <row r="790" hidden="1" ht="15.75" customHeight="1" s="93">
      <c r="A790" s="23" t="inlineStr">
        <is>
          <t>5.1302.0547845.0</t>
        </is>
      </c>
      <c r="B790" s="23" t="inlineStr">
        <is>
          <t>547845</t>
        </is>
      </c>
      <c r="C790" s="29">
        <f>IFERROR(LOWER(SUBSTITUTE(SUBSTITUTE(SUBSTITUTE(SUBSTITUTE(D790," ","-"),"/","-"),".",""),",","")),"")</f>
        <v/>
      </c>
      <c r="D790" s="23" t="inlineStr">
        <is>
          <t>BOMBA HIDRÁULICA - APLICAÇÃO MF A-005 (3816910M91) GIRO D</t>
        </is>
      </c>
      <c r="E790" s="23" t="inlineStr">
        <is>
          <t>Bombas Hidráulicas</t>
        </is>
      </c>
      <c r="F790" s="23" t="inlineStr">
        <is>
          <t>SOHIPREN</t>
        </is>
      </c>
      <c r="G790" s="23" t="n"/>
      <c r="H790" s="23" t="inlineStr">
        <is>
          <t>draft</t>
        </is>
      </c>
      <c r="I790" s="23" t="inlineStr">
        <is>
          <t>MAXXION - MASSEY FERGUSON</t>
        </is>
      </c>
      <c r="J790" s="23" t="inlineStr">
        <is>
          <t>TRATOR</t>
        </is>
      </c>
      <c r="K790" s="23" t="inlineStr">
        <is>
          <t>PRINCIPAL</t>
        </is>
      </c>
      <c r="L790" s="23" t="inlineStr">
        <is>
          <t>3816910M91</t>
        </is>
      </c>
      <c r="M790" s="31" t="n"/>
      <c r="N790" s="31" t="n"/>
      <c r="O790" s="31" t="n"/>
      <c r="P790" s="31" t="n"/>
      <c r="Q790" s="31" t="n"/>
      <c r="R790" s="34">
        <f>IFERROR(IF(AND(O790&gt;0,P790&gt;0,Q790&gt;0),(O790*P790*Q790)/6000,""),"")</f>
        <v/>
      </c>
      <c r="S790" s="34">
        <f>IFERROR(IF(AND(N790&gt;0,R790&gt;0),MAX(N790,R790),IF(N790&gt;0,N790,IF(R790&gt;0,R790,""))),"")</f>
        <v/>
      </c>
      <c r="T790" s="36" t="n"/>
      <c r="U790" s="38" t="inlineStr">
        <is>
          <t>FALTA</t>
        </is>
      </c>
      <c r="V790" s="36" t="n">
        <v>1385</v>
      </c>
      <c r="W790" s="39" t="n">
        <v>0.3</v>
      </c>
      <c r="X790" s="41">
        <f>IFERROR(V790+T790,"")</f>
        <v/>
      </c>
      <c r="Y790" s="41">
        <f>IFERROR(IF(W790&lt;1,X790/(1-W790),""),"")</f>
        <v/>
      </c>
      <c r="Z790" s="43">
        <f>'01_CONFIG_GLOBAL'!$C$14</f>
        <v/>
      </c>
      <c r="AA790" s="41">
        <f>IFERROR(Y790*Z790,"")</f>
        <v/>
      </c>
      <c r="AB790" s="41">
        <f>IFERROR(IF(Z790&lt;1,Y790/(1-Z790),""),"")</f>
        <v/>
      </c>
      <c r="AC790" s="23" t="n"/>
      <c r="AD790" s="36" t="n"/>
      <c r="AE790" s="23" t="n"/>
      <c r="AF790" s="36" t="n"/>
      <c r="AG790" s="23" t="n"/>
      <c r="AH790" s="36" t="n"/>
      <c r="AI790" s="41">
        <f>IFERROR(AVERAGE(AD790,AF790,AH790),"")</f>
        <v/>
      </c>
      <c r="AJ790" s="29">
        <f>IFERROR(IF(AI790="","sem dados",IF(AB790&lt;AI790*0.95,"abaixo",IF(AB790&gt;AI790*1.05,"acima","em linha"))),"")</f>
        <v/>
      </c>
      <c r="AK790" s="23" t="inlineStr">
        <is>
          <t>não</t>
        </is>
      </c>
      <c r="AL790" s="23" t="n"/>
      <c r="AM790" s="23" t="n"/>
      <c r="AN790" s="23" t="n"/>
      <c r="AO790" s="44">
        <f>A790</f>
        <v/>
      </c>
      <c r="AP790" s="44">
        <f>D790</f>
        <v/>
      </c>
    </row>
    <row r="791" hidden="1" ht="15.75" customHeight="1" s="93">
      <c r="A791" s="23" t="inlineStr">
        <is>
          <t>5.1302.0547846.0</t>
        </is>
      </c>
      <c r="B791" s="23" t="inlineStr">
        <is>
          <t>547846</t>
        </is>
      </c>
      <c r="C791" s="29">
        <f>IFERROR(LOWER(SUBSTITUTE(SUBSTITUTE(SUBSTITUTE(SUBSTITUTE(D791," ","-"),"/","-"),".",""),",","")),"")</f>
        <v/>
      </c>
      <c r="D791" s="23" t="inlineStr">
        <is>
          <t>BOMBA HIDRÁULICA - APLICAÇÃO MF A-006 (3816911M91) GIRO D</t>
        </is>
      </c>
      <c r="E791" s="23" t="inlineStr">
        <is>
          <t>Bombas Hidráulicas</t>
        </is>
      </c>
      <c r="F791" s="23" t="inlineStr">
        <is>
          <t>SOHIPREN</t>
        </is>
      </c>
      <c r="G791" s="23" t="n"/>
      <c r="H791" s="23" t="inlineStr">
        <is>
          <t>draft</t>
        </is>
      </c>
      <c r="I791" s="23" t="inlineStr">
        <is>
          <t>MAXXION - MASSEY FERGUSON</t>
        </is>
      </c>
      <c r="J791" s="23" t="inlineStr">
        <is>
          <t>TRATOR</t>
        </is>
      </c>
      <c r="K791" s="23" t="inlineStr">
        <is>
          <t>PRINCIPAL</t>
        </is>
      </c>
      <c r="L791" s="23" t="inlineStr">
        <is>
          <t>3816911M91/R979410015/11102022053/90642593</t>
        </is>
      </c>
      <c r="M791" s="31" t="n"/>
      <c r="N791" s="31" t="n"/>
      <c r="O791" s="31" t="n"/>
      <c r="P791" s="31" t="n"/>
      <c r="Q791" s="31" t="n"/>
      <c r="R791" s="34">
        <f>IFERROR(IF(AND(O791&gt;0,P791&gt;0,Q791&gt;0),(O791*P791*Q791)/6000,""),"")</f>
        <v/>
      </c>
      <c r="S791" s="34">
        <f>IFERROR(IF(AND(N791&gt;0,R791&gt;0),MAX(N791,R791),IF(N791&gt;0,N791,IF(R791&gt;0,R791,""))),"")</f>
        <v/>
      </c>
      <c r="T791" s="36" t="n"/>
      <c r="U791" s="38" t="inlineStr">
        <is>
          <t>FALTA</t>
        </is>
      </c>
      <c r="V791" s="36" t="n">
        <v>1385</v>
      </c>
      <c r="W791" s="39" t="n">
        <v>0.3</v>
      </c>
      <c r="X791" s="41">
        <f>IFERROR(V791+T791,"")</f>
        <v/>
      </c>
      <c r="Y791" s="41">
        <f>IFERROR(IF(W791&lt;1,X791/(1-W791),""),"")</f>
        <v/>
      </c>
      <c r="Z791" s="43">
        <f>'01_CONFIG_GLOBAL'!$C$14</f>
        <v/>
      </c>
      <c r="AA791" s="41">
        <f>IFERROR(Y791*Z791,"")</f>
        <v/>
      </c>
      <c r="AB791" s="41">
        <f>IFERROR(IF(Z791&lt;1,Y791/(1-Z791),""),"")</f>
        <v/>
      </c>
      <c r="AC791" s="23" t="n"/>
      <c r="AD791" s="36" t="n"/>
      <c r="AE791" s="23" t="n"/>
      <c r="AF791" s="36" t="n"/>
      <c r="AG791" s="23" t="n"/>
      <c r="AH791" s="36" t="n"/>
      <c r="AI791" s="41">
        <f>IFERROR(AVERAGE(AD791,AF791,AH791),"")</f>
        <v/>
      </c>
      <c r="AJ791" s="29">
        <f>IFERROR(IF(AI791="","sem dados",IF(AB791&lt;AI791*0.95,"abaixo",IF(AB791&gt;AI791*1.05,"acima","em linha"))),"")</f>
        <v/>
      </c>
      <c r="AK791" s="23" t="inlineStr">
        <is>
          <t>não</t>
        </is>
      </c>
      <c r="AL791" s="23" t="n"/>
      <c r="AM791" s="23" t="n"/>
      <c r="AN791" s="23" t="n"/>
      <c r="AO791" s="44">
        <f>A791</f>
        <v/>
      </c>
      <c r="AP791" s="44">
        <f>D791</f>
        <v/>
      </c>
    </row>
    <row r="792" ht="15.75" customHeight="1" s="93">
      <c r="A792" s="23" t="inlineStr">
        <is>
          <t>5.1302.0547844.0</t>
        </is>
      </c>
      <c r="B792" s="23" t="inlineStr">
        <is>
          <t>547844</t>
        </is>
      </c>
      <c r="C792" s="29">
        <f>IFERROR(LOWER(SUBSTITUTE(SUBSTITUTE(SUBSTITUTE(SUBSTITUTE(D792," ","-"),"/","-"),".",""),",","")),"")</f>
        <v/>
      </c>
      <c r="D792" s="50" t="inlineStr">
        <is>
          <t>Bomba Hidráulica Massey Ferguson MF A-004 - 4215/4220/4235/4255</t>
        </is>
      </c>
      <c r="E792" s="50" t="inlineStr">
        <is>
          <t>Bombas Hidráulicas</t>
        </is>
      </c>
      <c r="F792" s="23" t="inlineStr">
        <is>
          <t>SOHIPREN</t>
        </is>
      </c>
      <c r="G792" s="23" t="n"/>
      <c r="H792" s="23" t="inlineStr">
        <is>
          <t>active</t>
        </is>
      </c>
      <c r="I792" s="23" t="inlineStr">
        <is>
          <t>MAXXION - MASSEY FERGUSON</t>
        </is>
      </c>
      <c r="J792" s="23" t="inlineStr">
        <is>
          <t>TRATOR</t>
        </is>
      </c>
      <c r="K792" s="23" t="inlineStr">
        <is>
          <t>PRINCIPAL</t>
        </is>
      </c>
      <c r="L792" s="23" t="inlineStr">
        <is>
          <t>3816909M91</t>
        </is>
      </c>
      <c r="M792" s="31" t="n"/>
      <c r="N792" s="31" t="n">
        <v>7.03</v>
      </c>
      <c r="O792" s="31" t="n">
        <v>30</v>
      </c>
      <c r="P792" s="31" t="n">
        <v>12.5</v>
      </c>
      <c r="Q792" s="31" t="n">
        <v>12.5</v>
      </c>
      <c r="R792" s="34">
        <f>IFERROR(IF(AND(O792&gt;0,P792&gt;0,Q792&gt;0),(O792*P792*Q792)/6000,""),"")</f>
        <v/>
      </c>
      <c r="S792" s="34">
        <f>IFERROR(IF(AND(N792&gt;0,R792&gt;0),MAX(N792,R792),IF(N792&gt;0,N792,IF(R792&gt;0,R792,""))),"")</f>
        <v/>
      </c>
      <c r="T792" s="36" t="n">
        <v>100</v>
      </c>
      <c r="U792" s="23" t="inlineStr">
        <is>
          <t>fornecedor</t>
        </is>
      </c>
      <c r="V792" s="36" t="n">
        <v>1177.25</v>
      </c>
      <c r="W792" s="39" t="n">
        <v>0.2</v>
      </c>
      <c r="X792" s="41">
        <f>IFERROR(V792+T792,"")</f>
        <v/>
      </c>
      <c r="Y792" s="41">
        <f>IFERROR(IF(W792&lt;1,X792/(1-W792),""),"")</f>
        <v/>
      </c>
      <c r="Z792" s="43">
        <f>'01_CONFIG_GLOBAL'!$C$14</f>
        <v/>
      </c>
      <c r="AA792" s="41">
        <f>IFERROR(Y792*Z792,"")</f>
        <v/>
      </c>
      <c r="AB792" s="41">
        <f>IFERROR(IF(Z792&lt;1,Y792/(1-Z792),""),"")</f>
        <v/>
      </c>
      <c r="AC792" s="23" t="n"/>
      <c r="AD792" s="36" t="n"/>
      <c r="AE792" s="23" t="n"/>
      <c r="AF792" s="36" t="n"/>
      <c r="AG792" s="23" t="n"/>
      <c r="AH792" s="36" t="n"/>
      <c r="AI792" s="41">
        <f>IFERROR(AVERAGE(AD792,AF792,AH792),"")</f>
        <v/>
      </c>
      <c r="AJ792" s="29">
        <f>IFERROR(IF(AI792="","sem dados",IF(AB792&lt;AI792*0.95,"abaixo",IF(AB792&gt;AI792*1.05,"acima","em linha"))),"")</f>
        <v/>
      </c>
      <c r="AK792" s="23" t="inlineStr">
        <is>
          <t>sim</t>
        </is>
      </c>
      <c r="AL792" s="23" t="n"/>
      <c r="AM792" s="23" t="n"/>
      <c r="AN792" s="23" t="inlineStr">
        <is>
          <t>Fotos: assets/livenza_5.1302.0547844-CT_REV._A_p1.png</t>
        </is>
      </c>
      <c r="AO792" s="44">
        <f>A792</f>
        <v/>
      </c>
      <c r="AP792" s="44">
        <f>D792</f>
        <v/>
      </c>
      <c r="AQ792" s="28" t="inlineStr">
        <is>
          <t>0787_547844_Livenza_5_1302_0547844-CT_A_att125_p1_foto_3d_ecommerce.png | 0787_547844_Livenza_5_1302_0547844-CT_A_att125_p1_desenho_tec.png | livenza_5.1302.0547844-CT_REV._A_p1.png</t>
        </is>
      </c>
    </row>
    <row r="793" hidden="1" ht="15.75" customHeight="1" s="93">
      <c r="A793" s="23" t="inlineStr">
        <is>
          <t>5.0220.0547782.0</t>
        </is>
      </c>
      <c r="B793" s="23" t="inlineStr">
        <is>
          <t>547782</t>
        </is>
      </c>
      <c r="C793" s="29">
        <f>IFERROR(LOWER(SUBSTITUTE(SUBSTITUTE(SUBSTITUTE(SUBSTITUTE(D793," ","-"),"/","-"),".",""),",","")),"")</f>
        <v/>
      </c>
      <c r="D793" s="23" t="inlineStr">
        <is>
          <t>BOMBA HIDRÁULICA - APLICAÇÃO 8 B11.C.C9/11 B13.L (PLACA H 15)</t>
        </is>
      </c>
      <c r="E793" s="23" t="inlineStr">
        <is>
          <t>Bombas Hidráulicas</t>
        </is>
      </c>
      <c r="F793" s="23" t="inlineStr">
        <is>
          <t>SOHIPREN</t>
        </is>
      </c>
      <c r="G793" s="23" t="n"/>
      <c r="H793" s="23" t="inlineStr">
        <is>
          <t>draft</t>
        </is>
      </c>
      <c r="I793" s="23" t="inlineStr">
        <is>
          <t>MAXXION - MASSEY FERGUSON</t>
        </is>
      </c>
      <c r="J793" s="23" t="inlineStr">
        <is>
          <t>TRATOR DE PNEUS</t>
        </is>
      </c>
      <c r="K793" s="23" t="inlineStr">
        <is>
          <t>DIREÇÃO</t>
        </is>
      </c>
      <c r="L793" s="23" t="inlineStr">
        <is>
          <t>3411573M91</t>
        </is>
      </c>
      <c r="M793" s="31" t="n"/>
      <c r="N793" s="31" t="n"/>
      <c r="O793" s="31" t="n"/>
      <c r="P793" s="31" t="n"/>
      <c r="Q793" s="31" t="n"/>
      <c r="R793" s="34">
        <f>IFERROR(IF(AND(O793&gt;0,P793&gt;0,Q793&gt;0),(O793*P793*Q793)/6000,""),"")</f>
        <v/>
      </c>
      <c r="S793" s="34">
        <f>IFERROR(IF(AND(N793&gt;0,R793&gt;0),MAX(N793,R793),IF(N793&gt;0,N793,IF(R793&gt;0,R793,""))),"")</f>
        <v/>
      </c>
      <c r="T793" s="36" t="n"/>
      <c r="U793" s="38" t="inlineStr">
        <is>
          <t>FALTA</t>
        </is>
      </c>
      <c r="V793" s="36" t="n">
        <v>1330</v>
      </c>
      <c r="W793" s="39" t="n">
        <v>0.3</v>
      </c>
      <c r="X793" s="41">
        <f>IFERROR(V793+T793,"")</f>
        <v/>
      </c>
      <c r="Y793" s="41">
        <f>IFERROR(IF(W793&lt;1,X793/(1-W793),""),"")</f>
        <v/>
      </c>
      <c r="Z793" s="43">
        <f>'01_CONFIG_GLOBAL'!$C$14</f>
        <v/>
      </c>
      <c r="AA793" s="41">
        <f>IFERROR(Y793*Z793,"")</f>
        <v/>
      </c>
      <c r="AB793" s="41">
        <f>IFERROR(IF(Z793&lt;1,Y793/(1-Z793),""),"")</f>
        <v/>
      </c>
      <c r="AC793" s="23" t="n"/>
      <c r="AD793" s="36" t="n"/>
      <c r="AE793" s="23" t="n"/>
      <c r="AF793" s="36" t="n"/>
      <c r="AG793" s="23" t="n"/>
      <c r="AH793" s="36" t="n"/>
      <c r="AI793" s="41">
        <f>IFERROR(AVERAGE(AD793,AF793,AH793),"")</f>
        <v/>
      </c>
      <c r="AJ793" s="29">
        <f>IFERROR(IF(AI793="","sem dados",IF(AB793&lt;AI793*0.95,"abaixo",IF(AB793&gt;AI793*1.05,"acima","em linha"))),"")</f>
        <v/>
      </c>
      <c r="AK793" s="23" t="inlineStr">
        <is>
          <t>não</t>
        </is>
      </c>
      <c r="AL793" s="23" t="n"/>
      <c r="AM793" s="23" t="n"/>
      <c r="AN793" s="23" t="n"/>
      <c r="AO793" s="44">
        <f>A793</f>
        <v/>
      </c>
      <c r="AP793" s="44">
        <f>D793</f>
        <v/>
      </c>
    </row>
    <row r="794" ht="15.75" customHeight="1" s="93">
      <c r="A794" s="23" t="inlineStr">
        <is>
          <t>5.1302.0547820.0</t>
        </is>
      </c>
      <c r="B794" s="23" t="inlineStr">
        <is>
          <t>547820</t>
        </is>
      </c>
      <c r="C794" s="29">
        <f>IFERROR(LOWER(SUBSTITUTE(SUBSTITUTE(SUBSTITUTE(SUBSTITUTE(D794," ","-"),"/","-"),".",""),",","")),"")</f>
        <v/>
      </c>
      <c r="D794" s="50" t="inlineStr">
        <is>
          <t>Bomba Hidráulica Massey Ferguson MF A-013 - Direção e Levante 3000/6000</t>
        </is>
      </c>
      <c r="E794" s="50" t="inlineStr">
        <is>
          <t>Bombas Hidráulicas</t>
        </is>
      </c>
      <c r="F794" s="23" t="inlineStr">
        <is>
          <t>SOHIPREN</t>
        </is>
      </c>
      <c r="G794" s="23" t="n"/>
      <c r="H794" s="23" t="inlineStr">
        <is>
          <t>active</t>
        </is>
      </c>
      <c r="I794" s="23" t="inlineStr">
        <is>
          <t>MAXXION - MASSEY FERGUSON</t>
        </is>
      </c>
      <c r="J794" s="23" t="inlineStr">
        <is>
          <t>TRATOR</t>
        </is>
      </c>
      <c r="K794" s="23" t="inlineStr">
        <is>
          <t>DIREÇÃO</t>
        </is>
      </c>
      <c r="L794" s="23" t="inlineStr">
        <is>
          <t>3382280M1/3382280M91/361660M1/0510665513</t>
        </is>
      </c>
      <c r="M794" s="31" t="n"/>
      <c r="N794" s="31" t="n">
        <v>6.52</v>
      </c>
      <c r="O794" s="31" t="n">
        <v>30</v>
      </c>
      <c r="P794" s="31" t="n">
        <v>12.5</v>
      </c>
      <c r="Q794" s="31" t="n">
        <v>12.5</v>
      </c>
      <c r="R794" s="34">
        <f>IFERROR(IF(AND(O794&gt;0,P794&gt;0,Q794&gt;0),(O794*P794*Q794)/6000,""),"")</f>
        <v/>
      </c>
      <c r="S794" s="34">
        <f>IFERROR(IF(AND(N794&gt;0,R794&gt;0),MAX(N794,R794),IF(N794&gt;0,N794,IF(R794&gt;0,R794,""))),"")</f>
        <v/>
      </c>
      <c r="T794" s="36" t="n">
        <v>100</v>
      </c>
      <c r="U794" s="23" t="inlineStr">
        <is>
          <t>fornecedor</t>
        </is>
      </c>
      <c r="V794" s="36" t="n">
        <v>1215.5</v>
      </c>
      <c r="W794" s="39" t="n">
        <v>0.2</v>
      </c>
      <c r="X794" s="41">
        <f>IFERROR(V794+T794,"")</f>
        <v/>
      </c>
      <c r="Y794" s="41">
        <f>IFERROR(IF(W794&lt;1,X794/(1-W794),""),"")</f>
        <v/>
      </c>
      <c r="Z794" s="43">
        <f>'01_CONFIG_GLOBAL'!$C$14</f>
        <v/>
      </c>
      <c r="AA794" s="41">
        <f>IFERROR(Y794*Z794,"")</f>
        <v/>
      </c>
      <c r="AB794" s="41">
        <f>IFERROR(IF(Z794&lt;1,Y794/(1-Z794),""),"")</f>
        <v/>
      </c>
      <c r="AC794" s="23" t="n"/>
      <c r="AD794" s="36" t="n"/>
      <c r="AE794" s="23" t="n"/>
      <c r="AF794" s="36" t="n"/>
      <c r="AG794" s="23" t="n"/>
      <c r="AH794" s="36" t="n"/>
      <c r="AI794" s="41">
        <f>IFERROR(AVERAGE(AD794,AF794,AH794),"")</f>
        <v/>
      </c>
      <c r="AJ794" s="29">
        <f>IFERROR(IF(AI794="","sem dados",IF(AB794&lt;AI794*0.95,"abaixo",IF(AB794&gt;AI794*1.05,"acima","em linha"))),"")</f>
        <v/>
      </c>
      <c r="AK794" s="23" t="inlineStr">
        <is>
          <t>sim</t>
        </is>
      </c>
      <c r="AL794" s="23" t="n"/>
      <c r="AM794" s="23" t="n"/>
      <c r="AN794" s="23" t="inlineStr">
        <is>
          <t>Fotos: assets/livenza_5.1302.0547820-CT_REV._0_p1.png</t>
        </is>
      </c>
      <c r="AO794" s="44">
        <f>A794</f>
        <v/>
      </c>
      <c r="AP794" s="44">
        <f>D794</f>
        <v/>
      </c>
      <c r="AQ794" s="28" t="inlineStr">
        <is>
          <t>0789_547820_Livenza_5_1302_0547820-CT_0_att124_p2_foto_3d_ecommerce.png | 0789_547820_Livenza_5_1302_0547820-CT_0_att124_p2_desenho_tec.png | livenza_5.1302.0547820-CT_REV._0_p1.png</t>
        </is>
      </c>
    </row>
    <row r="795" hidden="1" ht="15.75" customHeight="1" s="93">
      <c r="A795" s="23" t="inlineStr">
        <is>
          <t>5.0206.0543318.0</t>
        </is>
      </c>
      <c r="B795" s="23" t="inlineStr">
        <is>
          <t>543318</t>
        </is>
      </c>
      <c r="C795" s="29">
        <f>IFERROR(LOWER(SUBSTITUTE(SUBSTITUTE(SUBSTITUTE(SUBSTITUTE(D795," ","-"),"/","-"),".",""),",","")),"")</f>
        <v/>
      </c>
      <c r="D795" s="23" t="inlineStr">
        <is>
          <t>BOMBA HIDRÁULICA - APLICAÇÃO 11 B1.C12.A.L</t>
        </is>
      </c>
      <c r="E795" s="23" t="inlineStr">
        <is>
          <t>Bombas Hidráulicas</t>
        </is>
      </c>
      <c r="F795" s="23" t="inlineStr">
        <is>
          <t>SOHIPREN</t>
        </is>
      </c>
      <c r="G795" s="23" t="n"/>
      <c r="H795" s="23" t="inlineStr">
        <is>
          <t>draft</t>
        </is>
      </c>
      <c r="I795" s="23" t="inlineStr">
        <is>
          <t>MAXXION - MASSEY FERGUSON</t>
        </is>
      </c>
      <c r="J795" s="23" t="inlineStr">
        <is>
          <t>TRATOR</t>
        </is>
      </c>
      <c r="K795" s="23" t="inlineStr">
        <is>
          <t>DIREÇÃO</t>
        </is>
      </c>
      <c r="L795" s="23" t="inlineStr">
        <is>
          <t>052207T1</t>
        </is>
      </c>
      <c r="M795" s="31" t="n"/>
      <c r="N795" s="31" t="n"/>
      <c r="O795" s="31" t="n"/>
      <c r="P795" s="31" t="n"/>
      <c r="Q795" s="31" t="n"/>
      <c r="R795" s="34">
        <f>IFERROR(IF(AND(O795&gt;0,P795&gt;0,Q795&gt;0),(O795*P795*Q795)/6000,""),"")</f>
        <v/>
      </c>
      <c r="S795" s="34">
        <f>IFERROR(IF(AND(N795&gt;0,R795&gt;0),MAX(N795,R795),IF(N795&gt;0,N795,IF(R795&gt;0,R795,""))),"")</f>
        <v/>
      </c>
      <c r="T795" s="36" t="n"/>
      <c r="U795" s="38" t="inlineStr">
        <is>
          <t>FALTA</t>
        </is>
      </c>
      <c r="V795" s="36" t="n">
        <v>605</v>
      </c>
      <c r="W795" s="39" t="n">
        <v>0.3</v>
      </c>
      <c r="X795" s="41">
        <f>IFERROR(V795+T795,"")</f>
        <v/>
      </c>
      <c r="Y795" s="41">
        <f>IFERROR(IF(W795&lt;1,X795/(1-W795),""),"")</f>
        <v/>
      </c>
      <c r="Z795" s="43">
        <f>'01_CONFIG_GLOBAL'!$C$14</f>
        <v/>
      </c>
      <c r="AA795" s="41">
        <f>IFERROR(Y795*Z795,"")</f>
        <v/>
      </c>
      <c r="AB795" s="41">
        <f>IFERROR(IF(Z795&lt;1,Y795/(1-Z795),""),"")</f>
        <v/>
      </c>
      <c r="AC795" s="23" t="n"/>
      <c r="AD795" s="36" t="n"/>
      <c r="AE795" s="23" t="n"/>
      <c r="AF795" s="36" t="n"/>
      <c r="AG795" s="23" t="n"/>
      <c r="AH795" s="36" t="n"/>
      <c r="AI795" s="41">
        <f>IFERROR(AVERAGE(AD795,AF795,AH795),"")</f>
        <v/>
      </c>
      <c r="AJ795" s="29">
        <f>IFERROR(IF(AI795="","sem dados",IF(AB795&lt;AI795*0.95,"abaixo",IF(AB795&gt;AI795*1.05,"acima","em linha"))),"")</f>
        <v/>
      </c>
      <c r="AK795" s="23" t="inlineStr">
        <is>
          <t>não</t>
        </is>
      </c>
      <c r="AL795" s="23" t="n"/>
      <c r="AM795" s="23" t="n"/>
      <c r="AN795" s="23" t="n"/>
      <c r="AO795" s="44">
        <f>A795</f>
        <v/>
      </c>
      <c r="AP795" s="44">
        <f>D795</f>
        <v/>
      </c>
    </row>
    <row r="796" hidden="1" ht="15.75" customHeight="1" s="93">
      <c r="A796" s="23" t="inlineStr">
        <is>
          <t>5.0206.0543320.0</t>
        </is>
      </c>
      <c r="B796" s="23" t="inlineStr">
        <is>
          <t>543320</t>
        </is>
      </c>
      <c r="C796" s="29">
        <f>IFERROR(LOWER(SUBSTITUTE(SUBSTITUTE(SUBSTITUTE(SUBSTITUTE(D796," ","-"),"/","-"),".",""),",","")),"")</f>
        <v/>
      </c>
      <c r="D796" s="23" t="inlineStr">
        <is>
          <t>BOMBA HIDRÁULICA - APLICAÇÃO 11 B1.B10.A21.T15  -105+10 BAR (DEPOSITO)</t>
        </is>
      </c>
      <c r="E796" s="23" t="inlineStr">
        <is>
          <t>Bombas Hidráulicas</t>
        </is>
      </c>
      <c r="F796" s="23" t="inlineStr">
        <is>
          <t>SOHIPREN</t>
        </is>
      </c>
      <c r="G796" s="23" t="n"/>
      <c r="H796" s="23" t="inlineStr">
        <is>
          <t>draft</t>
        </is>
      </c>
      <c r="I796" s="23" t="inlineStr">
        <is>
          <t>MAXXION - MASSEY FERGUSON</t>
        </is>
      </c>
      <c r="J796" s="23" t="inlineStr">
        <is>
          <t>TRATOR</t>
        </is>
      </c>
      <c r="K796" s="23" t="inlineStr">
        <is>
          <t>DIREÇÃO</t>
        </is>
      </c>
      <c r="L796" s="23" t="inlineStr">
        <is>
          <t>3145114M91 / 9540082511</t>
        </is>
      </c>
      <c r="M796" s="31" t="n"/>
      <c r="N796" s="31" t="n"/>
      <c r="O796" s="31" t="n"/>
      <c r="P796" s="31" t="n"/>
      <c r="Q796" s="31" t="n"/>
      <c r="R796" s="34">
        <f>IFERROR(IF(AND(O796&gt;0,P796&gt;0,Q796&gt;0),(O796*P796*Q796)/6000,""),"")</f>
        <v/>
      </c>
      <c r="S796" s="34">
        <f>IFERROR(IF(AND(N796&gt;0,R796&gt;0),MAX(N796,R796),IF(N796&gt;0,N796,IF(R796&gt;0,R796,""))),"")</f>
        <v/>
      </c>
      <c r="T796" s="36" t="n"/>
      <c r="U796" s="38" t="inlineStr">
        <is>
          <t>FALTA</t>
        </is>
      </c>
      <c r="V796" s="36" t="n">
        <v>548</v>
      </c>
      <c r="W796" s="39" t="n">
        <v>0.3</v>
      </c>
      <c r="X796" s="41">
        <f>IFERROR(V796+T796,"")</f>
        <v/>
      </c>
      <c r="Y796" s="41">
        <f>IFERROR(IF(W796&lt;1,X796/(1-W796),""),"")</f>
        <v/>
      </c>
      <c r="Z796" s="43">
        <f>'01_CONFIG_GLOBAL'!$C$14</f>
        <v/>
      </c>
      <c r="AA796" s="41">
        <f>IFERROR(Y796*Z796,"")</f>
        <v/>
      </c>
      <c r="AB796" s="41">
        <f>IFERROR(IF(Z796&lt;1,Y796/(1-Z796),""),"")</f>
        <v/>
      </c>
      <c r="AC796" s="23" t="n"/>
      <c r="AD796" s="36" t="n"/>
      <c r="AE796" s="23" t="n"/>
      <c r="AF796" s="36" t="n"/>
      <c r="AG796" s="23" t="n"/>
      <c r="AH796" s="36" t="n"/>
      <c r="AI796" s="41">
        <f>IFERROR(AVERAGE(AD796,AF796,AH796),"")</f>
        <v/>
      </c>
      <c r="AJ796" s="29">
        <f>IFERROR(IF(AI796="","sem dados",IF(AB796&lt;AI796*0.95,"abaixo",IF(AB796&gt;AI796*1.05,"acima","em linha"))),"")</f>
        <v/>
      </c>
      <c r="AK796" s="23" t="inlineStr">
        <is>
          <t>não</t>
        </is>
      </c>
      <c r="AL796" s="23" t="n"/>
      <c r="AM796" s="23" t="n"/>
      <c r="AN796" s="23" t="n"/>
      <c r="AO796" s="44">
        <f>A796</f>
        <v/>
      </c>
      <c r="AP796" s="44">
        <f>D796</f>
        <v/>
      </c>
    </row>
    <row r="797" hidden="1" ht="15.75" customHeight="1" s="93">
      <c r="A797" s="23" t="inlineStr">
        <is>
          <t>5.1302.0543312.0</t>
        </is>
      </c>
      <c r="B797" s="23" t="inlineStr">
        <is>
          <t>543312</t>
        </is>
      </c>
      <c r="C797" s="29">
        <f>IFERROR(LOWER(SUBSTITUTE(SUBSTITUTE(SUBSTITUTE(SUBSTITUTE(D797," ","-"),"/","-"),".",""),",","")),"")</f>
        <v/>
      </c>
      <c r="D797" s="23" t="inlineStr">
        <is>
          <t>BOMBA HIDRÁULICA - APLICAÇÃO MF A-002 (3816912M91) GIRO I</t>
        </is>
      </c>
      <c r="E797" s="23" t="inlineStr">
        <is>
          <t>Bombas Hidráulicas</t>
        </is>
      </c>
      <c r="F797" s="23" t="inlineStr">
        <is>
          <t>SOHIPREN</t>
        </is>
      </c>
      <c r="G797" s="23" t="n"/>
      <c r="H797" s="23" t="inlineStr">
        <is>
          <t>draft</t>
        </is>
      </c>
      <c r="I797" s="23" t="inlineStr">
        <is>
          <t>MAXXION - MASSEY FERGUSON</t>
        </is>
      </c>
      <c r="J797" s="23" t="inlineStr">
        <is>
          <t>TRATOR</t>
        </is>
      </c>
      <c r="K797" s="23" t="inlineStr">
        <is>
          <t>PRINCIPAL</t>
        </is>
      </c>
      <c r="L797" s="23" t="inlineStr">
        <is>
          <t>3816912M91</t>
        </is>
      </c>
      <c r="M797" s="31" t="n"/>
      <c r="N797" s="31" t="n"/>
      <c r="O797" s="31" t="n"/>
      <c r="P797" s="31" t="n"/>
      <c r="Q797" s="31" t="n"/>
      <c r="R797" s="34">
        <f>IFERROR(IF(AND(O797&gt;0,P797&gt;0,Q797&gt;0),(O797*P797*Q797)/6000,""),"")</f>
        <v/>
      </c>
      <c r="S797" s="34">
        <f>IFERROR(IF(AND(N797&gt;0,R797&gt;0),MAX(N797,R797),IF(N797&gt;0,N797,IF(R797&gt;0,R797,""))),"")</f>
        <v/>
      </c>
      <c r="T797" s="36" t="n"/>
      <c r="U797" s="38" t="inlineStr">
        <is>
          <t>FALTA</t>
        </is>
      </c>
      <c r="V797" s="36" t="n">
        <v>870</v>
      </c>
      <c r="W797" s="39" t="n">
        <v>0.3</v>
      </c>
      <c r="X797" s="41">
        <f>IFERROR(V797+T797,"")</f>
        <v/>
      </c>
      <c r="Y797" s="41">
        <f>IFERROR(IF(W797&lt;1,X797/(1-W797),""),"")</f>
        <v/>
      </c>
      <c r="Z797" s="43">
        <f>'01_CONFIG_GLOBAL'!$C$14</f>
        <v/>
      </c>
      <c r="AA797" s="41">
        <f>IFERROR(Y797*Z797,"")</f>
        <v/>
      </c>
      <c r="AB797" s="41">
        <f>IFERROR(IF(Z797&lt;1,Y797/(1-Z797),""),"")</f>
        <v/>
      </c>
      <c r="AC797" s="23" t="n"/>
      <c r="AD797" s="36" t="n"/>
      <c r="AE797" s="23" t="n"/>
      <c r="AF797" s="36" t="n"/>
      <c r="AG797" s="23" t="n"/>
      <c r="AH797" s="36" t="n"/>
      <c r="AI797" s="41">
        <f>IFERROR(AVERAGE(AD797,AF797,AH797),"")</f>
        <v/>
      </c>
      <c r="AJ797" s="29">
        <f>IFERROR(IF(AI797="","sem dados",IF(AB797&lt;AI797*0.95,"abaixo",IF(AB797&gt;AI797*1.05,"acima","em linha"))),"")</f>
        <v/>
      </c>
      <c r="AK797" s="23" t="inlineStr">
        <is>
          <t>não</t>
        </is>
      </c>
      <c r="AL797" s="23" t="n"/>
      <c r="AM797" s="23" t="n"/>
      <c r="AN797" s="23" t="n"/>
      <c r="AO797" s="44">
        <f>A797</f>
        <v/>
      </c>
      <c r="AP797" s="44">
        <f>D797</f>
        <v/>
      </c>
    </row>
    <row r="798" hidden="1" ht="15.75" customHeight="1" s="93">
      <c r="A798" s="23" t="inlineStr">
        <is>
          <t>5.0206.0543237.0</t>
        </is>
      </c>
      <c r="B798" s="23" t="inlineStr">
        <is>
          <t>543237</t>
        </is>
      </c>
      <c r="C798" s="29">
        <f>IFERROR(LOWER(SUBSTITUTE(SUBSTITUTE(SUBSTITUTE(SUBSTITUTE(D798," ","-"),"/","-"),".",""),",","")),"")</f>
        <v/>
      </c>
      <c r="D798" s="23" t="inlineStr">
        <is>
          <t>BOMBA HIDRÁULICA - APLICAÇÃO 11 C.C5.A1.T6  -120 BAR</t>
        </is>
      </c>
      <c r="E798" s="23" t="inlineStr">
        <is>
          <t>Bombas Hidráulicas</t>
        </is>
      </c>
      <c r="F798" s="23" t="inlineStr">
        <is>
          <t>SOHIPREN</t>
        </is>
      </c>
      <c r="G798" s="23" t="n"/>
      <c r="H798" s="23" t="inlineStr">
        <is>
          <t>draft</t>
        </is>
      </c>
      <c r="I798" s="23" t="inlineStr">
        <is>
          <t>MAXXION - MASSEY FERGUSON</t>
        </is>
      </c>
      <c r="J798" s="23" t="inlineStr">
        <is>
          <t>TRATOR</t>
        </is>
      </c>
      <c r="K798" s="23" t="inlineStr">
        <is>
          <t>PRINCIPAL</t>
        </is>
      </c>
      <c r="L798" s="23" t="n"/>
      <c r="M798" s="31" t="n"/>
      <c r="N798" s="31" t="n"/>
      <c r="O798" s="31" t="n"/>
      <c r="P798" s="31" t="n"/>
      <c r="Q798" s="31" t="n"/>
      <c r="R798" s="34">
        <f>IFERROR(IF(AND(O798&gt;0,P798&gt;0,Q798&gt;0),(O798*P798*Q798)/6000,""),"")</f>
        <v/>
      </c>
      <c r="S798" s="34">
        <f>IFERROR(IF(AND(N798&gt;0,R798&gt;0),MAX(N798,R798),IF(N798&gt;0,N798,IF(R798&gt;0,R798,""))),"")</f>
        <v/>
      </c>
      <c r="T798" s="36" t="n"/>
      <c r="U798" s="38" t="inlineStr">
        <is>
          <t>FALTA</t>
        </is>
      </c>
      <c r="V798" s="36" t="n">
        <v>605</v>
      </c>
      <c r="W798" s="39" t="n">
        <v>0.3</v>
      </c>
      <c r="X798" s="41">
        <f>IFERROR(V798+T798,"")</f>
        <v/>
      </c>
      <c r="Y798" s="41">
        <f>IFERROR(IF(W798&lt;1,X798/(1-W798),""),"")</f>
        <v/>
      </c>
      <c r="Z798" s="43">
        <f>'01_CONFIG_GLOBAL'!$C$14</f>
        <v/>
      </c>
      <c r="AA798" s="41">
        <f>IFERROR(Y798*Z798,"")</f>
        <v/>
      </c>
      <c r="AB798" s="41">
        <f>IFERROR(IF(Z798&lt;1,Y798/(1-Z798),""),"")</f>
        <v/>
      </c>
      <c r="AC798" s="23" t="n"/>
      <c r="AD798" s="36" t="n"/>
      <c r="AE798" s="23" t="n"/>
      <c r="AF798" s="36" t="n"/>
      <c r="AG798" s="23" t="n"/>
      <c r="AH798" s="36" t="n"/>
      <c r="AI798" s="41">
        <f>IFERROR(AVERAGE(AD798,AF798,AH798),"")</f>
        <v/>
      </c>
      <c r="AJ798" s="29">
        <f>IFERROR(IF(AI798="","sem dados",IF(AB798&lt;AI798*0.95,"abaixo",IF(AB798&gt;AI798*1.05,"acima","em linha"))),"")</f>
        <v/>
      </c>
      <c r="AK798" s="23" t="inlineStr">
        <is>
          <t>não</t>
        </is>
      </c>
      <c r="AL798" s="23" t="n"/>
      <c r="AM798" s="23" t="n"/>
      <c r="AN798" s="23" t="n"/>
      <c r="AO798" s="44">
        <f>A798</f>
        <v/>
      </c>
      <c r="AP798" s="44">
        <f>D798</f>
        <v/>
      </c>
    </row>
    <row r="799" hidden="1" ht="15.75" customHeight="1" s="93">
      <c r="A799" s="23" t="inlineStr">
        <is>
          <t>5.0206.0543225.0</t>
        </is>
      </c>
      <c r="B799" s="23" t="inlineStr">
        <is>
          <t>543225</t>
        </is>
      </c>
      <c r="C799" s="29">
        <f>IFERROR(LOWER(SUBSTITUTE(SUBSTITUTE(SUBSTITUTE(SUBSTITUTE(D799," ","-"),"/","-"),".",""),",","")),"")</f>
        <v/>
      </c>
      <c r="D799" s="23" t="inlineStr">
        <is>
          <t>BOMBA HIDRÁULICA - APLICAÇÃO 11 C.C5.A1.T6  -100 BAR (DEPOSITO)</t>
        </is>
      </c>
      <c r="E799" s="23" t="inlineStr">
        <is>
          <t>Bombas Hidráulicas</t>
        </is>
      </c>
      <c r="F799" s="23" t="inlineStr">
        <is>
          <t>SOHIPREN</t>
        </is>
      </c>
      <c r="G799" s="23" t="n"/>
      <c r="H799" s="23" t="inlineStr">
        <is>
          <t>draft</t>
        </is>
      </c>
      <c r="I799" s="23" t="inlineStr">
        <is>
          <t>MAXXION - MASSEY FERGUSON</t>
        </is>
      </c>
      <c r="J799" s="23" t="inlineStr">
        <is>
          <t>TRATOR</t>
        </is>
      </c>
      <c r="K799" s="23" t="inlineStr">
        <is>
          <t>PRINCIPAL</t>
        </is>
      </c>
      <c r="L799" s="23" t="n"/>
      <c r="M799" s="31" t="n"/>
      <c r="N799" s="31" t="n"/>
      <c r="O799" s="31" t="n"/>
      <c r="P799" s="31" t="n"/>
      <c r="Q799" s="31" t="n"/>
      <c r="R799" s="34">
        <f>IFERROR(IF(AND(O799&gt;0,P799&gt;0,Q799&gt;0),(O799*P799*Q799)/6000,""),"")</f>
        <v/>
      </c>
      <c r="S799" s="34">
        <f>IFERROR(IF(AND(N799&gt;0,R799&gt;0),MAX(N799,R799),IF(N799&gt;0,N799,IF(R799&gt;0,R799,""))),"")</f>
        <v/>
      </c>
      <c r="T799" s="36" t="n"/>
      <c r="U799" s="38" t="inlineStr">
        <is>
          <t>FALTA</t>
        </is>
      </c>
      <c r="V799" s="36" t="n">
        <v>815</v>
      </c>
      <c r="W799" s="39" t="n">
        <v>0.3</v>
      </c>
      <c r="X799" s="41">
        <f>IFERROR(V799+T799,"")</f>
        <v/>
      </c>
      <c r="Y799" s="41">
        <f>IFERROR(IF(W799&lt;1,X799/(1-W799),""),"")</f>
        <v/>
      </c>
      <c r="Z799" s="43">
        <f>'01_CONFIG_GLOBAL'!$C$14</f>
        <v/>
      </c>
      <c r="AA799" s="41">
        <f>IFERROR(Y799*Z799,"")</f>
        <v/>
      </c>
      <c r="AB799" s="41">
        <f>IFERROR(IF(Z799&lt;1,Y799/(1-Z799),""),"")</f>
        <v/>
      </c>
      <c r="AC799" s="23" t="n"/>
      <c r="AD799" s="36" t="n"/>
      <c r="AE799" s="23" t="n"/>
      <c r="AF799" s="36" t="n"/>
      <c r="AG799" s="23" t="n"/>
      <c r="AH799" s="36" t="n"/>
      <c r="AI799" s="41">
        <f>IFERROR(AVERAGE(AD799,AF799,AH799),"")</f>
        <v/>
      </c>
      <c r="AJ799" s="29">
        <f>IFERROR(IF(AI799="","sem dados",IF(AB799&lt;AI799*0.95,"abaixo",IF(AB799&gt;AI799*1.05,"acima","em linha"))),"")</f>
        <v/>
      </c>
      <c r="AK799" s="23" t="inlineStr">
        <is>
          <t>não</t>
        </is>
      </c>
      <c r="AL799" s="23" t="n"/>
      <c r="AM799" s="23" t="n"/>
      <c r="AN799" s="23" t="n"/>
      <c r="AO799" s="44">
        <f>A799</f>
        <v/>
      </c>
      <c r="AP799" s="44">
        <f>D799</f>
        <v/>
      </c>
    </row>
    <row r="800" hidden="1" ht="15.75" customHeight="1" s="93">
      <c r="A800" s="23" t="inlineStr">
        <is>
          <t>5.0206.0543226.0</t>
        </is>
      </c>
      <c r="B800" s="23" t="inlineStr">
        <is>
          <t>543226</t>
        </is>
      </c>
      <c r="C800" s="29">
        <f>IFERROR(LOWER(SUBSTITUTE(SUBSTITUTE(SUBSTITUTE(SUBSTITUTE(D800," ","-"),"/","-"),".",""),",","")),"")</f>
        <v/>
      </c>
      <c r="D800" s="23" t="inlineStr">
        <is>
          <t>BOMBA HIDRÁULICA - APLICAÇÃO 11 C.C1.B.T - 70 BAR</t>
        </is>
      </c>
      <c r="E800" s="23" t="inlineStr">
        <is>
          <t>Bombas Hidráulicas</t>
        </is>
      </c>
      <c r="F800" s="23" t="inlineStr">
        <is>
          <t>SOHIPREN</t>
        </is>
      </c>
      <c r="G800" s="23" t="n"/>
      <c r="H800" s="23" t="inlineStr">
        <is>
          <t>draft</t>
        </is>
      </c>
      <c r="I800" s="23" t="inlineStr">
        <is>
          <t>MAXXION - MASSEY FERGUSON</t>
        </is>
      </c>
      <c r="J800" s="23" t="inlineStr">
        <is>
          <t>TRATOR</t>
        </is>
      </c>
      <c r="K800" s="23" t="inlineStr">
        <is>
          <t>DIREÇÃO</t>
        </is>
      </c>
      <c r="L800" s="23" t="inlineStr">
        <is>
          <t>3149403M91</t>
        </is>
      </c>
      <c r="M800" s="31" t="n"/>
      <c r="N800" s="31" t="n"/>
      <c r="O800" s="31" t="n"/>
      <c r="P800" s="31" t="n"/>
      <c r="Q800" s="31" t="n"/>
      <c r="R800" s="34">
        <f>IFERROR(IF(AND(O800&gt;0,P800&gt;0,Q800&gt;0),(O800*P800*Q800)/6000,""),"")</f>
        <v/>
      </c>
      <c r="S800" s="34">
        <f>IFERROR(IF(AND(N800&gt;0,R800&gt;0),MAX(N800,R800),IF(N800&gt;0,N800,IF(R800&gt;0,R800,""))),"")</f>
        <v/>
      </c>
      <c r="T800" s="36" t="n"/>
      <c r="U800" s="38" t="inlineStr">
        <is>
          <t>FALTA</t>
        </is>
      </c>
      <c r="V800" s="36" t="n">
        <v>815</v>
      </c>
      <c r="W800" s="39" t="n">
        <v>0.3</v>
      </c>
      <c r="X800" s="41">
        <f>IFERROR(V800+T800,"")</f>
        <v/>
      </c>
      <c r="Y800" s="41">
        <f>IFERROR(IF(W800&lt;1,X800/(1-W800),""),"")</f>
        <v/>
      </c>
      <c r="Z800" s="43">
        <f>'01_CONFIG_GLOBAL'!$C$14</f>
        <v/>
      </c>
      <c r="AA800" s="41">
        <f>IFERROR(Y800*Z800,"")</f>
        <v/>
      </c>
      <c r="AB800" s="41">
        <f>IFERROR(IF(Z800&lt;1,Y800/(1-Z800),""),"")</f>
        <v/>
      </c>
      <c r="AC800" s="23" t="n"/>
      <c r="AD800" s="36" t="n"/>
      <c r="AE800" s="23" t="n"/>
      <c r="AF800" s="36" t="n"/>
      <c r="AG800" s="23" t="n"/>
      <c r="AH800" s="36" t="n"/>
      <c r="AI800" s="41">
        <f>IFERROR(AVERAGE(AD800,AF800,AH800),"")</f>
        <v/>
      </c>
      <c r="AJ800" s="29">
        <f>IFERROR(IF(AI800="","sem dados",IF(AB800&lt;AI800*0.95,"abaixo",IF(AB800&gt;AI800*1.05,"acima","em linha"))),"")</f>
        <v/>
      </c>
      <c r="AK800" s="23" t="inlineStr">
        <is>
          <t>não</t>
        </is>
      </c>
      <c r="AL800" s="23" t="n"/>
      <c r="AM800" s="23" t="n"/>
      <c r="AN800" s="23" t="n"/>
      <c r="AO800" s="44">
        <f>A800</f>
        <v/>
      </c>
      <c r="AP800" s="44">
        <f>D800</f>
        <v/>
      </c>
    </row>
    <row r="801" hidden="1" ht="15.75" customHeight="1" s="93">
      <c r="A801" s="23" t="inlineStr">
        <is>
          <t>5.0206.0543227.0</t>
        </is>
      </c>
      <c r="B801" s="23" t="inlineStr">
        <is>
          <t>543227</t>
        </is>
      </c>
      <c r="C801" s="29">
        <f>IFERROR(LOWER(SUBSTITUTE(SUBSTITUTE(SUBSTITUTE(SUBSTITUTE(D801," ","-"),"/","-"),".",""),",","")),"")</f>
        <v/>
      </c>
      <c r="D801" s="23" t="inlineStr">
        <is>
          <t>BOMBA HIDRÁULICA - APLICAÇÃO 11 C.C5.A16.L</t>
        </is>
      </c>
      <c r="E801" s="23" t="inlineStr">
        <is>
          <t>Bombas Hidráulicas</t>
        </is>
      </c>
      <c r="F801" s="23" t="inlineStr">
        <is>
          <t>SOHIPREN</t>
        </is>
      </c>
      <c r="G801" s="23" t="n"/>
      <c r="H801" s="23" t="inlineStr">
        <is>
          <t>draft</t>
        </is>
      </c>
      <c r="I801" s="23" t="inlineStr">
        <is>
          <t>MAXXION - MASSEY FERGUSON</t>
        </is>
      </c>
      <c r="J801" s="23" t="inlineStr">
        <is>
          <t>TRATOR</t>
        </is>
      </c>
      <c r="K801" s="23" t="inlineStr">
        <is>
          <t>PRINCIPAL</t>
        </is>
      </c>
      <c r="L801" s="23" t="n"/>
      <c r="M801" s="31" t="n"/>
      <c r="N801" s="31" t="n"/>
      <c r="O801" s="31" t="n"/>
      <c r="P801" s="31" t="n"/>
      <c r="Q801" s="31" t="n"/>
      <c r="R801" s="34">
        <f>IFERROR(IF(AND(O801&gt;0,P801&gt;0,Q801&gt;0),(O801*P801*Q801)/6000,""),"")</f>
        <v/>
      </c>
      <c r="S801" s="34">
        <f>IFERROR(IF(AND(N801&gt;0,R801&gt;0),MAX(N801,R801),IF(N801&gt;0,N801,IF(R801&gt;0,R801,""))),"")</f>
        <v/>
      </c>
      <c r="T801" s="36" t="n"/>
      <c r="U801" s="38" t="inlineStr">
        <is>
          <t>FALTA</t>
        </is>
      </c>
      <c r="V801" s="36" t="n">
        <v>566.5</v>
      </c>
      <c r="W801" s="39" t="n">
        <v>0.3</v>
      </c>
      <c r="X801" s="41">
        <f>IFERROR(V801+T801,"")</f>
        <v/>
      </c>
      <c r="Y801" s="41">
        <f>IFERROR(IF(W801&lt;1,X801/(1-W801),""),"")</f>
        <v/>
      </c>
      <c r="Z801" s="43">
        <f>'01_CONFIG_GLOBAL'!$C$14</f>
        <v/>
      </c>
      <c r="AA801" s="41">
        <f>IFERROR(Y801*Z801,"")</f>
        <v/>
      </c>
      <c r="AB801" s="41">
        <f>IFERROR(IF(Z801&lt;1,Y801/(1-Z801),""),"")</f>
        <v/>
      </c>
      <c r="AC801" s="23" t="n"/>
      <c r="AD801" s="36" t="n"/>
      <c r="AE801" s="23" t="n"/>
      <c r="AF801" s="36" t="n"/>
      <c r="AG801" s="23" t="n"/>
      <c r="AH801" s="36" t="n"/>
      <c r="AI801" s="41">
        <f>IFERROR(AVERAGE(AD801,AF801,AH801),"")</f>
        <v/>
      </c>
      <c r="AJ801" s="29">
        <f>IFERROR(IF(AI801="","sem dados",IF(AB801&lt;AI801*0.95,"abaixo",IF(AB801&gt;AI801*1.05,"acima","em linha"))),"")</f>
        <v/>
      </c>
      <c r="AK801" s="23" t="inlineStr">
        <is>
          <t>não</t>
        </is>
      </c>
      <c r="AL801" s="23" t="n"/>
      <c r="AM801" s="23" t="n"/>
      <c r="AN801" s="23" t="n"/>
      <c r="AO801" s="44">
        <f>A801</f>
        <v/>
      </c>
      <c r="AP801" s="44">
        <f>D801</f>
        <v/>
      </c>
    </row>
    <row r="802" hidden="1" ht="15.75" customHeight="1" s="93">
      <c r="A802" s="23" t="inlineStr">
        <is>
          <t>5.1302.0544026.0</t>
        </is>
      </c>
      <c r="B802" s="23" t="inlineStr">
        <is>
          <t>544026</t>
        </is>
      </c>
      <c r="C802" s="29">
        <f>IFERROR(LOWER(SUBSTITUTE(SUBSTITUTE(SUBSTITUTE(SUBSTITUTE(D802," ","-"),"/","-"),".",""),",","")),"")</f>
        <v/>
      </c>
      <c r="D802" s="23" t="inlineStr">
        <is>
          <t>BOMBA HIDRÁULICA - APLICAÇÃO MF A-003 (3816913M91) GIRO I</t>
        </is>
      </c>
      <c r="E802" s="23" t="inlineStr">
        <is>
          <t>Bombas Hidráulicas</t>
        </is>
      </c>
      <c r="F802" s="23" t="inlineStr">
        <is>
          <t>SOHIPREN</t>
        </is>
      </c>
      <c r="G802" s="23" t="n"/>
      <c r="H802" s="23" t="inlineStr">
        <is>
          <t>draft</t>
        </is>
      </c>
      <c r="I802" s="23" t="inlineStr">
        <is>
          <t>MAXXION - MASSEY FERGUSON</t>
        </is>
      </c>
      <c r="J802" s="23" t="inlineStr">
        <is>
          <t>TRATOR</t>
        </is>
      </c>
      <c r="K802" s="23" t="inlineStr">
        <is>
          <t>PRINCIPAL</t>
        </is>
      </c>
      <c r="L802" s="23" t="inlineStr">
        <is>
          <t>3816913M91</t>
        </is>
      </c>
      <c r="M802" s="31" t="n"/>
      <c r="N802" s="31" t="n"/>
      <c r="O802" s="31" t="n"/>
      <c r="P802" s="31" t="n"/>
      <c r="Q802" s="31" t="n"/>
      <c r="R802" s="34">
        <f>IFERROR(IF(AND(O802&gt;0,P802&gt;0,Q802&gt;0),(O802*P802*Q802)/6000,""),"")</f>
        <v/>
      </c>
      <c r="S802" s="34">
        <f>IFERROR(IF(AND(N802&gt;0,R802&gt;0),MAX(N802,R802),IF(N802&gt;0,N802,IF(R802&gt;0,R802,""))),"")</f>
        <v/>
      </c>
      <c r="T802" s="36" t="n"/>
      <c r="U802" s="38" t="inlineStr">
        <is>
          <t>FALTA</t>
        </is>
      </c>
      <c r="V802" s="36" t="n">
        <v>870</v>
      </c>
      <c r="W802" s="39" t="n">
        <v>0.3</v>
      </c>
      <c r="X802" s="41">
        <f>IFERROR(V802+T802,"")</f>
        <v/>
      </c>
      <c r="Y802" s="41">
        <f>IFERROR(IF(W802&lt;1,X802/(1-W802),""),"")</f>
        <v/>
      </c>
      <c r="Z802" s="43">
        <f>'01_CONFIG_GLOBAL'!$C$14</f>
        <v/>
      </c>
      <c r="AA802" s="41">
        <f>IFERROR(Y802*Z802,"")</f>
        <v/>
      </c>
      <c r="AB802" s="41">
        <f>IFERROR(IF(Z802&lt;1,Y802/(1-Z802),""),"")</f>
        <v/>
      </c>
      <c r="AC802" s="23" t="n"/>
      <c r="AD802" s="36" t="n"/>
      <c r="AE802" s="23" t="n"/>
      <c r="AF802" s="36" t="n"/>
      <c r="AG802" s="23" t="n"/>
      <c r="AH802" s="36" t="n"/>
      <c r="AI802" s="41">
        <f>IFERROR(AVERAGE(AD802,AF802,AH802),"")</f>
        <v/>
      </c>
      <c r="AJ802" s="29">
        <f>IFERROR(IF(AI802="","sem dados",IF(AB802&lt;AI802*0.95,"abaixo",IF(AB802&gt;AI802*1.05,"acima","em linha"))),"")</f>
        <v/>
      </c>
      <c r="AK802" s="23" t="inlineStr">
        <is>
          <t>não</t>
        </is>
      </c>
      <c r="AL802" s="23" t="n"/>
      <c r="AM802" s="23" t="n"/>
      <c r="AN802" s="23" t="n"/>
      <c r="AO802" s="44">
        <f>A802</f>
        <v/>
      </c>
      <c r="AP802" s="44">
        <f>D802</f>
        <v/>
      </c>
    </row>
    <row r="803" hidden="1" ht="15.75" customHeight="1" s="93">
      <c r="A803" s="23" t="inlineStr">
        <is>
          <t>5.0207.0544002.0</t>
        </is>
      </c>
      <c r="B803" s="23" t="inlineStr">
        <is>
          <t>544002</t>
        </is>
      </c>
      <c r="C803" s="29">
        <f>IFERROR(LOWER(SUBSTITUTE(SUBSTITUTE(SUBSTITUTE(SUBSTITUTE(D803," ","-"),"/","-"),".",""),",","")),"")</f>
        <v/>
      </c>
      <c r="D803" s="23" t="inlineStr">
        <is>
          <t>BOMBA HIDRÁULICA - APLICAÇÃO 14 B14.B14.B11.L</t>
        </is>
      </c>
      <c r="E803" s="23" t="inlineStr">
        <is>
          <t>Bombas Hidráulicas</t>
        </is>
      </c>
      <c r="F803" s="23" t="inlineStr">
        <is>
          <t>SOHIPREN</t>
        </is>
      </c>
      <c r="G803" s="23" t="n"/>
      <c r="H803" s="23" t="inlineStr">
        <is>
          <t>draft</t>
        </is>
      </c>
      <c r="I803" s="23" t="inlineStr">
        <is>
          <t>MAXXION - MASSEY FERGUSON</t>
        </is>
      </c>
      <c r="J803" s="23" t="inlineStr">
        <is>
          <t>TRATOR DE PNEUS</t>
        </is>
      </c>
      <c r="K803" s="23" t="inlineStr">
        <is>
          <t>DIREÇÃO</t>
        </is>
      </c>
      <c r="L803" s="23" t="inlineStr">
        <is>
          <t>2736505M91</t>
        </is>
      </c>
      <c r="M803" s="31" t="n"/>
      <c r="N803" s="31" t="n"/>
      <c r="O803" s="31" t="n"/>
      <c r="P803" s="31" t="n"/>
      <c r="Q803" s="31" t="n"/>
      <c r="R803" s="34">
        <f>IFERROR(IF(AND(O803&gt;0,P803&gt;0,Q803&gt;0),(O803*P803*Q803)/6000,""),"")</f>
        <v/>
      </c>
      <c r="S803" s="34">
        <f>IFERROR(IF(AND(N803&gt;0,R803&gt;0),MAX(N803,R803),IF(N803&gt;0,N803,IF(R803&gt;0,R803,""))),"")</f>
        <v/>
      </c>
      <c r="T803" s="36" t="n"/>
      <c r="U803" s="38" t="inlineStr">
        <is>
          <t>FALTA</t>
        </is>
      </c>
      <c r="V803" s="36" t="n">
        <v>665</v>
      </c>
      <c r="W803" s="39" t="n">
        <v>0.3</v>
      </c>
      <c r="X803" s="41">
        <f>IFERROR(V803+T803,"")</f>
        <v/>
      </c>
      <c r="Y803" s="41">
        <f>IFERROR(IF(W803&lt;1,X803/(1-W803),""),"")</f>
        <v/>
      </c>
      <c r="Z803" s="43">
        <f>'01_CONFIG_GLOBAL'!$C$14</f>
        <v/>
      </c>
      <c r="AA803" s="41">
        <f>IFERROR(Y803*Z803,"")</f>
        <v/>
      </c>
      <c r="AB803" s="41">
        <f>IFERROR(IF(Z803&lt;1,Y803/(1-Z803),""),"")</f>
        <v/>
      </c>
      <c r="AC803" s="23" t="n"/>
      <c r="AD803" s="36" t="n"/>
      <c r="AE803" s="23" t="n"/>
      <c r="AF803" s="36" t="n"/>
      <c r="AG803" s="23" t="n"/>
      <c r="AH803" s="36" t="n"/>
      <c r="AI803" s="41">
        <f>IFERROR(AVERAGE(AD803,AF803,AH803),"")</f>
        <v/>
      </c>
      <c r="AJ803" s="29">
        <f>IFERROR(IF(AI803="","sem dados",IF(AB803&lt;AI803*0.95,"abaixo",IF(AB803&gt;AI803*1.05,"acima","em linha"))),"")</f>
        <v/>
      </c>
      <c r="AK803" s="23" t="inlineStr">
        <is>
          <t>não</t>
        </is>
      </c>
      <c r="AL803" s="23" t="n"/>
      <c r="AM803" s="23" t="n"/>
      <c r="AN803" s="23" t="n"/>
      <c r="AO803" s="44">
        <f>A803</f>
        <v/>
      </c>
      <c r="AP803" s="44">
        <f>D803</f>
        <v/>
      </c>
    </row>
    <row r="804" hidden="1" ht="15.75" customHeight="1" s="93">
      <c r="A804" s="23" t="inlineStr">
        <is>
          <t>5.0205.0542403.0</t>
        </is>
      </c>
      <c r="B804" s="23" t="inlineStr">
        <is>
          <t>542403</t>
        </is>
      </c>
      <c r="C804" s="29">
        <f>IFERROR(LOWER(SUBSTITUTE(SUBSTITUTE(SUBSTITUTE(SUBSTITUTE(D804," ","-"),"/","-"),".",""),",","")),"")</f>
        <v/>
      </c>
      <c r="D804" s="23" t="inlineStr">
        <is>
          <t>BOMBA HIDRÁULICA - APLICAÇÃO 8 B12.C13.C10.T4  -140 BAR</t>
        </is>
      </c>
      <c r="E804" s="23" t="inlineStr">
        <is>
          <t>Bombas Hidráulicas</t>
        </is>
      </c>
      <c r="F804" s="23" t="inlineStr">
        <is>
          <t>SOHIPREN</t>
        </is>
      </c>
      <c r="G804" s="23" t="n"/>
      <c r="H804" s="23" t="inlineStr">
        <is>
          <t>draft</t>
        </is>
      </c>
      <c r="I804" s="23" t="inlineStr">
        <is>
          <t>MAXXION - MASSEY FERGUSON</t>
        </is>
      </c>
      <c r="J804" s="23" t="inlineStr">
        <is>
          <t>RETRO ESCAVADEIRA</t>
        </is>
      </c>
      <c r="K804" s="23" t="inlineStr">
        <is>
          <t>DIREÇÃO E TORQUE MF</t>
        </is>
      </c>
      <c r="L804" s="23" t="inlineStr">
        <is>
          <t>1686464 - 1685031 - 1685031M91</t>
        </is>
      </c>
      <c r="M804" s="31" t="n"/>
      <c r="N804" s="31" t="n"/>
      <c r="O804" s="31" t="n"/>
      <c r="P804" s="31" t="n"/>
      <c r="Q804" s="31" t="n"/>
      <c r="R804" s="34">
        <f>IFERROR(IF(AND(O804&gt;0,P804&gt;0,Q804&gt;0),(O804*P804*Q804)/6000,""),"")</f>
        <v/>
      </c>
      <c r="S804" s="34">
        <f>IFERROR(IF(AND(N804&gt;0,R804&gt;0),MAX(N804,R804),IF(N804&gt;0,N804,IF(R804&gt;0,R804,""))),"")</f>
        <v/>
      </c>
      <c r="T804" s="36" t="n"/>
      <c r="U804" s="38" t="inlineStr">
        <is>
          <t>FALTA</t>
        </is>
      </c>
      <c r="V804" s="36" t="n">
        <v>951</v>
      </c>
      <c r="W804" s="39" t="n">
        <v>0.3</v>
      </c>
      <c r="X804" s="41">
        <f>IFERROR(V804+T804,"")</f>
        <v/>
      </c>
      <c r="Y804" s="41">
        <f>IFERROR(IF(W804&lt;1,X804/(1-W804),""),"")</f>
        <v/>
      </c>
      <c r="Z804" s="43">
        <f>'01_CONFIG_GLOBAL'!$C$14</f>
        <v/>
      </c>
      <c r="AA804" s="41">
        <f>IFERROR(Y804*Z804,"")</f>
        <v/>
      </c>
      <c r="AB804" s="41">
        <f>IFERROR(IF(Z804&lt;1,Y804/(1-Z804),""),"")</f>
        <v/>
      </c>
      <c r="AC804" s="23" t="n"/>
      <c r="AD804" s="36" t="n"/>
      <c r="AE804" s="23" t="n"/>
      <c r="AF804" s="36" t="n"/>
      <c r="AG804" s="23" t="n"/>
      <c r="AH804" s="36" t="n"/>
      <c r="AI804" s="41">
        <f>IFERROR(AVERAGE(AD804,AF804,AH804),"")</f>
        <v/>
      </c>
      <c r="AJ804" s="29">
        <f>IFERROR(IF(AI804="","sem dados",IF(AB804&lt;AI804*0.95,"abaixo",IF(AB804&gt;AI804*1.05,"acima","em linha"))),"")</f>
        <v/>
      </c>
      <c r="AK804" s="23" t="inlineStr">
        <is>
          <t>não</t>
        </is>
      </c>
      <c r="AL804" s="23" t="n"/>
      <c r="AM804" s="23" t="n"/>
      <c r="AN804" s="23" t="n"/>
      <c r="AO804" s="44">
        <f>A804</f>
        <v/>
      </c>
      <c r="AP804" s="44">
        <f>D804</f>
        <v/>
      </c>
    </row>
    <row r="805" hidden="1" ht="15.75" customHeight="1" s="93">
      <c r="A805" s="23" t="inlineStr">
        <is>
          <t>5.0203.0540806.0</t>
        </is>
      </c>
      <c r="B805" s="23" t="inlineStr">
        <is>
          <t>540806</t>
        </is>
      </c>
      <c r="C805" s="29">
        <f>IFERROR(LOWER(SUBSTITUTE(SUBSTITUTE(SUBSTITUTE(SUBSTITUTE(D805," ","-"),"/","-"),".",""),",","")),"")</f>
        <v/>
      </c>
      <c r="D805" s="23" t="inlineStr">
        <is>
          <t>BOD 5,5 C3.C2.G.T3  -105 BAR (DEPOSITO)</t>
        </is>
      </c>
      <c r="E805" s="23" t="inlineStr">
        <is>
          <t>Bombas Hidráulicas</t>
        </is>
      </c>
      <c r="F805" s="23" t="inlineStr">
        <is>
          <t>SOHIPREN</t>
        </is>
      </c>
      <c r="G805" s="23" t="n"/>
      <c r="H805" s="23" t="inlineStr">
        <is>
          <t>draft</t>
        </is>
      </c>
      <c r="I805" s="23" t="inlineStr">
        <is>
          <t>MAXXION - MASSEY FERGUSON</t>
        </is>
      </c>
      <c r="J805" s="23" t="inlineStr">
        <is>
          <t>TRATOR</t>
        </is>
      </c>
      <c r="K805" s="23" t="inlineStr">
        <is>
          <t>DIREÇÃO</t>
        </is>
      </c>
      <c r="L805" s="23" t="n"/>
      <c r="M805" s="31" t="n"/>
      <c r="N805" s="31" t="n"/>
      <c r="O805" s="31" t="n"/>
      <c r="P805" s="31" t="n"/>
      <c r="Q805" s="31" t="n"/>
      <c r="R805" s="34">
        <f>IFERROR(IF(AND(O805&gt;0,P805&gt;0,Q805&gt;0),(O805*P805*Q805)/6000,""),"")</f>
        <v/>
      </c>
      <c r="S805" s="34">
        <f>IFERROR(IF(AND(N805&gt;0,R805&gt;0),MAX(N805,R805),IF(N805&gt;0,N805,IF(R805&gt;0,R805,""))),"")</f>
        <v/>
      </c>
      <c r="T805" s="36" t="n"/>
      <c r="U805" s="38" t="inlineStr">
        <is>
          <t>FALTA</t>
        </is>
      </c>
      <c r="V805" s="36" t="n">
        <v>950</v>
      </c>
      <c r="W805" s="39" t="n">
        <v>0.3</v>
      </c>
      <c r="X805" s="41">
        <f>IFERROR(V805+T805,"")</f>
        <v/>
      </c>
      <c r="Y805" s="41">
        <f>IFERROR(IF(W805&lt;1,X805/(1-W805),""),"")</f>
        <v/>
      </c>
      <c r="Z805" s="43">
        <f>'01_CONFIG_GLOBAL'!$C$14</f>
        <v/>
      </c>
      <c r="AA805" s="41">
        <f>IFERROR(Y805*Z805,"")</f>
        <v/>
      </c>
      <c r="AB805" s="41">
        <f>IFERROR(IF(Z805&lt;1,Y805/(1-Z805),""),"")</f>
        <v/>
      </c>
      <c r="AC805" s="23" t="n"/>
      <c r="AD805" s="36" t="n"/>
      <c r="AE805" s="23" t="n"/>
      <c r="AF805" s="36" t="n"/>
      <c r="AG805" s="23" t="n"/>
      <c r="AH805" s="36" t="n"/>
      <c r="AI805" s="41">
        <f>IFERROR(AVERAGE(AD805,AF805,AH805),"")</f>
        <v/>
      </c>
      <c r="AJ805" s="29">
        <f>IFERROR(IF(AI805="","sem dados",IF(AB805&lt;AI805*0.95,"abaixo",IF(AB805&gt;AI805*1.05,"acima","em linha"))),"")</f>
        <v/>
      </c>
      <c r="AK805" s="23" t="inlineStr">
        <is>
          <t>não</t>
        </is>
      </c>
      <c r="AL805" s="23" t="n"/>
      <c r="AM805" s="23" t="n"/>
      <c r="AN805" s="23" t="n"/>
      <c r="AO805" s="44">
        <f>A805</f>
        <v/>
      </c>
      <c r="AP805" s="44">
        <f>D805</f>
        <v/>
      </c>
    </row>
    <row r="806" hidden="1" ht="15.75" customHeight="1" s="93">
      <c r="A806" s="23" t="inlineStr">
        <is>
          <t>5.0203.0540807.0</t>
        </is>
      </c>
      <c r="B806" s="23" t="inlineStr">
        <is>
          <t>540807</t>
        </is>
      </c>
      <c r="C806" s="29">
        <f>IFERROR(LOWER(SUBSTITUTE(SUBSTITUTE(SUBSTITUTE(SUBSTITUTE(D806," ","-"),"/","-"),".",""),",","")),"")</f>
        <v/>
      </c>
      <c r="D806" s="23" t="inlineStr">
        <is>
          <t>BOD 5,5 C3.C2.G.T3  -105 BAR</t>
        </is>
      </c>
      <c r="E806" s="23" t="inlineStr">
        <is>
          <t>Bombas Hidráulicas</t>
        </is>
      </c>
      <c r="F806" s="23" t="inlineStr">
        <is>
          <t>SOHIPREN</t>
        </is>
      </c>
      <c r="G806" s="23" t="n"/>
      <c r="H806" s="23" t="inlineStr">
        <is>
          <t>draft</t>
        </is>
      </c>
      <c r="I806" s="23" t="inlineStr">
        <is>
          <t>MAXXION - MASSEY FERGUSON</t>
        </is>
      </c>
      <c r="J806" s="23" t="inlineStr">
        <is>
          <t>TRATOR</t>
        </is>
      </c>
      <c r="K806" s="23" t="n"/>
      <c r="L806" s="23" t="n"/>
      <c r="M806" s="31" t="n"/>
      <c r="N806" s="31" t="n"/>
      <c r="O806" s="31" t="n"/>
      <c r="P806" s="31" t="n"/>
      <c r="Q806" s="31" t="n"/>
      <c r="R806" s="34">
        <f>IFERROR(IF(AND(O806&gt;0,P806&gt;0,Q806&gt;0),(O806*P806*Q806)/6000,""),"")</f>
        <v/>
      </c>
      <c r="S806" s="34">
        <f>IFERROR(IF(AND(N806&gt;0,R806&gt;0),MAX(N806,R806),IF(N806&gt;0,N806,IF(R806&gt;0,R806,""))),"")</f>
        <v/>
      </c>
      <c r="T806" s="36" t="n"/>
      <c r="U806" s="38" t="inlineStr">
        <is>
          <t>FALTA</t>
        </is>
      </c>
      <c r="V806" s="36" t="n">
        <v>950</v>
      </c>
      <c r="W806" s="39" t="n">
        <v>0.3</v>
      </c>
      <c r="X806" s="41">
        <f>IFERROR(V806+T806,"")</f>
        <v/>
      </c>
      <c r="Y806" s="41">
        <f>IFERROR(IF(W806&lt;1,X806/(1-W806),""),"")</f>
        <v/>
      </c>
      <c r="Z806" s="43">
        <f>'01_CONFIG_GLOBAL'!$C$14</f>
        <v/>
      </c>
      <c r="AA806" s="41">
        <f>IFERROR(Y806*Z806,"")</f>
        <v/>
      </c>
      <c r="AB806" s="41">
        <f>IFERROR(IF(Z806&lt;1,Y806/(1-Z806),""),"")</f>
        <v/>
      </c>
      <c r="AC806" s="23" t="n"/>
      <c r="AD806" s="36" t="n"/>
      <c r="AE806" s="23" t="n"/>
      <c r="AF806" s="36" t="n"/>
      <c r="AG806" s="23" t="n"/>
      <c r="AH806" s="36" t="n"/>
      <c r="AI806" s="41">
        <f>IFERROR(AVERAGE(AD806,AF806,AH806),"")</f>
        <v/>
      </c>
      <c r="AJ806" s="29">
        <f>IFERROR(IF(AI806="","sem dados",IF(AB806&lt;AI806*0.95,"abaixo",IF(AB806&gt;AI806*1.05,"acima","em linha"))),"")</f>
        <v/>
      </c>
      <c r="AK806" s="23" t="inlineStr">
        <is>
          <t>não</t>
        </is>
      </c>
      <c r="AL806" s="23" t="n"/>
      <c r="AM806" s="23" t="n"/>
      <c r="AN806" s="23" t="n"/>
      <c r="AO806" s="44">
        <f>A806</f>
        <v/>
      </c>
      <c r="AP806" s="44">
        <f>D806</f>
        <v/>
      </c>
    </row>
    <row r="807" hidden="1" ht="15.75" customHeight="1" s="93">
      <c r="A807" s="23" t="inlineStr">
        <is>
          <t>5.1302.0540816.0</t>
        </is>
      </c>
      <c r="B807" s="23" t="inlineStr">
        <is>
          <t>540816</t>
        </is>
      </c>
      <c r="C807" s="29">
        <f>IFERROR(LOWER(SUBSTITUTE(SUBSTITUTE(SUBSTITUTE(SUBSTITUTE(D807," ","-"),"/","-"),".",""),",","")),"")</f>
        <v/>
      </c>
      <c r="D807" s="23" t="inlineStr">
        <is>
          <t>BOMBA HIDRÁULICA - APLICAÇÃO MF A-010 (897147M95 - 897147R95) GIRO I</t>
        </is>
      </c>
      <c r="E807" s="23" t="inlineStr">
        <is>
          <t>Bombas Hidráulicas</t>
        </is>
      </c>
      <c r="F807" s="23" t="inlineStr">
        <is>
          <t>SOHIPREN</t>
        </is>
      </c>
      <c r="G807" s="23" t="n"/>
      <c r="H807" s="23" t="inlineStr">
        <is>
          <t>draft</t>
        </is>
      </c>
      <c r="I807" s="23" t="inlineStr">
        <is>
          <t>MAXXION - MASSEY FERGUSON</t>
        </is>
      </c>
      <c r="J807" s="23" t="inlineStr">
        <is>
          <t>TRATOR</t>
        </is>
      </c>
      <c r="K807" s="23" t="inlineStr">
        <is>
          <t>DIREÇÃO</t>
        </is>
      </c>
      <c r="L807" s="23" t="inlineStr">
        <is>
          <t>897147M95/897147R95</t>
        </is>
      </c>
      <c r="M807" s="31" t="n"/>
      <c r="N807" s="31" t="n"/>
      <c r="O807" s="31" t="n"/>
      <c r="P807" s="31" t="n"/>
      <c r="Q807" s="31" t="n"/>
      <c r="R807" s="34">
        <f>IFERROR(IF(AND(O807&gt;0,P807&gt;0,Q807&gt;0),(O807*P807*Q807)/6000,""),"")</f>
        <v/>
      </c>
      <c r="S807" s="34">
        <f>IFERROR(IF(AND(N807&gt;0,R807&gt;0),MAX(N807,R807),IF(N807&gt;0,N807,IF(R807&gt;0,R807,""))),"")</f>
        <v/>
      </c>
      <c r="T807" s="36" t="n"/>
      <c r="U807" s="38" t="inlineStr">
        <is>
          <t>FALTA</t>
        </is>
      </c>
      <c r="V807" s="36" t="n">
        <v>33000</v>
      </c>
      <c r="W807" s="39" t="n">
        <v>0.3</v>
      </c>
      <c r="X807" s="41">
        <f>IFERROR(V807+T807,"")</f>
        <v/>
      </c>
      <c r="Y807" s="41">
        <f>IFERROR(IF(W807&lt;1,X807/(1-W807),""),"")</f>
        <v/>
      </c>
      <c r="Z807" s="43">
        <f>'01_CONFIG_GLOBAL'!$C$14</f>
        <v/>
      </c>
      <c r="AA807" s="41">
        <f>IFERROR(Y807*Z807,"")</f>
        <v/>
      </c>
      <c r="AB807" s="41">
        <f>IFERROR(IF(Z807&lt;1,Y807/(1-Z807),""),"")</f>
        <v/>
      </c>
      <c r="AC807" s="23" t="n"/>
      <c r="AD807" s="36" t="n"/>
      <c r="AE807" s="23" t="n"/>
      <c r="AF807" s="36" t="n"/>
      <c r="AG807" s="23" t="n"/>
      <c r="AH807" s="36" t="n"/>
      <c r="AI807" s="41">
        <f>IFERROR(AVERAGE(AD807,AF807,AH807),"")</f>
        <v/>
      </c>
      <c r="AJ807" s="29">
        <f>IFERROR(IF(AI807="","sem dados",IF(AB807&lt;AI807*0.95,"abaixo",IF(AB807&gt;AI807*1.05,"acima","em linha"))),"")</f>
        <v/>
      </c>
      <c r="AK807" s="23" t="inlineStr">
        <is>
          <t>não</t>
        </is>
      </c>
      <c r="AL807" s="23" t="n"/>
      <c r="AM807" s="23" t="n"/>
      <c r="AN807" s="23" t="n"/>
      <c r="AO807" s="44">
        <f>A807</f>
        <v/>
      </c>
      <c r="AP807" s="44">
        <f>D807</f>
        <v/>
      </c>
    </row>
    <row r="808" ht="15.75" customHeight="1" s="93">
      <c r="A808" s="23" t="inlineStr">
        <is>
          <t>5.0203.0540803.0</t>
        </is>
      </c>
      <c r="B808" s="23" t="inlineStr">
        <is>
          <t>540803</t>
        </is>
      </c>
      <c r="C808" s="29">
        <f>IFERROR(LOWER(SUBSTITUTE(SUBSTITUTE(SUBSTITUTE(SUBSTITUTE(D808," ","-"),"/","-"),".",""),",","")),"")</f>
        <v/>
      </c>
      <c r="D808" s="50" t="inlineStr">
        <is>
          <t>Bomba Hidráulica Massey Ferguson MF85X/185/275/285/290 - Direção</t>
        </is>
      </c>
      <c r="E808" s="50" t="inlineStr">
        <is>
          <t>Bombas Hidráulicas</t>
        </is>
      </c>
      <c r="F808" s="23" t="inlineStr">
        <is>
          <t>SOHIPREN</t>
        </is>
      </c>
      <c r="G808" s="23" t="n"/>
      <c r="H808" s="23" t="inlineStr">
        <is>
          <t>active</t>
        </is>
      </c>
      <c r="I808" s="23" t="inlineStr">
        <is>
          <t>MAXXION - MASSEY FERGUSON</t>
        </is>
      </c>
      <c r="J808" s="23" t="inlineStr">
        <is>
          <t>TRATOR DE PNEUS</t>
        </is>
      </c>
      <c r="K808" s="23" t="inlineStr">
        <is>
          <t>DIREÇÃO</t>
        </is>
      </c>
      <c r="L808" s="23" t="inlineStr">
        <is>
          <t>2802612M91/3148762M91/222222/9540082513</t>
        </is>
      </c>
      <c r="M808" s="31" t="n"/>
      <c r="N808" s="31" t="n">
        <v>4.5</v>
      </c>
      <c r="O808" s="31" t="n">
        <v>28</v>
      </c>
      <c r="P808" s="31" t="n">
        <v>22</v>
      </c>
      <c r="Q808" s="31" t="n">
        <v>18</v>
      </c>
      <c r="R808" s="34">
        <f>IFERROR(IF(AND(O808&gt;0,P808&gt;0,Q808&gt;0),(O808*P808*Q808)/6000,""),"")</f>
        <v/>
      </c>
      <c r="S808" s="34">
        <f>IFERROR(IF(AND(N808&gt;0,R808&gt;0),MAX(N808,R808),IF(N808&gt;0,N808,IF(R808&gt;0,R808,""))),"")</f>
        <v/>
      </c>
      <c r="T808" s="36" t="n">
        <v>100</v>
      </c>
      <c r="U808" s="23" t="inlineStr">
        <is>
          <t>fornecedor</t>
        </is>
      </c>
      <c r="V808" s="36" t="n">
        <v>807.5</v>
      </c>
      <c r="W808" s="39" t="n">
        <v>0.2</v>
      </c>
      <c r="X808" s="41">
        <f>IFERROR(V808+T808,"")</f>
        <v/>
      </c>
      <c r="Y808" s="41">
        <f>IFERROR(IF(W808&lt;1,X808/(1-W808),""),"")</f>
        <v/>
      </c>
      <c r="Z808" s="43">
        <f>'01_CONFIG_GLOBAL'!$C$14</f>
        <v/>
      </c>
      <c r="AA808" s="41">
        <f>IFERROR(Y808*Z808,"")</f>
        <v/>
      </c>
      <c r="AB808" s="41">
        <f>IFERROR(IF(Z808&lt;1,Y808/(1-Z808),""),"")</f>
        <v/>
      </c>
      <c r="AC808" s="23" t="n"/>
      <c r="AD808" s="36" t="n"/>
      <c r="AE808" s="23" t="n"/>
      <c r="AF808" s="36" t="n"/>
      <c r="AG808" s="23" t="n"/>
      <c r="AH808" s="36" t="n"/>
      <c r="AI808" s="41">
        <f>IFERROR(AVERAGE(AD808,AF808,AH808),"")</f>
        <v/>
      </c>
      <c r="AJ808" s="29">
        <f>IFERROR(IF(AI808="","sem dados",IF(AB808&lt;AI808*0.95,"abaixo",IF(AB808&gt;AI808*1.05,"acima","em linha"))),"")</f>
        <v/>
      </c>
      <c r="AK808" s="23" t="inlineStr">
        <is>
          <t>sim</t>
        </is>
      </c>
      <c r="AL808" s="23" t="n"/>
      <c r="AM808" s="23" t="n"/>
      <c r="AN808" s="23" t="n"/>
      <c r="AO808" s="44">
        <f>A808</f>
        <v/>
      </c>
      <c r="AP808" s="44">
        <f>D808</f>
        <v/>
      </c>
      <c r="AQ808" s="28" t="inlineStr">
        <is>
          <t>LIVENZA_5.0203.0540803_ecommerce.png</t>
        </is>
      </c>
    </row>
    <row r="809" hidden="1" ht="15.75" customHeight="1" s="93">
      <c r="A809" s="23" t="inlineStr">
        <is>
          <t>5.0203.0540842.0</t>
        </is>
      </c>
      <c r="B809" s="23" t="inlineStr">
        <is>
          <t>540842</t>
        </is>
      </c>
      <c r="C809" s="29">
        <f>IFERROR(LOWER(SUBSTITUTE(SUBSTITUTE(SUBSTITUTE(SUBSTITUTE(D809," ","-"),"/","-"),".",""),",","")),"")</f>
        <v/>
      </c>
      <c r="D809" s="23" t="inlineStr">
        <is>
          <t>(NO USAR) BOMBA HIDRÁULICA - APLICAÇÃO 5,5 C10.C19.C4.T13  -100+10 BAR</t>
        </is>
      </c>
      <c r="E809" s="23" t="inlineStr">
        <is>
          <t>Bombas Hidráulicas</t>
        </is>
      </c>
      <c r="F809" s="23" t="inlineStr">
        <is>
          <t>SOHIPREN</t>
        </is>
      </c>
      <c r="G809" s="23" t="n"/>
      <c r="H809" s="23" t="inlineStr">
        <is>
          <t>draft</t>
        </is>
      </c>
      <c r="I809" s="23" t="inlineStr">
        <is>
          <t>MAXXION - MASSEY FERGUSON</t>
        </is>
      </c>
      <c r="J809" s="23" t="inlineStr">
        <is>
          <t>TRATOR</t>
        </is>
      </c>
      <c r="K809" s="23" t="inlineStr">
        <is>
          <t>DIREÇÃO</t>
        </is>
      </c>
      <c r="L809" s="23" t="inlineStr">
        <is>
          <t>897147M95</t>
        </is>
      </c>
      <c r="M809" s="31" t="n"/>
      <c r="N809" s="31" t="n"/>
      <c r="O809" s="31" t="n"/>
      <c r="P809" s="31" t="n"/>
      <c r="Q809" s="31" t="n"/>
      <c r="R809" s="34">
        <f>IFERROR(IF(AND(O809&gt;0,P809&gt;0,Q809&gt;0),(O809*P809*Q809)/6000,""),"")</f>
        <v/>
      </c>
      <c r="S809" s="34">
        <f>IFERROR(IF(AND(N809&gt;0,R809&gt;0),MAX(N809,R809),IF(N809&gt;0,N809,IF(R809&gt;0,R809,""))),"")</f>
        <v/>
      </c>
      <c r="T809" s="36" t="n"/>
      <c r="U809" s="38" t="inlineStr">
        <is>
          <t>FALTA</t>
        </is>
      </c>
      <c r="V809" s="36" t="n">
        <v>517</v>
      </c>
      <c r="W809" s="39" t="n">
        <v>0.3</v>
      </c>
      <c r="X809" s="41">
        <f>IFERROR(V809+T809,"")</f>
        <v/>
      </c>
      <c r="Y809" s="41">
        <f>IFERROR(IF(W809&lt;1,X809/(1-W809),""),"")</f>
        <v/>
      </c>
      <c r="Z809" s="43">
        <f>'01_CONFIG_GLOBAL'!$C$14</f>
        <v/>
      </c>
      <c r="AA809" s="41">
        <f>IFERROR(Y809*Z809,"")</f>
        <v/>
      </c>
      <c r="AB809" s="41">
        <f>IFERROR(IF(Z809&lt;1,Y809/(1-Z809),""),"")</f>
        <v/>
      </c>
      <c r="AC809" s="23" t="n"/>
      <c r="AD809" s="36" t="n"/>
      <c r="AE809" s="23" t="n"/>
      <c r="AF809" s="36" t="n"/>
      <c r="AG809" s="23" t="n"/>
      <c r="AH809" s="36" t="n"/>
      <c r="AI809" s="41">
        <f>IFERROR(AVERAGE(AD809,AF809,AH809),"")</f>
        <v/>
      </c>
      <c r="AJ809" s="29">
        <f>IFERROR(IF(AI809="","sem dados",IF(AB809&lt;AI809*0.95,"abaixo",IF(AB809&gt;AI809*1.05,"acima","em linha"))),"")</f>
        <v/>
      </c>
      <c r="AK809" s="23" t="inlineStr">
        <is>
          <t>não</t>
        </is>
      </c>
      <c r="AL809" s="23" t="n"/>
      <c r="AM809" s="23" t="n"/>
      <c r="AN809" s="23" t="n"/>
      <c r="AO809" s="44">
        <f>A809</f>
        <v/>
      </c>
      <c r="AP809" s="44">
        <f>D809</f>
        <v/>
      </c>
    </row>
    <row r="810" hidden="1" ht="15.75" customHeight="1" s="93">
      <c r="A810" s="23" t="inlineStr">
        <is>
          <t>5.0203.0540819.0</t>
        </is>
      </c>
      <c r="B810" s="23" t="inlineStr">
        <is>
          <t>540819</t>
        </is>
      </c>
      <c r="C810" s="29">
        <f>IFERROR(LOWER(SUBSTITUTE(SUBSTITUTE(SUBSTITUTE(SUBSTITUTE(D810," ","-"),"/","-"),".",""),",","")),"")</f>
        <v/>
      </c>
      <c r="D810" s="23" t="inlineStr">
        <is>
          <t>BOMBA HIDRÁULICA - APLICAÇÃO 5,5 C10.C25.A16.L (DOBLE RETEN)</t>
        </is>
      </c>
      <c r="E810" s="23" t="inlineStr">
        <is>
          <t>Bombas Hidráulicas</t>
        </is>
      </c>
      <c r="F810" s="23" t="inlineStr">
        <is>
          <t>SOHIPREN</t>
        </is>
      </c>
      <c r="G810" s="23" t="n"/>
      <c r="H810" s="23" t="inlineStr">
        <is>
          <t>draft</t>
        </is>
      </c>
      <c r="I810" s="23" t="inlineStr">
        <is>
          <t>MAXXION - MASSEY FERGUSON</t>
        </is>
      </c>
      <c r="J810" s="23" t="inlineStr">
        <is>
          <t>TRATOR</t>
        </is>
      </c>
      <c r="K810" s="23" t="inlineStr">
        <is>
          <t>DIREÇÃO</t>
        </is>
      </c>
      <c r="L810" s="23" t="inlineStr">
        <is>
          <t>159397</t>
        </is>
      </c>
      <c r="M810" s="31" t="n"/>
      <c r="N810" s="31" t="n"/>
      <c r="O810" s="31" t="n"/>
      <c r="P810" s="31" t="n"/>
      <c r="Q810" s="31" t="n"/>
      <c r="R810" s="34">
        <f>IFERROR(IF(AND(O810&gt;0,P810&gt;0,Q810&gt;0),(O810*P810*Q810)/6000,""),"")</f>
        <v/>
      </c>
      <c r="S810" s="34">
        <f>IFERROR(IF(AND(N810&gt;0,R810&gt;0),MAX(N810,R810),IF(N810&gt;0,N810,IF(R810&gt;0,R810,""))),"")</f>
        <v/>
      </c>
      <c r="T810" s="36" t="n"/>
      <c r="U810" s="38" t="inlineStr">
        <is>
          <t>FALTA</t>
        </is>
      </c>
      <c r="V810" s="36" t="n">
        <v>550</v>
      </c>
      <c r="W810" s="39" t="n">
        <v>0.3</v>
      </c>
      <c r="X810" s="41">
        <f>IFERROR(V810+T810,"")</f>
        <v/>
      </c>
      <c r="Y810" s="41">
        <f>IFERROR(IF(W810&lt;1,X810/(1-W810),""),"")</f>
        <v/>
      </c>
      <c r="Z810" s="43">
        <f>'01_CONFIG_GLOBAL'!$C$14</f>
        <v/>
      </c>
      <c r="AA810" s="41">
        <f>IFERROR(Y810*Z810,"")</f>
        <v/>
      </c>
      <c r="AB810" s="41">
        <f>IFERROR(IF(Z810&lt;1,Y810/(1-Z810),""),"")</f>
        <v/>
      </c>
      <c r="AC810" s="23" t="n"/>
      <c r="AD810" s="36" t="n"/>
      <c r="AE810" s="23" t="n"/>
      <c r="AF810" s="36" t="n"/>
      <c r="AG810" s="23" t="n"/>
      <c r="AH810" s="36" t="n"/>
      <c r="AI810" s="41">
        <f>IFERROR(AVERAGE(AD810,AF810,AH810),"")</f>
        <v/>
      </c>
      <c r="AJ810" s="29">
        <f>IFERROR(IF(AI810="","sem dados",IF(AB810&lt;AI810*0.95,"abaixo",IF(AB810&gt;AI810*1.05,"acima","em linha"))),"")</f>
        <v/>
      </c>
      <c r="AK810" s="23" t="inlineStr">
        <is>
          <t>não</t>
        </is>
      </c>
      <c r="AL810" s="23" t="n"/>
      <c r="AM810" s="23" t="n"/>
      <c r="AN810" s="23" t="n"/>
      <c r="AO810" s="44">
        <f>A810</f>
        <v/>
      </c>
      <c r="AP810" s="44">
        <f>D810</f>
        <v/>
      </c>
    </row>
    <row r="811" hidden="1" ht="15.75" customHeight="1" s="93">
      <c r="A811" s="23" t="inlineStr">
        <is>
          <t>5.0203.0540830.0</t>
        </is>
      </c>
      <c r="B811" s="23" t="inlineStr">
        <is>
          <t>540830</t>
        </is>
      </c>
      <c r="C811" s="29">
        <f>IFERROR(LOWER(SUBSTITUTE(SUBSTITUTE(SUBSTITUTE(SUBSTITUTE(D811," ","-"),"/","-"),".",""),",","")),"")</f>
        <v/>
      </c>
      <c r="D811" s="23" t="inlineStr">
        <is>
          <t>BOMBA HIDRÁULICA - APLICAÇÃO 5,5 C10.C10.C6.T10 (DEPOSITO - SIN VLP)</t>
        </is>
      </c>
      <c r="E811" s="23" t="inlineStr">
        <is>
          <t>Bombas Hidráulicas</t>
        </is>
      </c>
      <c r="F811" s="23" t="inlineStr">
        <is>
          <t>SOHIPREN</t>
        </is>
      </c>
      <c r="G811" s="23" t="n"/>
      <c r="H811" s="23" t="inlineStr">
        <is>
          <t>draft</t>
        </is>
      </c>
      <c r="I811" s="23" t="inlineStr">
        <is>
          <t>MAXXION - MASSEY FERGUSON</t>
        </is>
      </c>
      <c r="J811" s="23" t="inlineStr">
        <is>
          <t>TRATOR</t>
        </is>
      </c>
      <c r="K811" s="23" t="inlineStr">
        <is>
          <t>DIREÇÃO</t>
        </is>
      </c>
      <c r="L811" s="23" t="inlineStr">
        <is>
          <t>047821T1</t>
        </is>
      </c>
      <c r="M811" s="31" t="n"/>
      <c r="N811" s="31" t="n"/>
      <c r="O811" s="31" t="n"/>
      <c r="P811" s="31" t="n"/>
      <c r="Q811" s="31" t="n"/>
      <c r="R811" s="34">
        <f>IFERROR(IF(AND(O811&gt;0,P811&gt;0,Q811&gt;0),(O811*P811*Q811)/6000,""),"")</f>
        <v/>
      </c>
      <c r="S811" s="34">
        <f>IFERROR(IF(AND(N811&gt;0,R811&gt;0),MAX(N811,R811),IF(N811&gt;0,N811,IF(R811&gt;0,R811,""))),"")</f>
        <v/>
      </c>
      <c r="T811" s="36" t="n"/>
      <c r="U811" s="38" t="inlineStr">
        <is>
          <t>FALTA</t>
        </is>
      </c>
      <c r="V811" s="36" t="n">
        <v>517</v>
      </c>
      <c r="W811" s="39" t="n">
        <v>0.3</v>
      </c>
      <c r="X811" s="41">
        <f>IFERROR(V811+T811,"")</f>
        <v/>
      </c>
      <c r="Y811" s="41">
        <f>IFERROR(IF(W811&lt;1,X811/(1-W811),""),"")</f>
        <v/>
      </c>
      <c r="Z811" s="43">
        <f>'01_CONFIG_GLOBAL'!$C$14</f>
        <v/>
      </c>
      <c r="AA811" s="41">
        <f>IFERROR(Y811*Z811,"")</f>
        <v/>
      </c>
      <c r="AB811" s="41">
        <f>IFERROR(IF(Z811&lt;1,Y811/(1-Z811),""),"")</f>
        <v/>
      </c>
      <c r="AC811" s="23" t="n"/>
      <c r="AD811" s="36" t="n"/>
      <c r="AE811" s="23" t="n"/>
      <c r="AF811" s="36" t="n"/>
      <c r="AG811" s="23" t="n"/>
      <c r="AH811" s="36" t="n"/>
      <c r="AI811" s="41">
        <f>IFERROR(AVERAGE(AD811,AF811,AH811),"")</f>
        <v/>
      </c>
      <c r="AJ811" s="29">
        <f>IFERROR(IF(AI811="","sem dados",IF(AB811&lt;AI811*0.95,"abaixo",IF(AB811&gt;AI811*1.05,"acima","em linha"))),"")</f>
        <v/>
      </c>
      <c r="AK811" s="23" t="inlineStr">
        <is>
          <t>não</t>
        </is>
      </c>
      <c r="AL811" s="23" t="n"/>
      <c r="AM811" s="23" t="n"/>
      <c r="AN811" s="23" t="n"/>
      <c r="AO811" s="44">
        <f>A811</f>
        <v/>
      </c>
      <c r="AP811" s="44">
        <f>D811</f>
        <v/>
      </c>
    </row>
    <row r="812" hidden="1" ht="15.75" customHeight="1" s="93">
      <c r="A812" s="23" t="inlineStr">
        <is>
          <t>5.0210.0542449.0</t>
        </is>
      </c>
      <c r="B812" s="23" t="inlineStr">
        <is>
          <t>542449</t>
        </is>
      </c>
      <c r="C812" s="29">
        <f>IFERROR(LOWER(SUBSTITUTE(SUBSTITUTE(SUBSTITUTE(SUBSTITUTE(D812," ","-"),"/","-"),".",""),",","")),"")</f>
        <v/>
      </c>
      <c r="D812" s="23" t="inlineStr">
        <is>
          <t>BOD 22,5 B2.C26.G.G6</t>
        </is>
      </c>
      <c r="E812" s="23" t="inlineStr">
        <is>
          <t>Bombas Hidráulicas</t>
        </is>
      </c>
      <c r="F812" s="23" t="inlineStr">
        <is>
          <t>SOHIPREN</t>
        </is>
      </c>
      <c r="G812" s="23" t="n"/>
      <c r="H812" s="23" t="inlineStr">
        <is>
          <t>draft</t>
        </is>
      </c>
      <c r="I812" s="23" t="inlineStr">
        <is>
          <t>MAXXION - MASSEY FERGUSON</t>
        </is>
      </c>
      <c r="J812" s="23" t="inlineStr">
        <is>
          <t>TRATOR DE PNEUS</t>
        </is>
      </c>
      <c r="K812" s="23" t="inlineStr">
        <is>
          <t>DIRE?AO E CONTROLE</t>
        </is>
      </c>
      <c r="L812" s="23" t="inlineStr">
        <is>
          <t>041683T1</t>
        </is>
      </c>
      <c r="M812" s="31" t="n"/>
      <c r="N812" s="31" t="n"/>
      <c r="O812" s="31" t="n"/>
      <c r="P812" s="31" t="n"/>
      <c r="Q812" s="31" t="n"/>
      <c r="R812" s="34">
        <f>IFERROR(IF(AND(O812&gt;0,P812&gt;0,Q812&gt;0),(O812*P812*Q812)/6000,""),"")</f>
        <v/>
      </c>
      <c r="S812" s="34">
        <f>IFERROR(IF(AND(N812&gt;0,R812&gt;0),MAX(N812,R812),IF(N812&gt;0,N812,IF(R812&gt;0,R812,""))),"")</f>
        <v/>
      </c>
      <c r="T812" s="36" t="n"/>
      <c r="U812" s="38" t="inlineStr">
        <is>
          <t>FALTA</t>
        </is>
      </c>
      <c r="V812" s="36" t="n">
        <v>595</v>
      </c>
      <c r="W812" s="39" t="n">
        <v>0.3</v>
      </c>
      <c r="X812" s="41">
        <f>IFERROR(V812+T812,"")</f>
        <v/>
      </c>
      <c r="Y812" s="41">
        <f>IFERROR(IF(W812&lt;1,X812/(1-W812),""),"")</f>
        <v/>
      </c>
      <c r="Z812" s="43">
        <f>'01_CONFIG_GLOBAL'!$C$14</f>
        <v/>
      </c>
      <c r="AA812" s="41">
        <f>IFERROR(Y812*Z812,"")</f>
        <v/>
      </c>
      <c r="AB812" s="41">
        <f>IFERROR(IF(Z812&lt;1,Y812/(1-Z812),""),"")</f>
        <v/>
      </c>
      <c r="AC812" s="23" t="n"/>
      <c r="AD812" s="36" t="n"/>
      <c r="AE812" s="23" t="n"/>
      <c r="AF812" s="36" t="n"/>
      <c r="AG812" s="23" t="n"/>
      <c r="AH812" s="36" t="n"/>
      <c r="AI812" s="41">
        <f>IFERROR(AVERAGE(AD812,AF812,AH812),"")</f>
        <v/>
      </c>
      <c r="AJ812" s="29">
        <f>IFERROR(IF(AI812="","sem dados",IF(AB812&lt;AI812*0.95,"abaixo",IF(AB812&gt;AI812*1.05,"acima","em linha"))),"")</f>
        <v/>
      </c>
      <c r="AK812" s="23" t="inlineStr">
        <is>
          <t>não</t>
        </is>
      </c>
      <c r="AL812" s="23" t="n"/>
      <c r="AM812" s="23" t="n"/>
      <c r="AN812" s="23" t="n"/>
      <c r="AO812" s="44">
        <f>A812</f>
        <v/>
      </c>
      <c r="AP812" s="44">
        <f>D812</f>
        <v/>
      </c>
    </row>
    <row r="813" hidden="1" ht="15.75" customHeight="1" s="93">
      <c r="A813" s="23" t="inlineStr">
        <is>
          <t>5.0205.0542450.0</t>
        </is>
      </c>
      <c r="B813" s="23" t="inlineStr">
        <is>
          <t>542450</t>
        </is>
      </c>
      <c r="C813" s="29">
        <f>IFERROR(LOWER(SUBSTITUTE(SUBSTITUTE(SUBSTITUTE(SUBSTITUTE(D813," ","-"),"/","-"),".",""),",","")),"")</f>
        <v/>
      </c>
      <c r="D813" s="23" t="inlineStr">
        <is>
          <t>BOMBA HIDRÁULICA - APLICAÇÃO 8 C10.C10.G.T14  17-100+10 BAR (DEPOSITO)</t>
        </is>
      </c>
      <c r="E813" s="23" t="inlineStr">
        <is>
          <t>Bombas Hidráulicas</t>
        </is>
      </c>
      <c r="F813" s="23" t="inlineStr">
        <is>
          <t>SOHIPREN</t>
        </is>
      </c>
      <c r="G813" s="23" t="n"/>
      <c r="H813" s="23" t="inlineStr">
        <is>
          <t>draft</t>
        </is>
      </c>
      <c r="I813" s="23" t="inlineStr">
        <is>
          <t>MAXXION - MASSEY FERGUSON</t>
        </is>
      </c>
      <c r="J813" s="23" t="inlineStr">
        <is>
          <t>TRATOR DE PNEUS</t>
        </is>
      </c>
      <c r="K813" s="23" t="inlineStr">
        <is>
          <t>DIREÇÃO</t>
        </is>
      </c>
      <c r="L813" s="23" t="inlineStr">
        <is>
          <t>3409524M91</t>
        </is>
      </c>
      <c r="M813" s="31" t="n"/>
      <c r="N813" s="31" t="n"/>
      <c r="O813" s="31" t="n"/>
      <c r="P813" s="31" t="n"/>
      <c r="Q813" s="31" t="n"/>
      <c r="R813" s="34">
        <f>IFERROR(IF(AND(O813&gt;0,P813&gt;0,Q813&gt;0),(O813*P813*Q813)/6000,""),"")</f>
        <v/>
      </c>
      <c r="S813" s="34">
        <f>IFERROR(IF(AND(N813&gt;0,R813&gt;0),MAX(N813,R813),IF(N813&gt;0,N813,IF(R813&gt;0,R813,""))),"")</f>
        <v/>
      </c>
      <c r="T813" s="36" t="n"/>
      <c r="U813" s="38" t="inlineStr">
        <is>
          <t>FALTA</t>
        </is>
      </c>
      <c r="V813" s="36" t="n">
        <v>611</v>
      </c>
      <c r="W813" s="39" t="n">
        <v>0.3</v>
      </c>
      <c r="X813" s="41">
        <f>IFERROR(V813+T813,"")</f>
        <v/>
      </c>
      <c r="Y813" s="41">
        <f>IFERROR(IF(W813&lt;1,X813/(1-W813),""),"")</f>
        <v/>
      </c>
      <c r="Z813" s="43">
        <f>'01_CONFIG_GLOBAL'!$C$14</f>
        <v/>
      </c>
      <c r="AA813" s="41">
        <f>IFERROR(Y813*Z813,"")</f>
        <v/>
      </c>
      <c r="AB813" s="41">
        <f>IFERROR(IF(Z813&lt;1,Y813/(1-Z813),""),"")</f>
        <v/>
      </c>
      <c r="AC813" s="23" t="n"/>
      <c r="AD813" s="36" t="n"/>
      <c r="AE813" s="23" t="n"/>
      <c r="AF813" s="36" t="n"/>
      <c r="AG813" s="23" t="n"/>
      <c r="AH813" s="36" t="n"/>
      <c r="AI813" s="41">
        <f>IFERROR(AVERAGE(AD813,AF813,AH813),"")</f>
        <v/>
      </c>
      <c r="AJ813" s="29">
        <f>IFERROR(IF(AI813="","sem dados",IF(AB813&lt;AI813*0.95,"abaixo",IF(AB813&gt;AI813*1.05,"acima","em linha"))),"")</f>
        <v/>
      </c>
      <c r="AK813" s="23" t="inlineStr">
        <is>
          <t>não</t>
        </is>
      </c>
      <c r="AL813" s="23" t="n"/>
      <c r="AM813" s="23" t="n"/>
      <c r="AN813" s="23" t="n"/>
      <c r="AO813" s="44">
        <f>A813</f>
        <v/>
      </c>
      <c r="AP813" s="44">
        <f>D813</f>
        <v/>
      </c>
    </row>
    <row r="814" hidden="1" ht="15.75" customHeight="1" s="93">
      <c r="A814" s="23" t="inlineStr">
        <is>
          <t>5.0205.0542451.0</t>
        </is>
      </c>
      <c r="B814" s="23" t="inlineStr">
        <is>
          <t>542451</t>
        </is>
      </c>
      <c r="C814" s="29">
        <f>IFERROR(LOWER(SUBSTITUTE(SUBSTITUTE(SUBSTITUTE(SUBSTITUTE(D814," ","-"),"/","-"),".",""),",","")),"")</f>
        <v/>
      </c>
      <c r="D814" s="23" t="inlineStr">
        <is>
          <t>BOMBA HIDRÁULICA - APLICAÇÃO 8 C10.C10.G.T14  17 (DEPOSITO - SIN VLP)</t>
        </is>
      </c>
      <c r="E814" s="23" t="inlineStr">
        <is>
          <t>Bombas Hidráulicas</t>
        </is>
      </c>
      <c r="F814" s="23" t="inlineStr">
        <is>
          <t>SOHIPREN</t>
        </is>
      </c>
      <c r="G814" s="23" t="n"/>
      <c r="H814" s="23" t="inlineStr">
        <is>
          <t>draft</t>
        </is>
      </c>
      <c r="I814" s="23" t="inlineStr">
        <is>
          <t>MAXXION - MASSEY FERGUSON</t>
        </is>
      </c>
      <c r="J814" s="23" t="inlineStr">
        <is>
          <t>TRATOR</t>
        </is>
      </c>
      <c r="K814" s="23" t="inlineStr">
        <is>
          <t>DIREÇÃO</t>
        </is>
      </c>
      <c r="L814" s="23" t="inlineStr">
        <is>
          <t>047822T1</t>
        </is>
      </c>
      <c r="M814" s="31" t="n"/>
      <c r="N814" s="31" t="n"/>
      <c r="O814" s="31" t="n"/>
      <c r="P814" s="31" t="n"/>
      <c r="Q814" s="31" t="n"/>
      <c r="R814" s="34">
        <f>IFERROR(IF(AND(O814&gt;0,P814&gt;0,Q814&gt;0),(O814*P814*Q814)/6000,""),"")</f>
        <v/>
      </c>
      <c r="S814" s="34">
        <f>IFERROR(IF(AND(N814&gt;0,R814&gt;0),MAX(N814,R814),IF(N814&gt;0,N814,IF(R814&gt;0,R814,""))),"")</f>
        <v/>
      </c>
      <c r="T814" s="36" t="n"/>
      <c r="U814" s="38" t="inlineStr">
        <is>
          <t>FALTA</t>
        </is>
      </c>
      <c r="V814" s="36" t="n">
        <v>1374</v>
      </c>
      <c r="W814" s="39" t="n">
        <v>0.3</v>
      </c>
      <c r="X814" s="41">
        <f>IFERROR(V814+T814,"")</f>
        <v/>
      </c>
      <c r="Y814" s="41">
        <f>IFERROR(IF(W814&lt;1,X814/(1-W814),""),"")</f>
        <v/>
      </c>
      <c r="Z814" s="43">
        <f>'01_CONFIG_GLOBAL'!$C$14</f>
        <v/>
      </c>
      <c r="AA814" s="41">
        <f>IFERROR(Y814*Z814,"")</f>
        <v/>
      </c>
      <c r="AB814" s="41">
        <f>IFERROR(IF(Z814&lt;1,Y814/(1-Z814),""),"")</f>
        <v/>
      </c>
      <c r="AC814" s="23" t="n"/>
      <c r="AD814" s="36" t="n"/>
      <c r="AE814" s="23" t="n"/>
      <c r="AF814" s="36" t="n"/>
      <c r="AG814" s="23" t="n"/>
      <c r="AH814" s="36" t="n"/>
      <c r="AI814" s="41">
        <f>IFERROR(AVERAGE(AD814,AF814,AH814),"")</f>
        <v/>
      </c>
      <c r="AJ814" s="29">
        <f>IFERROR(IF(AI814="","sem dados",IF(AB814&lt;AI814*0.95,"abaixo",IF(AB814&gt;AI814*1.05,"acima","em linha"))),"")</f>
        <v/>
      </c>
      <c r="AK814" s="23" t="inlineStr">
        <is>
          <t>não</t>
        </is>
      </c>
      <c r="AL814" s="23" t="n"/>
      <c r="AM814" s="23" t="n"/>
      <c r="AN814" s="23" t="n"/>
      <c r="AO814" s="44">
        <f>A814</f>
        <v/>
      </c>
      <c r="AP814" s="44">
        <f>D814</f>
        <v/>
      </c>
    </row>
    <row r="815" hidden="1" ht="15.75" customHeight="1" s="93">
      <c r="A815" s="23" t="inlineStr">
        <is>
          <t>5.0205.0542448.0</t>
        </is>
      </c>
      <c r="B815" s="23" t="inlineStr">
        <is>
          <t>542448</t>
        </is>
      </c>
      <c r="C815" s="29">
        <f>IFERROR(LOWER(SUBSTITUTE(SUBSTITUTE(SUBSTITUTE(SUBSTITUTE(D815," ","-"),"/","-"),".",""),",","")),"")</f>
        <v/>
      </c>
      <c r="D815" s="23" t="inlineStr">
        <is>
          <t>BOMBA HIDRÁULICA - APLICAÇÃO 8 B1.C12.A.L</t>
        </is>
      </c>
      <c r="E815" s="23" t="inlineStr">
        <is>
          <t>Bombas Hidráulicas</t>
        </is>
      </c>
      <c r="F815" s="23" t="inlineStr">
        <is>
          <t>SOHIPREN</t>
        </is>
      </c>
      <c r="G815" s="23" t="n"/>
      <c r="H815" s="23" t="inlineStr">
        <is>
          <t>draft</t>
        </is>
      </c>
      <c r="I815" s="23" t="inlineStr">
        <is>
          <t>MAXXION - MASSEY FERGUSON</t>
        </is>
      </c>
      <c r="J815" s="23" t="inlineStr">
        <is>
          <t>TRATOR</t>
        </is>
      </c>
      <c r="K815" s="23" t="inlineStr">
        <is>
          <t>PRINCIPAL</t>
        </is>
      </c>
      <c r="L815" s="23" t="n"/>
      <c r="M815" s="31" t="n"/>
      <c r="N815" s="31" t="n"/>
      <c r="O815" s="31" t="n"/>
      <c r="P815" s="31" t="n"/>
      <c r="Q815" s="31" t="n"/>
      <c r="R815" s="34">
        <f>IFERROR(IF(AND(O815&gt;0,P815&gt;0,Q815&gt;0),(O815*P815*Q815)/6000,""),"")</f>
        <v/>
      </c>
      <c r="S815" s="34">
        <f>IFERROR(IF(AND(N815&gt;0,R815&gt;0),MAX(N815,R815),IF(N815&gt;0,N815,IF(R815&gt;0,R815,""))),"")</f>
        <v/>
      </c>
      <c r="T815" s="36" t="n"/>
      <c r="U815" s="38" t="inlineStr">
        <is>
          <t>FALTA</t>
        </is>
      </c>
      <c r="V815" s="36" t="n">
        <v>611</v>
      </c>
      <c r="W815" s="39" t="n">
        <v>0.3</v>
      </c>
      <c r="X815" s="41">
        <f>IFERROR(V815+T815,"")</f>
        <v/>
      </c>
      <c r="Y815" s="41">
        <f>IFERROR(IF(W815&lt;1,X815/(1-W815),""),"")</f>
        <v/>
      </c>
      <c r="Z815" s="43">
        <f>'01_CONFIG_GLOBAL'!$C$14</f>
        <v/>
      </c>
      <c r="AA815" s="41">
        <f>IFERROR(Y815*Z815,"")</f>
        <v/>
      </c>
      <c r="AB815" s="41">
        <f>IFERROR(IF(Z815&lt;1,Y815/(1-Z815),""),"")</f>
        <v/>
      </c>
      <c r="AC815" s="23" t="n"/>
      <c r="AD815" s="36" t="n"/>
      <c r="AE815" s="23" t="n"/>
      <c r="AF815" s="36" t="n"/>
      <c r="AG815" s="23" t="n"/>
      <c r="AH815" s="36" t="n"/>
      <c r="AI815" s="41">
        <f>IFERROR(AVERAGE(AD815,AF815,AH815),"")</f>
        <v/>
      </c>
      <c r="AJ815" s="29">
        <f>IFERROR(IF(AI815="","sem dados",IF(AB815&lt;AI815*0.95,"abaixo",IF(AB815&gt;AI815*1.05,"acima","em linha"))),"")</f>
        <v/>
      </c>
      <c r="AK815" s="23" t="inlineStr">
        <is>
          <t>não</t>
        </is>
      </c>
      <c r="AL815" s="23" t="n"/>
      <c r="AM815" s="23" t="n"/>
      <c r="AN815" s="23" t="n"/>
      <c r="AO815" s="44">
        <f>A815</f>
        <v/>
      </c>
      <c r="AP815" s="44">
        <f>D815</f>
        <v/>
      </c>
    </row>
    <row r="816" hidden="1" ht="15.75" customHeight="1" s="93">
      <c r="A816" s="23" t="inlineStr">
        <is>
          <t>5.0205.0542447.0</t>
        </is>
      </c>
      <c r="B816" s="23" t="inlineStr">
        <is>
          <t>542447</t>
        </is>
      </c>
      <c r="C816" s="29">
        <f>IFERROR(LOWER(SUBSTITUTE(SUBSTITUTE(SUBSTITUTE(SUBSTITUTE(D816," ","-"),"/","-"),".",""),",","")),"")</f>
        <v/>
      </c>
      <c r="D816" s="23" t="inlineStr">
        <is>
          <t>BOMBA HIDRÁULICA - APLICAÇÃO 8 C10.C25.A.L (DOBLE RETEN)</t>
        </is>
      </c>
      <c r="E816" s="23" t="inlineStr">
        <is>
          <t>Bombas Hidráulicas</t>
        </is>
      </c>
      <c r="F816" s="23" t="inlineStr">
        <is>
          <t>SOHIPREN</t>
        </is>
      </c>
      <c r="G816" s="23" t="n"/>
      <c r="H816" s="23" t="inlineStr">
        <is>
          <t>draft</t>
        </is>
      </c>
      <c r="I816" s="23" t="inlineStr">
        <is>
          <t>MAXXION - MASSEY FERGUSON</t>
        </is>
      </c>
      <c r="J816" s="23" t="inlineStr">
        <is>
          <t>RETRO ESCAVADEIRA</t>
        </is>
      </c>
      <c r="K816" s="23" t="inlineStr">
        <is>
          <t>DIREÇÃO</t>
        </is>
      </c>
      <c r="L816" s="23" t="inlineStr">
        <is>
          <t>040631T1-9510080415</t>
        </is>
      </c>
      <c r="M816" s="31" t="n"/>
      <c r="N816" s="31" t="n"/>
      <c r="O816" s="31" t="n"/>
      <c r="P816" s="31" t="n"/>
      <c r="Q816" s="31" t="n"/>
      <c r="R816" s="34">
        <f>IFERROR(IF(AND(O816&gt;0,P816&gt;0,Q816&gt;0),(O816*P816*Q816)/6000,""),"")</f>
        <v/>
      </c>
      <c r="S816" s="34">
        <f>IFERROR(IF(AND(N816&gt;0,R816&gt;0),MAX(N816,R816),IF(N816&gt;0,N816,IF(R816&gt;0,R816,""))),"")</f>
        <v/>
      </c>
      <c r="T816" s="36" t="n"/>
      <c r="U816" s="38" t="inlineStr">
        <is>
          <t>FALTA</t>
        </is>
      </c>
      <c r="V816" s="36" t="n">
        <v>605</v>
      </c>
      <c r="W816" s="39" t="n">
        <v>0.3</v>
      </c>
      <c r="X816" s="41">
        <f>IFERROR(V816+T816,"")</f>
        <v/>
      </c>
      <c r="Y816" s="41">
        <f>IFERROR(IF(W816&lt;1,X816/(1-W816),""),"")</f>
        <v/>
      </c>
      <c r="Z816" s="43">
        <f>'01_CONFIG_GLOBAL'!$C$14</f>
        <v/>
      </c>
      <c r="AA816" s="41">
        <f>IFERROR(Y816*Z816,"")</f>
        <v/>
      </c>
      <c r="AB816" s="41">
        <f>IFERROR(IF(Z816&lt;1,Y816/(1-Z816),""),"")</f>
        <v/>
      </c>
      <c r="AC816" s="23" t="n"/>
      <c r="AD816" s="36" t="n"/>
      <c r="AE816" s="23" t="n"/>
      <c r="AF816" s="36" t="n"/>
      <c r="AG816" s="23" t="n"/>
      <c r="AH816" s="36" t="n"/>
      <c r="AI816" s="41">
        <f>IFERROR(AVERAGE(AD816,AF816,AH816),"")</f>
        <v/>
      </c>
      <c r="AJ816" s="29">
        <f>IFERROR(IF(AI816="","sem dados",IF(AB816&lt;AI816*0.95,"abaixo",IF(AB816&gt;AI816*1.05,"acima","em linha"))),"")</f>
        <v/>
      </c>
      <c r="AK816" s="23" t="inlineStr">
        <is>
          <t>não</t>
        </is>
      </c>
      <c r="AL816" s="23" t="n"/>
      <c r="AM816" s="23" t="n"/>
      <c r="AN816" s="23" t="n"/>
      <c r="AO816" s="44">
        <f>A816</f>
        <v/>
      </c>
      <c r="AP816" s="44">
        <f>D816</f>
        <v/>
      </c>
    </row>
    <row r="817" hidden="1" ht="15.75" customHeight="1" s="93">
      <c r="A817" s="23" t="inlineStr">
        <is>
          <t>5.0208.0544910.0</t>
        </is>
      </c>
      <c r="B817" s="23" t="inlineStr">
        <is>
          <t>544910</t>
        </is>
      </c>
      <c r="C817" s="29">
        <f>IFERROR(LOWER(SUBSTITUTE(SUBSTITUTE(SUBSTITUTE(SUBSTITUTE(D817," ","-"),"/","-"),".",""),",","")),"")</f>
        <v/>
      </c>
      <c r="D817" s="23" t="inlineStr">
        <is>
          <t>BOD 16 C10.C2.G.T14  17-100+10 BAR (DEPOSITO)</t>
        </is>
      </c>
      <c r="E817" s="23" t="inlineStr">
        <is>
          <t>Bombas Hidráulicas</t>
        </is>
      </c>
      <c r="F817" s="23" t="inlineStr">
        <is>
          <t>SOHIPREN</t>
        </is>
      </c>
      <c r="G817" s="23" t="n"/>
      <c r="H817" s="23" t="inlineStr">
        <is>
          <t>draft</t>
        </is>
      </c>
      <c r="I817" s="23" t="inlineStr">
        <is>
          <t>MAXXION - MASSEY FERGUSON</t>
        </is>
      </c>
      <c r="J817" s="23" t="inlineStr">
        <is>
          <t>TRATOR DE PNEUS</t>
        </is>
      </c>
      <c r="K817" s="23" t="inlineStr">
        <is>
          <t>DIREÇÃO</t>
        </is>
      </c>
      <c r="L817" s="23" t="inlineStr">
        <is>
          <t>3409925M91</t>
        </is>
      </c>
      <c r="M817" s="31" t="n"/>
      <c r="N817" s="31" t="n"/>
      <c r="O817" s="31" t="n"/>
      <c r="P817" s="31" t="n"/>
      <c r="Q817" s="31" t="n"/>
      <c r="R817" s="34">
        <f>IFERROR(IF(AND(O817&gt;0,P817&gt;0,Q817&gt;0),(O817*P817*Q817)/6000,""),"")</f>
        <v/>
      </c>
      <c r="S817" s="34">
        <f>IFERROR(IF(AND(N817&gt;0,R817&gt;0),MAX(N817,R817),IF(N817&gt;0,N817,IF(R817&gt;0,R817,""))),"")</f>
        <v/>
      </c>
      <c r="T817" s="36" t="n"/>
      <c r="U817" s="38" t="inlineStr">
        <is>
          <t>FALTA</t>
        </is>
      </c>
      <c r="V817" s="36" t="n">
        <v>605</v>
      </c>
      <c r="W817" s="39" t="n">
        <v>0.3</v>
      </c>
      <c r="X817" s="41">
        <f>IFERROR(V817+T817,"")</f>
        <v/>
      </c>
      <c r="Y817" s="41">
        <f>IFERROR(IF(W817&lt;1,X817/(1-W817),""),"")</f>
        <v/>
      </c>
      <c r="Z817" s="43">
        <f>'01_CONFIG_GLOBAL'!$C$14</f>
        <v/>
      </c>
      <c r="AA817" s="41">
        <f>IFERROR(Y817*Z817,"")</f>
        <v/>
      </c>
      <c r="AB817" s="41">
        <f>IFERROR(IF(Z817&lt;1,Y817/(1-Z817),""),"")</f>
        <v/>
      </c>
      <c r="AC817" s="23" t="n"/>
      <c r="AD817" s="36" t="n"/>
      <c r="AE817" s="23" t="n"/>
      <c r="AF817" s="36" t="n"/>
      <c r="AG817" s="23" t="n"/>
      <c r="AH817" s="36" t="n"/>
      <c r="AI817" s="41">
        <f>IFERROR(AVERAGE(AD817,AF817,AH817),"")</f>
        <v/>
      </c>
      <c r="AJ817" s="29">
        <f>IFERROR(IF(AI817="","sem dados",IF(AB817&lt;AI817*0.95,"abaixo",IF(AB817&gt;AI817*1.05,"acima","em linha"))),"")</f>
        <v/>
      </c>
      <c r="AK817" s="23" t="inlineStr">
        <is>
          <t>não</t>
        </is>
      </c>
      <c r="AL817" s="23" t="n"/>
      <c r="AM817" s="23" t="n"/>
      <c r="AN817" s="23" t="n"/>
      <c r="AO817" s="44">
        <f>A817</f>
        <v/>
      </c>
      <c r="AP817" s="44">
        <f>D817</f>
        <v/>
      </c>
    </row>
    <row r="818" hidden="1" ht="15.75" customHeight="1" s="93">
      <c r="A818" s="23" t="inlineStr">
        <is>
          <t>5.0521.L026711.0</t>
        </is>
      </c>
      <c r="B818" s="23" t="inlineStr">
        <is>
          <t>L026711</t>
        </is>
      </c>
      <c r="C818" s="29">
        <f>IFERROR(LOWER(SUBSTITUTE(SUBSTITUTE(SUBSTITUTE(SUBSTITUTE(D818," ","-"),"/","-"),".",""),",","")),"")</f>
        <v/>
      </c>
      <c r="D818" s="23" t="inlineStr">
        <is>
          <t>MC1 50 201.1.21.74/14.C21.L</t>
        </is>
      </c>
      <c r="E818" s="23" t="n"/>
      <c r="F818" s="23" t="inlineStr">
        <is>
          <t>SOHIPREN</t>
        </is>
      </c>
      <c r="G818" s="23" t="n"/>
      <c r="H818" s="23" t="inlineStr">
        <is>
          <t>draft</t>
        </is>
      </c>
      <c r="I818" s="23" t="inlineStr">
        <is>
          <t>MENTA</t>
        </is>
      </c>
      <c r="J818" s="23" t="inlineStr">
        <is>
          <t>DESILSILADERIA</t>
        </is>
      </c>
      <c r="K818" s="23" t="inlineStr">
        <is>
          <t>PRINCIPAL</t>
        </is>
      </c>
      <c r="L818" s="23" t="inlineStr">
        <is>
          <t>1400172</t>
        </is>
      </c>
      <c r="M818" s="31" t="n"/>
      <c r="N818" s="31" t="n"/>
      <c r="O818" s="31" t="n"/>
      <c r="P818" s="31" t="n"/>
      <c r="Q818" s="31" t="n"/>
      <c r="R818" s="34">
        <f>IFERROR(IF(AND(O818&gt;0,P818&gt;0,Q818&gt;0),(O818*P818*Q818)/6000,""),"")</f>
        <v/>
      </c>
      <c r="S818" s="34">
        <f>IFERROR(IF(AND(N818&gt;0,R818&gt;0),MAX(N818,R818),IF(N818&gt;0,N818,IF(R818&gt;0,R818,""))),"")</f>
        <v/>
      </c>
      <c r="T818" s="36" t="n"/>
      <c r="U818" s="38" t="inlineStr">
        <is>
          <t>FALTA</t>
        </is>
      </c>
      <c r="V818" s="36" t="n">
        <v>1969</v>
      </c>
      <c r="W818" s="39" t="n">
        <v>0.3</v>
      </c>
      <c r="X818" s="41">
        <f>IFERROR(V818+T818,"")</f>
        <v/>
      </c>
      <c r="Y818" s="41">
        <f>IFERROR(IF(W818&lt;1,X818/(1-W818),""),"")</f>
        <v/>
      </c>
      <c r="Z818" s="43">
        <f>'01_CONFIG_GLOBAL'!$C$14</f>
        <v/>
      </c>
      <c r="AA818" s="41">
        <f>IFERROR(Y818*Z818,"")</f>
        <v/>
      </c>
      <c r="AB818" s="41">
        <f>IFERROR(IF(Z818&lt;1,Y818/(1-Z818),""),"")</f>
        <v/>
      </c>
      <c r="AC818" s="23" t="n"/>
      <c r="AD818" s="36" t="n"/>
      <c r="AE818" s="23" t="n"/>
      <c r="AF818" s="36" t="n"/>
      <c r="AG818" s="23" t="n"/>
      <c r="AH818" s="36" t="n"/>
      <c r="AI818" s="41">
        <f>IFERROR(AVERAGE(AD818,AF818,AH818),"")</f>
        <v/>
      </c>
      <c r="AJ818" s="29">
        <f>IFERROR(IF(AI818="","sem dados",IF(AB818&lt;AI818*0.95,"abaixo",IF(AB818&gt;AI818*1.05,"acima","em linha"))),"")</f>
        <v/>
      </c>
      <c r="AK818" s="23" t="inlineStr">
        <is>
          <t>não</t>
        </is>
      </c>
      <c r="AL818" s="23" t="n"/>
      <c r="AM818" s="23" t="n"/>
      <c r="AN818" s="23" t="n"/>
      <c r="AO818" s="44">
        <f>A818</f>
        <v/>
      </c>
      <c r="AP818" s="44">
        <f>D818</f>
        <v/>
      </c>
    </row>
    <row r="819" hidden="1" ht="15.75" customHeight="1" s="93">
      <c r="A819" s="23" t="inlineStr">
        <is>
          <t>5.0207.L026750.0</t>
        </is>
      </c>
      <c r="B819" s="23" t="inlineStr">
        <is>
          <t>L026750</t>
        </is>
      </c>
      <c r="C819" s="29">
        <f>IFERROR(LOWER(SUBSTITUTE(SUBSTITUTE(SUBSTITUTE(SUBSTITUTE(D819," ","-"),"/","-"),".",""),",","")),"")</f>
        <v/>
      </c>
      <c r="D819" s="23" t="inlineStr">
        <is>
          <t>BOMBA HIDRÁULICA - APLICAÇÃO 14 C11.C.C21.L</t>
        </is>
      </c>
      <c r="E819" s="23" t="inlineStr">
        <is>
          <t>Bombas Hidráulicas</t>
        </is>
      </c>
      <c r="F819" s="23" t="inlineStr">
        <is>
          <t>SOHIPREN</t>
        </is>
      </c>
      <c r="G819" s="23" t="n"/>
      <c r="H819" s="23" t="inlineStr">
        <is>
          <t>draft</t>
        </is>
      </c>
      <c r="I819" s="23" t="inlineStr">
        <is>
          <t>MENTA</t>
        </is>
      </c>
      <c r="J819" s="23" t="inlineStr">
        <is>
          <t>DESINCILADEIRA</t>
        </is>
      </c>
      <c r="K819" s="23" t="inlineStr">
        <is>
          <t>PRINCIPAL</t>
        </is>
      </c>
      <c r="L819" s="23" t="inlineStr">
        <is>
          <t>1400177</t>
        </is>
      </c>
      <c r="M819" s="31" t="n"/>
      <c r="N819" s="31" t="n"/>
      <c r="O819" s="31" t="n"/>
      <c r="P819" s="31" t="n"/>
      <c r="Q819" s="31" t="n"/>
      <c r="R819" s="34">
        <f>IFERROR(IF(AND(O819&gt;0,P819&gt;0,Q819&gt;0),(O819*P819*Q819)/6000,""),"")</f>
        <v/>
      </c>
      <c r="S819" s="34">
        <f>IFERROR(IF(AND(N819&gt;0,R819&gt;0),MAX(N819,R819),IF(N819&gt;0,N819,IF(R819&gt;0,R819,""))),"")</f>
        <v/>
      </c>
      <c r="T819" s="36" t="n"/>
      <c r="U819" s="38" t="inlineStr">
        <is>
          <t>FALTA</t>
        </is>
      </c>
      <c r="V819" s="36" t="n">
        <v>462</v>
      </c>
      <c r="W819" s="39" t="n">
        <v>0.3</v>
      </c>
      <c r="X819" s="41">
        <f>IFERROR(V819+T819,"")</f>
        <v/>
      </c>
      <c r="Y819" s="41">
        <f>IFERROR(IF(W819&lt;1,X819/(1-W819),""),"")</f>
        <v/>
      </c>
      <c r="Z819" s="43">
        <f>'01_CONFIG_GLOBAL'!$C$14</f>
        <v/>
      </c>
      <c r="AA819" s="41">
        <f>IFERROR(Y819*Z819,"")</f>
        <v/>
      </c>
      <c r="AB819" s="41">
        <f>IFERROR(IF(Z819&lt;1,Y819/(1-Z819),""),"")</f>
        <v/>
      </c>
      <c r="AC819" s="23" t="n"/>
      <c r="AD819" s="36" t="n"/>
      <c r="AE819" s="23" t="n"/>
      <c r="AF819" s="36" t="n"/>
      <c r="AG819" s="23" t="n"/>
      <c r="AH819" s="36" t="n"/>
      <c r="AI819" s="41">
        <f>IFERROR(AVERAGE(AD819,AF819,AH819),"")</f>
        <v/>
      </c>
      <c r="AJ819" s="29">
        <f>IFERROR(IF(AI819="","sem dados",IF(AB819&lt;AI819*0.95,"abaixo",IF(AB819&gt;AI819*1.05,"acima","em linha"))),"")</f>
        <v/>
      </c>
      <c r="AK819" s="23" t="inlineStr">
        <is>
          <t>não</t>
        </is>
      </c>
      <c r="AL819" s="23" t="n"/>
      <c r="AM819" s="23" t="n"/>
      <c r="AN819" s="23" t="n"/>
      <c r="AO819" s="44">
        <f>A819</f>
        <v/>
      </c>
      <c r="AP819" s="44">
        <f>D819</f>
        <v/>
      </c>
    </row>
    <row r="820" hidden="1" ht="15.75" customHeight="1" s="93">
      <c r="A820" s="23" t="inlineStr">
        <is>
          <t>5.0505.L026919.1</t>
        </is>
      </c>
      <c r="B820" s="23" t="inlineStr">
        <is>
          <t>L026919</t>
        </is>
      </c>
      <c r="C820" s="29">
        <f>IFERROR(LOWER(SUBSTITUTE(SUBSTITUTE(SUBSTITUTE(SUBSTITUTE(D820," ","-"),"/","-"),".",""),",","")),"")</f>
        <v/>
      </c>
      <c r="D820" s="23" t="inlineStr">
        <is>
          <t>L330 48 (BOMBA FERRO FUNDIDO - COMPRA L300007.1)</t>
        </is>
      </c>
      <c r="E820" s="23" t="inlineStr">
        <is>
          <t>Bombas Hidráulicas</t>
        </is>
      </c>
      <c r="F820" s="23" t="inlineStr">
        <is>
          <t>SOHIPREN</t>
        </is>
      </c>
      <c r="G820" s="23" t="n"/>
      <c r="H820" s="23" t="inlineStr">
        <is>
          <t>draft</t>
        </is>
      </c>
      <c r="I820" s="23" t="inlineStr">
        <is>
          <t>MFW</t>
        </is>
      </c>
      <c r="J820" s="23" t="inlineStr">
        <is>
          <t>IMPLEMENTO</t>
        </is>
      </c>
      <c r="K820" s="23" t="inlineStr">
        <is>
          <t>MOTOR FACA</t>
        </is>
      </c>
      <c r="L820" s="23" t="n"/>
      <c r="M820" s="31" t="n"/>
      <c r="N820" s="31" t="n"/>
      <c r="O820" s="31" t="n"/>
      <c r="P820" s="31" t="n"/>
      <c r="Q820" s="31" t="n"/>
      <c r="R820" s="34">
        <f>IFERROR(IF(AND(O820&gt;0,P820&gt;0,Q820&gt;0),(O820*P820*Q820)/6000,""),"")</f>
        <v/>
      </c>
      <c r="S820" s="34">
        <f>IFERROR(IF(AND(N820&gt;0,R820&gt;0),MAX(N820,R820),IF(N820&gt;0,N820,IF(R820&gt;0,R820,""))),"")</f>
        <v/>
      </c>
      <c r="T820" s="36" t="n"/>
      <c r="U820" s="38" t="inlineStr">
        <is>
          <t>FALTA</t>
        </is>
      </c>
      <c r="V820" s="36" t="n">
        <v>935</v>
      </c>
      <c r="W820" s="39" t="n">
        <v>0.3</v>
      </c>
      <c r="X820" s="41">
        <f>IFERROR(V820+T820,"")</f>
        <v/>
      </c>
      <c r="Y820" s="41">
        <f>IFERROR(IF(W820&lt;1,X820/(1-W820),""),"")</f>
        <v/>
      </c>
      <c r="Z820" s="43">
        <f>'01_CONFIG_GLOBAL'!$C$14</f>
        <v/>
      </c>
      <c r="AA820" s="41">
        <f>IFERROR(Y820*Z820,"")</f>
        <v/>
      </c>
      <c r="AB820" s="41">
        <f>IFERROR(IF(Z820&lt;1,Y820/(1-Z820),""),"")</f>
        <v/>
      </c>
      <c r="AC820" s="23" t="n"/>
      <c r="AD820" s="36" t="n"/>
      <c r="AE820" s="23" t="n"/>
      <c r="AF820" s="36" t="n"/>
      <c r="AG820" s="23" t="n"/>
      <c r="AH820" s="36" t="n"/>
      <c r="AI820" s="41">
        <f>IFERROR(AVERAGE(AD820,AF820,AH820),"")</f>
        <v/>
      </c>
      <c r="AJ820" s="29">
        <f>IFERROR(IF(AI820="","sem dados",IF(AB820&lt;AI820*0.95,"abaixo",IF(AB820&gt;AI820*1.05,"acima","em linha"))),"")</f>
        <v/>
      </c>
      <c r="AK820" s="23" t="inlineStr">
        <is>
          <t>não</t>
        </is>
      </c>
      <c r="AL820" s="23" t="n"/>
      <c r="AM820" s="23" t="n"/>
      <c r="AN820" s="23" t="n"/>
      <c r="AO820" s="44">
        <f>A820</f>
        <v/>
      </c>
      <c r="AP820" s="44">
        <f>D820</f>
        <v/>
      </c>
    </row>
    <row r="821" hidden="1" ht="15.75" customHeight="1" s="93">
      <c r="A821" s="23" t="inlineStr">
        <is>
          <t>5.0506.L006630.0</t>
        </is>
      </c>
      <c r="B821" s="23" t="inlineStr">
        <is>
          <t>L00663</t>
        </is>
      </c>
      <c r="C821" s="29">
        <f>IFERROR(LOWER(SUBSTITUTE(SUBSTITUTE(SUBSTITUTE(SUBSTITUTE(D821," ","-"),"/","-"),".",""),",","")),"")</f>
        <v/>
      </c>
      <c r="D821" s="23" t="inlineStr">
        <is>
          <t>MUI MC1 50 201.1.37.69.61</t>
        </is>
      </c>
      <c r="E821" s="23" t="n"/>
      <c r="F821" s="23" t="inlineStr">
        <is>
          <t>SOHIPREN</t>
        </is>
      </c>
      <c r="G821" s="23" t="n"/>
      <c r="H821" s="23" t="inlineStr">
        <is>
          <t>draft</t>
        </is>
      </c>
      <c r="I821" s="23" t="inlineStr">
        <is>
          <t>MFW MAQUINAS</t>
        </is>
      </c>
      <c r="J821" s="23" t="inlineStr">
        <is>
          <t>ROCADEIRA ARTICULADA</t>
        </is>
      </c>
      <c r="K821" s="23" t="inlineStr">
        <is>
          <t>MOTOR</t>
        </is>
      </c>
      <c r="L821" s="23" t="inlineStr">
        <is>
          <t>4416</t>
        </is>
      </c>
      <c r="M821" s="31" t="n"/>
      <c r="N821" s="31" t="n"/>
      <c r="O821" s="31" t="n"/>
      <c r="P821" s="31" t="n"/>
      <c r="Q821" s="31" t="n"/>
      <c r="R821" s="34">
        <f>IFERROR(IF(AND(O821&gt;0,P821&gt;0,Q821&gt;0),(O821*P821*Q821)/6000,""),"")</f>
        <v/>
      </c>
      <c r="S821" s="34">
        <f>IFERROR(IF(AND(N821&gt;0,R821&gt;0),MAX(N821,R821),IF(N821&gt;0,N821,IF(R821&gt;0,R821,""))),"")</f>
        <v/>
      </c>
      <c r="T821" s="36" t="n"/>
      <c r="U821" s="38" t="inlineStr">
        <is>
          <t>FALTA</t>
        </is>
      </c>
      <c r="V821" s="36" t="n">
        <v>1350</v>
      </c>
      <c r="W821" s="39" t="n">
        <v>0.3</v>
      </c>
      <c r="X821" s="41">
        <f>IFERROR(V821+T821,"")</f>
        <v/>
      </c>
      <c r="Y821" s="41">
        <f>IFERROR(IF(W821&lt;1,X821/(1-W821),""),"")</f>
        <v/>
      </c>
      <c r="Z821" s="43">
        <f>'01_CONFIG_GLOBAL'!$C$14</f>
        <v/>
      </c>
      <c r="AA821" s="41">
        <f>IFERROR(Y821*Z821,"")</f>
        <v/>
      </c>
      <c r="AB821" s="41">
        <f>IFERROR(IF(Z821&lt;1,Y821/(1-Z821),""),"")</f>
        <v/>
      </c>
      <c r="AC821" s="23" t="n"/>
      <c r="AD821" s="36" t="n"/>
      <c r="AE821" s="23" t="n"/>
      <c r="AF821" s="36" t="n"/>
      <c r="AG821" s="23" t="n"/>
      <c r="AH821" s="36" t="n"/>
      <c r="AI821" s="41">
        <f>IFERROR(AVERAGE(AD821,AF821,AH821),"")</f>
        <v/>
      </c>
      <c r="AJ821" s="29">
        <f>IFERROR(IF(AI821="","sem dados",IF(AB821&lt;AI821*0.95,"abaixo",IF(AB821&gt;AI821*1.05,"acima","em linha"))),"")</f>
        <v/>
      </c>
      <c r="AK821" s="23" t="inlineStr">
        <is>
          <t>não</t>
        </is>
      </c>
      <c r="AL821" s="23" t="n"/>
      <c r="AM821" s="23" t="n"/>
      <c r="AN821" s="23" t="n"/>
      <c r="AO821" s="44">
        <f>A821</f>
        <v/>
      </c>
      <c r="AP821" s="44">
        <f>D821</f>
        <v/>
      </c>
    </row>
    <row r="822" hidden="1" ht="15.75" customHeight="1" s="93">
      <c r="A822" s="23" t="inlineStr">
        <is>
          <t>5.0521.L025535.0</t>
        </is>
      </c>
      <c r="B822" s="23" t="inlineStr">
        <is>
          <t>L025535</t>
        </is>
      </c>
      <c r="C822" s="29">
        <f>IFERROR(LOWER(SUBSTITUTE(SUBSTITUTE(SUBSTITUTE(SUBSTITUTE(D822," ","-"),"/","-"),".",""),",","")),"")</f>
        <v/>
      </c>
      <c r="D822" s="23" t="inlineStr">
        <is>
          <t>MC1 60 201.1.37.66/8.C21.L</t>
        </is>
      </c>
      <c r="E822" s="23" t="n"/>
      <c r="F822" s="23" t="inlineStr">
        <is>
          <t>SOHIPREN</t>
        </is>
      </c>
      <c r="G822" s="23" t="n"/>
      <c r="H822" s="23" t="inlineStr">
        <is>
          <t>draft</t>
        </is>
      </c>
      <c r="I822" s="23" t="inlineStr">
        <is>
          <t>MFW MAQUINAS</t>
        </is>
      </c>
      <c r="J822" s="23" t="inlineStr">
        <is>
          <t>ROÇADEIRA ARTICULADA</t>
        </is>
      </c>
      <c r="K822" s="23" t="inlineStr">
        <is>
          <t>PRINCIPAL</t>
        </is>
      </c>
      <c r="L822" s="23" t="inlineStr">
        <is>
          <t>4417</t>
        </is>
      </c>
      <c r="M822" s="31" t="n"/>
      <c r="N822" s="31" t="n"/>
      <c r="O822" s="31" t="n"/>
      <c r="P822" s="31" t="n"/>
      <c r="Q822" s="31" t="n"/>
      <c r="R822" s="34">
        <f>IFERROR(IF(AND(O822&gt;0,P822&gt;0,Q822&gt;0),(O822*P822*Q822)/6000,""),"")</f>
        <v/>
      </c>
      <c r="S822" s="34">
        <f>IFERROR(IF(AND(N822&gt;0,R822&gt;0),MAX(N822,R822),IF(N822&gt;0,N822,IF(R822&gt;0,R822,""))),"")</f>
        <v/>
      </c>
      <c r="T822" s="36" t="n"/>
      <c r="U822" s="38" t="inlineStr">
        <is>
          <t>FALTA</t>
        </is>
      </c>
      <c r="V822" s="36" t="n">
        <v>1815</v>
      </c>
      <c r="W822" s="39" t="n">
        <v>0.3</v>
      </c>
      <c r="X822" s="41">
        <f>IFERROR(V822+T822,"")</f>
        <v/>
      </c>
      <c r="Y822" s="41">
        <f>IFERROR(IF(W822&lt;1,X822/(1-W822),""),"")</f>
        <v/>
      </c>
      <c r="Z822" s="43">
        <f>'01_CONFIG_GLOBAL'!$C$14</f>
        <v/>
      </c>
      <c r="AA822" s="41">
        <f>IFERROR(Y822*Z822,"")</f>
        <v/>
      </c>
      <c r="AB822" s="41">
        <f>IFERROR(IF(Z822&lt;1,Y822/(1-Z822),""),"")</f>
        <v/>
      </c>
      <c r="AC822" s="23" t="n"/>
      <c r="AD822" s="36" t="n"/>
      <c r="AE822" s="23" t="n"/>
      <c r="AF822" s="36" t="n"/>
      <c r="AG822" s="23" t="n"/>
      <c r="AH822" s="36" t="n"/>
      <c r="AI822" s="41">
        <f>IFERROR(AVERAGE(AD822,AF822,AH822),"")</f>
        <v/>
      </c>
      <c r="AJ822" s="29">
        <f>IFERROR(IF(AI822="","sem dados",IF(AB822&lt;AI822*0.95,"abaixo",IF(AB822&gt;AI822*1.05,"acima","em linha"))),"")</f>
        <v/>
      </c>
      <c r="AK822" s="23" t="inlineStr">
        <is>
          <t>não</t>
        </is>
      </c>
      <c r="AL822" s="23" t="n"/>
      <c r="AM822" s="23" t="n"/>
      <c r="AN822" s="23" t="n"/>
      <c r="AO822" s="44">
        <f>A822</f>
        <v/>
      </c>
      <c r="AP822" s="44">
        <f>D822</f>
        <v/>
      </c>
    </row>
    <row r="823" hidden="1" ht="15.75" customHeight="1" s="93">
      <c r="A823" s="23" t="inlineStr">
        <is>
          <t>6.0002.L060177.1</t>
        </is>
      </c>
      <c r="B823" s="23" t="inlineStr">
        <is>
          <t>L060177.1</t>
        </is>
      </c>
      <c r="C823" s="29">
        <f>IFERROR(LOWER(SUBSTITUTE(SUBSTITUTE(SUBSTITUTE(SUBSTITUTE(D823," ","-"),"/","-"),".",""),",","")),"")</f>
        <v/>
      </c>
      <c r="D823" s="23" t="inlineStr">
        <is>
          <t>VCD 208 CAM/CFM-TP</t>
        </is>
      </c>
      <c r="E823" s="23" t="n"/>
      <c r="F823" s="23" t="inlineStr">
        <is>
          <t>SOHIPREN</t>
        </is>
      </c>
      <c r="G823" s="23" t="n"/>
      <c r="H823" s="23" t="inlineStr">
        <is>
          <t>draft</t>
        </is>
      </c>
      <c r="I823" s="23" t="inlineStr">
        <is>
          <t>MIAC - INDUSTRIAS REUNIDAS COLOMBO</t>
        </is>
      </c>
      <c r="J823" s="23" t="inlineStr">
        <is>
          <t>RECOLHEDORA DE CAFÉ CONILON</t>
        </is>
      </c>
      <c r="K823" s="23" t="inlineStr">
        <is>
          <t>COMANDO ACIONAMENTO CAÇAMBA E LONA</t>
        </is>
      </c>
      <c r="L823" s="23" t="inlineStr">
        <is>
          <t>60002L601771-2P80R1-A1-A1-SKY1</t>
        </is>
      </c>
      <c r="M823" s="31" t="n"/>
      <c r="N823" s="31" t="n"/>
      <c r="O823" s="31" t="n"/>
      <c r="P823" s="31" t="n"/>
      <c r="Q823" s="31" t="n"/>
      <c r="R823" s="34">
        <f>IFERROR(IF(AND(O823&gt;0,P823&gt;0,Q823&gt;0),(O823*P823*Q823)/6000,""),"")</f>
        <v/>
      </c>
      <c r="S823" s="34">
        <f>IFERROR(IF(AND(N823&gt;0,R823&gt;0),MAX(N823,R823),IF(N823&gt;0,N823,IF(R823&gt;0,R823,""))),"")</f>
        <v/>
      </c>
      <c r="T823" s="36" t="n"/>
      <c r="U823" s="38" t="inlineStr">
        <is>
          <t>FALTA</t>
        </is>
      </c>
      <c r="V823" s="36" t="n">
        <v>668.8</v>
      </c>
      <c r="W823" s="39" t="n">
        <v>0.3</v>
      </c>
      <c r="X823" s="41">
        <f>IFERROR(V823+T823,"")</f>
        <v/>
      </c>
      <c r="Y823" s="41">
        <f>IFERROR(IF(W823&lt;1,X823/(1-W823),""),"")</f>
        <v/>
      </c>
      <c r="Z823" s="43">
        <f>'01_CONFIG_GLOBAL'!$C$14</f>
        <v/>
      </c>
      <c r="AA823" s="41">
        <f>IFERROR(Y823*Z823,"")</f>
        <v/>
      </c>
      <c r="AB823" s="41">
        <f>IFERROR(IF(Z823&lt;1,Y823/(1-Z823),""),"")</f>
        <v/>
      </c>
      <c r="AC823" s="23" t="n"/>
      <c r="AD823" s="36" t="n"/>
      <c r="AE823" s="23" t="n"/>
      <c r="AF823" s="36" t="n"/>
      <c r="AG823" s="23" t="n"/>
      <c r="AH823" s="36" t="n"/>
      <c r="AI823" s="41">
        <f>IFERROR(AVERAGE(AD823,AF823,AH823),"")</f>
        <v/>
      </c>
      <c r="AJ823" s="29">
        <f>IFERROR(IF(AI823="","sem dados",IF(AB823&lt;AI823*0.95,"abaixo",IF(AB823&gt;AI823*1.05,"acima","em linha"))),"")</f>
        <v/>
      </c>
      <c r="AK823" s="23" t="inlineStr">
        <is>
          <t>não</t>
        </is>
      </c>
      <c r="AL823" s="23" t="n"/>
      <c r="AM823" s="23" t="n"/>
      <c r="AN823" s="23" t="n"/>
      <c r="AO823" s="44">
        <f>A823</f>
        <v/>
      </c>
      <c r="AP823" s="44">
        <f>D823</f>
        <v/>
      </c>
    </row>
    <row r="824" hidden="1" ht="15.75" customHeight="1" s="93">
      <c r="A824" s="23" t="inlineStr">
        <is>
          <t>5.0202.L025950.0</t>
        </is>
      </c>
      <c r="B824" s="23" t="inlineStr">
        <is>
          <t>L02595</t>
        </is>
      </c>
      <c r="C824" s="29">
        <f>IFERROR(LOWER(SUBSTITUTE(SUBSTITUTE(SUBSTITUTE(SUBSTITUTE(D824," ","-"),"/","-"),".",""),",","")),"")</f>
        <v/>
      </c>
      <c r="D824" s="23" t="inlineStr">
        <is>
          <t>BOMBA HIDRÁULICA - APLICAÇÃO 4 B1.C.C21.L</t>
        </is>
      </c>
      <c r="E824" s="23" t="inlineStr">
        <is>
          <t>Bombas Hidráulicas</t>
        </is>
      </c>
      <c r="F824" s="23" t="inlineStr">
        <is>
          <t>SOHIPREN</t>
        </is>
      </c>
      <c r="G824" s="23" t="n"/>
      <c r="H824" s="23" t="inlineStr">
        <is>
          <t>draft</t>
        </is>
      </c>
      <c r="I824" s="23" t="inlineStr">
        <is>
          <t>MONTANA</t>
        </is>
      </c>
      <c r="J824" s="23" t="inlineStr">
        <is>
          <t>PULVERIZADOR</t>
        </is>
      </c>
      <c r="K824" s="23" t="n"/>
      <c r="L824" s="23" t="inlineStr">
        <is>
          <t>20065682-F000510210-3329112173-90601256</t>
        </is>
      </c>
      <c r="M824" s="31" t="n"/>
      <c r="N824" s="31" t="n"/>
      <c r="O824" s="31" t="n"/>
      <c r="P824" s="31" t="n"/>
      <c r="Q824" s="31" t="n"/>
      <c r="R824" s="34">
        <f>IFERROR(IF(AND(O824&gt;0,P824&gt;0,Q824&gt;0),(O824*P824*Q824)/6000,""),"")</f>
        <v/>
      </c>
      <c r="S824" s="34">
        <f>IFERROR(IF(AND(N824&gt;0,R824&gt;0),MAX(N824,R824),IF(N824&gt;0,N824,IF(R824&gt;0,R824,""))),"")</f>
        <v/>
      </c>
      <c r="T824" s="36" t="n"/>
      <c r="U824" s="38" t="inlineStr">
        <is>
          <t>FALTA</t>
        </is>
      </c>
      <c r="V824" s="36" t="n">
        <v>301.94</v>
      </c>
      <c r="W824" s="39" t="n">
        <v>0.3</v>
      </c>
      <c r="X824" s="41">
        <f>IFERROR(V824+T824,"")</f>
        <v/>
      </c>
      <c r="Y824" s="41">
        <f>IFERROR(IF(W824&lt;1,X824/(1-W824),""),"")</f>
        <v/>
      </c>
      <c r="Z824" s="43">
        <f>'01_CONFIG_GLOBAL'!$C$14</f>
        <v/>
      </c>
      <c r="AA824" s="41">
        <f>IFERROR(Y824*Z824,"")</f>
        <v/>
      </c>
      <c r="AB824" s="41">
        <f>IFERROR(IF(Z824&lt;1,Y824/(1-Z824),""),"")</f>
        <v/>
      </c>
      <c r="AC824" s="23" t="n"/>
      <c r="AD824" s="36" t="n"/>
      <c r="AE824" s="23" t="n"/>
      <c r="AF824" s="36" t="n"/>
      <c r="AG824" s="23" t="n"/>
      <c r="AH824" s="36" t="n"/>
      <c r="AI824" s="41">
        <f>IFERROR(AVERAGE(AD824,AF824,AH824),"")</f>
        <v/>
      </c>
      <c r="AJ824" s="29">
        <f>IFERROR(IF(AI824="","sem dados",IF(AB824&lt;AI824*0.95,"abaixo",IF(AB824&gt;AI824*1.05,"acima","em linha"))),"")</f>
        <v/>
      </c>
      <c r="AK824" s="23" t="inlineStr">
        <is>
          <t>não</t>
        </is>
      </c>
      <c r="AL824" s="23" t="n"/>
      <c r="AM824" s="23" t="n"/>
      <c r="AN824" s="23" t="n"/>
      <c r="AO824" s="44">
        <f>A824</f>
        <v/>
      </c>
      <c r="AP824" s="44">
        <f>D824</f>
        <v/>
      </c>
    </row>
    <row r="825" hidden="1" ht="15.75" customHeight="1" s="93">
      <c r="A825" s="23" t="inlineStr">
        <is>
          <t>5.0906.0580553.0</t>
        </is>
      </c>
      <c r="B825" s="23" t="inlineStr">
        <is>
          <t>580553</t>
        </is>
      </c>
      <c r="C825" s="29">
        <f>IFERROR(LOWER(SUBSTITUTE(SUBSTITUTE(SUBSTITUTE(SUBSTITUTE(D825," ","-"),"/","-"),".",""),",","")),"")</f>
        <v/>
      </c>
      <c r="D825" s="23" t="inlineStr">
        <is>
          <t>APR 50 201.1.21.83</t>
        </is>
      </c>
      <c r="E825" s="23" t="n"/>
      <c r="F825" s="23" t="inlineStr">
        <is>
          <t>SOHIPREN</t>
        </is>
      </c>
      <c r="G825" s="23" t="n"/>
      <c r="H825" s="23" t="inlineStr">
        <is>
          <t>draft</t>
        </is>
      </c>
      <c r="I825" s="23" t="inlineStr">
        <is>
          <t>MOTOCANA</t>
        </is>
      </c>
      <c r="J825" s="23" t="inlineStr">
        <is>
          <t>CARREGADEIRA</t>
        </is>
      </c>
      <c r="K825" s="23" t="inlineStr">
        <is>
          <t>PRINCIPAL</t>
        </is>
      </c>
      <c r="L825" s="23" t="inlineStr">
        <is>
          <t>27500000</t>
        </is>
      </c>
      <c r="M825" s="31" t="n"/>
      <c r="N825" s="31" t="n"/>
      <c r="O825" s="31" t="n"/>
      <c r="P825" s="31" t="n"/>
      <c r="Q825" s="31" t="n"/>
      <c r="R825" s="34">
        <f>IFERROR(IF(AND(O825&gt;0,P825&gt;0,Q825&gt;0),(O825*P825*Q825)/6000,""),"")</f>
        <v/>
      </c>
      <c r="S825" s="34">
        <f>IFERROR(IF(AND(N825&gt;0,R825&gt;0),MAX(N825,R825),IF(N825&gt;0,N825,IF(R825&gt;0,R825,""))),"")</f>
        <v/>
      </c>
      <c r="T825" s="36" t="n"/>
      <c r="U825" s="38" t="inlineStr">
        <is>
          <t>FALTA</t>
        </is>
      </c>
      <c r="V825" s="36" t="n">
        <v>1018.22</v>
      </c>
      <c r="W825" s="39" t="n">
        <v>0.3</v>
      </c>
      <c r="X825" s="41">
        <f>IFERROR(V825+T825,"")</f>
        <v/>
      </c>
      <c r="Y825" s="41">
        <f>IFERROR(IF(W825&lt;1,X825/(1-W825),""),"")</f>
        <v/>
      </c>
      <c r="Z825" s="43">
        <f>'01_CONFIG_GLOBAL'!$C$14</f>
        <v/>
      </c>
      <c r="AA825" s="41">
        <f>IFERROR(Y825*Z825,"")</f>
        <v/>
      </c>
      <c r="AB825" s="41">
        <f>IFERROR(IF(Z825&lt;1,Y825/(1-Z825),""),"")</f>
        <v/>
      </c>
      <c r="AC825" s="23" t="n"/>
      <c r="AD825" s="36" t="n"/>
      <c r="AE825" s="23" t="n"/>
      <c r="AF825" s="36" t="n"/>
      <c r="AG825" s="23" t="n"/>
      <c r="AH825" s="36" t="n"/>
      <c r="AI825" s="41">
        <f>IFERROR(AVERAGE(AD825,AF825,AH825),"")</f>
        <v/>
      </c>
      <c r="AJ825" s="29">
        <f>IFERROR(IF(AI825="","sem dados",IF(AB825&lt;AI825*0.95,"abaixo",IF(AB825&gt;AI825*1.05,"acima","em linha"))),"")</f>
        <v/>
      </c>
      <c r="AK825" s="23" t="inlineStr">
        <is>
          <t>não</t>
        </is>
      </c>
      <c r="AL825" s="23" t="n"/>
      <c r="AM825" s="23" t="n"/>
      <c r="AN825" s="23" t="n"/>
      <c r="AO825" s="44">
        <f>A825</f>
        <v/>
      </c>
      <c r="AP825" s="44">
        <f>D825</f>
        <v/>
      </c>
    </row>
    <row r="826" hidden="1" ht="15.75" customHeight="1" s="93">
      <c r="A826" s="23" t="inlineStr">
        <is>
          <t>5.0503.0502048.0</t>
        </is>
      </c>
      <c r="B826" s="23" t="inlineStr">
        <is>
          <t>502048</t>
        </is>
      </c>
      <c r="C826" s="29">
        <f>IFERROR(LOWER(SUBSTITUTE(SUBSTITUTE(SUBSTITUTE(SUBSTITUTE(D826," ","-"),"/","-"),".",""),",","")),"")</f>
        <v/>
      </c>
      <c r="D826" s="23" t="inlineStr">
        <is>
          <t>MC1 32 601.1.24.86.63</t>
        </is>
      </c>
      <c r="E826" s="23" t="n"/>
      <c r="F826" s="23" t="inlineStr">
        <is>
          <t>SOHIPREN</t>
        </is>
      </c>
      <c r="G826" s="23" t="n"/>
      <c r="H826" s="23" t="inlineStr">
        <is>
          <t>draft</t>
        </is>
      </c>
      <c r="I826" s="23" t="inlineStr">
        <is>
          <t>MULLER</t>
        </is>
      </c>
      <c r="J826" s="23" t="inlineStr">
        <is>
          <t>TRATOR</t>
        </is>
      </c>
      <c r="K826" s="23" t="inlineStr">
        <is>
          <t>DIREÇÃO</t>
        </is>
      </c>
      <c r="L826" s="23" t="inlineStr">
        <is>
          <t>6670024765</t>
        </is>
      </c>
      <c r="M826" s="31" t="n"/>
      <c r="N826" s="31" t="n"/>
      <c r="O826" s="31" t="n"/>
      <c r="P826" s="31" t="n"/>
      <c r="Q826" s="31" t="n"/>
      <c r="R826" s="34">
        <f>IFERROR(IF(AND(O826&gt;0,P826&gt;0,Q826&gt;0),(O826*P826*Q826)/6000,""),"")</f>
        <v/>
      </c>
      <c r="S826" s="34">
        <f>IFERROR(IF(AND(N826&gt;0,R826&gt;0),MAX(N826,R826),IF(N826&gt;0,N826,IF(R826&gt;0,R826,""))),"")</f>
        <v/>
      </c>
      <c r="T826" s="36" t="n"/>
      <c r="U826" s="38" t="inlineStr">
        <is>
          <t>FALTA</t>
        </is>
      </c>
      <c r="V826" s="36" t="n">
        <v>1150</v>
      </c>
      <c r="W826" s="39" t="n">
        <v>0.3</v>
      </c>
      <c r="X826" s="41">
        <f>IFERROR(V826+T826,"")</f>
        <v/>
      </c>
      <c r="Y826" s="41">
        <f>IFERROR(IF(W826&lt;1,X826/(1-W826),""),"")</f>
        <v/>
      </c>
      <c r="Z826" s="43">
        <f>'01_CONFIG_GLOBAL'!$C$14</f>
        <v/>
      </c>
      <c r="AA826" s="41">
        <f>IFERROR(Y826*Z826,"")</f>
        <v/>
      </c>
      <c r="AB826" s="41">
        <f>IFERROR(IF(Z826&lt;1,Y826/(1-Z826),""),"")</f>
        <v/>
      </c>
      <c r="AC826" s="23" t="n"/>
      <c r="AD826" s="36" t="n"/>
      <c r="AE826" s="23" t="n"/>
      <c r="AF826" s="36" t="n"/>
      <c r="AG826" s="23" t="n"/>
      <c r="AH826" s="36" t="n"/>
      <c r="AI826" s="41">
        <f>IFERROR(AVERAGE(AD826,AF826,AH826),"")</f>
        <v/>
      </c>
      <c r="AJ826" s="29">
        <f>IFERROR(IF(AI826="","sem dados",IF(AB826&lt;AI826*0.95,"abaixo",IF(AB826&gt;AI826*1.05,"acima","em linha"))),"")</f>
        <v/>
      </c>
      <c r="AK826" s="23" t="inlineStr">
        <is>
          <t>não</t>
        </is>
      </c>
      <c r="AL826" s="23" t="n"/>
      <c r="AM826" s="23" t="n"/>
      <c r="AN826" s="23" t="n"/>
      <c r="AO826" s="44">
        <f>A826</f>
        <v/>
      </c>
      <c r="AP826" s="44">
        <f>D826</f>
        <v/>
      </c>
    </row>
    <row r="827" hidden="1" ht="15.75" customHeight="1" s="93">
      <c r="A827" s="23" t="inlineStr">
        <is>
          <t>0.2032.L082302.0</t>
        </is>
      </c>
      <c r="B827" s="23" t="inlineStr">
        <is>
          <t>CLIS - 56</t>
        </is>
      </c>
      <c r="C827" s="29">
        <f>IFERROR(LOWER(SUBSTITUTE(SUBSTITUTE(SUBSTITUTE(SUBSTITUTE(D827," ","-"),"/","-"),".",""),",","")),"")</f>
        <v/>
      </c>
      <c r="D827" s="23" t="inlineStr">
        <is>
          <t>CALIBRADOR TAMPAO LISO PNP Ø 5,00/5,02 - CLIS - 56</t>
        </is>
      </c>
      <c r="E827" s="23" t="n"/>
      <c r="F827" s="23" t="inlineStr">
        <is>
          <t>SOHIPREN</t>
        </is>
      </c>
      <c r="G827" s="23" t="n"/>
      <c r="H827" s="23" t="inlineStr">
        <is>
          <t>draft</t>
        </is>
      </c>
      <c r="I827" s="23" t="inlineStr">
        <is>
          <t>NEOMATIC</t>
        </is>
      </c>
      <c r="J827" s="23" t="n"/>
      <c r="K827" s="23" t="n"/>
      <c r="L827" s="23" t="inlineStr">
        <is>
          <t>009-CTL-10/CLIS - 56_____</t>
        </is>
      </c>
      <c r="M827" s="31" t="n"/>
      <c r="N827" s="31" t="n"/>
      <c r="O827" s="31" t="n"/>
      <c r="P827" s="31" t="n"/>
      <c r="Q827" s="31" t="n"/>
      <c r="R827" s="34">
        <f>IFERROR(IF(AND(O827&gt;0,P827&gt;0,Q827&gt;0),(O827*P827*Q827)/6000,""),"")</f>
        <v/>
      </c>
      <c r="S827" s="34">
        <f>IFERROR(IF(AND(N827&gt;0,R827&gt;0),MAX(N827,R827),IF(N827&gt;0,N827,IF(R827&gt;0,R827,""))),"")</f>
        <v/>
      </c>
      <c r="T827" s="36" t="n"/>
      <c r="U827" s="38" t="inlineStr">
        <is>
          <t>FALTA</t>
        </is>
      </c>
      <c r="V827" s="36" t="n">
        <v>9817.5</v>
      </c>
      <c r="W827" s="39" t="n">
        <v>0.3</v>
      </c>
      <c r="X827" s="41">
        <f>IFERROR(V827+T827,"")</f>
        <v/>
      </c>
      <c r="Y827" s="41">
        <f>IFERROR(IF(W827&lt;1,X827/(1-W827),""),"")</f>
        <v/>
      </c>
      <c r="Z827" s="43">
        <f>'01_CONFIG_GLOBAL'!$C$14</f>
        <v/>
      </c>
      <c r="AA827" s="41">
        <f>IFERROR(Y827*Z827,"")</f>
        <v/>
      </c>
      <c r="AB827" s="41">
        <f>IFERROR(IF(Z827&lt;1,Y827/(1-Z827),""),"")</f>
        <v/>
      </c>
      <c r="AC827" s="23" t="n"/>
      <c r="AD827" s="36" t="n"/>
      <c r="AE827" s="23" t="n"/>
      <c r="AF827" s="36" t="n"/>
      <c r="AG827" s="23" t="n"/>
      <c r="AH827" s="36" t="n"/>
      <c r="AI827" s="41">
        <f>IFERROR(AVERAGE(AD827,AF827,AH827),"")</f>
        <v/>
      </c>
      <c r="AJ827" s="29">
        <f>IFERROR(IF(AI827="","sem dados",IF(AB827&lt;AI827*0.95,"abaixo",IF(AB827&gt;AI827*1.05,"acima","em linha"))),"")</f>
        <v/>
      </c>
      <c r="AK827" s="23" t="inlineStr">
        <is>
          <t>não</t>
        </is>
      </c>
      <c r="AL827" s="23" t="n"/>
      <c r="AM827" s="23" t="n"/>
      <c r="AN827" s="23" t="n"/>
      <c r="AO827" s="44">
        <f>A827</f>
        <v/>
      </c>
      <c r="AP827" s="44">
        <f>D827</f>
        <v/>
      </c>
    </row>
    <row r="828" hidden="1" ht="15.75" customHeight="1" s="93">
      <c r="A828" s="23" t="inlineStr">
        <is>
          <t>0.2032.L082301.0</t>
        </is>
      </c>
      <c r="B828" s="23" t="inlineStr">
        <is>
          <t>L0823001</t>
        </is>
      </c>
      <c r="C828" s="29">
        <f>IFERROR(LOWER(SUBSTITUTE(SUBSTITUTE(SUBSTITUTE(SUBSTITUTE(D828," ","-"),"/","-"),".",""),",","")),"")</f>
        <v/>
      </c>
      <c r="D828" s="23" t="inlineStr">
        <is>
          <t>CALIBRADOR TAMPAO DE ROSCA PNP 7/16" 20UNF 2B</t>
        </is>
      </c>
      <c r="E828" s="23" t="n"/>
      <c r="F828" s="23" t="inlineStr">
        <is>
          <t>SOHIPREN</t>
        </is>
      </c>
      <c r="G828" s="23" t="n"/>
      <c r="H828" s="23" t="inlineStr">
        <is>
          <t>draft</t>
        </is>
      </c>
      <c r="I828" s="23" t="inlineStr">
        <is>
          <t>NEOMATIC</t>
        </is>
      </c>
      <c r="J828" s="23" t="n"/>
      <c r="K828" s="23" t="n"/>
      <c r="L828" s="23" t="inlineStr">
        <is>
          <t>NRTPU 1504J002</t>
        </is>
      </c>
      <c r="M828" s="31" t="n"/>
      <c r="N828" s="31" t="n"/>
      <c r="O828" s="31" t="n"/>
      <c r="P828" s="31" t="n"/>
      <c r="Q828" s="31" t="n"/>
      <c r="R828" s="34">
        <f>IFERROR(IF(AND(O828&gt;0,P828&gt;0,Q828&gt;0),(O828*P828*Q828)/6000,""),"")</f>
        <v/>
      </c>
      <c r="S828" s="34">
        <f>IFERROR(IF(AND(N828&gt;0,R828&gt;0),MAX(N828,R828),IF(N828&gt;0,N828,IF(R828&gt;0,R828,""))),"")</f>
        <v/>
      </c>
      <c r="T828" s="36" t="n"/>
      <c r="U828" s="38" t="inlineStr">
        <is>
          <t>FALTA</t>
        </is>
      </c>
      <c r="V828" s="36" t="n">
        <v>9817.5</v>
      </c>
      <c r="W828" s="39" t="n">
        <v>0.3</v>
      </c>
      <c r="X828" s="41">
        <f>IFERROR(V828+T828,"")</f>
        <v/>
      </c>
      <c r="Y828" s="41">
        <f>IFERROR(IF(W828&lt;1,X828/(1-W828),""),"")</f>
        <v/>
      </c>
      <c r="Z828" s="43">
        <f>'01_CONFIG_GLOBAL'!$C$14</f>
        <v/>
      </c>
      <c r="AA828" s="41">
        <f>IFERROR(Y828*Z828,"")</f>
        <v/>
      </c>
      <c r="AB828" s="41">
        <f>IFERROR(IF(Z828&lt;1,Y828/(1-Z828),""),"")</f>
        <v/>
      </c>
      <c r="AC828" s="23" t="n"/>
      <c r="AD828" s="36" t="n"/>
      <c r="AE828" s="23" t="n"/>
      <c r="AF828" s="36" t="n"/>
      <c r="AG828" s="23" t="n"/>
      <c r="AH828" s="36" t="n"/>
      <c r="AI828" s="41">
        <f>IFERROR(AVERAGE(AD828,AF828,AH828),"")</f>
        <v/>
      </c>
      <c r="AJ828" s="29">
        <f>IFERROR(IF(AI828="","sem dados",IF(AB828&lt;AI828*0.95,"abaixo",IF(AB828&gt;AI828*1.05,"acima","em linha"))),"")</f>
        <v/>
      </c>
      <c r="AK828" s="23" t="inlineStr">
        <is>
          <t>não</t>
        </is>
      </c>
      <c r="AL828" s="23" t="n"/>
      <c r="AM828" s="23" t="n"/>
      <c r="AN828" s="23" t="n"/>
      <c r="AO828" s="44">
        <f>A828</f>
        <v/>
      </c>
      <c r="AP828" s="44">
        <f>D828</f>
        <v/>
      </c>
    </row>
    <row r="829" hidden="1" ht="15.75" customHeight="1" s="93">
      <c r="A829" s="23" t="inlineStr">
        <is>
          <t>0.2032.L082008.0</t>
        </is>
      </c>
      <c r="B829" s="23" t="inlineStr">
        <is>
          <t>L082008</t>
        </is>
      </c>
      <c r="C829" s="29">
        <f>IFERROR(LOWER(SUBSTITUTE(SUBSTITUTE(SUBSTITUTE(SUBSTITUTE(D829," ","-"),"/","-"),".",""),",","")),"")</f>
        <v/>
      </c>
      <c r="D829" s="23" t="inlineStr">
        <is>
          <t>CALIBRADOR TAMPAO DE ROSCA PNP M42 X 2 6H</t>
        </is>
      </c>
      <c r="E829" s="23" t="n"/>
      <c r="F829" s="23" t="inlineStr">
        <is>
          <t>SOHIPREN</t>
        </is>
      </c>
      <c r="G829" s="23" t="n"/>
      <c r="H829" s="23" t="inlineStr">
        <is>
          <t>draft</t>
        </is>
      </c>
      <c r="I829" s="23" t="inlineStr">
        <is>
          <t>NEOMATIC</t>
        </is>
      </c>
      <c r="J829" s="23" t="n"/>
      <c r="K829" s="23" t="n"/>
      <c r="L829" s="23" t="inlineStr">
        <is>
          <t>NRTM00410J002</t>
        </is>
      </c>
      <c r="M829" s="31" t="n"/>
      <c r="N829" s="31" t="n"/>
      <c r="O829" s="31" t="n"/>
      <c r="P829" s="31" t="n"/>
      <c r="Q829" s="31" t="n"/>
      <c r="R829" s="34">
        <f>IFERROR(IF(AND(O829&gt;0,P829&gt;0,Q829&gt;0),(O829*P829*Q829)/6000,""),"")</f>
        <v/>
      </c>
      <c r="S829" s="34">
        <f>IFERROR(IF(AND(N829&gt;0,R829&gt;0),MAX(N829,R829),IF(N829&gt;0,N829,IF(R829&gt;0,R829,""))),"")</f>
        <v/>
      </c>
      <c r="T829" s="36" t="n"/>
      <c r="U829" s="38" t="inlineStr">
        <is>
          <t>FALTA</t>
        </is>
      </c>
      <c r="V829" s="36" t="n">
        <v>9817.5</v>
      </c>
      <c r="W829" s="39" t="n">
        <v>0.3</v>
      </c>
      <c r="X829" s="41">
        <f>IFERROR(V829+T829,"")</f>
        <v/>
      </c>
      <c r="Y829" s="41">
        <f>IFERROR(IF(W829&lt;1,X829/(1-W829),""),"")</f>
        <v/>
      </c>
      <c r="Z829" s="43">
        <f>'01_CONFIG_GLOBAL'!$C$14</f>
        <v/>
      </c>
      <c r="AA829" s="41">
        <f>IFERROR(Y829*Z829,"")</f>
        <v/>
      </c>
      <c r="AB829" s="41">
        <f>IFERROR(IF(Z829&lt;1,Y829/(1-Z829),""),"")</f>
        <v/>
      </c>
      <c r="AC829" s="23" t="n"/>
      <c r="AD829" s="36" t="n"/>
      <c r="AE829" s="23" t="n"/>
      <c r="AF829" s="36" t="n"/>
      <c r="AG829" s="23" t="n"/>
      <c r="AH829" s="36" t="n"/>
      <c r="AI829" s="41">
        <f>IFERROR(AVERAGE(AD829,AF829,AH829),"")</f>
        <v/>
      </c>
      <c r="AJ829" s="29">
        <f>IFERROR(IF(AI829="","sem dados",IF(AB829&lt;AI829*0.95,"abaixo",IF(AB829&gt;AI829*1.05,"acima","em linha"))),"")</f>
        <v/>
      </c>
      <c r="AK829" s="23" t="inlineStr">
        <is>
          <t>não</t>
        </is>
      </c>
      <c r="AL829" s="23" t="n"/>
      <c r="AM829" s="23" t="n"/>
      <c r="AN829" s="23" t="n"/>
      <c r="AO829" s="44">
        <f>A829</f>
        <v/>
      </c>
      <c r="AP829" s="44">
        <f>D829</f>
        <v/>
      </c>
    </row>
    <row r="830" hidden="1" ht="15.75" customHeight="1" s="93">
      <c r="A830" s="23" t="inlineStr">
        <is>
          <t>0.2032.L082009.0</t>
        </is>
      </c>
      <c r="B830" s="23" t="inlineStr">
        <is>
          <t>L082009</t>
        </is>
      </c>
      <c r="C830" s="29">
        <f>IFERROR(LOWER(SUBSTITUTE(SUBSTITUTE(SUBSTITUTE(SUBSTITUTE(D830," ","-"),"/","-"),".",""),",","")),"")</f>
        <v/>
      </c>
      <c r="D830" s="23" t="inlineStr">
        <is>
          <t>CALIBRADOR TAMPAO DE ROSCA PNP 5/16" 24UNF 2B</t>
        </is>
      </c>
      <c r="E830" s="23" t="n"/>
      <c r="F830" s="23" t="inlineStr">
        <is>
          <t>SOHIPREN</t>
        </is>
      </c>
      <c r="G830" s="23" t="n"/>
      <c r="H830" s="23" t="inlineStr">
        <is>
          <t>draft</t>
        </is>
      </c>
      <c r="I830" s="23" t="inlineStr">
        <is>
          <t>NEOMATIC</t>
        </is>
      </c>
      <c r="J830" s="23" t="n"/>
      <c r="K830" s="23" t="n"/>
      <c r="L830" s="23" t="inlineStr">
        <is>
          <t>NRTPU1203J000</t>
        </is>
      </c>
      <c r="M830" s="31" t="n"/>
      <c r="N830" s="31" t="n"/>
      <c r="O830" s="31" t="n"/>
      <c r="P830" s="31" t="n"/>
      <c r="Q830" s="31" t="n"/>
      <c r="R830" s="34">
        <f>IFERROR(IF(AND(O830&gt;0,P830&gt;0,Q830&gt;0),(O830*P830*Q830)/6000,""),"")</f>
        <v/>
      </c>
      <c r="S830" s="34">
        <f>IFERROR(IF(AND(N830&gt;0,R830&gt;0),MAX(N830,R830),IF(N830&gt;0,N830,IF(R830&gt;0,R830,""))),"")</f>
        <v/>
      </c>
      <c r="T830" s="36" t="n"/>
      <c r="U830" s="38" t="inlineStr">
        <is>
          <t>FALTA</t>
        </is>
      </c>
      <c r="V830" s="36" t="n">
        <v>9817.5</v>
      </c>
      <c r="W830" s="39" t="n">
        <v>0.3</v>
      </c>
      <c r="X830" s="41">
        <f>IFERROR(V830+T830,"")</f>
        <v/>
      </c>
      <c r="Y830" s="41">
        <f>IFERROR(IF(W830&lt;1,X830/(1-W830),""),"")</f>
        <v/>
      </c>
      <c r="Z830" s="43">
        <f>'01_CONFIG_GLOBAL'!$C$14</f>
        <v/>
      </c>
      <c r="AA830" s="41">
        <f>IFERROR(Y830*Z830,"")</f>
        <v/>
      </c>
      <c r="AB830" s="41">
        <f>IFERROR(IF(Z830&lt;1,Y830/(1-Z830),""),"")</f>
        <v/>
      </c>
      <c r="AC830" s="23" t="n"/>
      <c r="AD830" s="36" t="n"/>
      <c r="AE830" s="23" t="n"/>
      <c r="AF830" s="36" t="n"/>
      <c r="AG830" s="23" t="n"/>
      <c r="AH830" s="36" t="n"/>
      <c r="AI830" s="41">
        <f>IFERROR(AVERAGE(AD830,AF830,AH830),"")</f>
        <v/>
      </c>
      <c r="AJ830" s="29">
        <f>IFERROR(IF(AI830="","sem dados",IF(AB830&lt;AI830*0.95,"abaixo",IF(AB830&gt;AI830*1.05,"acima","em linha"))),"")</f>
        <v/>
      </c>
      <c r="AK830" s="23" t="inlineStr">
        <is>
          <t>não</t>
        </is>
      </c>
      <c r="AL830" s="23" t="n"/>
      <c r="AM830" s="23" t="n"/>
      <c r="AN830" s="23" t="n"/>
      <c r="AO830" s="44">
        <f>A830</f>
        <v/>
      </c>
      <c r="AP830" s="44">
        <f>D830</f>
        <v/>
      </c>
    </row>
    <row r="831" hidden="1" ht="15.75" customHeight="1" s="93">
      <c r="A831" s="23" t="inlineStr">
        <is>
          <t>0.2032.L082010.0</t>
        </is>
      </c>
      <c r="B831" s="23" t="inlineStr">
        <is>
          <t>L082010</t>
        </is>
      </c>
      <c r="C831" s="29">
        <f>IFERROR(LOWER(SUBSTITUTE(SUBSTITUTE(SUBSTITUTE(SUBSTITUTE(D831," ","-"),"/","-"),".",""),",","")),"")</f>
        <v/>
      </c>
      <c r="D831" s="23" t="inlineStr">
        <is>
          <t>CALIBRADOR TAMPAO DE ROSCA PNP 1.7/8" 12UN 2B</t>
        </is>
      </c>
      <c r="E831" s="23" t="n"/>
      <c r="F831" s="23" t="inlineStr">
        <is>
          <t>SOHIPREN</t>
        </is>
      </c>
      <c r="G831" s="23" t="n"/>
      <c r="H831" s="23" t="inlineStr">
        <is>
          <t>draft</t>
        </is>
      </c>
      <c r="I831" s="23" t="inlineStr">
        <is>
          <t>NEOMATIC</t>
        </is>
      </c>
      <c r="J831" s="23" t="n"/>
      <c r="K831" s="23" t="n"/>
      <c r="L831" s="23" t="inlineStr">
        <is>
          <t>NRTPU3904J001</t>
        </is>
      </c>
      <c r="M831" s="31" t="n"/>
      <c r="N831" s="31" t="n"/>
      <c r="O831" s="31" t="n"/>
      <c r="P831" s="31" t="n"/>
      <c r="Q831" s="31" t="n"/>
      <c r="R831" s="34">
        <f>IFERROR(IF(AND(O831&gt;0,P831&gt;0,Q831&gt;0),(O831*P831*Q831)/6000,""),"")</f>
        <v/>
      </c>
      <c r="S831" s="34">
        <f>IFERROR(IF(AND(N831&gt;0,R831&gt;0),MAX(N831,R831),IF(N831&gt;0,N831,IF(R831&gt;0,R831,""))),"")</f>
        <v/>
      </c>
      <c r="T831" s="36" t="n"/>
      <c r="U831" s="38" t="inlineStr">
        <is>
          <t>FALTA</t>
        </is>
      </c>
      <c r="V831" s="36" t="n">
        <v>9817.5</v>
      </c>
      <c r="W831" s="39" t="n">
        <v>0.3</v>
      </c>
      <c r="X831" s="41">
        <f>IFERROR(V831+T831,"")</f>
        <v/>
      </c>
      <c r="Y831" s="41">
        <f>IFERROR(IF(W831&lt;1,X831/(1-W831),""),"")</f>
        <v/>
      </c>
      <c r="Z831" s="43">
        <f>'01_CONFIG_GLOBAL'!$C$14</f>
        <v/>
      </c>
      <c r="AA831" s="41">
        <f>IFERROR(Y831*Z831,"")</f>
        <v/>
      </c>
      <c r="AB831" s="41">
        <f>IFERROR(IF(Z831&lt;1,Y831/(1-Z831),""),"")</f>
        <v/>
      </c>
      <c r="AC831" s="23" t="n"/>
      <c r="AD831" s="36" t="n"/>
      <c r="AE831" s="23" t="n"/>
      <c r="AF831" s="36" t="n"/>
      <c r="AG831" s="23" t="n"/>
      <c r="AH831" s="36" t="n"/>
      <c r="AI831" s="41">
        <f>IFERROR(AVERAGE(AD831,AF831,AH831),"")</f>
        <v/>
      </c>
      <c r="AJ831" s="29">
        <f>IFERROR(IF(AI831="","sem dados",IF(AB831&lt;AI831*0.95,"abaixo",IF(AB831&gt;AI831*1.05,"acima","em linha"))),"")</f>
        <v/>
      </c>
      <c r="AK831" s="23" t="inlineStr">
        <is>
          <t>não</t>
        </is>
      </c>
      <c r="AL831" s="23" t="n"/>
      <c r="AM831" s="23" t="n"/>
      <c r="AN831" s="23" t="n"/>
      <c r="AO831" s="44">
        <f>A831</f>
        <v/>
      </c>
      <c r="AP831" s="44">
        <f>D831</f>
        <v/>
      </c>
    </row>
    <row r="832" hidden="1" ht="15.75" customHeight="1" s="93">
      <c r="A832" s="23" t="inlineStr">
        <is>
          <t>0.2032.L082007.0</t>
        </is>
      </c>
      <c r="B832" s="23" t="inlineStr">
        <is>
          <t>L082007</t>
        </is>
      </c>
      <c r="C832" s="29">
        <f>IFERROR(LOWER(SUBSTITUTE(SUBSTITUTE(SUBSTITUTE(SUBSTITUTE(D832," ","-"),"/","-"),".",""),",","")),"")</f>
        <v/>
      </c>
      <c r="D832" s="23" t="inlineStr">
        <is>
          <t>CALIBRADOR TAMPAO DE ROSCA PNP M12 X 1,5 6H</t>
        </is>
      </c>
      <c r="E832" s="23" t="n"/>
      <c r="F832" s="23" t="inlineStr">
        <is>
          <t>SOHIPREN</t>
        </is>
      </c>
      <c r="G832" s="23" t="n"/>
      <c r="H832" s="23" t="inlineStr">
        <is>
          <t>draft</t>
        </is>
      </c>
      <c r="I832" s="23" t="inlineStr">
        <is>
          <t>NEOMATIC</t>
        </is>
      </c>
      <c r="J832" s="23" t="n"/>
      <c r="K832" s="23" t="n"/>
      <c r="L832" s="23" t="inlineStr">
        <is>
          <t>NRTM00190J004</t>
        </is>
      </c>
      <c r="M832" s="31" t="n"/>
      <c r="N832" s="31" t="n"/>
      <c r="O832" s="31" t="n"/>
      <c r="P832" s="31" t="n"/>
      <c r="Q832" s="31" t="n"/>
      <c r="R832" s="34">
        <f>IFERROR(IF(AND(O832&gt;0,P832&gt;0,Q832&gt;0),(O832*P832*Q832)/6000,""),"")</f>
        <v/>
      </c>
      <c r="S832" s="34">
        <f>IFERROR(IF(AND(N832&gt;0,R832&gt;0),MAX(N832,R832),IF(N832&gt;0,N832,IF(R832&gt;0,R832,""))),"")</f>
        <v/>
      </c>
      <c r="T832" s="36" t="n"/>
      <c r="U832" s="38" t="inlineStr">
        <is>
          <t>FALTA</t>
        </is>
      </c>
      <c r="V832" s="36" t="n">
        <v>9817.5</v>
      </c>
      <c r="W832" s="39" t="n">
        <v>0.3</v>
      </c>
      <c r="X832" s="41">
        <f>IFERROR(V832+T832,"")</f>
        <v/>
      </c>
      <c r="Y832" s="41">
        <f>IFERROR(IF(W832&lt;1,X832/(1-W832),""),"")</f>
        <v/>
      </c>
      <c r="Z832" s="43">
        <f>'01_CONFIG_GLOBAL'!$C$14</f>
        <v/>
      </c>
      <c r="AA832" s="41">
        <f>IFERROR(Y832*Z832,"")</f>
        <v/>
      </c>
      <c r="AB832" s="41">
        <f>IFERROR(IF(Z832&lt;1,Y832/(1-Z832),""),"")</f>
        <v/>
      </c>
      <c r="AC832" s="23" t="n"/>
      <c r="AD832" s="36" t="n"/>
      <c r="AE832" s="23" t="n"/>
      <c r="AF832" s="36" t="n"/>
      <c r="AG832" s="23" t="n"/>
      <c r="AH832" s="36" t="n"/>
      <c r="AI832" s="41">
        <f>IFERROR(AVERAGE(AD832,AF832,AH832),"")</f>
        <v/>
      </c>
      <c r="AJ832" s="29">
        <f>IFERROR(IF(AI832="","sem dados",IF(AB832&lt;AI832*0.95,"abaixo",IF(AB832&gt;AI832*1.05,"acima","em linha"))),"")</f>
        <v/>
      </c>
      <c r="AK832" s="23" t="inlineStr">
        <is>
          <t>não</t>
        </is>
      </c>
      <c r="AL832" s="23" t="n"/>
      <c r="AM832" s="23" t="n"/>
      <c r="AN832" s="23" t="n"/>
      <c r="AO832" s="44">
        <f>A832</f>
        <v/>
      </c>
      <c r="AP832" s="44">
        <f>D832</f>
        <v/>
      </c>
    </row>
    <row r="833" hidden="1" ht="15.75" customHeight="1" s="93">
      <c r="A833" s="23" t="inlineStr">
        <is>
          <t>5.1201.L026146.1</t>
        </is>
      </c>
      <c r="B833" s="23" t="inlineStr">
        <is>
          <t>L026146</t>
        </is>
      </c>
      <c r="C833" s="29">
        <f>IFERROR(LOWER(SUBSTITUTE(SUBSTITUTE(SUBSTITUTE(SUBSTITUTE(D833," ","-"),"/","-"),".",""),",","")),"")</f>
        <v/>
      </c>
      <c r="D833" s="23" t="inlineStr">
        <is>
          <t>BOMBA DE PALHETA P/ FIAT</t>
        </is>
      </c>
      <c r="E833" s="23" t="inlineStr">
        <is>
          <t>Bombas Hidráulicas</t>
        </is>
      </c>
      <c r="F833" s="23" t="inlineStr">
        <is>
          <t>SOHIPREN</t>
        </is>
      </c>
      <c r="G833" s="23" t="n"/>
      <c r="H833" s="23" t="inlineStr">
        <is>
          <t>draft</t>
        </is>
      </c>
      <c r="I833" s="23" t="inlineStr">
        <is>
          <t>NEW HOLLAND</t>
        </is>
      </c>
      <c r="J833" s="23" t="inlineStr">
        <is>
          <t>12B</t>
        </is>
      </c>
      <c r="K833" s="23" t="inlineStr">
        <is>
          <t>PRINCIPAL</t>
        </is>
      </c>
      <c r="L833" s="23" t="inlineStr">
        <is>
          <t>75242577</t>
        </is>
      </c>
      <c r="M833" s="31" t="n"/>
      <c r="N833" s="31" t="n"/>
      <c r="O833" s="31" t="n"/>
      <c r="P833" s="31" t="n"/>
      <c r="Q833" s="31" t="n"/>
      <c r="R833" s="34">
        <f>IFERROR(IF(AND(O833&gt;0,P833&gt;0,Q833&gt;0),(O833*P833*Q833)/6000,""),"")</f>
        <v/>
      </c>
      <c r="S833" s="34">
        <f>IFERROR(IF(AND(N833&gt;0,R833&gt;0),MAX(N833,R833),IF(N833&gt;0,N833,IF(R833&gt;0,R833,""))),"")</f>
        <v/>
      </c>
      <c r="T833" s="36" t="n"/>
      <c r="U833" s="38" t="inlineStr">
        <is>
          <t>FALTA</t>
        </is>
      </c>
      <c r="V833" s="36" t="n">
        <v>87.20999999999999</v>
      </c>
      <c r="W833" s="39" t="n">
        <v>0.3</v>
      </c>
      <c r="X833" s="41">
        <f>IFERROR(V833+T833,"")</f>
        <v/>
      </c>
      <c r="Y833" s="41">
        <f>IFERROR(IF(W833&lt;1,X833/(1-W833),""),"")</f>
        <v/>
      </c>
      <c r="Z833" s="43">
        <f>'01_CONFIG_GLOBAL'!$C$14</f>
        <v/>
      </c>
      <c r="AA833" s="41">
        <f>IFERROR(Y833*Z833,"")</f>
        <v/>
      </c>
      <c r="AB833" s="41">
        <f>IFERROR(IF(Z833&lt;1,Y833/(1-Z833),""),"")</f>
        <v/>
      </c>
      <c r="AC833" s="23" t="n"/>
      <c r="AD833" s="36" t="n"/>
      <c r="AE833" s="23" t="n"/>
      <c r="AF833" s="36" t="n"/>
      <c r="AG833" s="23" t="n"/>
      <c r="AH833" s="36" t="n"/>
      <c r="AI833" s="41">
        <f>IFERROR(AVERAGE(AD833,AF833,AH833),"")</f>
        <v/>
      </c>
      <c r="AJ833" s="29">
        <f>IFERROR(IF(AI833="","sem dados",IF(AB833&lt;AI833*0.95,"abaixo",IF(AB833&gt;AI833*1.05,"acima","em linha"))),"")</f>
        <v/>
      </c>
      <c r="AK833" s="23" t="inlineStr">
        <is>
          <t>não</t>
        </is>
      </c>
      <c r="AL833" s="23" t="n"/>
      <c r="AM833" s="23" t="n"/>
      <c r="AN833" s="23" t="n"/>
      <c r="AO833" s="44">
        <f>A833</f>
        <v/>
      </c>
      <c r="AP833" s="44">
        <f>D833</f>
        <v/>
      </c>
    </row>
    <row r="834" hidden="1" ht="15.75" customHeight="1" s="93">
      <c r="A834" s="23" t="inlineStr">
        <is>
          <t>5.0208.L025250.0</t>
        </is>
      </c>
      <c r="B834" s="23" t="inlineStr">
        <is>
          <t>L025250</t>
        </is>
      </c>
      <c r="C834" s="29">
        <f>IFERROR(LOWER(SUBSTITUTE(SUBSTITUTE(SUBSTITUTE(SUBSTITUTE(D834," ","-"),"/","-"),".",""),",","")),"")</f>
        <v/>
      </c>
      <c r="D834" s="23" t="inlineStr">
        <is>
          <t>BOD 16 E18.C.A.L</t>
        </is>
      </c>
      <c r="E834" s="23" t="inlineStr">
        <is>
          <t>Bombas Hidráulicas</t>
        </is>
      </c>
      <c r="F834" s="23" t="inlineStr">
        <is>
          <t>SOHIPREN</t>
        </is>
      </c>
      <c r="G834" s="23" t="n"/>
      <c r="H834" s="23" t="inlineStr">
        <is>
          <t>draft</t>
        </is>
      </c>
      <c r="I834" s="23" t="inlineStr">
        <is>
          <t>NEW HOLLAND - CASE</t>
        </is>
      </c>
      <c r="J834" s="23" t="inlineStr">
        <is>
          <t>TRATOR</t>
        </is>
      </c>
      <c r="K834" s="23" t="inlineStr">
        <is>
          <t>DIREÇÃO</t>
        </is>
      </c>
      <c r="L834" s="23" t="inlineStr">
        <is>
          <t>5B140204-0517625308</t>
        </is>
      </c>
      <c r="M834" s="31" t="n"/>
      <c r="N834" s="31" t="n"/>
      <c r="O834" s="31" t="n"/>
      <c r="P834" s="31" t="n"/>
      <c r="Q834" s="31" t="n"/>
      <c r="R834" s="34">
        <f>IFERROR(IF(AND(O834&gt;0,P834&gt;0,Q834&gt;0),(O834*P834*Q834)/6000,""),"")</f>
        <v/>
      </c>
      <c r="S834" s="34">
        <f>IFERROR(IF(AND(N834&gt;0,R834&gt;0),MAX(N834,R834),IF(N834&gt;0,N834,IF(R834&gt;0,R834,""))),"")</f>
        <v/>
      </c>
      <c r="T834" s="36" t="n"/>
      <c r="U834" s="38" t="inlineStr">
        <is>
          <t>FALTA</t>
        </is>
      </c>
      <c r="V834" s="36" t="n">
        <v>605</v>
      </c>
      <c r="W834" s="39" t="n">
        <v>0.3</v>
      </c>
      <c r="X834" s="41">
        <f>IFERROR(V834+T834,"")</f>
        <v/>
      </c>
      <c r="Y834" s="41">
        <f>IFERROR(IF(W834&lt;1,X834/(1-W834),""),"")</f>
        <v/>
      </c>
      <c r="Z834" s="43">
        <f>'01_CONFIG_GLOBAL'!$C$14</f>
        <v/>
      </c>
      <c r="AA834" s="41">
        <f>IFERROR(Y834*Z834,"")</f>
        <v/>
      </c>
      <c r="AB834" s="41">
        <f>IFERROR(IF(Z834&lt;1,Y834/(1-Z834),""),"")</f>
        <v/>
      </c>
      <c r="AC834" s="23" t="n"/>
      <c r="AD834" s="36" t="n"/>
      <c r="AE834" s="23" t="n"/>
      <c r="AF834" s="36" t="n"/>
      <c r="AG834" s="23" t="n"/>
      <c r="AH834" s="36" t="n"/>
      <c r="AI834" s="41">
        <f>IFERROR(AVERAGE(AD834,AF834,AH834),"")</f>
        <v/>
      </c>
      <c r="AJ834" s="29">
        <f>IFERROR(IF(AI834="","sem dados",IF(AB834&lt;AI834*0.95,"abaixo",IF(AB834&gt;AI834*1.05,"acima","em linha"))),"")</f>
        <v/>
      </c>
      <c r="AK834" s="23" t="inlineStr">
        <is>
          <t>não</t>
        </is>
      </c>
      <c r="AL834" s="23" t="n"/>
      <c r="AM834" s="23" t="n"/>
      <c r="AN834" s="23" t="n"/>
      <c r="AO834" s="44">
        <f>A834</f>
        <v/>
      </c>
      <c r="AP834" s="44">
        <f>D834</f>
        <v/>
      </c>
    </row>
    <row r="835" hidden="1" ht="15.75" customHeight="1" s="93">
      <c r="A835" s="23" t="inlineStr">
        <is>
          <t>5.0206.L026820.0</t>
        </is>
      </c>
      <c r="B835" s="23" t="inlineStr">
        <is>
          <t>L026820</t>
        </is>
      </c>
      <c r="C835" s="29">
        <f>IFERROR(LOWER(SUBSTITUTE(SUBSTITUTE(SUBSTITUTE(SUBSTITUTE(D835," ","-"),"/","-"),".",""),",","")),"")</f>
        <v/>
      </c>
      <c r="D835" s="23" t="inlineStr">
        <is>
          <t>BOMBA HIDRÁULICA - APLICAÇÃO 11 E19.C.A.L</t>
        </is>
      </c>
      <c r="E835" s="23" t="inlineStr">
        <is>
          <t>Bombas Hidráulicas</t>
        </is>
      </c>
      <c r="F835" s="23" t="inlineStr">
        <is>
          <t>SOHIPREN</t>
        </is>
      </c>
      <c r="G835" s="23" t="n"/>
      <c r="H835" s="23" t="inlineStr">
        <is>
          <t>draft</t>
        </is>
      </c>
      <c r="I835" s="23" t="inlineStr">
        <is>
          <t>PARKER</t>
        </is>
      </c>
      <c r="J835" s="23" t="n"/>
      <c r="K835" s="23" t="n"/>
      <c r="L835" s="23" t="inlineStr">
        <is>
          <t>3349112210</t>
        </is>
      </c>
      <c r="M835" s="31" t="n"/>
      <c r="N835" s="31" t="n"/>
      <c r="O835" s="31" t="n"/>
      <c r="P835" s="31" t="n"/>
      <c r="Q835" s="31" t="n"/>
      <c r="R835" s="34">
        <f>IFERROR(IF(AND(O835&gt;0,P835&gt;0,Q835&gt;0),(O835*P835*Q835)/6000,""),"")</f>
        <v/>
      </c>
      <c r="S835" s="34">
        <f>IFERROR(IF(AND(N835&gt;0,R835&gt;0),MAX(N835,R835),IF(N835&gt;0,N835,IF(R835&gt;0,R835,""))),"")</f>
        <v/>
      </c>
      <c r="T835" s="36" t="n"/>
      <c r="U835" s="38" t="inlineStr">
        <is>
          <t>FALTA</t>
        </is>
      </c>
      <c r="V835" s="36" t="n">
        <v>517</v>
      </c>
      <c r="W835" s="39" t="n">
        <v>0.3</v>
      </c>
      <c r="X835" s="41">
        <f>IFERROR(V835+T835,"")</f>
        <v/>
      </c>
      <c r="Y835" s="41">
        <f>IFERROR(IF(W835&lt;1,X835/(1-W835),""),"")</f>
        <v/>
      </c>
      <c r="Z835" s="43">
        <f>'01_CONFIG_GLOBAL'!$C$14</f>
        <v/>
      </c>
      <c r="AA835" s="41">
        <f>IFERROR(Y835*Z835,"")</f>
        <v/>
      </c>
      <c r="AB835" s="41">
        <f>IFERROR(IF(Z835&lt;1,Y835/(1-Z835),""),"")</f>
        <v/>
      </c>
      <c r="AC835" s="23" t="n"/>
      <c r="AD835" s="36" t="n"/>
      <c r="AE835" s="23" t="n"/>
      <c r="AF835" s="36" t="n"/>
      <c r="AG835" s="23" t="n"/>
      <c r="AH835" s="36" t="n"/>
      <c r="AI835" s="41">
        <f>IFERROR(AVERAGE(AD835,AF835,AH835),"")</f>
        <v/>
      </c>
      <c r="AJ835" s="29">
        <f>IFERROR(IF(AI835="","sem dados",IF(AB835&lt;AI835*0.95,"abaixo",IF(AB835&gt;AI835*1.05,"acima","em linha"))),"")</f>
        <v/>
      </c>
      <c r="AK835" s="23" t="inlineStr">
        <is>
          <t>não</t>
        </is>
      </c>
      <c r="AL835" s="23" t="n"/>
      <c r="AM835" s="23" t="n"/>
      <c r="AN835" s="23" t="n"/>
      <c r="AO835" s="44">
        <f>A835</f>
        <v/>
      </c>
      <c r="AP835" s="44">
        <f>D835</f>
        <v/>
      </c>
    </row>
    <row r="836" hidden="1" ht="15.75" customHeight="1" s="93">
      <c r="A836" s="23" t="inlineStr">
        <is>
          <t>2.0410.L081385.0</t>
        </is>
      </c>
      <c r="B836" s="23" t="inlineStr">
        <is>
          <t>L081385</t>
        </is>
      </c>
      <c r="C836" s="29">
        <f>IFERROR(LOWER(SUBSTITUTE(SUBSTITUTE(SUBSTITUTE(SUBSTITUTE(D836," ","-"),"/","-"),".",""),",","")),"")</f>
        <v/>
      </c>
      <c r="D836" s="23" t="inlineStr">
        <is>
          <t>TRANSPORTADOR PRESSAO CMD 40</t>
        </is>
      </c>
      <c r="E836" s="23" t="n"/>
      <c r="F836" s="23" t="inlineStr">
        <is>
          <t>SOHIPREN</t>
        </is>
      </c>
      <c r="G836" s="23" t="n"/>
      <c r="H836" s="23" t="inlineStr">
        <is>
          <t>draft</t>
        </is>
      </c>
      <c r="I836" s="23" t="inlineStr">
        <is>
          <t>PIRA</t>
        </is>
      </c>
      <c r="J836" s="23" t="n"/>
      <c r="K836" s="23" t="n"/>
      <c r="L836" s="23" t="inlineStr">
        <is>
          <t>4093552VH</t>
        </is>
      </c>
      <c r="M836" s="31" t="n"/>
      <c r="N836" s="31" t="n"/>
      <c r="O836" s="31" t="n"/>
      <c r="P836" s="31" t="n"/>
      <c r="Q836" s="31" t="n"/>
      <c r="R836" s="34">
        <f>IFERROR(IF(AND(O836&gt;0,P836&gt;0,Q836&gt;0),(O836*P836*Q836)/6000,""),"")</f>
        <v/>
      </c>
      <c r="S836" s="34">
        <f>IFERROR(IF(AND(N836&gt;0,R836&gt;0),MAX(N836,R836),IF(N836&gt;0,N836,IF(R836&gt;0,R836,""))),"")</f>
        <v/>
      </c>
      <c r="T836" s="36" t="n"/>
      <c r="U836" s="38" t="inlineStr">
        <is>
          <t>FALTA</t>
        </is>
      </c>
      <c r="V836" s="36" t="n">
        <v>186</v>
      </c>
      <c r="W836" s="39" t="n">
        <v>0.3</v>
      </c>
      <c r="X836" s="41">
        <f>IFERROR(V836+T836,"")</f>
        <v/>
      </c>
      <c r="Y836" s="41">
        <f>IFERROR(IF(W836&lt;1,X836/(1-W836),""),"")</f>
        <v/>
      </c>
      <c r="Z836" s="43">
        <f>'01_CONFIG_GLOBAL'!$C$14</f>
        <v/>
      </c>
      <c r="AA836" s="41">
        <f>IFERROR(Y836*Z836,"")</f>
        <v/>
      </c>
      <c r="AB836" s="41">
        <f>IFERROR(IF(Z836&lt;1,Y836/(1-Z836),""),"")</f>
        <v/>
      </c>
      <c r="AC836" s="23" t="n"/>
      <c r="AD836" s="36" t="n"/>
      <c r="AE836" s="23" t="n"/>
      <c r="AF836" s="36" t="n"/>
      <c r="AG836" s="23" t="n"/>
      <c r="AH836" s="36" t="n"/>
      <c r="AI836" s="41">
        <f>IFERROR(AVERAGE(AD836,AF836,AH836),"")</f>
        <v/>
      </c>
      <c r="AJ836" s="29">
        <f>IFERROR(IF(AI836="","sem dados",IF(AB836&lt;AI836*0.95,"abaixo",IF(AB836&gt;AI836*1.05,"acima","em linha"))),"")</f>
        <v/>
      </c>
      <c r="AK836" s="23" t="inlineStr">
        <is>
          <t>não</t>
        </is>
      </c>
      <c r="AL836" s="23" t="n"/>
      <c r="AM836" s="23" t="n"/>
      <c r="AN836" s="23" t="n"/>
      <c r="AO836" s="44">
        <f>A836</f>
        <v/>
      </c>
      <c r="AP836" s="44">
        <f>D836</f>
        <v/>
      </c>
    </row>
    <row r="837" hidden="1" ht="15.75" customHeight="1" s="93">
      <c r="A837" s="23" t="inlineStr">
        <is>
          <t>6.0060.L081388.1</t>
        </is>
      </c>
      <c r="B837" s="23" t="inlineStr">
        <is>
          <t>l081388.1</t>
        </is>
      </c>
      <c r="C837" s="29">
        <f>IFERROR(LOWER(SUBSTITUTE(SUBSTITUTE(SUBSTITUTE(SUBSTITUTE(D837," ","-"),"/","-"),".",""),",","")),"")</f>
        <v/>
      </c>
      <c r="D837" s="23" t="inlineStr">
        <is>
          <t>DETENTE A/B CMD 40</t>
        </is>
      </c>
      <c r="E837" s="23" t="n"/>
      <c r="F837" s="23" t="inlineStr">
        <is>
          <t>SOHIPREN</t>
        </is>
      </c>
      <c r="G837" s="23" t="n"/>
      <c r="H837" s="23" t="inlineStr">
        <is>
          <t>draft</t>
        </is>
      </c>
      <c r="I837" s="23" t="inlineStr">
        <is>
          <t>PIRA</t>
        </is>
      </c>
      <c r="J837" s="23" t="n"/>
      <c r="K837" s="23" t="n"/>
      <c r="L837" s="23" t="inlineStr">
        <is>
          <t>4093160VH</t>
        </is>
      </c>
      <c r="M837" s="31" t="n"/>
      <c r="N837" s="31" t="n"/>
      <c r="O837" s="31" t="n"/>
      <c r="P837" s="31" t="n"/>
      <c r="Q837" s="31" t="n"/>
      <c r="R837" s="34">
        <f>IFERROR(IF(AND(O837&gt;0,P837&gt;0,Q837&gt;0),(O837*P837*Q837)/6000,""),"")</f>
        <v/>
      </c>
      <c r="S837" s="34">
        <f>IFERROR(IF(AND(N837&gt;0,R837&gt;0),MAX(N837,R837),IF(N837&gt;0,N837,IF(R837&gt;0,R837,""))),"")</f>
        <v/>
      </c>
      <c r="T837" s="36" t="n"/>
      <c r="U837" s="38" t="inlineStr">
        <is>
          <t>FALTA</t>
        </is>
      </c>
      <c r="V837" s="36" t="n">
        <v>152</v>
      </c>
      <c r="W837" s="39" t="n">
        <v>0.3</v>
      </c>
      <c r="X837" s="41">
        <f>IFERROR(V837+T837,"")</f>
        <v/>
      </c>
      <c r="Y837" s="41">
        <f>IFERROR(IF(W837&lt;1,X837/(1-W837),""),"")</f>
        <v/>
      </c>
      <c r="Z837" s="43">
        <f>'01_CONFIG_GLOBAL'!$C$14</f>
        <v/>
      </c>
      <c r="AA837" s="41">
        <f>IFERROR(Y837*Z837,"")</f>
        <v/>
      </c>
      <c r="AB837" s="41">
        <f>IFERROR(IF(Z837&lt;1,Y837/(1-Z837),""),"")</f>
        <v/>
      </c>
      <c r="AC837" s="23" t="n"/>
      <c r="AD837" s="36" t="n"/>
      <c r="AE837" s="23" t="n"/>
      <c r="AF837" s="36" t="n"/>
      <c r="AG837" s="23" t="n"/>
      <c r="AH837" s="36" t="n"/>
      <c r="AI837" s="41">
        <f>IFERROR(AVERAGE(AD837,AF837,AH837),"")</f>
        <v/>
      </c>
      <c r="AJ837" s="29">
        <f>IFERROR(IF(AI837="","sem dados",IF(AB837&lt;AI837*0.95,"abaixo",IF(AB837&gt;AI837*1.05,"acima","em linha"))),"")</f>
        <v/>
      </c>
      <c r="AK837" s="23" t="inlineStr">
        <is>
          <t>não</t>
        </is>
      </c>
      <c r="AL837" s="23" t="n"/>
      <c r="AM837" s="23" t="n"/>
      <c r="AN837" s="23" t="n"/>
      <c r="AO837" s="44">
        <f>A837</f>
        <v/>
      </c>
      <c r="AP837" s="44">
        <f>D837</f>
        <v/>
      </c>
    </row>
    <row r="838" hidden="1" ht="15.75" customHeight="1" s="93">
      <c r="A838" s="23" t="inlineStr">
        <is>
          <t>6.0004.L060327.1</t>
        </is>
      </c>
      <c r="B838" s="23" t="inlineStr">
        <is>
          <t>L060327.1</t>
        </is>
      </c>
      <c r="C838" s="29">
        <f>IFERROR(LOWER(SUBSTITUTE(SUBSTITUTE(SUBSTITUTE(SUBSTITUTE(D838," ","-"),"/","-"),".",""),",","")),"")</f>
        <v/>
      </c>
      <c r="D838" s="23" t="inlineStr">
        <is>
          <t>VCD410 - COMPRA - L060172 / L060469 / L082414</t>
        </is>
      </c>
      <c r="E838" s="23" t="n"/>
      <c r="F838" s="23" t="inlineStr">
        <is>
          <t>SOHIPREN</t>
        </is>
      </c>
      <c r="G838" s="23" t="n"/>
      <c r="H838" s="23" t="inlineStr">
        <is>
          <t>draft</t>
        </is>
      </c>
      <c r="I838" s="23" t="inlineStr">
        <is>
          <t>PIRA</t>
        </is>
      </c>
      <c r="J838" s="23" t="n"/>
      <c r="K838" s="23" t="n"/>
      <c r="L838" s="23" t="inlineStr">
        <is>
          <t>1022013044001</t>
        </is>
      </c>
      <c r="M838" s="31" t="n"/>
      <c r="N838" s="31" t="n"/>
      <c r="O838" s="31" t="n"/>
      <c r="P838" s="31" t="n"/>
      <c r="Q838" s="31" t="n"/>
      <c r="R838" s="34">
        <f>IFERROR(IF(AND(O838&gt;0,P838&gt;0,Q838&gt;0),(O838*P838*Q838)/6000,""),"")</f>
        <v/>
      </c>
      <c r="S838" s="34">
        <f>IFERROR(IF(AND(N838&gt;0,R838&gt;0),MAX(N838,R838),IF(N838&gt;0,N838,IF(R838&gt;0,R838,""))),"")</f>
        <v/>
      </c>
      <c r="T838" s="36" t="n"/>
      <c r="U838" s="38" t="inlineStr">
        <is>
          <t>FALTA</t>
        </is>
      </c>
      <c r="V838" s="36" t="n">
        <v>1301</v>
      </c>
      <c r="W838" s="39" t="n">
        <v>0.3</v>
      </c>
      <c r="X838" s="41">
        <f>IFERROR(V838+T838,"")</f>
        <v/>
      </c>
      <c r="Y838" s="41">
        <f>IFERROR(IF(W838&lt;1,X838/(1-W838),""),"")</f>
        <v/>
      </c>
      <c r="Z838" s="43">
        <f>'01_CONFIG_GLOBAL'!$C$14</f>
        <v/>
      </c>
      <c r="AA838" s="41">
        <f>IFERROR(Y838*Z838,"")</f>
        <v/>
      </c>
      <c r="AB838" s="41">
        <f>IFERROR(IF(Z838&lt;1,Y838/(1-Z838),""),"")</f>
        <v/>
      </c>
      <c r="AC838" s="23" t="n"/>
      <c r="AD838" s="36" t="n"/>
      <c r="AE838" s="23" t="n"/>
      <c r="AF838" s="36" t="n"/>
      <c r="AG838" s="23" t="n"/>
      <c r="AH838" s="36" t="n"/>
      <c r="AI838" s="41">
        <f>IFERROR(AVERAGE(AD838,AF838,AH838),"")</f>
        <v/>
      </c>
      <c r="AJ838" s="29">
        <f>IFERROR(IF(AI838="","sem dados",IF(AB838&lt;AI838*0.95,"abaixo",IF(AB838&gt;AI838*1.05,"acima","em linha"))),"")</f>
        <v/>
      </c>
      <c r="AK838" s="23" t="inlineStr">
        <is>
          <t>não</t>
        </is>
      </c>
      <c r="AL838" s="23" t="n"/>
      <c r="AM838" s="23" t="n"/>
      <c r="AN838" s="23" t="n"/>
      <c r="AO838" s="44">
        <f>A838</f>
        <v/>
      </c>
      <c r="AP838" s="44">
        <f>D838</f>
        <v/>
      </c>
    </row>
    <row r="839" hidden="1" ht="15.75" customHeight="1" s="93">
      <c r="A839" s="23" t="inlineStr">
        <is>
          <t>6.5001.L080219.1</t>
        </is>
      </c>
      <c r="B839" s="23" t="inlineStr">
        <is>
          <t>L080219</t>
        </is>
      </c>
      <c r="C839" s="29">
        <f>IFERROR(LOWER(SUBSTITUTE(SUBSTITUTE(SUBSTITUTE(SUBSTITUTE(D839," ","-"),"/","-"),".",""),",","")),"")</f>
        <v/>
      </c>
      <c r="D839" s="23" t="inlineStr">
        <is>
          <t>VRV BLOCO MOTOR C/ MANIPLO  - COMPRA L080218</t>
        </is>
      </c>
      <c r="E839" s="23" t="n"/>
      <c r="F839" s="23" t="inlineStr">
        <is>
          <t>SOHIPREN</t>
        </is>
      </c>
      <c r="G839" s="23" t="n"/>
      <c r="H839" s="23" t="inlineStr">
        <is>
          <t>draft</t>
        </is>
      </c>
      <c r="I839" s="23" t="inlineStr">
        <is>
          <t>PIRA</t>
        </is>
      </c>
      <c r="J839" s="23" t="n"/>
      <c r="K839" s="23" t="n"/>
      <c r="L839" s="23" t="inlineStr">
        <is>
          <t>VBVR7805HO</t>
        </is>
      </c>
      <c r="M839" s="31" t="n"/>
      <c r="N839" s="31" t="n"/>
      <c r="O839" s="31" t="n"/>
      <c r="P839" s="31" t="n"/>
      <c r="Q839" s="31" t="n"/>
      <c r="R839" s="34">
        <f>IFERROR(IF(AND(O839&gt;0,P839&gt;0,Q839&gt;0),(O839*P839*Q839)/6000,""),"")</f>
        <v/>
      </c>
      <c r="S839" s="34">
        <f>IFERROR(IF(AND(N839&gt;0,R839&gt;0),MAX(N839,R839),IF(N839&gt;0,N839,IF(R839&gt;0,R839,""))),"")</f>
        <v/>
      </c>
      <c r="T839" s="36" t="n"/>
      <c r="U839" s="38" t="inlineStr">
        <is>
          <t>FALTA</t>
        </is>
      </c>
      <c r="V839" s="36" t="n">
        <v>613</v>
      </c>
      <c r="W839" s="39" t="n">
        <v>0.3</v>
      </c>
      <c r="X839" s="41">
        <f>IFERROR(V839+T839,"")</f>
        <v/>
      </c>
      <c r="Y839" s="41">
        <f>IFERROR(IF(W839&lt;1,X839/(1-W839),""),"")</f>
        <v/>
      </c>
      <c r="Z839" s="43">
        <f>'01_CONFIG_GLOBAL'!$C$14</f>
        <v/>
      </c>
      <c r="AA839" s="41">
        <f>IFERROR(Y839*Z839,"")</f>
        <v/>
      </c>
      <c r="AB839" s="41">
        <f>IFERROR(IF(Z839&lt;1,Y839/(1-Z839),""),"")</f>
        <v/>
      </c>
      <c r="AC839" s="23" t="n"/>
      <c r="AD839" s="36" t="n"/>
      <c r="AE839" s="23" t="n"/>
      <c r="AF839" s="36" t="n"/>
      <c r="AG839" s="23" t="n"/>
      <c r="AH839" s="36" t="n"/>
      <c r="AI839" s="41">
        <f>IFERROR(AVERAGE(AD839,AF839,AH839),"")</f>
        <v/>
      </c>
      <c r="AJ839" s="29">
        <f>IFERROR(IF(AI839="","sem dados",IF(AB839&lt;AI839*0.95,"abaixo",IF(AB839&gt;AI839*1.05,"acima","em linha"))),"")</f>
        <v/>
      </c>
      <c r="AK839" s="23" t="inlineStr">
        <is>
          <t>não</t>
        </is>
      </c>
      <c r="AL839" s="23" t="n"/>
      <c r="AM839" s="23" t="n"/>
      <c r="AN839" s="23" t="n"/>
      <c r="AO839" s="44">
        <f>A839</f>
        <v/>
      </c>
      <c r="AP839" s="44">
        <f>D839</f>
        <v/>
      </c>
    </row>
    <row r="840" hidden="1" ht="15.75" customHeight="1" s="93">
      <c r="A840" s="23" t="inlineStr">
        <is>
          <t>5.1621.L007550.0</t>
        </is>
      </c>
      <c r="B840" s="23" t="inlineStr">
        <is>
          <t>L00755</t>
        </is>
      </c>
      <c r="C840" s="29">
        <f>IFERROR(LOWER(SUBSTITUTE(SUBSTITUTE(SUBSTITUTE(SUBSTITUTE(D840," ","-"),"/","-"),".",""),",","")),"")</f>
        <v/>
      </c>
      <c r="D840" s="23" t="inlineStr">
        <is>
          <t>MOTOR ORBITAL MLS 500 - COMPRA L00754</t>
        </is>
      </c>
      <c r="E840" s="23" t="n"/>
      <c r="F840" s="23" t="inlineStr">
        <is>
          <t>SOHIPREN</t>
        </is>
      </c>
      <c r="G840" s="23" t="n"/>
      <c r="H840" s="23" t="inlineStr">
        <is>
          <t>draft</t>
        </is>
      </c>
      <c r="I840" s="23" t="inlineStr">
        <is>
          <t>PIRA</t>
        </is>
      </c>
      <c r="J840" s="23" t="n"/>
      <c r="K840" s="23" t="n"/>
      <c r="L840" s="23" t="inlineStr">
        <is>
          <t>V00408849 / VCB11480560</t>
        </is>
      </c>
      <c r="M840" s="31" t="n"/>
      <c r="N840" s="31" t="n"/>
      <c r="O840" s="31" t="n"/>
      <c r="P840" s="31" t="n"/>
      <c r="Q840" s="31" t="n"/>
      <c r="R840" s="34">
        <f>IFERROR(IF(AND(O840&gt;0,P840&gt;0,Q840&gt;0),(O840*P840*Q840)/6000,""),"")</f>
        <v/>
      </c>
      <c r="S840" s="34">
        <f>IFERROR(IF(AND(N840&gt;0,R840&gt;0),MAX(N840,R840),IF(N840&gt;0,N840,IF(R840&gt;0,R840,""))),"")</f>
        <v/>
      </c>
      <c r="T840" s="36" t="n"/>
      <c r="U840" s="38" t="inlineStr">
        <is>
          <t>FALTA</t>
        </is>
      </c>
      <c r="V840" s="36" t="n">
        <v>2090</v>
      </c>
      <c r="W840" s="39" t="n">
        <v>0.3</v>
      </c>
      <c r="X840" s="41">
        <f>IFERROR(V840+T840,"")</f>
        <v/>
      </c>
      <c r="Y840" s="41">
        <f>IFERROR(IF(W840&lt;1,X840/(1-W840),""),"")</f>
        <v/>
      </c>
      <c r="Z840" s="43">
        <f>'01_CONFIG_GLOBAL'!$C$14</f>
        <v/>
      </c>
      <c r="AA840" s="41">
        <f>IFERROR(Y840*Z840,"")</f>
        <v/>
      </c>
      <c r="AB840" s="41">
        <f>IFERROR(IF(Z840&lt;1,Y840/(1-Z840),""),"")</f>
        <v/>
      </c>
      <c r="AC840" s="23" t="n"/>
      <c r="AD840" s="36" t="n"/>
      <c r="AE840" s="23" t="n"/>
      <c r="AF840" s="36" t="n"/>
      <c r="AG840" s="23" t="n"/>
      <c r="AH840" s="36" t="n"/>
      <c r="AI840" s="41">
        <f>IFERROR(AVERAGE(AD840,AF840,AH840),"")</f>
        <v/>
      </c>
      <c r="AJ840" s="29">
        <f>IFERROR(IF(AI840="","sem dados",IF(AB840&lt;AI840*0.95,"abaixo",IF(AB840&gt;AI840*1.05,"acima","em linha"))),"")</f>
        <v/>
      </c>
      <c r="AK840" s="23" t="inlineStr">
        <is>
          <t>não</t>
        </is>
      </c>
      <c r="AL840" s="23" t="n"/>
      <c r="AM840" s="23" t="n"/>
      <c r="AN840" s="23" t="n"/>
      <c r="AO840" s="44">
        <f>A840</f>
        <v/>
      </c>
      <c r="AP840" s="44">
        <f>D840</f>
        <v/>
      </c>
    </row>
    <row r="841" hidden="1" ht="15.75" customHeight="1" s="93">
      <c r="A841" s="23" t="inlineStr">
        <is>
          <t>2.5004.L080536.1</t>
        </is>
      </c>
      <c r="B841" s="23" t="inlineStr">
        <is>
          <t>L080536</t>
        </is>
      </c>
      <c r="C841" s="29">
        <f>IFERROR(LOWER(SUBSTITUTE(SUBSTITUTE(SUBSTITUTE(SUBSTITUTE(D841," ","-"),"/","-"),".",""),",","")),"")</f>
        <v/>
      </c>
      <c r="D841" s="23" t="inlineStr">
        <is>
          <t>VALVULA AGULHA UNIDIRECIONAL - 1/4'' BSP</t>
        </is>
      </c>
      <c r="E841" s="23" t="n"/>
      <c r="F841" s="23" t="inlineStr">
        <is>
          <t>SOHIPREN</t>
        </is>
      </c>
      <c r="G841" s="23" t="n"/>
      <c r="H841" s="23" t="inlineStr">
        <is>
          <t>draft</t>
        </is>
      </c>
      <c r="I841" s="23" t="inlineStr">
        <is>
          <t>PIRACICABA</t>
        </is>
      </c>
      <c r="J841" s="23" t="inlineStr">
        <is>
          <t>DIVERSOS</t>
        </is>
      </c>
      <c r="K841" s="23" t="inlineStr">
        <is>
          <t>VÁLVULA AGULHA UNIDIRECIONAL - ROSCA DE 1/4'</t>
        </is>
      </c>
      <c r="L841" s="23" t="inlineStr">
        <is>
          <t>VDRV8-1-1X</t>
        </is>
      </c>
      <c r="M841" s="31" t="n"/>
      <c r="N841" s="31" t="n"/>
      <c r="O841" s="31" t="n"/>
      <c r="P841" s="31" t="n"/>
      <c r="Q841" s="31" t="n"/>
      <c r="R841" s="34">
        <f>IFERROR(IF(AND(O841&gt;0,P841&gt;0,Q841&gt;0),(O841*P841*Q841)/6000,""),"")</f>
        <v/>
      </c>
      <c r="S841" s="34">
        <f>IFERROR(IF(AND(N841&gt;0,R841&gt;0),MAX(N841,R841),IF(N841&gt;0,N841,IF(R841&gt;0,R841,""))),"")</f>
        <v/>
      </c>
      <c r="T841" s="36" t="n"/>
      <c r="U841" s="38" t="inlineStr">
        <is>
          <t>FALTA</t>
        </is>
      </c>
      <c r="V841" s="36" t="n">
        <v>174</v>
      </c>
      <c r="W841" s="39" t="n">
        <v>0.3</v>
      </c>
      <c r="X841" s="41">
        <f>IFERROR(V841+T841,"")</f>
        <v/>
      </c>
      <c r="Y841" s="41">
        <f>IFERROR(IF(W841&lt;1,X841/(1-W841),""),"")</f>
        <v/>
      </c>
      <c r="Z841" s="43">
        <f>'01_CONFIG_GLOBAL'!$C$14</f>
        <v/>
      </c>
      <c r="AA841" s="41">
        <f>IFERROR(Y841*Z841,"")</f>
        <v/>
      </c>
      <c r="AB841" s="41">
        <f>IFERROR(IF(Z841&lt;1,Y841/(1-Z841),""),"")</f>
        <v/>
      </c>
      <c r="AC841" s="23" t="n"/>
      <c r="AD841" s="36" t="n"/>
      <c r="AE841" s="23" t="n"/>
      <c r="AF841" s="36" t="n"/>
      <c r="AG841" s="23" t="n"/>
      <c r="AH841" s="36" t="n"/>
      <c r="AI841" s="41">
        <f>IFERROR(AVERAGE(AD841,AF841,AH841),"")</f>
        <v/>
      </c>
      <c r="AJ841" s="29">
        <f>IFERROR(IF(AI841="","sem dados",IF(AB841&lt;AI841*0.95,"abaixo",IF(AB841&gt;AI841*1.05,"acima","em linha"))),"")</f>
        <v/>
      </c>
      <c r="AK841" s="23" t="inlineStr">
        <is>
          <t>não</t>
        </is>
      </c>
      <c r="AL841" s="23" t="n"/>
      <c r="AM841" s="23" t="n"/>
      <c r="AN841" s="23" t="n"/>
      <c r="AO841" s="44">
        <f>A841</f>
        <v/>
      </c>
      <c r="AP841" s="44">
        <f>D841</f>
        <v/>
      </c>
    </row>
    <row r="842" hidden="1" ht="15.75" customHeight="1" s="93">
      <c r="A842" s="23" t="inlineStr">
        <is>
          <t>2.5004.L080544.1</t>
        </is>
      </c>
      <c r="B842" s="23" t="inlineStr">
        <is>
          <t>L080544</t>
        </is>
      </c>
      <c r="C842" s="29">
        <f>IFERROR(LOWER(SUBSTITUTE(SUBSTITUTE(SUBSTITUTE(SUBSTITUTE(D842," ","-"),"/","-"),".",""),",","")),"")</f>
        <v/>
      </c>
      <c r="D842" s="23" t="inlineStr">
        <is>
          <t>VALVULA AGULHA UNIDIRECIONAL - 1" BSP</t>
        </is>
      </c>
      <c r="E842" s="23" t="n"/>
      <c r="F842" s="23" t="inlineStr">
        <is>
          <t>SOHIPREN</t>
        </is>
      </c>
      <c r="G842" s="23" t="n"/>
      <c r="H842" s="23" t="inlineStr">
        <is>
          <t>draft</t>
        </is>
      </c>
      <c r="I842" s="23" t="inlineStr">
        <is>
          <t>PIRACICABA</t>
        </is>
      </c>
      <c r="J842" s="23" t="inlineStr">
        <is>
          <t>DIVERSOS</t>
        </is>
      </c>
      <c r="K842" s="23" t="inlineStr">
        <is>
          <t>VÁLVULA AGULHA UNIDIRECIONAL - ROSCA DE 1/4'</t>
        </is>
      </c>
      <c r="L842" s="23" t="inlineStr">
        <is>
          <t>VDRV8-1-1X</t>
        </is>
      </c>
      <c r="M842" s="31" t="n"/>
      <c r="N842" s="31" t="n"/>
      <c r="O842" s="31" t="n"/>
      <c r="P842" s="31" t="n"/>
      <c r="Q842" s="31" t="n"/>
      <c r="R842" s="34">
        <f>IFERROR(IF(AND(O842&gt;0,P842&gt;0,Q842&gt;0),(O842*P842*Q842)/6000,""),"")</f>
        <v/>
      </c>
      <c r="S842" s="34">
        <f>IFERROR(IF(AND(N842&gt;0,R842&gt;0),MAX(N842,R842),IF(N842&gt;0,N842,IF(R842&gt;0,R842,""))),"")</f>
        <v/>
      </c>
      <c r="T842" s="36" t="n"/>
      <c r="U842" s="38" t="inlineStr">
        <is>
          <t>FALTA</t>
        </is>
      </c>
      <c r="V842" s="36" t="n">
        <v>136.56</v>
      </c>
      <c r="W842" s="39" t="n">
        <v>0.3</v>
      </c>
      <c r="X842" s="41">
        <f>IFERROR(V842+T842,"")</f>
        <v/>
      </c>
      <c r="Y842" s="41">
        <f>IFERROR(IF(W842&lt;1,X842/(1-W842),""),"")</f>
        <v/>
      </c>
      <c r="Z842" s="43">
        <f>'01_CONFIG_GLOBAL'!$C$14</f>
        <v/>
      </c>
      <c r="AA842" s="41">
        <f>IFERROR(Y842*Z842,"")</f>
        <v/>
      </c>
      <c r="AB842" s="41">
        <f>IFERROR(IF(Z842&lt;1,Y842/(1-Z842),""),"")</f>
        <v/>
      </c>
      <c r="AC842" s="23" t="n"/>
      <c r="AD842" s="36" t="n"/>
      <c r="AE842" s="23" t="n"/>
      <c r="AF842" s="36" t="n"/>
      <c r="AG842" s="23" t="n"/>
      <c r="AH842" s="36" t="n"/>
      <c r="AI842" s="41">
        <f>IFERROR(AVERAGE(AD842,AF842,AH842),"")</f>
        <v/>
      </c>
      <c r="AJ842" s="29">
        <f>IFERROR(IF(AI842="","sem dados",IF(AB842&lt;AI842*0.95,"abaixo",IF(AB842&gt;AI842*1.05,"acima","em linha"))),"")</f>
        <v/>
      </c>
      <c r="AK842" s="23" t="inlineStr">
        <is>
          <t>não</t>
        </is>
      </c>
      <c r="AL842" s="23" t="n"/>
      <c r="AM842" s="23" t="n"/>
      <c r="AN842" s="23" t="n"/>
      <c r="AO842" s="44">
        <f>A842</f>
        <v/>
      </c>
      <c r="AP842" s="44">
        <f>D842</f>
        <v/>
      </c>
    </row>
    <row r="843" hidden="1" ht="15.75" customHeight="1" s="93">
      <c r="A843" s="23" t="inlineStr">
        <is>
          <t>2.5004.L080893.1</t>
        </is>
      </c>
      <c r="B843" s="23" t="inlineStr">
        <is>
          <t>L080893</t>
        </is>
      </c>
      <c r="C843" s="29">
        <f>IFERROR(LOWER(SUBSTITUTE(SUBSTITUTE(SUBSTITUTE(SUBSTITUTE(D843," ","-"),"/","-"),".",""),",","")),"")</f>
        <v/>
      </c>
      <c r="D843" s="23" t="inlineStr">
        <is>
          <t>VALVULA AGULHA UNIDIRECIONAL - 1/2" BSP</t>
        </is>
      </c>
      <c r="E843" s="23" t="n"/>
      <c r="F843" s="23" t="inlineStr">
        <is>
          <t>SOHIPREN</t>
        </is>
      </c>
      <c r="G843" s="23" t="n"/>
      <c r="H843" s="23" t="inlineStr">
        <is>
          <t>draft</t>
        </is>
      </c>
      <c r="I843" s="23" t="inlineStr">
        <is>
          <t>PIRACICABA</t>
        </is>
      </c>
      <c r="J843" s="23" t="inlineStr">
        <is>
          <t>DIVERSOS</t>
        </is>
      </c>
      <c r="K843" s="23" t="inlineStr">
        <is>
          <t>VÁLVULA AGULHA UNIDIRECIONAL - ROSCA DE 1/2''BSP</t>
        </is>
      </c>
      <c r="L843" s="23" t="inlineStr">
        <is>
          <t>VDRV8-1-1X/FRV12-1-10</t>
        </is>
      </c>
      <c r="M843" s="31" t="n"/>
      <c r="N843" s="31" t="n"/>
      <c r="O843" s="31" t="n"/>
      <c r="P843" s="31" t="n"/>
      <c r="Q843" s="31" t="n"/>
      <c r="R843" s="34">
        <f>IFERROR(IF(AND(O843&gt;0,P843&gt;0,Q843&gt;0),(O843*P843*Q843)/6000,""),"")</f>
        <v/>
      </c>
      <c r="S843" s="34">
        <f>IFERROR(IF(AND(N843&gt;0,R843&gt;0),MAX(N843,R843),IF(N843&gt;0,N843,IF(R843&gt;0,R843,""))),"")</f>
        <v/>
      </c>
      <c r="T843" s="36" t="n"/>
      <c r="U843" s="38" t="inlineStr">
        <is>
          <t>FALTA</t>
        </is>
      </c>
      <c r="V843" s="36" t="n">
        <v>195</v>
      </c>
      <c r="W843" s="39" t="n">
        <v>0.3</v>
      </c>
      <c r="X843" s="41">
        <f>IFERROR(V843+T843,"")</f>
        <v/>
      </c>
      <c r="Y843" s="41">
        <f>IFERROR(IF(W843&lt;1,X843/(1-W843),""),"")</f>
        <v/>
      </c>
      <c r="Z843" s="43">
        <f>'01_CONFIG_GLOBAL'!$C$14</f>
        <v/>
      </c>
      <c r="AA843" s="41">
        <f>IFERROR(Y843*Z843,"")</f>
        <v/>
      </c>
      <c r="AB843" s="41">
        <f>IFERROR(IF(Z843&lt;1,Y843/(1-Z843),""),"")</f>
        <v/>
      </c>
      <c r="AC843" s="23" t="n"/>
      <c r="AD843" s="36" t="n"/>
      <c r="AE843" s="23" t="n"/>
      <c r="AF843" s="36" t="n"/>
      <c r="AG843" s="23" t="n"/>
      <c r="AH843" s="36" t="n"/>
      <c r="AI843" s="41">
        <f>IFERROR(AVERAGE(AD843,AF843,AH843),"")</f>
        <v/>
      </c>
      <c r="AJ843" s="29">
        <f>IFERROR(IF(AI843="","sem dados",IF(AB843&lt;AI843*0.95,"abaixo",IF(AB843&gt;AI843*1.05,"acima","em linha"))),"")</f>
        <v/>
      </c>
      <c r="AK843" s="23" t="inlineStr">
        <is>
          <t>não</t>
        </is>
      </c>
      <c r="AL843" s="23" t="n"/>
      <c r="AM843" s="23" t="n"/>
      <c r="AN843" s="23" t="n"/>
      <c r="AO843" s="44">
        <f>A843</f>
        <v/>
      </c>
      <c r="AP843" s="44">
        <f>D843</f>
        <v/>
      </c>
    </row>
    <row r="844" hidden="1" ht="15.75" customHeight="1" s="93">
      <c r="A844" s="23" t="inlineStr">
        <is>
          <t>5.0220.L026019.0</t>
        </is>
      </c>
      <c r="B844" s="23" t="inlineStr">
        <is>
          <t>L026019</t>
        </is>
      </c>
      <c r="C844" s="29">
        <f>IFERROR(LOWER(SUBSTITUTE(SUBSTITUTE(SUBSTITUTE(SUBSTITUTE(D844," ","-"),"/","-"),".",""),",","")),"")</f>
        <v/>
      </c>
      <c r="D844" s="23" t="inlineStr">
        <is>
          <t>BOD 22,5 C11.P1.C3/4.C117.L</t>
        </is>
      </c>
      <c r="E844" s="23" t="inlineStr">
        <is>
          <t>Bombas Hidráulicas</t>
        </is>
      </c>
      <c r="F844" s="23" t="inlineStr">
        <is>
          <t>SOHIPREN</t>
        </is>
      </c>
      <c r="G844" s="23" t="n"/>
      <c r="H844" s="23" t="inlineStr">
        <is>
          <t>draft</t>
        </is>
      </c>
      <c r="I844" s="23" t="inlineStr">
        <is>
          <t>PIRACICABA</t>
        </is>
      </c>
      <c r="J844" s="23" t="inlineStr">
        <is>
          <t>INDUSTRIAL</t>
        </is>
      </c>
      <c r="K844" s="23" t="inlineStr">
        <is>
          <t>PRINCIPAL</t>
        </is>
      </c>
      <c r="L844" s="23" t="inlineStr">
        <is>
          <t>542401</t>
        </is>
      </c>
      <c r="M844" s="31" t="n"/>
      <c r="N844" s="31" t="n"/>
      <c r="O844" s="31" t="n"/>
      <c r="P844" s="31" t="n"/>
      <c r="Q844" s="31" t="n"/>
      <c r="R844" s="34">
        <f>IFERROR(IF(AND(O844&gt;0,P844&gt;0,Q844&gt;0),(O844*P844*Q844)/6000,""),"")</f>
        <v/>
      </c>
      <c r="S844" s="34">
        <f>IFERROR(IF(AND(N844&gt;0,R844&gt;0),MAX(N844,R844),IF(N844&gt;0,N844,IF(R844&gt;0,R844,""))),"")</f>
        <v/>
      </c>
      <c r="T844" s="36" t="n"/>
      <c r="U844" s="38" t="inlineStr">
        <is>
          <t>FALTA</t>
        </is>
      </c>
      <c r="V844" s="36" t="n">
        <v>1473.42</v>
      </c>
      <c r="W844" s="39" t="n">
        <v>0.3</v>
      </c>
      <c r="X844" s="41">
        <f>IFERROR(V844+T844,"")</f>
        <v/>
      </c>
      <c r="Y844" s="41">
        <f>IFERROR(IF(W844&lt;1,X844/(1-W844),""),"")</f>
        <v/>
      </c>
      <c r="Z844" s="43">
        <f>'01_CONFIG_GLOBAL'!$C$14</f>
        <v/>
      </c>
      <c r="AA844" s="41">
        <f>IFERROR(Y844*Z844,"")</f>
        <v/>
      </c>
      <c r="AB844" s="41">
        <f>IFERROR(IF(Z844&lt;1,Y844/(1-Z844),""),"")</f>
        <v/>
      </c>
      <c r="AC844" s="23" t="n"/>
      <c r="AD844" s="36" t="n"/>
      <c r="AE844" s="23" t="n"/>
      <c r="AF844" s="36" t="n"/>
      <c r="AG844" s="23" t="n"/>
      <c r="AH844" s="36" t="n"/>
      <c r="AI844" s="41">
        <f>IFERROR(AVERAGE(AD844,AF844,AH844),"")</f>
        <v/>
      </c>
      <c r="AJ844" s="29">
        <f>IFERROR(IF(AI844="","sem dados",IF(AB844&lt;AI844*0.95,"abaixo",IF(AB844&gt;AI844*1.05,"acima","em linha"))),"")</f>
        <v/>
      </c>
      <c r="AK844" s="23" t="inlineStr">
        <is>
          <t>não</t>
        </is>
      </c>
      <c r="AL844" s="23" t="n"/>
      <c r="AM844" s="23" t="n"/>
      <c r="AN844" s="23" t="n"/>
      <c r="AO844" s="44">
        <f>A844</f>
        <v/>
      </c>
      <c r="AP844" s="44">
        <f>D844</f>
        <v/>
      </c>
    </row>
    <row r="845" hidden="1" ht="15.75" customHeight="1" s="93">
      <c r="A845" s="23" t="inlineStr">
        <is>
          <t>5.0205.0542401.1</t>
        </is>
      </c>
      <c r="B845" s="23" t="inlineStr">
        <is>
          <t>542401.1</t>
        </is>
      </c>
      <c r="C845" s="29">
        <f>IFERROR(LOWER(SUBSTITUTE(SUBSTITUTE(SUBSTITUTE(SUBSTITUTE(D845," ","-"),"/","-"),".",""),",","")),"")</f>
        <v/>
      </c>
      <c r="D845" s="23" t="inlineStr">
        <is>
          <t>BOD 8 C11.C.C3.L</t>
        </is>
      </c>
      <c r="E845" s="23" t="inlineStr">
        <is>
          <t>Bombas Hidráulicas</t>
        </is>
      </c>
      <c r="F845" s="23" t="inlineStr">
        <is>
          <t>SOHIPREN</t>
        </is>
      </c>
      <c r="G845" s="23" t="n"/>
      <c r="H845" s="23" t="inlineStr">
        <is>
          <t>draft</t>
        </is>
      </c>
      <c r="I845" s="23" t="inlineStr">
        <is>
          <t>PIRACICABA</t>
        </is>
      </c>
      <c r="J845" s="23" t="inlineStr">
        <is>
          <t>INDUSTRIAL</t>
        </is>
      </c>
      <c r="K845" s="23" t="inlineStr">
        <is>
          <t>PRINCIPAL</t>
        </is>
      </c>
      <c r="L845" s="23" t="n"/>
      <c r="M845" s="31" t="n"/>
      <c r="N845" s="31" t="n"/>
      <c r="O845" s="31" t="n"/>
      <c r="P845" s="31" t="n"/>
      <c r="Q845" s="31" t="n"/>
      <c r="R845" s="34">
        <f>IFERROR(IF(AND(O845&gt;0,P845&gt;0,Q845&gt;0),(O845*P845*Q845)/6000,""),"")</f>
        <v/>
      </c>
      <c r="S845" s="34">
        <f>IFERROR(IF(AND(N845&gt;0,R845&gt;0),MAX(N845,R845),IF(N845&gt;0,N845,IF(R845&gt;0,R845,""))),"")</f>
        <v/>
      </c>
      <c r="T845" s="36" t="n"/>
      <c r="U845" s="38" t="inlineStr">
        <is>
          <t>FALTA</t>
        </is>
      </c>
      <c r="V845" s="36" t="n">
        <v>665</v>
      </c>
      <c r="W845" s="39" t="n">
        <v>0.3</v>
      </c>
      <c r="X845" s="41">
        <f>IFERROR(V845+T845,"")</f>
        <v/>
      </c>
      <c r="Y845" s="41">
        <f>IFERROR(IF(W845&lt;1,X845/(1-W845),""),"")</f>
        <v/>
      </c>
      <c r="Z845" s="43">
        <f>'01_CONFIG_GLOBAL'!$C$14</f>
        <v/>
      </c>
      <c r="AA845" s="41">
        <f>IFERROR(Y845*Z845,"")</f>
        <v/>
      </c>
      <c r="AB845" s="41">
        <f>IFERROR(IF(Z845&lt;1,Y845/(1-Z845),""),"")</f>
        <v/>
      </c>
      <c r="AC845" s="23" t="n"/>
      <c r="AD845" s="36" t="n"/>
      <c r="AE845" s="23" t="n"/>
      <c r="AF845" s="36" t="n"/>
      <c r="AG845" s="23" t="n"/>
      <c r="AH845" s="36" t="n"/>
      <c r="AI845" s="41">
        <f>IFERROR(AVERAGE(AD845,AF845,AH845),"")</f>
        <v/>
      </c>
      <c r="AJ845" s="29">
        <f>IFERROR(IF(AI845="","sem dados",IF(AB845&lt;AI845*0.95,"abaixo",IF(AB845&gt;AI845*1.05,"acima","em linha"))),"")</f>
        <v/>
      </c>
      <c r="AK845" s="23" t="inlineStr">
        <is>
          <t>não</t>
        </is>
      </c>
      <c r="AL845" s="23" t="n"/>
      <c r="AM845" s="23" t="n"/>
      <c r="AN845" s="23" t="n"/>
      <c r="AO845" s="44">
        <f>A845</f>
        <v/>
      </c>
      <c r="AP845" s="44">
        <f>D845</f>
        <v/>
      </c>
    </row>
    <row r="846" hidden="1" ht="15.75" customHeight="1" s="93">
      <c r="A846" s="23" t="inlineStr">
        <is>
          <t>5.0220.L025813.0</t>
        </is>
      </c>
      <c r="B846" s="23" t="inlineStr">
        <is>
          <t>L025813</t>
        </is>
      </c>
      <c r="C846" s="29">
        <f>IFERROR(LOWER(SUBSTITUTE(SUBSTITUTE(SUBSTITUTE(SUBSTITUTE(D846," ","-"),"/","-"),".",""),",","")),"")</f>
        <v/>
      </c>
      <c r="D846" s="23" t="inlineStr">
        <is>
          <t>BOD 14 E18.C.G3/11.G3.L</t>
        </is>
      </c>
      <c r="E846" s="23" t="inlineStr">
        <is>
          <t>Bombas Hidráulicas</t>
        </is>
      </c>
      <c r="F846" s="23" t="inlineStr">
        <is>
          <t>SOHIPREN</t>
        </is>
      </c>
      <c r="G846" s="23" t="n"/>
      <c r="H846" s="23" t="inlineStr">
        <is>
          <t>draft</t>
        </is>
      </c>
      <c r="I846" s="23" t="inlineStr">
        <is>
          <t>PIRACICABA ELETRODIESEL</t>
        </is>
      </c>
      <c r="J846" s="23" t="n"/>
      <c r="K846" s="23" t="n"/>
      <c r="L846" s="23" t="n"/>
      <c r="M846" s="31" t="n"/>
      <c r="N846" s="31" t="n"/>
      <c r="O846" s="31" t="n"/>
      <c r="P846" s="31" t="n"/>
      <c r="Q846" s="31" t="n"/>
      <c r="R846" s="34">
        <f>IFERROR(IF(AND(O846&gt;0,P846&gt;0,Q846&gt;0),(O846*P846*Q846)/6000,""),"")</f>
        <v/>
      </c>
      <c r="S846" s="34">
        <f>IFERROR(IF(AND(N846&gt;0,R846&gt;0),MAX(N846,R846),IF(N846&gt;0,N846,IF(R846&gt;0,R846,""))),"")</f>
        <v/>
      </c>
      <c r="T846" s="36" t="n"/>
      <c r="U846" s="38" t="inlineStr">
        <is>
          <t>FALTA</t>
        </is>
      </c>
      <c r="V846" s="36" t="n">
        <v>946.34</v>
      </c>
      <c r="W846" s="39" t="n">
        <v>0.3</v>
      </c>
      <c r="X846" s="41">
        <f>IFERROR(V846+T846,"")</f>
        <v/>
      </c>
      <c r="Y846" s="41">
        <f>IFERROR(IF(W846&lt;1,X846/(1-W846),""),"")</f>
        <v/>
      </c>
      <c r="Z846" s="43">
        <f>'01_CONFIG_GLOBAL'!$C$14</f>
        <v/>
      </c>
      <c r="AA846" s="41">
        <f>IFERROR(Y846*Z846,"")</f>
        <v/>
      </c>
      <c r="AB846" s="41">
        <f>IFERROR(IF(Z846&lt;1,Y846/(1-Z846),""),"")</f>
        <v/>
      </c>
      <c r="AC846" s="23" t="n"/>
      <c r="AD846" s="36" t="n"/>
      <c r="AE846" s="23" t="n"/>
      <c r="AF846" s="36" t="n"/>
      <c r="AG846" s="23" t="n"/>
      <c r="AH846" s="36" t="n"/>
      <c r="AI846" s="41">
        <f>IFERROR(AVERAGE(AD846,AF846,AH846),"")</f>
        <v/>
      </c>
      <c r="AJ846" s="29">
        <f>IFERROR(IF(AI846="","sem dados",IF(AB846&lt;AI846*0.95,"abaixo",IF(AB846&gt;AI846*1.05,"acima","em linha"))),"")</f>
        <v/>
      </c>
      <c r="AK846" s="23" t="inlineStr">
        <is>
          <t>não</t>
        </is>
      </c>
      <c r="AL846" s="23" t="n"/>
      <c r="AM846" s="23" t="n"/>
      <c r="AN846" s="23" t="n"/>
      <c r="AO846" s="44">
        <f>A846</f>
        <v/>
      </c>
      <c r="AP846" s="44">
        <f>D846</f>
        <v/>
      </c>
    </row>
    <row r="847" hidden="1" ht="15.75" customHeight="1" s="93">
      <c r="A847" s="23" t="inlineStr">
        <is>
          <t>5.0220.L025971.0</t>
        </is>
      </c>
      <c r="B847" s="23" t="inlineStr">
        <is>
          <t>L025971</t>
        </is>
      </c>
      <c r="C847" s="29">
        <f>IFERROR(LOWER(SUBSTITUTE(SUBSTITUTE(SUBSTITUTE(SUBSTITUTE(D847," ","-"),"/","-"),".",""),",","")),"")</f>
        <v/>
      </c>
      <c r="D847" s="23" t="inlineStr">
        <is>
          <t>BOD 14 E18.C.G/8.G.L (H30)</t>
        </is>
      </c>
      <c r="E847" s="23" t="inlineStr">
        <is>
          <t>Bombas Hidráulicas</t>
        </is>
      </c>
      <c r="F847" s="23" t="inlineStr">
        <is>
          <t>SOHIPREN</t>
        </is>
      </c>
      <c r="G847" s="23" t="n"/>
      <c r="H847" s="23" t="inlineStr">
        <is>
          <t>draft</t>
        </is>
      </c>
      <c r="I847" s="23" t="inlineStr">
        <is>
          <t>PIRACICABA ELETRODIESEL</t>
        </is>
      </c>
      <c r="J847" s="23" t="n"/>
      <c r="K847" s="23" t="n"/>
      <c r="L847" s="23" t="n"/>
      <c r="M847" s="31" t="n"/>
      <c r="N847" s="31" t="n"/>
      <c r="O847" s="31" t="n"/>
      <c r="P847" s="31" t="n"/>
      <c r="Q847" s="31" t="n"/>
      <c r="R847" s="34">
        <f>IFERROR(IF(AND(O847&gt;0,P847&gt;0,Q847&gt;0),(O847*P847*Q847)/6000,""),"")</f>
        <v/>
      </c>
      <c r="S847" s="34">
        <f>IFERROR(IF(AND(N847&gt;0,R847&gt;0),MAX(N847,R847),IF(N847&gt;0,N847,IF(R847&gt;0,R847,""))),"")</f>
        <v/>
      </c>
      <c r="T847" s="36" t="n"/>
      <c r="U847" s="38" t="inlineStr">
        <is>
          <t>FALTA</t>
        </is>
      </c>
      <c r="V847" s="36" t="n">
        <v>1034</v>
      </c>
      <c r="W847" s="39" t="n">
        <v>0.3</v>
      </c>
      <c r="X847" s="41">
        <f>IFERROR(V847+T847,"")</f>
        <v/>
      </c>
      <c r="Y847" s="41">
        <f>IFERROR(IF(W847&lt;1,X847/(1-W847),""),"")</f>
        <v/>
      </c>
      <c r="Z847" s="43">
        <f>'01_CONFIG_GLOBAL'!$C$14</f>
        <v/>
      </c>
      <c r="AA847" s="41">
        <f>IFERROR(Y847*Z847,"")</f>
        <v/>
      </c>
      <c r="AB847" s="41">
        <f>IFERROR(IF(Z847&lt;1,Y847/(1-Z847),""),"")</f>
        <v/>
      </c>
      <c r="AC847" s="23" t="n"/>
      <c r="AD847" s="36" t="n"/>
      <c r="AE847" s="23" t="n"/>
      <c r="AF847" s="36" t="n"/>
      <c r="AG847" s="23" t="n"/>
      <c r="AH847" s="36" t="n"/>
      <c r="AI847" s="41">
        <f>IFERROR(AVERAGE(AD847,AF847,AH847),"")</f>
        <v/>
      </c>
      <c r="AJ847" s="29">
        <f>IFERROR(IF(AI847="","sem dados",IF(AB847&lt;AI847*0.95,"abaixo",IF(AB847&gt;AI847*1.05,"acima","em linha"))),"")</f>
        <v/>
      </c>
      <c r="AK847" s="23" t="inlineStr">
        <is>
          <t>não</t>
        </is>
      </c>
      <c r="AL847" s="23" t="n"/>
      <c r="AM847" s="23" t="n"/>
      <c r="AN847" s="23" t="n"/>
      <c r="AO847" s="44">
        <f>A847</f>
        <v/>
      </c>
      <c r="AP847" s="44">
        <f>D847</f>
        <v/>
      </c>
    </row>
    <row r="848" hidden="1" ht="15.75" customHeight="1" s="93">
      <c r="A848" s="23" t="inlineStr">
        <is>
          <t>5.0502.0501009.0</t>
        </is>
      </c>
      <c r="B848" s="23" t="inlineStr">
        <is>
          <t>501009</t>
        </is>
      </c>
      <c r="C848" s="29">
        <f>IFERROR(LOWER(SUBSTITUTE(SUBSTITUTE(SUBSTITUTE(SUBSTITUTE(D848," ","-"),"/","-"),".",""),",","")),"")</f>
        <v/>
      </c>
      <c r="D848" s="23" t="inlineStr">
        <is>
          <t>MC1 26 204.2.38.74.61</t>
        </is>
      </c>
      <c r="E848" s="23" t="n"/>
      <c r="F848" s="23" t="inlineStr">
        <is>
          <t>SOHIPREN</t>
        </is>
      </c>
      <c r="G848" s="23" t="n"/>
      <c r="H848" s="23" t="inlineStr">
        <is>
          <t>draft</t>
        </is>
      </c>
      <c r="I848" s="23" t="inlineStr">
        <is>
          <t>POPPI MÁQUINAS</t>
        </is>
      </c>
      <c r="J848" s="23" t="inlineStr">
        <is>
          <t>PRENSA</t>
        </is>
      </c>
      <c r="K848" s="23" t="inlineStr">
        <is>
          <t>PRINCIPAL</t>
        </is>
      </c>
      <c r="L848" s="23" t="n"/>
      <c r="M848" s="31" t="n"/>
      <c r="N848" s="31" t="n"/>
      <c r="O848" s="31" t="n"/>
      <c r="P848" s="31" t="n"/>
      <c r="Q848" s="31" t="n"/>
      <c r="R848" s="34">
        <f>IFERROR(IF(AND(O848&gt;0,P848&gt;0,Q848&gt;0),(O848*P848*Q848)/6000,""),"")</f>
        <v/>
      </c>
      <c r="S848" s="34">
        <f>IFERROR(IF(AND(N848&gt;0,R848&gt;0),MAX(N848,R848),IF(N848&gt;0,N848,IF(R848&gt;0,R848,""))),"")</f>
        <v/>
      </c>
      <c r="T848" s="36" t="n"/>
      <c r="U848" s="38" t="inlineStr">
        <is>
          <t>FALTA</t>
        </is>
      </c>
      <c r="V848" s="36" t="n">
        <v>1045</v>
      </c>
      <c r="W848" s="39" t="n">
        <v>0.3</v>
      </c>
      <c r="X848" s="41">
        <f>IFERROR(V848+T848,"")</f>
        <v/>
      </c>
      <c r="Y848" s="41">
        <f>IFERROR(IF(W848&lt;1,X848/(1-W848),""),"")</f>
        <v/>
      </c>
      <c r="Z848" s="43">
        <f>'01_CONFIG_GLOBAL'!$C$14</f>
        <v/>
      </c>
      <c r="AA848" s="41">
        <f>IFERROR(Y848*Z848,"")</f>
        <v/>
      </c>
      <c r="AB848" s="41">
        <f>IFERROR(IF(Z848&lt;1,Y848/(1-Z848),""),"")</f>
        <v/>
      </c>
      <c r="AC848" s="23" t="n"/>
      <c r="AD848" s="36" t="n"/>
      <c r="AE848" s="23" t="n"/>
      <c r="AF848" s="36" t="n"/>
      <c r="AG848" s="23" t="n"/>
      <c r="AH848" s="36" t="n"/>
      <c r="AI848" s="41">
        <f>IFERROR(AVERAGE(AD848,AF848,AH848),"")</f>
        <v/>
      </c>
      <c r="AJ848" s="29">
        <f>IFERROR(IF(AI848="","sem dados",IF(AB848&lt;AI848*0.95,"abaixo",IF(AB848&gt;AI848*1.05,"acima","em linha"))),"")</f>
        <v/>
      </c>
      <c r="AK848" s="23" t="inlineStr">
        <is>
          <t>não</t>
        </is>
      </c>
      <c r="AL848" s="23" t="n"/>
      <c r="AM848" s="23" t="n"/>
      <c r="AN848" s="23" t="n"/>
      <c r="AO848" s="44">
        <f>A848</f>
        <v/>
      </c>
      <c r="AP848" s="44">
        <f>D848</f>
        <v/>
      </c>
    </row>
    <row r="849" hidden="1" ht="15.75" customHeight="1" s="93">
      <c r="A849" s="23" t="inlineStr">
        <is>
          <t>6.0506.L060523.0</t>
        </is>
      </c>
      <c r="B849" s="23" t="inlineStr">
        <is>
          <t>L060523</t>
        </is>
      </c>
      <c r="C849" s="29">
        <f>IFERROR(LOWER(SUBSTITUTE(SUBSTITUTE(SUBSTITUTE(SUBSTITUTE(D849," ","-"),"/","-"),".",""),",","")),"")</f>
        <v/>
      </c>
      <c r="D849" s="23" t="inlineStr">
        <is>
          <t>VM100 6-CFM-RV/CFM-2VR-RV/CFM-RV//CFM/CAM/CADD-TRANSP.PRESSA</t>
        </is>
      </c>
      <c r="E849" s="23" t="n"/>
      <c r="F849" s="23" t="inlineStr">
        <is>
          <t>SOHIPREN</t>
        </is>
      </c>
      <c r="G849" s="23" t="n"/>
      <c r="H849" s="23" t="inlineStr">
        <is>
          <t>draft</t>
        </is>
      </c>
      <c r="I849" s="23" t="inlineStr">
        <is>
          <t>PROMINAS</t>
        </is>
      </c>
      <c r="J849" s="23" t="inlineStr">
        <is>
          <t>PERFURATRIZ</t>
        </is>
      </c>
      <c r="K849" s="23" t="inlineStr">
        <is>
          <t>COMANDO PRINCIPAL</t>
        </is>
      </c>
      <c r="L849" s="23" t="inlineStr">
        <is>
          <t>136987</t>
        </is>
      </c>
      <c r="M849" s="31" t="n"/>
      <c r="N849" s="31" t="n"/>
      <c r="O849" s="31" t="n"/>
      <c r="P849" s="31" t="n"/>
      <c r="Q849" s="31" t="n"/>
      <c r="R849" s="34">
        <f>IFERROR(IF(AND(O849&gt;0,P849&gt;0,Q849&gt;0),(O849*P849*Q849)/6000,""),"")</f>
        <v/>
      </c>
      <c r="S849" s="34">
        <f>IFERROR(IF(AND(N849&gt;0,R849&gt;0),MAX(N849,R849),IF(N849&gt;0,N849,IF(R849&gt;0,R849,""))),"")</f>
        <v/>
      </c>
      <c r="T849" s="36" t="n"/>
      <c r="U849" s="38" t="inlineStr">
        <is>
          <t>FALTA</t>
        </is>
      </c>
      <c r="V849" s="36" t="n">
        <v>4335</v>
      </c>
      <c r="W849" s="39" t="n">
        <v>0.3</v>
      </c>
      <c r="X849" s="41">
        <f>IFERROR(V849+T849,"")</f>
        <v/>
      </c>
      <c r="Y849" s="41">
        <f>IFERROR(IF(W849&lt;1,X849/(1-W849),""),"")</f>
        <v/>
      </c>
      <c r="Z849" s="43">
        <f>'01_CONFIG_GLOBAL'!$C$14</f>
        <v/>
      </c>
      <c r="AA849" s="41">
        <f>IFERROR(Y849*Z849,"")</f>
        <v/>
      </c>
      <c r="AB849" s="41">
        <f>IFERROR(IF(Z849&lt;1,Y849/(1-Z849),""),"")</f>
        <v/>
      </c>
      <c r="AC849" s="23" t="n"/>
      <c r="AD849" s="36" t="n"/>
      <c r="AE849" s="23" t="n"/>
      <c r="AF849" s="36" t="n"/>
      <c r="AG849" s="23" t="n"/>
      <c r="AH849" s="36" t="n"/>
      <c r="AI849" s="41">
        <f>IFERROR(AVERAGE(AD849,AF849,AH849),"")</f>
        <v/>
      </c>
      <c r="AJ849" s="29">
        <f>IFERROR(IF(AI849="","sem dados",IF(AB849&lt;AI849*0.95,"abaixo",IF(AB849&gt;AI849*1.05,"acima","em linha"))),"")</f>
        <v/>
      </c>
      <c r="AK849" s="23" t="inlineStr">
        <is>
          <t>não</t>
        </is>
      </c>
      <c r="AL849" s="23" t="n"/>
      <c r="AM849" s="23" t="n"/>
      <c r="AN849" s="23" t="n"/>
      <c r="AO849" s="44">
        <f>A849</f>
        <v/>
      </c>
      <c r="AP849" s="44">
        <f>D849</f>
        <v/>
      </c>
    </row>
    <row r="850" hidden="1" ht="15.75" customHeight="1" s="93">
      <c r="A850" s="23" t="inlineStr">
        <is>
          <t>5.1621.0630003.1</t>
        </is>
      </c>
      <c r="B850" s="23" t="inlineStr">
        <is>
          <t>630003.1</t>
        </is>
      </c>
      <c r="C850" s="29">
        <f>IFERROR(LOWER(SUBSTITUTE(SUBSTITUTE(SUBSTITUTE(SUBSTITUTE(D850," ","-"),"/","-"),".",""),",","")),"")</f>
        <v/>
      </c>
      <c r="D850" s="23" t="inlineStr">
        <is>
          <t>MLP 50 C3.C2.P5</t>
        </is>
      </c>
      <c r="E850" s="23" t="n"/>
      <c r="F850" s="23" t="inlineStr">
        <is>
          <t>SOHIPREN</t>
        </is>
      </c>
      <c r="G850" s="23" t="n"/>
      <c r="H850" s="23" t="inlineStr">
        <is>
          <t>draft</t>
        </is>
      </c>
      <c r="I850" s="23" t="inlineStr">
        <is>
          <t>ROMANELLI</t>
        </is>
      </c>
      <c r="J850" s="23" t="inlineStr">
        <is>
          <t>DIVERSOS</t>
        </is>
      </c>
      <c r="K850" s="23" t="n"/>
      <c r="L850" s="23" t="inlineStr">
        <is>
          <t>CP10781</t>
        </is>
      </c>
      <c r="M850" s="31" t="n"/>
      <c r="N850" s="31" t="n"/>
      <c r="O850" s="31" t="n"/>
      <c r="P850" s="31" t="n"/>
      <c r="Q850" s="31" t="n"/>
      <c r="R850" s="34">
        <f>IFERROR(IF(AND(O850&gt;0,P850&gt;0,Q850&gt;0),(O850*P850*Q850)/6000,""),"")</f>
        <v/>
      </c>
      <c r="S850" s="34">
        <f>IFERROR(IF(AND(N850&gt;0,R850&gt;0),MAX(N850,R850),IF(N850&gt;0,N850,IF(R850&gt;0,R850,""))),"")</f>
        <v/>
      </c>
      <c r="T850" s="36" t="n"/>
      <c r="U850" s="38" t="inlineStr">
        <is>
          <t>FALTA</t>
        </is>
      </c>
      <c r="V850" s="36" t="n">
        <v>992.2</v>
      </c>
      <c r="W850" s="39" t="n">
        <v>0.3</v>
      </c>
      <c r="X850" s="41">
        <f>IFERROR(V850+T850,"")</f>
        <v/>
      </c>
      <c r="Y850" s="41">
        <f>IFERROR(IF(W850&lt;1,X850/(1-W850),""),"")</f>
        <v/>
      </c>
      <c r="Z850" s="43">
        <f>'01_CONFIG_GLOBAL'!$C$14</f>
        <v/>
      </c>
      <c r="AA850" s="41">
        <f>IFERROR(Y850*Z850,"")</f>
        <v/>
      </c>
      <c r="AB850" s="41">
        <f>IFERROR(IF(Z850&lt;1,Y850/(1-Z850),""),"")</f>
        <v/>
      </c>
      <c r="AC850" s="23" t="n"/>
      <c r="AD850" s="36" t="n"/>
      <c r="AE850" s="23" t="n"/>
      <c r="AF850" s="36" t="n"/>
      <c r="AG850" s="23" t="n"/>
      <c r="AH850" s="36" t="n"/>
      <c r="AI850" s="41">
        <f>IFERROR(AVERAGE(AD850,AF850,AH850),"")</f>
        <v/>
      </c>
      <c r="AJ850" s="29">
        <f>IFERROR(IF(AI850="","sem dados",IF(AB850&lt;AI850*0.95,"abaixo",IF(AB850&gt;AI850*1.05,"acima","em linha"))),"")</f>
        <v/>
      </c>
      <c r="AK850" s="23" t="inlineStr">
        <is>
          <t>não</t>
        </is>
      </c>
      <c r="AL850" s="23" t="n"/>
      <c r="AM850" s="23" t="n"/>
      <c r="AN850" s="23" t="n"/>
      <c r="AO850" s="44">
        <f>A850</f>
        <v/>
      </c>
      <c r="AP850" s="44">
        <f>D850</f>
        <v/>
      </c>
    </row>
    <row r="851" hidden="1" ht="15.75" customHeight="1" s="93">
      <c r="A851" s="23" t="inlineStr">
        <is>
          <t>5.1621.0630009.1</t>
        </is>
      </c>
      <c r="B851" s="23" t="inlineStr">
        <is>
          <t>630009.1</t>
        </is>
      </c>
      <c r="C851" s="29">
        <f>IFERROR(LOWER(SUBSTITUTE(SUBSTITUTE(SUBSTITUTE(SUBSTITUTE(D851," ","-"),"/","-"),".",""),",","")),"")</f>
        <v/>
      </c>
      <c r="D851" s="23" t="inlineStr">
        <is>
          <t>MLP 200 C3.C2.P5</t>
        </is>
      </c>
      <c r="E851" s="23" t="n"/>
      <c r="F851" s="23" t="inlineStr">
        <is>
          <t>SOHIPREN</t>
        </is>
      </c>
      <c r="G851" s="23" t="n"/>
      <c r="H851" s="23" t="inlineStr">
        <is>
          <t>draft</t>
        </is>
      </c>
      <c r="I851" s="23" t="inlineStr">
        <is>
          <t>ROMANELLI</t>
        </is>
      </c>
      <c r="J851" s="23" t="n"/>
      <c r="K851" s="23" t="n"/>
      <c r="L851" s="23" t="inlineStr">
        <is>
          <t>CP01231 / 11186077 / 101-1037-009</t>
        </is>
      </c>
      <c r="M851" s="31" t="n"/>
      <c r="N851" s="31" t="n"/>
      <c r="O851" s="31" t="n"/>
      <c r="P851" s="31" t="n"/>
      <c r="Q851" s="31" t="n"/>
      <c r="R851" s="34">
        <f>IFERROR(IF(AND(O851&gt;0,P851&gt;0,Q851&gt;0),(O851*P851*Q851)/6000,""),"")</f>
        <v/>
      </c>
      <c r="S851" s="34">
        <f>IFERROR(IF(AND(N851&gt;0,R851&gt;0),MAX(N851,R851),IF(N851&gt;0,N851,IF(R851&gt;0,R851,""))),"")</f>
        <v/>
      </c>
      <c r="T851" s="36" t="n"/>
      <c r="U851" s="38" t="inlineStr">
        <is>
          <t>FALTA</t>
        </is>
      </c>
      <c r="V851" s="36" t="n">
        <v>858</v>
      </c>
      <c r="W851" s="39" t="n">
        <v>0.3</v>
      </c>
      <c r="X851" s="41">
        <f>IFERROR(V851+T851,"")</f>
        <v/>
      </c>
      <c r="Y851" s="41">
        <f>IFERROR(IF(W851&lt;1,X851/(1-W851),""),"")</f>
        <v/>
      </c>
      <c r="Z851" s="43">
        <f>'01_CONFIG_GLOBAL'!$C$14</f>
        <v/>
      </c>
      <c r="AA851" s="41">
        <f>IFERROR(Y851*Z851,"")</f>
        <v/>
      </c>
      <c r="AB851" s="41">
        <f>IFERROR(IF(Z851&lt;1,Y851/(1-Z851),""),"")</f>
        <v/>
      </c>
      <c r="AC851" s="23" t="n"/>
      <c r="AD851" s="36" t="n"/>
      <c r="AE851" s="23" t="n"/>
      <c r="AF851" s="36" t="n"/>
      <c r="AG851" s="23" t="n"/>
      <c r="AH851" s="36" t="n"/>
      <c r="AI851" s="41">
        <f>IFERROR(AVERAGE(AD851,AF851,AH851),"")</f>
        <v/>
      </c>
      <c r="AJ851" s="29">
        <f>IFERROR(IF(AI851="","sem dados",IF(AB851&lt;AI851*0.95,"abaixo",IF(AB851&gt;AI851*1.05,"acima","em linha"))),"")</f>
        <v/>
      </c>
      <c r="AK851" s="23" t="inlineStr">
        <is>
          <t>não</t>
        </is>
      </c>
      <c r="AL851" s="23" t="n"/>
      <c r="AM851" s="23" t="n"/>
      <c r="AN851" s="23" t="n"/>
      <c r="AO851" s="44">
        <f>A851</f>
        <v/>
      </c>
      <c r="AP851" s="44">
        <f>D851</f>
        <v/>
      </c>
    </row>
    <row r="852" hidden="1" ht="15.75" customHeight="1" s="93">
      <c r="A852" s="23" t="inlineStr">
        <is>
          <t>5.1621.0680001.1</t>
        </is>
      </c>
      <c r="B852" s="23" t="inlineStr">
        <is>
          <t>680001.1</t>
        </is>
      </c>
      <c r="C852" s="29">
        <f>IFERROR(LOWER(SUBSTITUTE(SUBSTITUTE(SUBSTITUTE(SUBSTITUTE(D852," ","-"),"/","-"),".",""),",","")),"")</f>
        <v/>
      </c>
      <c r="D852" s="23" t="inlineStr">
        <is>
          <t>MLR 50 C3.C2.P5</t>
        </is>
      </c>
      <c r="E852" s="23" t="n"/>
      <c r="F852" s="23" t="inlineStr">
        <is>
          <t>SOHIPREN</t>
        </is>
      </c>
      <c r="G852" s="23" t="n"/>
      <c r="H852" s="23" t="inlineStr">
        <is>
          <t>draft</t>
        </is>
      </c>
      <c r="I852" s="23" t="inlineStr">
        <is>
          <t>ROMANELLI</t>
        </is>
      </c>
      <c r="J852" s="23" t="n"/>
      <c r="K852" s="23" t="n"/>
      <c r="L852" s="23" t="inlineStr">
        <is>
          <t>11186162/103-1537-012/CP01229</t>
        </is>
      </c>
      <c r="M852" s="31" t="n"/>
      <c r="N852" s="31" t="n"/>
      <c r="O852" s="31" t="n"/>
      <c r="P852" s="31" t="n"/>
      <c r="Q852" s="31" t="n"/>
      <c r="R852" s="34">
        <f>IFERROR(IF(AND(O852&gt;0,P852&gt;0,Q852&gt;0),(O852*P852*Q852)/6000,""),"")</f>
        <v/>
      </c>
      <c r="S852" s="34">
        <f>IFERROR(IF(AND(N852&gt;0,R852&gt;0),MAX(N852,R852),IF(N852&gt;0,N852,IF(R852&gt;0,R852,""))),"")</f>
        <v/>
      </c>
      <c r="T852" s="36" t="n"/>
      <c r="U852" s="38" t="inlineStr">
        <is>
          <t>FALTA</t>
        </is>
      </c>
      <c r="V852" s="36" t="n">
        <v>1037.3</v>
      </c>
      <c r="W852" s="39" t="n">
        <v>0.3</v>
      </c>
      <c r="X852" s="41">
        <f>IFERROR(V852+T852,"")</f>
        <v/>
      </c>
      <c r="Y852" s="41">
        <f>IFERROR(IF(W852&lt;1,X852/(1-W852),""),"")</f>
        <v/>
      </c>
      <c r="Z852" s="43">
        <f>'01_CONFIG_GLOBAL'!$C$14</f>
        <v/>
      </c>
      <c r="AA852" s="41">
        <f>IFERROR(Y852*Z852,"")</f>
        <v/>
      </c>
      <c r="AB852" s="41">
        <f>IFERROR(IF(Z852&lt;1,Y852/(1-Z852),""),"")</f>
        <v/>
      </c>
      <c r="AC852" s="23" t="n"/>
      <c r="AD852" s="36" t="n"/>
      <c r="AE852" s="23" t="n"/>
      <c r="AF852" s="36" t="n"/>
      <c r="AG852" s="23" t="n"/>
      <c r="AH852" s="36" t="n"/>
      <c r="AI852" s="41">
        <f>IFERROR(AVERAGE(AD852,AF852,AH852),"")</f>
        <v/>
      </c>
      <c r="AJ852" s="29">
        <f>IFERROR(IF(AI852="","sem dados",IF(AB852&lt;AI852*0.95,"abaixo",IF(AB852&gt;AI852*1.05,"acima","em linha"))),"")</f>
        <v/>
      </c>
      <c r="AK852" s="23" t="inlineStr">
        <is>
          <t>não</t>
        </is>
      </c>
      <c r="AL852" s="23" t="n"/>
      <c r="AM852" s="23" t="n"/>
      <c r="AN852" s="23" t="n"/>
      <c r="AO852" s="44">
        <f>A852</f>
        <v/>
      </c>
      <c r="AP852" s="44">
        <f>D852</f>
        <v/>
      </c>
    </row>
    <row r="853" hidden="1" ht="15.75" customHeight="1" s="93">
      <c r="A853" s="23" t="inlineStr">
        <is>
          <t>5.1621.0680009.1</t>
        </is>
      </c>
      <c r="B853" s="23" t="inlineStr">
        <is>
          <t>680009.1</t>
        </is>
      </c>
      <c r="C853" s="29">
        <f>IFERROR(LOWER(SUBSTITUTE(SUBSTITUTE(SUBSTITUTE(SUBSTITUTE(D853," ","-"),"/","-"),".",""),",","")),"")</f>
        <v/>
      </c>
      <c r="D853" s="23" t="inlineStr">
        <is>
          <t>MLR 400 C3.C2.P5</t>
        </is>
      </c>
      <c r="E853" s="23" t="n"/>
      <c r="F853" s="23" t="inlineStr">
        <is>
          <t>SOHIPREN</t>
        </is>
      </c>
      <c r="G853" s="23" t="n"/>
      <c r="H853" s="23" t="inlineStr">
        <is>
          <t>draft</t>
        </is>
      </c>
      <c r="I853" s="23" t="inlineStr">
        <is>
          <t>ROMANELLI</t>
        </is>
      </c>
      <c r="J853" s="23" t="n"/>
      <c r="K853" s="23" t="n"/>
      <c r="L853" s="23" t="inlineStr">
        <is>
          <t>CP01234 / 11186161 / 103-1040-012</t>
        </is>
      </c>
      <c r="M853" s="31" t="n"/>
      <c r="N853" s="31" t="n"/>
      <c r="O853" s="31" t="n"/>
      <c r="P853" s="31" t="n"/>
      <c r="Q853" s="31" t="n"/>
      <c r="R853" s="34">
        <f>IFERROR(IF(AND(O853&gt;0,P853&gt;0,Q853&gt;0),(O853*P853*Q853)/6000,""),"")</f>
        <v/>
      </c>
      <c r="S853" s="34">
        <f>IFERROR(IF(AND(N853&gt;0,R853&gt;0),MAX(N853,R853),IF(N853&gt;0,N853,IF(R853&gt;0,R853,""))),"")</f>
        <v/>
      </c>
      <c r="T853" s="36" t="n"/>
      <c r="U853" s="38" t="inlineStr">
        <is>
          <t>FALTA</t>
        </is>
      </c>
      <c r="V853" s="36" t="n">
        <v>964.3099999999999</v>
      </c>
      <c r="W853" s="39" t="n">
        <v>0.3</v>
      </c>
      <c r="X853" s="41">
        <f>IFERROR(V853+T853,"")</f>
        <v/>
      </c>
      <c r="Y853" s="41">
        <f>IFERROR(IF(W853&lt;1,X853/(1-W853),""),"")</f>
        <v/>
      </c>
      <c r="Z853" s="43">
        <f>'01_CONFIG_GLOBAL'!$C$14</f>
        <v/>
      </c>
      <c r="AA853" s="41">
        <f>IFERROR(Y853*Z853,"")</f>
        <v/>
      </c>
      <c r="AB853" s="41">
        <f>IFERROR(IF(Z853&lt;1,Y853/(1-Z853),""),"")</f>
        <v/>
      </c>
      <c r="AC853" s="23" t="n"/>
      <c r="AD853" s="36" t="n"/>
      <c r="AE853" s="23" t="n"/>
      <c r="AF853" s="36" t="n"/>
      <c r="AG853" s="23" t="n"/>
      <c r="AH853" s="36" t="n"/>
      <c r="AI853" s="41">
        <f>IFERROR(AVERAGE(AD853,AF853,AH853),"")</f>
        <v/>
      </c>
      <c r="AJ853" s="29">
        <f>IFERROR(IF(AI853="","sem dados",IF(AB853&lt;AI853*0.95,"abaixo",IF(AB853&gt;AI853*1.05,"acima","em linha"))),"")</f>
        <v/>
      </c>
      <c r="AK853" s="23" t="inlineStr">
        <is>
          <t>não</t>
        </is>
      </c>
      <c r="AL853" s="23" t="n"/>
      <c r="AM853" s="23" t="n"/>
      <c r="AN853" s="23" t="n"/>
      <c r="AO853" s="44">
        <f>A853</f>
        <v/>
      </c>
      <c r="AP853" s="44">
        <f>D853</f>
        <v/>
      </c>
    </row>
    <row r="854" hidden="1" ht="15.75" customHeight="1" s="93">
      <c r="A854" s="23" t="inlineStr">
        <is>
          <t>5.1621.0670011.1</t>
        </is>
      </c>
      <c r="B854" s="23" t="inlineStr">
        <is>
          <t>670011.1</t>
        </is>
      </c>
      <c r="C854" s="29">
        <f>IFERROR(LOWER(SUBSTITUTE(SUBSTITUTE(SUBSTITUTE(SUBSTITUTE(D854," ","-"),"/","-"),".",""),",","")),"")</f>
        <v/>
      </c>
      <c r="D854" s="23" t="inlineStr">
        <is>
          <t>MLS 80 C5.C2.P5</t>
        </is>
      </c>
      <c r="E854" s="23" t="n"/>
      <c r="F854" s="23" t="inlineStr">
        <is>
          <t>SOHIPREN</t>
        </is>
      </c>
      <c r="G854" s="23" t="n"/>
      <c r="H854" s="23" t="inlineStr">
        <is>
          <t>draft</t>
        </is>
      </c>
      <c r="I854" s="23" t="inlineStr">
        <is>
          <t>ROMANELLI</t>
        </is>
      </c>
      <c r="J854" s="23" t="n"/>
      <c r="K854" s="23" t="n"/>
      <c r="L854" s="23" t="inlineStr">
        <is>
          <t>CP01235 / 151F2316 / 104-1022-006</t>
        </is>
      </c>
      <c r="M854" s="31" t="n"/>
      <c r="N854" s="31" t="n"/>
      <c r="O854" s="31" t="n"/>
      <c r="P854" s="31" t="n"/>
      <c r="Q854" s="31" t="n"/>
      <c r="R854" s="34">
        <f>IFERROR(IF(AND(O854&gt;0,P854&gt;0,Q854&gt;0),(O854*P854*Q854)/6000,""),"")</f>
        <v/>
      </c>
      <c r="S854" s="34">
        <f>IFERROR(IF(AND(N854&gt;0,R854&gt;0),MAX(N854,R854),IF(N854&gt;0,N854,IF(R854&gt;0,R854,""))),"")</f>
        <v/>
      </c>
      <c r="T854" s="36" t="n"/>
      <c r="U854" s="38" t="inlineStr">
        <is>
          <t>FALTA</t>
        </is>
      </c>
      <c r="V854" s="36" t="n">
        <v>1397.23</v>
      </c>
      <c r="W854" s="39" t="n">
        <v>0.3</v>
      </c>
      <c r="X854" s="41">
        <f>IFERROR(V854+T854,"")</f>
        <v/>
      </c>
      <c r="Y854" s="41">
        <f>IFERROR(IF(W854&lt;1,X854/(1-W854),""),"")</f>
        <v/>
      </c>
      <c r="Z854" s="43">
        <f>'01_CONFIG_GLOBAL'!$C$14</f>
        <v/>
      </c>
      <c r="AA854" s="41">
        <f>IFERROR(Y854*Z854,"")</f>
        <v/>
      </c>
      <c r="AB854" s="41">
        <f>IFERROR(IF(Z854&lt;1,Y854/(1-Z854),""),"")</f>
        <v/>
      </c>
      <c r="AC854" s="23" t="n"/>
      <c r="AD854" s="36" t="n"/>
      <c r="AE854" s="23" t="n"/>
      <c r="AF854" s="36" t="n"/>
      <c r="AG854" s="23" t="n"/>
      <c r="AH854" s="36" t="n"/>
      <c r="AI854" s="41">
        <f>IFERROR(AVERAGE(AD854,AF854,AH854),"")</f>
        <v/>
      </c>
      <c r="AJ854" s="29">
        <f>IFERROR(IF(AI854="","sem dados",IF(AB854&lt;AI854*0.95,"abaixo",IF(AB854&gt;AI854*1.05,"acima","em linha"))),"")</f>
        <v/>
      </c>
      <c r="AK854" s="23" t="inlineStr">
        <is>
          <t>não</t>
        </is>
      </c>
      <c r="AL854" s="23" t="n"/>
      <c r="AM854" s="23" t="n"/>
      <c r="AN854" s="23" t="n"/>
      <c r="AO854" s="44">
        <f>A854</f>
        <v/>
      </c>
      <c r="AP854" s="44">
        <f>D854</f>
        <v/>
      </c>
    </row>
    <row r="855" hidden="1" ht="15.75" customHeight="1" s="93">
      <c r="A855" s="23" t="inlineStr">
        <is>
          <t>5.1621.0660008.1</t>
        </is>
      </c>
      <c r="B855" s="23" t="inlineStr">
        <is>
          <t>660008.1</t>
        </is>
      </c>
      <c r="C855" s="29">
        <f>IFERROR(LOWER(SUBSTITUTE(SUBSTITUTE(SUBSTITUTE(SUBSTITUTE(D855," ","-"),"/","-"),".",""),",","")),"")</f>
        <v/>
      </c>
      <c r="D855" s="23" t="inlineStr">
        <is>
          <t>MLRS 315 C3.C2.P5</t>
        </is>
      </c>
      <c r="E855" s="23" t="n"/>
      <c r="F855" s="23" t="inlineStr">
        <is>
          <t>SOHIPREN</t>
        </is>
      </c>
      <c r="G855" s="23" t="n"/>
      <c r="H855" s="23" t="inlineStr">
        <is>
          <t>draft</t>
        </is>
      </c>
      <c r="I855" s="23" t="inlineStr">
        <is>
          <t>ROMANELLI</t>
        </is>
      </c>
      <c r="J855" s="23" t="n"/>
      <c r="K855" s="23" t="n"/>
      <c r="L855" s="23" t="inlineStr">
        <is>
          <t>11186156/103-1039-012/CP01233</t>
        </is>
      </c>
      <c r="M855" s="31" t="n"/>
      <c r="N855" s="31" t="n"/>
      <c r="O855" s="31" t="n"/>
      <c r="P855" s="31" t="n"/>
      <c r="Q855" s="31" t="n"/>
      <c r="R855" s="34">
        <f>IFERROR(IF(AND(O855&gt;0,P855&gt;0,Q855&gt;0),(O855*P855*Q855)/6000,""),"")</f>
        <v/>
      </c>
      <c r="S855" s="34">
        <f>IFERROR(IF(AND(N855&gt;0,R855&gt;0),MAX(N855,R855),IF(N855&gt;0,N855,IF(R855&gt;0,R855,""))),"")</f>
        <v/>
      </c>
      <c r="T855" s="36" t="n"/>
      <c r="U855" s="38" t="inlineStr">
        <is>
          <t>FALTA</t>
        </is>
      </c>
      <c r="V855" s="36" t="n">
        <v>919</v>
      </c>
      <c r="W855" s="39" t="n">
        <v>0.3</v>
      </c>
      <c r="X855" s="41">
        <f>IFERROR(V855+T855,"")</f>
        <v/>
      </c>
      <c r="Y855" s="41">
        <f>IFERROR(IF(W855&lt;1,X855/(1-W855),""),"")</f>
        <v/>
      </c>
      <c r="Z855" s="43">
        <f>'01_CONFIG_GLOBAL'!$C$14</f>
        <v/>
      </c>
      <c r="AA855" s="41">
        <f>IFERROR(Y855*Z855,"")</f>
        <v/>
      </c>
      <c r="AB855" s="41">
        <f>IFERROR(IF(Z855&lt;1,Y855/(1-Z855),""),"")</f>
        <v/>
      </c>
      <c r="AC855" s="23" t="n"/>
      <c r="AD855" s="36" t="n"/>
      <c r="AE855" s="23" t="n"/>
      <c r="AF855" s="36" t="n"/>
      <c r="AG855" s="23" t="n"/>
      <c r="AH855" s="36" t="n"/>
      <c r="AI855" s="41">
        <f>IFERROR(AVERAGE(AD855,AF855,AH855),"")</f>
        <v/>
      </c>
      <c r="AJ855" s="29">
        <f>IFERROR(IF(AI855="","sem dados",IF(AB855&lt;AI855*0.95,"abaixo",IF(AB855&gt;AI855*1.05,"acima","em linha"))),"")</f>
        <v/>
      </c>
      <c r="AK855" s="23" t="inlineStr">
        <is>
          <t>não</t>
        </is>
      </c>
      <c r="AL855" s="23" t="n"/>
      <c r="AM855" s="23" t="n"/>
      <c r="AN855" s="23" t="n"/>
      <c r="AO855" s="44">
        <f>A855</f>
        <v/>
      </c>
      <c r="AP855" s="44">
        <f>D855</f>
        <v/>
      </c>
    </row>
    <row r="856" hidden="1" ht="15.75" customHeight="1" s="93">
      <c r="A856" s="23" t="inlineStr">
        <is>
          <t>5.1621.0670050.1</t>
        </is>
      </c>
      <c r="B856" s="23" t="inlineStr">
        <is>
          <t>670050.1</t>
        </is>
      </c>
      <c r="C856" s="29">
        <f>IFERROR(LOWER(SUBSTITUTE(SUBSTITUTE(SUBSTITUTE(SUBSTITUTE(D856," ","-"),"/","-"),".",""),",","")),"")</f>
        <v/>
      </c>
      <c r="D856" s="23" t="inlineStr">
        <is>
          <t>MLS 315 E200.C2.P5 (14 DENTES)</t>
        </is>
      </c>
      <c r="E856" s="23" t="n"/>
      <c r="F856" s="23" t="inlineStr">
        <is>
          <t>SOHIPREN</t>
        </is>
      </c>
      <c r="G856" s="23" t="n"/>
      <c r="H856" s="23" t="inlineStr">
        <is>
          <t>draft</t>
        </is>
      </c>
      <c r="I856" s="23" t="inlineStr">
        <is>
          <t>ROMANELLI</t>
        </is>
      </c>
      <c r="J856" s="23" t="n"/>
      <c r="K856" s="23" t="n"/>
      <c r="L856" s="23" t="inlineStr">
        <is>
          <t>CP01238/104-3279-006/151F2421</t>
        </is>
      </c>
      <c r="M856" s="31" t="n"/>
      <c r="N856" s="31" t="n"/>
      <c r="O856" s="31" t="n"/>
      <c r="P856" s="31" t="n"/>
      <c r="Q856" s="31" t="n"/>
      <c r="R856" s="34">
        <f>IFERROR(IF(AND(O856&gt;0,P856&gt;0,Q856&gt;0),(O856*P856*Q856)/6000,""),"")</f>
        <v/>
      </c>
      <c r="S856" s="34">
        <f>IFERROR(IF(AND(N856&gt;0,R856&gt;0),MAX(N856,R856),IF(N856&gt;0,N856,IF(R856&gt;0,R856,""))),"")</f>
        <v/>
      </c>
      <c r="T856" s="36" t="n"/>
      <c r="U856" s="38" t="inlineStr">
        <is>
          <t>FALTA</t>
        </is>
      </c>
      <c r="V856" s="36" t="n">
        <v>1879</v>
      </c>
      <c r="W856" s="39" t="n">
        <v>0.3</v>
      </c>
      <c r="X856" s="41">
        <f>IFERROR(V856+T856,"")</f>
        <v/>
      </c>
      <c r="Y856" s="41">
        <f>IFERROR(IF(W856&lt;1,X856/(1-W856),""),"")</f>
        <v/>
      </c>
      <c r="Z856" s="43">
        <f>'01_CONFIG_GLOBAL'!$C$14</f>
        <v/>
      </c>
      <c r="AA856" s="41">
        <f>IFERROR(Y856*Z856,"")</f>
        <v/>
      </c>
      <c r="AB856" s="41">
        <f>IFERROR(IF(Z856&lt;1,Y856/(1-Z856),""),"")</f>
        <v/>
      </c>
      <c r="AC856" s="23" t="n"/>
      <c r="AD856" s="36" t="n"/>
      <c r="AE856" s="23" t="n"/>
      <c r="AF856" s="36" t="n"/>
      <c r="AG856" s="23" t="n"/>
      <c r="AH856" s="36" t="n"/>
      <c r="AI856" s="41">
        <f>IFERROR(AVERAGE(AD856,AF856,AH856),"")</f>
        <v/>
      </c>
      <c r="AJ856" s="29">
        <f>IFERROR(IF(AI856="","sem dados",IF(AB856&lt;AI856*0.95,"abaixo",IF(AB856&gt;AI856*1.05,"acima","em linha"))),"")</f>
        <v/>
      </c>
      <c r="AK856" s="23" t="inlineStr">
        <is>
          <t>não</t>
        </is>
      </c>
      <c r="AL856" s="23" t="n"/>
      <c r="AM856" s="23" t="n"/>
      <c r="AN856" s="23" t="n"/>
      <c r="AO856" s="44">
        <f>A856</f>
        <v/>
      </c>
      <c r="AP856" s="44">
        <f>D856</f>
        <v/>
      </c>
    </row>
    <row r="857" hidden="1" ht="15.75" customHeight="1" s="93">
      <c r="A857" s="23" t="inlineStr">
        <is>
          <t>5.1621.0670017.1</t>
        </is>
      </c>
      <c r="B857" s="23" t="inlineStr">
        <is>
          <t>670017.1</t>
        </is>
      </c>
      <c r="C857" s="29">
        <f>IFERROR(LOWER(SUBSTITUTE(SUBSTITUTE(SUBSTITUTE(SUBSTITUTE(D857," ","-"),"/","-"),".",""),",","")),"")</f>
        <v/>
      </c>
      <c r="D857" s="23" t="inlineStr">
        <is>
          <t>MOTOR ORBITAL 315 Cm³/Rot ( S )</t>
        </is>
      </c>
      <c r="E857" s="23" t="n"/>
      <c r="F857" s="23" t="inlineStr">
        <is>
          <t>SOHIPREN</t>
        </is>
      </c>
      <c r="G857" s="23" t="n"/>
      <c r="H857" s="23" t="inlineStr">
        <is>
          <t>draft</t>
        </is>
      </c>
      <c r="I857" s="23" t="inlineStr">
        <is>
          <t>ROMANELLI</t>
        </is>
      </c>
      <c r="J857" s="23" t="n"/>
      <c r="K857" s="23" t="n"/>
      <c r="L857" s="23" t="inlineStr">
        <is>
          <t>151F2322/104-1028-006/CP04211</t>
        </is>
      </c>
      <c r="M857" s="31" t="n"/>
      <c r="N857" s="31" t="n"/>
      <c r="O857" s="31" t="n"/>
      <c r="P857" s="31" t="n"/>
      <c r="Q857" s="31" t="n"/>
      <c r="R857" s="34">
        <f>IFERROR(IF(AND(O857&gt;0,P857&gt;0,Q857&gt;0),(O857*P857*Q857)/6000,""),"")</f>
        <v/>
      </c>
      <c r="S857" s="34">
        <f>IFERROR(IF(AND(N857&gt;0,R857&gt;0),MAX(N857,R857),IF(N857&gt;0,N857,IF(R857&gt;0,R857,""))),"")</f>
        <v/>
      </c>
      <c r="T857" s="36" t="n"/>
      <c r="U857" s="38" t="inlineStr">
        <is>
          <t>FALTA</t>
        </is>
      </c>
      <c r="V857" s="36" t="n">
        <v>1272.68</v>
      </c>
      <c r="W857" s="39" t="n">
        <v>0.3</v>
      </c>
      <c r="X857" s="41">
        <f>IFERROR(V857+T857,"")</f>
        <v/>
      </c>
      <c r="Y857" s="41">
        <f>IFERROR(IF(W857&lt;1,X857/(1-W857),""),"")</f>
        <v/>
      </c>
      <c r="Z857" s="43">
        <f>'01_CONFIG_GLOBAL'!$C$14</f>
        <v/>
      </c>
      <c r="AA857" s="41">
        <f>IFERROR(Y857*Z857,"")</f>
        <v/>
      </c>
      <c r="AB857" s="41">
        <f>IFERROR(IF(Z857&lt;1,Y857/(1-Z857),""),"")</f>
        <v/>
      </c>
      <c r="AC857" s="23" t="n"/>
      <c r="AD857" s="36" t="n"/>
      <c r="AE857" s="23" t="n"/>
      <c r="AF857" s="36" t="n"/>
      <c r="AG857" s="23" t="n"/>
      <c r="AH857" s="36" t="n"/>
      <c r="AI857" s="41">
        <f>IFERROR(AVERAGE(AD857,AF857,AH857),"")</f>
        <v/>
      </c>
      <c r="AJ857" s="29">
        <f>IFERROR(IF(AI857="","sem dados",IF(AB857&lt;AI857*0.95,"abaixo",IF(AB857&gt;AI857*1.05,"acima","em linha"))),"")</f>
        <v/>
      </c>
      <c r="AK857" s="23" t="inlineStr">
        <is>
          <t>não</t>
        </is>
      </c>
      <c r="AL857" s="23" t="n"/>
      <c r="AM857" s="23" t="n"/>
      <c r="AN857" s="23" t="n"/>
      <c r="AO857" s="44">
        <f>A857</f>
        <v/>
      </c>
      <c r="AP857" s="44">
        <f>D857</f>
        <v/>
      </c>
    </row>
    <row r="858" hidden="1" ht="15.75" customHeight="1" s="93">
      <c r="A858" s="23" t="inlineStr">
        <is>
          <t>5.1621.0670014.1</t>
        </is>
      </c>
      <c r="B858" s="23" t="inlineStr">
        <is>
          <t>670014.1</t>
        </is>
      </c>
      <c r="C858" s="29">
        <f>IFERROR(LOWER(SUBSTITUTE(SUBSTITUTE(SUBSTITUTE(SUBSTITUTE(D858," ","-"),"/","-"),".",""),",","")),"")</f>
        <v/>
      </c>
      <c r="D858" s="23" t="inlineStr">
        <is>
          <t>MLS 160 C5.C2.P5</t>
        </is>
      </c>
      <c r="E858" s="23" t="n"/>
      <c r="F858" s="23" t="inlineStr">
        <is>
          <t>SOHIPREN</t>
        </is>
      </c>
      <c r="G858" s="23" t="n"/>
      <c r="H858" s="23" t="inlineStr">
        <is>
          <t>draft</t>
        </is>
      </c>
      <c r="I858" s="23" t="inlineStr">
        <is>
          <t>ROMANELLI</t>
        </is>
      </c>
      <c r="J858" s="23" t="n"/>
      <c r="K858" s="23" t="n"/>
      <c r="L858" s="23" t="inlineStr">
        <is>
          <t>CP06579 / 151F2319</t>
        </is>
      </c>
      <c r="M858" s="31" t="n"/>
      <c r="N858" s="31" t="n"/>
      <c r="O858" s="31" t="n"/>
      <c r="P858" s="31" t="n"/>
      <c r="Q858" s="31" t="n"/>
      <c r="R858" s="34">
        <f>IFERROR(IF(AND(O858&gt;0,P858&gt;0,Q858&gt;0),(O858*P858*Q858)/6000,""),"")</f>
        <v/>
      </c>
      <c r="S858" s="34">
        <f>IFERROR(IF(AND(N858&gt;0,R858&gt;0),MAX(N858,R858),IF(N858&gt;0,N858,IF(R858&gt;0,R858,""))),"")</f>
        <v/>
      </c>
      <c r="T858" s="36" t="n"/>
      <c r="U858" s="38" t="inlineStr">
        <is>
          <t>FALTA</t>
        </is>
      </c>
      <c r="V858" s="36" t="n">
        <v>1280.54</v>
      </c>
      <c r="W858" s="39" t="n">
        <v>0.3</v>
      </c>
      <c r="X858" s="41">
        <f>IFERROR(V858+T858,"")</f>
        <v/>
      </c>
      <c r="Y858" s="41">
        <f>IFERROR(IF(W858&lt;1,X858/(1-W858),""),"")</f>
        <v/>
      </c>
      <c r="Z858" s="43">
        <f>'01_CONFIG_GLOBAL'!$C$14</f>
        <v/>
      </c>
      <c r="AA858" s="41">
        <f>IFERROR(Y858*Z858,"")</f>
        <v/>
      </c>
      <c r="AB858" s="41">
        <f>IFERROR(IF(Z858&lt;1,Y858/(1-Z858),""),"")</f>
        <v/>
      </c>
      <c r="AC858" s="23" t="n"/>
      <c r="AD858" s="36" t="n"/>
      <c r="AE858" s="23" t="n"/>
      <c r="AF858" s="36" t="n"/>
      <c r="AG858" s="23" t="n"/>
      <c r="AH858" s="36" t="n"/>
      <c r="AI858" s="41">
        <f>IFERROR(AVERAGE(AD858,AF858,AH858),"")</f>
        <v/>
      </c>
      <c r="AJ858" s="29">
        <f>IFERROR(IF(AI858="","sem dados",IF(AB858&lt;AI858*0.95,"abaixo",IF(AB858&gt;AI858*1.05,"acima","em linha"))),"")</f>
        <v/>
      </c>
      <c r="AK858" s="23" t="inlineStr">
        <is>
          <t>não</t>
        </is>
      </c>
      <c r="AL858" s="23" t="n"/>
      <c r="AM858" s="23" t="n"/>
      <c r="AN858" s="23" t="n"/>
      <c r="AO858" s="44">
        <f>A858</f>
        <v/>
      </c>
      <c r="AP858" s="44">
        <f>D858</f>
        <v/>
      </c>
    </row>
    <row r="859" hidden="1" ht="15.75" customHeight="1" s="93">
      <c r="A859" s="23" t="inlineStr">
        <is>
          <t>5.1621.0670015.1</t>
        </is>
      </c>
      <c r="B859" s="23" t="inlineStr">
        <is>
          <t>670015.1</t>
        </is>
      </c>
      <c r="C859" s="29">
        <f>IFERROR(LOWER(SUBSTITUTE(SUBSTITUTE(SUBSTITUTE(SUBSTITUTE(D859," ","-"),"/","-"),".",""),",","")),"")</f>
        <v/>
      </c>
      <c r="D859" s="23" t="inlineStr">
        <is>
          <t>MLS 200 C5.C2.P5</t>
        </is>
      </c>
      <c r="E859" s="23" t="n"/>
      <c r="F859" s="23" t="inlineStr">
        <is>
          <t>SOHIPREN</t>
        </is>
      </c>
      <c r="G859" s="23" t="n"/>
      <c r="H859" s="23" t="inlineStr">
        <is>
          <t>draft</t>
        </is>
      </c>
      <c r="I859" s="23" t="inlineStr">
        <is>
          <t>ROMANELLI</t>
        </is>
      </c>
      <c r="J859" s="23" t="n"/>
      <c r="K859" s="23" t="n"/>
      <c r="L859" s="23" t="inlineStr">
        <is>
          <t>CP06522 / 151F2320</t>
        </is>
      </c>
      <c r="M859" s="31" t="n"/>
      <c r="N859" s="31" t="n"/>
      <c r="O859" s="31" t="n"/>
      <c r="P859" s="31" t="n"/>
      <c r="Q859" s="31" t="n"/>
      <c r="R859" s="34">
        <f>IFERROR(IF(AND(O859&gt;0,P859&gt;0,Q859&gt;0),(O859*P859*Q859)/6000,""),"")</f>
        <v/>
      </c>
      <c r="S859" s="34">
        <f>IFERROR(IF(AND(N859&gt;0,R859&gt;0),MAX(N859,R859),IF(N859&gt;0,N859,IF(R859&gt;0,R859,""))),"")</f>
        <v/>
      </c>
      <c r="T859" s="36" t="n"/>
      <c r="U859" s="38" t="inlineStr">
        <is>
          <t>FALTA</t>
        </is>
      </c>
      <c r="V859" s="36" t="n">
        <v>1282.23</v>
      </c>
      <c r="W859" s="39" t="n">
        <v>0.3</v>
      </c>
      <c r="X859" s="41">
        <f>IFERROR(V859+T859,"")</f>
        <v/>
      </c>
      <c r="Y859" s="41">
        <f>IFERROR(IF(W859&lt;1,X859/(1-W859),""),"")</f>
        <v/>
      </c>
      <c r="Z859" s="43">
        <f>'01_CONFIG_GLOBAL'!$C$14</f>
        <v/>
      </c>
      <c r="AA859" s="41">
        <f>IFERROR(Y859*Z859,"")</f>
        <v/>
      </c>
      <c r="AB859" s="41">
        <f>IFERROR(IF(Z859&lt;1,Y859/(1-Z859),""),"")</f>
        <v/>
      </c>
      <c r="AC859" s="23" t="n"/>
      <c r="AD859" s="36" t="n"/>
      <c r="AE859" s="23" t="n"/>
      <c r="AF859" s="36" t="n"/>
      <c r="AG859" s="23" t="n"/>
      <c r="AH859" s="36" t="n"/>
      <c r="AI859" s="41">
        <f>IFERROR(AVERAGE(AD859,AF859,AH859),"")</f>
        <v/>
      </c>
      <c r="AJ859" s="29">
        <f>IFERROR(IF(AI859="","sem dados",IF(AB859&lt;AI859*0.95,"abaixo",IF(AB859&gt;AI859*1.05,"acima","em linha"))),"")</f>
        <v/>
      </c>
      <c r="AK859" s="23" t="inlineStr">
        <is>
          <t>não</t>
        </is>
      </c>
      <c r="AL859" s="23" t="n"/>
      <c r="AM859" s="23" t="n"/>
      <c r="AN859" s="23" t="n"/>
      <c r="AO859" s="44">
        <f>A859</f>
        <v/>
      </c>
      <c r="AP859" s="44">
        <f>D859</f>
        <v/>
      </c>
    </row>
    <row r="860" hidden="1" ht="15.75" customHeight="1" s="93">
      <c r="A860" s="23" t="inlineStr">
        <is>
          <t>5.1621.0740011.1</t>
        </is>
      </c>
      <c r="B860" s="23" t="inlineStr">
        <is>
          <t>740011</t>
        </is>
      </c>
      <c r="C860" s="29">
        <f>IFERROR(LOWER(SUBSTITUTE(SUBSTITUTE(SUBSTITUTE(SUBSTITUTE(D860," ","-"),"/","-"),".",""),",","")),"")</f>
        <v/>
      </c>
      <c r="D860" s="23" t="inlineStr">
        <is>
          <t>MLPH 400 C3.C2.P5</t>
        </is>
      </c>
      <c r="E860" s="23" t="n"/>
      <c r="F860" s="23" t="inlineStr">
        <is>
          <t>SOHIPREN</t>
        </is>
      </c>
      <c r="G860" s="23" t="n"/>
      <c r="H860" s="23" t="inlineStr">
        <is>
          <t>draft</t>
        </is>
      </c>
      <c r="I860" s="23" t="inlineStr">
        <is>
          <t>ROMANELLI</t>
        </is>
      </c>
      <c r="J860" s="23" t="n"/>
      <c r="K860" s="23" t="inlineStr">
        <is>
          <t>MOTOR HIDRÁULICO</t>
        </is>
      </c>
      <c r="L860" s="23" t="inlineStr">
        <is>
          <t>CP01232/101-1040-009</t>
        </is>
      </c>
      <c r="M860" s="31" t="n"/>
      <c r="N860" s="31" t="n"/>
      <c r="O860" s="31" t="n"/>
      <c r="P860" s="31" t="n"/>
      <c r="Q860" s="31" t="n"/>
      <c r="R860" s="34">
        <f>IFERROR(IF(AND(O860&gt;0,P860&gt;0,Q860&gt;0),(O860*P860*Q860)/6000,""),"")</f>
        <v/>
      </c>
      <c r="S860" s="34">
        <f>IFERROR(IF(AND(N860&gt;0,R860&gt;0),MAX(N860,R860),IF(N860&gt;0,N860,IF(R860&gt;0,R860,""))),"")</f>
        <v/>
      </c>
      <c r="T860" s="36" t="n"/>
      <c r="U860" s="38" t="inlineStr">
        <is>
          <t>FALTA</t>
        </is>
      </c>
      <c r="V860" s="36" t="n">
        <v>1045</v>
      </c>
      <c r="W860" s="39" t="n">
        <v>0.3</v>
      </c>
      <c r="X860" s="41">
        <f>IFERROR(V860+T860,"")</f>
        <v/>
      </c>
      <c r="Y860" s="41">
        <f>IFERROR(IF(W860&lt;1,X860/(1-W860),""),"")</f>
        <v/>
      </c>
      <c r="Z860" s="43">
        <f>'01_CONFIG_GLOBAL'!$C$14</f>
        <v/>
      </c>
      <c r="AA860" s="41">
        <f>IFERROR(Y860*Z860,"")</f>
        <v/>
      </c>
      <c r="AB860" s="41">
        <f>IFERROR(IF(Z860&lt;1,Y860/(1-Z860),""),"")</f>
        <v/>
      </c>
      <c r="AC860" s="23" t="n"/>
      <c r="AD860" s="36" t="n"/>
      <c r="AE860" s="23" t="n"/>
      <c r="AF860" s="36" t="n"/>
      <c r="AG860" s="23" t="n"/>
      <c r="AH860" s="36" t="n"/>
      <c r="AI860" s="41">
        <f>IFERROR(AVERAGE(AD860,AF860,AH860),"")</f>
        <v/>
      </c>
      <c r="AJ860" s="29">
        <f>IFERROR(IF(AI860="","sem dados",IF(AB860&lt;AI860*0.95,"abaixo",IF(AB860&gt;AI860*1.05,"acima","em linha"))),"")</f>
        <v/>
      </c>
      <c r="AK860" s="23" t="inlineStr">
        <is>
          <t>não</t>
        </is>
      </c>
      <c r="AL860" s="23" t="n"/>
      <c r="AM860" s="23" t="n"/>
      <c r="AN860" s="23" t="n"/>
      <c r="AO860" s="44">
        <f>A860</f>
        <v/>
      </c>
      <c r="AP860" s="44">
        <f>D860</f>
        <v/>
      </c>
    </row>
    <row r="861" hidden="1" ht="15.75" customHeight="1" s="93">
      <c r="A861" s="23" t="inlineStr">
        <is>
          <t>5.1621.0700059.1</t>
        </is>
      </c>
      <c r="B861" s="23" t="inlineStr">
        <is>
          <t>700059.1</t>
        </is>
      </c>
      <c r="C861" s="29">
        <f>IFERROR(LOWER(SUBSTITUTE(SUBSTITUTE(SUBSTITUTE(SUBSTITUTE(D861," ","-"),"/","-"),".",""),",","")),"")</f>
        <v/>
      </c>
      <c r="D861" s="23" t="inlineStr">
        <is>
          <t>MLT 200 C200.B300.P200 (1. 1/16" UNF)</t>
        </is>
      </c>
      <c r="E861" s="23" t="n"/>
      <c r="F861" s="23" t="inlineStr">
        <is>
          <t>SOHIPREN</t>
        </is>
      </c>
      <c r="G861" s="23" t="n"/>
      <c r="H861" s="23" t="inlineStr">
        <is>
          <t>draft</t>
        </is>
      </c>
      <c r="I861" s="23" t="inlineStr">
        <is>
          <t>ROMANELLI</t>
        </is>
      </c>
      <c r="J861" s="23" t="inlineStr">
        <is>
          <t>DIVERSOS</t>
        </is>
      </c>
      <c r="K861" s="23" t="n"/>
      <c r="L861" s="23" t="inlineStr">
        <is>
          <t>151B2057/CP06524/109-1117-06</t>
        </is>
      </c>
      <c r="M861" s="31" t="n"/>
      <c r="N861" s="31" t="n"/>
      <c r="O861" s="31" t="n"/>
      <c r="P861" s="31" t="n"/>
      <c r="Q861" s="31" t="n"/>
      <c r="R861" s="34">
        <f>IFERROR(IF(AND(O861&gt;0,P861&gt;0,Q861&gt;0),(O861*P861*Q861)/6000,""),"")</f>
        <v/>
      </c>
      <c r="S861" s="34">
        <f>IFERROR(IF(AND(N861&gt;0,R861&gt;0),MAX(N861,R861),IF(N861&gt;0,N861,IF(R861&gt;0,R861,""))),"")</f>
        <v/>
      </c>
      <c r="T861" s="36" t="n"/>
      <c r="U861" s="38" t="inlineStr">
        <is>
          <t>FALTA</t>
        </is>
      </c>
      <c r="V861" s="36" t="n">
        <v>3013</v>
      </c>
      <c r="W861" s="39" t="n">
        <v>0.3</v>
      </c>
      <c r="X861" s="41">
        <f>IFERROR(V861+T861,"")</f>
        <v/>
      </c>
      <c r="Y861" s="41">
        <f>IFERROR(IF(W861&lt;1,X861/(1-W861),""),"")</f>
        <v/>
      </c>
      <c r="Z861" s="43">
        <f>'01_CONFIG_GLOBAL'!$C$14</f>
        <v/>
      </c>
      <c r="AA861" s="41">
        <f>IFERROR(Y861*Z861,"")</f>
        <v/>
      </c>
      <c r="AB861" s="41">
        <f>IFERROR(IF(Z861&lt;1,Y861/(1-Z861),""),"")</f>
        <v/>
      </c>
      <c r="AC861" s="23" t="n"/>
      <c r="AD861" s="36" t="n"/>
      <c r="AE861" s="23" t="n"/>
      <c r="AF861" s="36" t="n"/>
      <c r="AG861" s="23" t="n"/>
      <c r="AH861" s="36" t="n"/>
      <c r="AI861" s="41">
        <f>IFERROR(AVERAGE(AD861,AF861,AH861),"")</f>
        <v/>
      </c>
      <c r="AJ861" s="29">
        <f>IFERROR(IF(AI861="","sem dados",IF(AB861&lt;AI861*0.95,"abaixo",IF(AB861&gt;AI861*1.05,"acima","em linha"))),"")</f>
        <v/>
      </c>
      <c r="AK861" s="23" t="inlineStr">
        <is>
          <t>não</t>
        </is>
      </c>
      <c r="AL861" s="23" t="n"/>
      <c r="AM861" s="23" t="n"/>
      <c r="AN861" s="23" t="n"/>
      <c r="AO861" s="44">
        <f>A861</f>
        <v/>
      </c>
      <c r="AP861" s="44">
        <f>D861</f>
        <v/>
      </c>
    </row>
    <row r="862" hidden="1" ht="15.75" customHeight="1" s="93">
      <c r="A862" s="23" t="inlineStr">
        <is>
          <t>5.1621.0700058.1</t>
        </is>
      </c>
      <c r="B862" s="23" t="inlineStr">
        <is>
          <t>700058.1</t>
        </is>
      </c>
      <c r="C862" s="29">
        <f>IFERROR(LOWER(SUBSTITUTE(SUBSTITUTE(SUBSTITUTE(SUBSTITUTE(D862," ","-"),"/","-"),".",""),",","")),"")</f>
        <v/>
      </c>
      <c r="D862" s="23" t="inlineStr">
        <is>
          <t>MLT 400 E13.BX.PX (1. 1/16" UNF)</t>
        </is>
      </c>
      <c r="E862" s="23" t="n"/>
      <c r="F862" s="23" t="inlineStr">
        <is>
          <t>SOHIPREN</t>
        </is>
      </c>
      <c r="G862" s="23" t="n"/>
      <c r="H862" s="23" t="inlineStr">
        <is>
          <t>draft</t>
        </is>
      </c>
      <c r="I862" s="23" t="inlineStr">
        <is>
          <t>ROMANELLI</t>
        </is>
      </c>
      <c r="J862" s="23" t="n"/>
      <c r="K862" s="23" t="n"/>
      <c r="L862" s="23" t="n"/>
      <c r="M862" s="31" t="n"/>
      <c r="N862" s="31" t="n"/>
      <c r="O862" s="31" t="n"/>
      <c r="P862" s="31" t="n"/>
      <c r="Q862" s="31" t="n"/>
      <c r="R862" s="34">
        <f>IFERROR(IF(AND(O862&gt;0,P862&gt;0,Q862&gt;0),(O862*P862*Q862)/6000,""),"")</f>
        <v/>
      </c>
      <c r="S862" s="34">
        <f>IFERROR(IF(AND(N862&gt;0,R862&gt;0),MAX(N862,R862),IF(N862&gt;0,N862,IF(R862&gt;0,R862,""))),"")</f>
        <v/>
      </c>
      <c r="T862" s="36" t="n"/>
      <c r="U862" s="38" t="inlineStr">
        <is>
          <t>FALTA</t>
        </is>
      </c>
      <c r="V862" s="36" t="n">
        <v>3192</v>
      </c>
      <c r="W862" s="39" t="n">
        <v>0.3</v>
      </c>
      <c r="X862" s="41">
        <f>IFERROR(V862+T862,"")</f>
        <v/>
      </c>
      <c r="Y862" s="41">
        <f>IFERROR(IF(W862&lt;1,X862/(1-W862),""),"")</f>
        <v/>
      </c>
      <c r="Z862" s="43">
        <f>'01_CONFIG_GLOBAL'!$C$14</f>
        <v/>
      </c>
      <c r="AA862" s="41">
        <f>IFERROR(Y862*Z862,"")</f>
        <v/>
      </c>
      <c r="AB862" s="41">
        <f>IFERROR(IF(Z862&lt;1,Y862/(1-Z862),""),"")</f>
        <v/>
      </c>
      <c r="AC862" s="23" t="n"/>
      <c r="AD862" s="36" t="n"/>
      <c r="AE862" s="23" t="n"/>
      <c r="AF862" s="36" t="n"/>
      <c r="AG862" s="23" t="n"/>
      <c r="AH862" s="36" t="n"/>
      <c r="AI862" s="41">
        <f>IFERROR(AVERAGE(AD862,AF862,AH862),"")</f>
        <v/>
      </c>
      <c r="AJ862" s="29">
        <f>IFERROR(IF(AI862="","sem dados",IF(AB862&lt;AI862*0.95,"abaixo",IF(AB862&gt;AI862*1.05,"acima","em linha"))),"")</f>
        <v/>
      </c>
      <c r="AK862" s="23" t="inlineStr">
        <is>
          <t>não</t>
        </is>
      </c>
      <c r="AL862" s="23" t="n"/>
      <c r="AM862" s="23" t="n"/>
      <c r="AN862" s="23" t="n"/>
      <c r="AO862" s="44">
        <f>A862</f>
        <v/>
      </c>
      <c r="AP862" s="44">
        <f>D862</f>
        <v/>
      </c>
    </row>
    <row r="863" hidden="1" ht="15.75" customHeight="1" s="93">
      <c r="A863" s="23" t="inlineStr">
        <is>
          <t>5.1621.0700051.1</t>
        </is>
      </c>
      <c r="B863" s="23" t="inlineStr">
        <is>
          <t>700051</t>
        </is>
      </c>
      <c r="C863" s="29">
        <f>IFERROR(LOWER(SUBSTITUTE(SUBSTITUTE(SUBSTITUTE(SUBSTITUTE(D863," ","-"),"/","-"),".",""),",","")),"")</f>
        <v/>
      </c>
      <c r="D863" s="23" t="inlineStr">
        <is>
          <t>MLT 500 E13.BX.PX (1 1/16" UNF - 127 mm)</t>
        </is>
      </c>
      <c r="E863" s="23" t="n"/>
      <c r="F863" s="23" t="inlineStr">
        <is>
          <t>SOHIPREN</t>
        </is>
      </c>
      <c r="G863" s="23" t="n"/>
      <c r="H863" s="23" t="inlineStr">
        <is>
          <t>draft</t>
        </is>
      </c>
      <c r="I863" s="23" t="inlineStr">
        <is>
          <t>ROMANELLI</t>
        </is>
      </c>
      <c r="J863" s="23" t="n"/>
      <c r="K863" s="23" t="n"/>
      <c r="L863" s="23" t="inlineStr">
        <is>
          <t>151B3011/CP07158-VOMT500-K6-F-S-B-ZY</t>
        </is>
      </c>
      <c r="M863" s="31" t="n"/>
      <c r="N863" s="31" t="n"/>
      <c r="O863" s="31" t="n"/>
      <c r="P863" s="31" t="n"/>
      <c r="Q863" s="31" t="n"/>
      <c r="R863" s="34">
        <f>IFERROR(IF(AND(O863&gt;0,P863&gt;0,Q863&gt;0),(O863*P863*Q863)/6000,""),"")</f>
        <v/>
      </c>
      <c r="S863" s="34">
        <f>IFERROR(IF(AND(N863&gt;0,R863&gt;0),MAX(N863,R863),IF(N863&gt;0,N863,IF(R863&gt;0,R863,""))),"")</f>
        <v/>
      </c>
      <c r="T863" s="36" t="n"/>
      <c r="U863" s="38" t="inlineStr">
        <is>
          <t>FALTA</t>
        </is>
      </c>
      <c r="V863" s="36" t="n">
        <v>2737</v>
      </c>
      <c r="W863" s="39" t="n">
        <v>0.3</v>
      </c>
      <c r="X863" s="41">
        <f>IFERROR(V863+T863,"")</f>
        <v/>
      </c>
      <c r="Y863" s="41">
        <f>IFERROR(IF(W863&lt;1,X863/(1-W863),""),"")</f>
        <v/>
      </c>
      <c r="Z863" s="43">
        <f>'01_CONFIG_GLOBAL'!$C$14</f>
        <v/>
      </c>
      <c r="AA863" s="41">
        <f>IFERROR(Y863*Z863,"")</f>
        <v/>
      </c>
      <c r="AB863" s="41">
        <f>IFERROR(IF(Z863&lt;1,Y863/(1-Z863),""),"")</f>
        <v/>
      </c>
      <c r="AC863" s="23" t="n"/>
      <c r="AD863" s="36" t="n"/>
      <c r="AE863" s="23" t="n"/>
      <c r="AF863" s="36" t="n"/>
      <c r="AG863" s="23" t="n"/>
      <c r="AH863" s="36" t="n"/>
      <c r="AI863" s="41">
        <f>IFERROR(AVERAGE(AD863,AF863,AH863),"")</f>
        <v/>
      </c>
      <c r="AJ863" s="29">
        <f>IFERROR(IF(AI863="","sem dados",IF(AB863&lt;AI863*0.95,"abaixo",IF(AB863&gt;AI863*1.05,"acima","em linha"))),"")</f>
        <v/>
      </c>
      <c r="AK863" s="23" t="inlineStr">
        <is>
          <t>não</t>
        </is>
      </c>
      <c r="AL863" s="23" t="n"/>
      <c r="AM863" s="23" t="n"/>
      <c r="AN863" s="23" t="n"/>
      <c r="AO863" s="44">
        <f>A863</f>
        <v/>
      </c>
      <c r="AP863" s="44">
        <f>D863</f>
        <v/>
      </c>
    </row>
    <row r="864" hidden="1" ht="15.75" customHeight="1" s="93">
      <c r="A864" s="23" t="inlineStr">
        <is>
          <t>5.1621.0700053.1</t>
        </is>
      </c>
      <c r="B864" s="23" t="inlineStr">
        <is>
          <t>700053</t>
        </is>
      </c>
      <c r="C864" s="29">
        <f>IFERROR(LOWER(SUBSTITUTE(SUBSTITUTE(SUBSTITUTE(SUBSTITUTE(D864," ","-"),"/","-"),".",""),",","")),"")</f>
        <v/>
      </c>
      <c r="D864" s="23" t="inlineStr">
        <is>
          <t>MLT 315 E13.BX.PX (1 1/16" UNF - 127 mm)</t>
        </is>
      </c>
      <c r="E864" s="23" t="n"/>
      <c r="F864" s="23" t="inlineStr">
        <is>
          <t>SOHIPREN</t>
        </is>
      </c>
      <c r="G864" s="23" t="n"/>
      <c r="H864" s="23" t="inlineStr">
        <is>
          <t>draft</t>
        </is>
      </c>
      <c r="I864" s="23" t="inlineStr">
        <is>
          <t>ROMANELLI</t>
        </is>
      </c>
      <c r="J864" s="23" t="n"/>
      <c r="K864" s="23" t="n"/>
      <c r="L864" s="23" t="inlineStr">
        <is>
          <t>151B3008/CP09726</t>
        </is>
      </c>
      <c r="M864" s="31" t="n"/>
      <c r="N864" s="31" t="n"/>
      <c r="O864" s="31" t="n"/>
      <c r="P864" s="31" t="n"/>
      <c r="Q864" s="31" t="n"/>
      <c r="R864" s="34">
        <f>IFERROR(IF(AND(O864&gt;0,P864&gt;0,Q864&gt;0),(O864*P864*Q864)/6000,""),"")</f>
        <v/>
      </c>
      <c r="S864" s="34">
        <f>IFERROR(IF(AND(N864&gt;0,R864&gt;0),MAX(N864,R864),IF(N864&gt;0,N864,IF(R864&gt;0,R864,""))),"")</f>
        <v/>
      </c>
      <c r="T864" s="36" t="n"/>
      <c r="U864" s="38" t="inlineStr">
        <is>
          <t>FALTA</t>
        </is>
      </c>
      <c r="V864" s="36" t="n">
        <v>2847</v>
      </c>
      <c r="W864" s="39" t="n">
        <v>0.3</v>
      </c>
      <c r="X864" s="41">
        <f>IFERROR(V864+T864,"")</f>
        <v/>
      </c>
      <c r="Y864" s="41">
        <f>IFERROR(IF(W864&lt;1,X864/(1-W864),""),"")</f>
        <v/>
      </c>
      <c r="Z864" s="43">
        <f>'01_CONFIG_GLOBAL'!$C$14</f>
        <v/>
      </c>
      <c r="AA864" s="41">
        <f>IFERROR(Y864*Z864,"")</f>
        <v/>
      </c>
      <c r="AB864" s="41">
        <f>IFERROR(IF(Z864&lt;1,Y864/(1-Z864),""),"")</f>
        <v/>
      </c>
      <c r="AC864" s="23" t="n"/>
      <c r="AD864" s="36" t="n"/>
      <c r="AE864" s="23" t="n"/>
      <c r="AF864" s="36" t="n"/>
      <c r="AG864" s="23" t="n"/>
      <c r="AH864" s="36" t="n"/>
      <c r="AI864" s="41">
        <f>IFERROR(AVERAGE(AD864,AF864,AH864),"")</f>
        <v/>
      </c>
      <c r="AJ864" s="29">
        <f>IFERROR(IF(AI864="","sem dados",IF(AB864&lt;AI864*0.95,"abaixo",IF(AB864&gt;AI864*1.05,"acima","em linha"))),"")</f>
        <v/>
      </c>
      <c r="AK864" s="23" t="inlineStr">
        <is>
          <t>não</t>
        </is>
      </c>
      <c r="AL864" s="23" t="n"/>
      <c r="AM864" s="23" t="n"/>
      <c r="AN864" s="23" t="n"/>
      <c r="AO864" s="44">
        <f>A864</f>
        <v/>
      </c>
      <c r="AP864" s="44">
        <f>D864</f>
        <v/>
      </c>
    </row>
    <row r="865" hidden="1" ht="15.75" customHeight="1" s="93">
      <c r="A865" s="23" t="inlineStr">
        <is>
          <t>5.1621.0700054.1</t>
        </is>
      </c>
      <c r="B865" s="23" t="inlineStr">
        <is>
          <t>700054.1</t>
        </is>
      </c>
      <c r="C865" s="29">
        <f>IFERROR(LOWER(SUBSTITUTE(SUBSTITUTE(SUBSTITUTE(SUBSTITUTE(D865," ","-"),"/","-"),".",""),",","")),"")</f>
        <v/>
      </c>
      <c r="D865" s="23" t="inlineStr">
        <is>
          <t>MLT 500 E13.B4.PX (1 1/16" UNF- 125 mm)</t>
        </is>
      </c>
      <c r="E865" s="23" t="n"/>
      <c r="F865" s="23" t="inlineStr">
        <is>
          <t>SOHIPREN</t>
        </is>
      </c>
      <c r="G865" s="23" t="n"/>
      <c r="H865" s="23" t="inlineStr">
        <is>
          <t>draft</t>
        </is>
      </c>
      <c r="I865" s="23" t="inlineStr">
        <is>
          <t>ROMANELLI</t>
        </is>
      </c>
      <c r="J865" s="23" t="n"/>
      <c r="K865" s="23" t="n"/>
      <c r="L865" s="23" t="inlineStr">
        <is>
          <t>151B3011/CP07158</t>
        </is>
      </c>
      <c r="M865" s="31" t="n"/>
      <c r="N865" s="31" t="n"/>
      <c r="O865" s="31" t="n"/>
      <c r="P865" s="31" t="n"/>
      <c r="Q865" s="31" t="n"/>
      <c r="R865" s="34">
        <f>IFERROR(IF(AND(O865&gt;0,P865&gt;0,Q865&gt;0),(O865*P865*Q865)/6000,""),"")</f>
        <v/>
      </c>
      <c r="S865" s="34">
        <f>IFERROR(IF(AND(N865&gt;0,R865&gt;0),MAX(N865,R865),IF(N865&gt;0,N865,IF(R865&gt;0,R865,""))),"")</f>
        <v/>
      </c>
      <c r="T865" s="36" t="n"/>
      <c r="U865" s="38" t="inlineStr">
        <is>
          <t>FALTA</t>
        </is>
      </c>
      <c r="V865" s="36" t="n">
        <v>2866</v>
      </c>
      <c r="W865" s="39" t="n">
        <v>0.3</v>
      </c>
      <c r="X865" s="41">
        <f>IFERROR(V865+T865,"")</f>
        <v/>
      </c>
      <c r="Y865" s="41">
        <f>IFERROR(IF(W865&lt;1,X865/(1-W865),""),"")</f>
        <v/>
      </c>
      <c r="Z865" s="43">
        <f>'01_CONFIG_GLOBAL'!$C$14</f>
        <v/>
      </c>
      <c r="AA865" s="41">
        <f>IFERROR(Y865*Z865,"")</f>
        <v/>
      </c>
      <c r="AB865" s="41">
        <f>IFERROR(IF(Z865&lt;1,Y865/(1-Z865),""),"")</f>
        <v/>
      </c>
      <c r="AC865" s="23" t="n"/>
      <c r="AD865" s="36" t="n"/>
      <c r="AE865" s="23" t="n"/>
      <c r="AF865" s="36" t="n"/>
      <c r="AG865" s="23" t="n"/>
      <c r="AH865" s="36" t="n"/>
      <c r="AI865" s="41">
        <f>IFERROR(AVERAGE(AD865,AF865,AH865),"")</f>
        <v/>
      </c>
      <c r="AJ865" s="29">
        <f>IFERROR(IF(AI865="","sem dados",IF(AB865&lt;AI865*0.95,"abaixo",IF(AB865&gt;AI865*1.05,"acima","em linha"))),"")</f>
        <v/>
      </c>
      <c r="AK865" s="23" t="inlineStr">
        <is>
          <t>não</t>
        </is>
      </c>
      <c r="AL865" s="23" t="n"/>
      <c r="AM865" s="23" t="n"/>
      <c r="AN865" s="23" t="n"/>
      <c r="AO865" s="44">
        <f>A865</f>
        <v/>
      </c>
      <c r="AP865" s="44">
        <f>D865</f>
        <v/>
      </c>
    </row>
    <row r="866" hidden="1" ht="15.75" customHeight="1" s="93">
      <c r="A866" s="23" t="inlineStr">
        <is>
          <t>5.1621.0700055.1</t>
        </is>
      </c>
      <c r="B866" s="23" t="inlineStr">
        <is>
          <t>700055.1</t>
        </is>
      </c>
      <c r="C866" s="29">
        <f>IFERROR(LOWER(SUBSTITUTE(SUBSTITUTE(SUBSTITUTE(SUBSTITUTE(D866," ","-"),"/","-"),".",""),",","")),"")</f>
        <v/>
      </c>
      <c r="D866" s="23" t="inlineStr">
        <is>
          <t>MLT 250 E13.B4.PX (1 1/16" UNF- 125 mm)</t>
        </is>
      </c>
      <c r="E866" s="23" t="n"/>
      <c r="F866" s="23" t="inlineStr">
        <is>
          <t>SOHIPREN</t>
        </is>
      </c>
      <c r="G866" s="23" t="n"/>
      <c r="H866" s="23" t="inlineStr">
        <is>
          <t>draft</t>
        </is>
      </c>
      <c r="I866" s="23" t="inlineStr">
        <is>
          <t>ROMANELLI</t>
        </is>
      </c>
      <c r="J866" s="23" t="n"/>
      <c r="K866" s="23" t="n"/>
      <c r="L866" s="23" t="inlineStr">
        <is>
          <t>151B3008/CP09726</t>
        </is>
      </c>
      <c r="M866" s="31" t="n"/>
      <c r="N866" s="31" t="n"/>
      <c r="O866" s="31" t="n"/>
      <c r="P866" s="31" t="n"/>
      <c r="Q866" s="31" t="n"/>
      <c r="R866" s="34">
        <f>IFERROR(IF(AND(O866&gt;0,P866&gt;0,Q866&gt;0),(O866*P866*Q866)/6000,""),"")</f>
        <v/>
      </c>
      <c r="S866" s="34">
        <f>IFERROR(IF(AND(N866&gt;0,R866&gt;0),MAX(N866,R866),IF(N866&gt;0,N866,IF(R866&gt;0,R866,""))),"")</f>
        <v/>
      </c>
      <c r="T866" s="36" t="n"/>
      <c r="U866" s="38" t="inlineStr">
        <is>
          <t>FALTA</t>
        </is>
      </c>
      <c r="V866" s="36" t="n">
        <v>2975</v>
      </c>
      <c r="W866" s="39" t="n">
        <v>0.3</v>
      </c>
      <c r="X866" s="41">
        <f>IFERROR(V866+T866,"")</f>
        <v/>
      </c>
      <c r="Y866" s="41">
        <f>IFERROR(IF(W866&lt;1,X866/(1-W866),""),"")</f>
        <v/>
      </c>
      <c r="Z866" s="43">
        <f>'01_CONFIG_GLOBAL'!$C$14</f>
        <v/>
      </c>
      <c r="AA866" s="41">
        <f>IFERROR(Y866*Z866,"")</f>
        <v/>
      </c>
      <c r="AB866" s="41">
        <f>IFERROR(IF(Z866&lt;1,Y866/(1-Z866),""),"")</f>
        <v/>
      </c>
      <c r="AC866" s="23" t="n"/>
      <c r="AD866" s="36" t="n"/>
      <c r="AE866" s="23" t="n"/>
      <c r="AF866" s="36" t="n"/>
      <c r="AG866" s="23" t="n"/>
      <c r="AH866" s="36" t="n"/>
      <c r="AI866" s="41">
        <f>IFERROR(AVERAGE(AD866,AF866,AH866),"")</f>
        <v/>
      </c>
      <c r="AJ866" s="29">
        <f>IFERROR(IF(AI866="","sem dados",IF(AB866&lt;AI866*0.95,"abaixo",IF(AB866&gt;AI866*1.05,"acima","em linha"))),"")</f>
        <v/>
      </c>
      <c r="AK866" s="23" t="inlineStr">
        <is>
          <t>não</t>
        </is>
      </c>
      <c r="AL866" s="23" t="n"/>
      <c r="AM866" s="23" t="n"/>
      <c r="AN866" s="23" t="n"/>
      <c r="AO866" s="44">
        <f>A866</f>
        <v/>
      </c>
      <c r="AP866" s="44">
        <f>D866</f>
        <v/>
      </c>
    </row>
    <row r="867" hidden="1" ht="15.75" customHeight="1" s="93">
      <c r="A867" s="23" t="inlineStr">
        <is>
          <t>5.1621.0700056.1</t>
        </is>
      </c>
      <c r="B867" s="23" t="inlineStr">
        <is>
          <t>700056.1</t>
        </is>
      </c>
      <c r="C867" s="29">
        <f>IFERROR(LOWER(SUBSTITUTE(SUBSTITUTE(SUBSTITUTE(SUBSTITUTE(D867," ","-"),"/","-"),".",""),",","")),"")</f>
        <v/>
      </c>
      <c r="D867" s="23" t="inlineStr">
        <is>
          <t>MLT 500 C B300 P200 (1 1/16" UNF- QUAD Ø127)</t>
        </is>
      </c>
      <c r="E867" s="23" t="n"/>
      <c r="F867" s="23" t="inlineStr">
        <is>
          <t>SOHIPREN</t>
        </is>
      </c>
      <c r="G867" s="23" t="n"/>
      <c r="H867" s="23" t="inlineStr">
        <is>
          <t>draft</t>
        </is>
      </c>
      <c r="I867" s="23" t="inlineStr">
        <is>
          <t>ROMANELLI</t>
        </is>
      </c>
      <c r="J867" s="23" t="n"/>
      <c r="K867" s="23" t="n"/>
      <c r="L867" s="23" t="n"/>
      <c r="M867" s="31" t="n"/>
      <c r="N867" s="31" t="n"/>
      <c r="O867" s="31" t="n"/>
      <c r="P867" s="31" t="n"/>
      <c r="Q867" s="31" t="n"/>
      <c r="R867" s="34">
        <f>IFERROR(IF(AND(O867&gt;0,P867&gt;0,Q867&gt;0),(O867*P867*Q867)/6000,""),"")</f>
        <v/>
      </c>
      <c r="S867" s="34">
        <f>IFERROR(IF(AND(N867&gt;0,R867&gt;0),MAX(N867,R867),IF(N867&gt;0,N867,IF(R867&gt;0,R867,""))),"")</f>
        <v/>
      </c>
      <c r="T867" s="36" t="n"/>
      <c r="U867" s="38" t="inlineStr">
        <is>
          <t>FALTA</t>
        </is>
      </c>
      <c r="V867" s="36" t="n">
        <v>2740</v>
      </c>
      <c r="W867" s="39" t="n">
        <v>0.3</v>
      </c>
      <c r="X867" s="41">
        <f>IFERROR(V867+T867,"")</f>
        <v/>
      </c>
      <c r="Y867" s="41">
        <f>IFERROR(IF(W867&lt;1,X867/(1-W867),""),"")</f>
        <v/>
      </c>
      <c r="Z867" s="43">
        <f>'01_CONFIG_GLOBAL'!$C$14</f>
        <v/>
      </c>
      <c r="AA867" s="41">
        <f>IFERROR(Y867*Z867,"")</f>
        <v/>
      </c>
      <c r="AB867" s="41">
        <f>IFERROR(IF(Z867&lt;1,Y867/(1-Z867),""),"")</f>
        <v/>
      </c>
      <c r="AC867" s="23" t="n"/>
      <c r="AD867" s="36" t="n"/>
      <c r="AE867" s="23" t="n"/>
      <c r="AF867" s="36" t="n"/>
      <c r="AG867" s="23" t="n"/>
      <c r="AH867" s="36" t="n"/>
      <c r="AI867" s="41">
        <f>IFERROR(AVERAGE(AD867,AF867,AH867),"")</f>
        <v/>
      </c>
      <c r="AJ867" s="29">
        <f>IFERROR(IF(AI867="","sem dados",IF(AB867&lt;AI867*0.95,"abaixo",IF(AB867&gt;AI867*1.05,"acima","em linha"))),"")</f>
        <v/>
      </c>
      <c r="AK867" s="23" t="inlineStr">
        <is>
          <t>não</t>
        </is>
      </c>
      <c r="AL867" s="23" t="n"/>
      <c r="AM867" s="23" t="n"/>
      <c r="AN867" s="23" t="n"/>
      <c r="AO867" s="44">
        <f>A867</f>
        <v/>
      </c>
      <c r="AP867" s="44">
        <f>D867</f>
        <v/>
      </c>
    </row>
    <row r="868" hidden="1" ht="15.75" customHeight="1" s="93">
      <c r="A868" s="23" t="inlineStr">
        <is>
          <t>5.1621.0720004.1</t>
        </is>
      </c>
      <c r="B868" s="23" t="inlineStr">
        <is>
          <t>720004.1</t>
        </is>
      </c>
      <c r="C868" s="29">
        <f>IFERROR(LOWER(SUBSTITUTE(SUBSTITUTE(SUBSTITUTE(SUBSTITUTE(D868," ","-"),"/","-"),".",""),",","")),"")</f>
        <v/>
      </c>
      <c r="D868" s="23" t="inlineStr">
        <is>
          <t>MLR 125 C1.C2.P5</t>
        </is>
      </c>
      <c r="E868" s="23" t="n"/>
      <c r="F868" s="23" t="inlineStr">
        <is>
          <t>SOHIPREN</t>
        </is>
      </c>
      <c r="G868" s="23" t="n"/>
      <c r="H868" s="23" t="inlineStr">
        <is>
          <t>draft</t>
        </is>
      </c>
      <c r="I868" s="23" t="inlineStr">
        <is>
          <t>ROMANELLI</t>
        </is>
      </c>
      <c r="J868" s="23" t="inlineStr">
        <is>
          <t>DIVERSOS</t>
        </is>
      </c>
      <c r="K868" s="23" t="n"/>
      <c r="L868" s="23" t="inlineStr">
        <is>
          <t>CP08744 / 11186657</t>
        </is>
      </c>
      <c r="M868" s="31" t="n"/>
      <c r="N868" s="31" t="n"/>
      <c r="O868" s="31" t="n"/>
      <c r="P868" s="31" t="n"/>
      <c r="Q868" s="31" t="n"/>
      <c r="R868" s="34">
        <f>IFERROR(IF(AND(O868&gt;0,P868&gt;0,Q868&gt;0),(O868*P868*Q868)/6000,""),"")</f>
        <v/>
      </c>
      <c r="S868" s="34">
        <f>IFERROR(IF(AND(N868&gt;0,R868&gt;0),MAX(N868,R868),IF(N868&gt;0,N868,IF(R868&gt;0,R868,""))),"")</f>
        <v/>
      </c>
      <c r="T868" s="36" t="n"/>
      <c r="U868" s="38" t="inlineStr">
        <is>
          <t>FALTA</t>
        </is>
      </c>
      <c r="V868" s="36" t="n">
        <v>980</v>
      </c>
      <c r="W868" s="39" t="n">
        <v>0.3</v>
      </c>
      <c r="X868" s="41">
        <f>IFERROR(V868+T868,"")</f>
        <v/>
      </c>
      <c r="Y868" s="41">
        <f>IFERROR(IF(W868&lt;1,X868/(1-W868),""),"")</f>
        <v/>
      </c>
      <c r="Z868" s="43">
        <f>'01_CONFIG_GLOBAL'!$C$14</f>
        <v/>
      </c>
      <c r="AA868" s="41">
        <f>IFERROR(Y868*Z868,"")</f>
        <v/>
      </c>
      <c r="AB868" s="41">
        <f>IFERROR(IF(Z868&lt;1,Y868/(1-Z868),""),"")</f>
        <v/>
      </c>
      <c r="AC868" s="23" t="n"/>
      <c r="AD868" s="36" t="n"/>
      <c r="AE868" s="23" t="n"/>
      <c r="AF868" s="36" t="n"/>
      <c r="AG868" s="23" t="n"/>
      <c r="AH868" s="36" t="n"/>
      <c r="AI868" s="41">
        <f>IFERROR(AVERAGE(AD868,AF868,AH868),"")</f>
        <v/>
      </c>
      <c r="AJ868" s="29">
        <f>IFERROR(IF(AI868="","sem dados",IF(AB868&lt;AI868*0.95,"abaixo",IF(AB868&gt;AI868*1.05,"acima","em linha"))),"")</f>
        <v/>
      </c>
      <c r="AK868" s="23" t="inlineStr">
        <is>
          <t>não</t>
        </is>
      </c>
      <c r="AL868" s="23" t="n"/>
      <c r="AM868" s="23" t="n"/>
      <c r="AN868" s="23" t="n"/>
      <c r="AO868" s="44">
        <f>A868</f>
        <v/>
      </c>
      <c r="AP868" s="44">
        <f>D868</f>
        <v/>
      </c>
    </row>
    <row r="869" hidden="1" ht="15.75" customHeight="1" s="93">
      <c r="A869" s="23" t="inlineStr">
        <is>
          <t>5.0421.0575060.0</t>
        </is>
      </c>
      <c r="B869" s="23" t="inlineStr">
        <is>
          <t>575060</t>
        </is>
      </c>
      <c r="C869" s="29">
        <f>IFERROR(LOWER(SUBSTITUTE(SUBSTITUTE(SUBSTITUTE(SUBSTITUTE(D869," ","-"),"/","-"),".",""),",","")),"")</f>
        <v/>
      </c>
      <c r="D869" s="23" t="inlineStr">
        <is>
          <t>BNI 36 E8.C7.F/22,5 A/16 A4.L (PROTOTIPO)</t>
        </is>
      </c>
      <c r="E869" s="23" t="n"/>
      <c r="F869" s="23" t="inlineStr">
        <is>
          <t>SOHIPREN</t>
        </is>
      </c>
      <c r="G869" s="23" t="n"/>
      <c r="H869" s="23" t="inlineStr">
        <is>
          <t>draft</t>
        </is>
      </c>
      <c r="I869" s="23" t="inlineStr">
        <is>
          <t>ROMANELLI</t>
        </is>
      </c>
      <c r="J869" s="23" t="n"/>
      <c r="K869" s="23" t="inlineStr">
        <is>
          <t>PRINCIPAL</t>
        </is>
      </c>
      <c r="L869" s="23" t="inlineStr">
        <is>
          <t>R979028153 / CP04264</t>
        </is>
      </c>
      <c r="M869" s="31" t="n"/>
      <c r="N869" s="31" t="n"/>
      <c r="O869" s="31" t="n"/>
      <c r="P869" s="31" t="n"/>
      <c r="Q869" s="31" t="n"/>
      <c r="R869" s="34">
        <f>IFERROR(IF(AND(O869&gt;0,P869&gt;0,Q869&gt;0),(O869*P869*Q869)/6000,""),"")</f>
        <v/>
      </c>
      <c r="S869" s="34">
        <f>IFERROR(IF(AND(N869&gt;0,R869&gt;0),MAX(N869,R869),IF(N869&gt;0,N869,IF(R869&gt;0,R869,""))),"")</f>
        <v/>
      </c>
      <c r="T869" s="36" t="n"/>
      <c r="U869" s="38" t="inlineStr">
        <is>
          <t>FALTA</t>
        </is>
      </c>
      <c r="V869" s="36" t="n">
        <v>658.85</v>
      </c>
      <c r="W869" s="39" t="n">
        <v>0.3</v>
      </c>
      <c r="X869" s="41">
        <f>IFERROR(V869+T869,"")</f>
        <v/>
      </c>
      <c r="Y869" s="41">
        <f>IFERROR(IF(W869&lt;1,X869/(1-W869),""),"")</f>
        <v/>
      </c>
      <c r="Z869" s="43">
        <f>'01_CONFIG_GLOBAL'!$C$14</f>
        <v/>
      </c>
      <c r="AA869" s="41">
        <f>IFERROR(Y869*Z869,"")</f>
        <v/>
      </c>
      <c r="AB869" s="41">
        <f>IFERROR(IF(Z869&lt;1,Y869/(1-Z869),""),"")</f>
        <v/>
      </c>
      <c r="AC869" s="23" t="n"/>
      <c r="AD869" s="36" t="n"/>
      <c r="AE869" s="23" t="n"/>
      <c r="AF869" s="36" t="n"/>
      <c r="AG869" s="23" t="n"/>
      <c r="AH869" s="36" t="n"/>
      <c r="AI869" s="41">
        <f>IFERROR(AVERAGE(AD869,AF869,AH869),"")</f>
        <v/>
      </c>
      <c r="AJ869" s="29">
        <f>IFERROR(IF(AI869="","sem dados",IF(AB869&lt;AI869*0.95,"abaixo",IF(AB869&gt;AI869*1.05,"acima","em linha"))),"")</f>
        <v/>
      </c>
      <c r="AK869" s="23" t="inlineStr">
        <is>
          <t>não</t>
        </is>
      </c>
      <c r="AL869" s="23" t="n"/>
      <c r="AM869" s="23" t="n"/>
      <c r="AN869" s="23" t="n"/>
      <c r="AO869" s="44">
        <f>A869</f>
        <v/>
      </c>
      <c r="AP869" s="44">
        <f>D869</f>
        <v/>
      </c>
    </row>
    <row r="870" hidden="1" ht="15.75" customHeight="1" s="93">
      <c r="A870" s="23" t="inlineStr">
        <is>
          <t>5.0421.0575061.0</t>
        </is>
      </c>
      <c r="B870" s="23" t="inlineStr">
        <is>
          <t>575061</t>
        </is>
      </c>
      <c r="C870" s="29">
        <f>IFERROR(LOWER(SUBSTITUTE(SUBSTITUTE(SUBSTITUTE(SUBSTITUTE(D870," ","-"),"/","-"),".",""),",","")),"")</f>
        <v/>
      </c>
      <c r="D870" s="23" t="inlineStr">
        <is>
          <t>BNI 25 E8.C7.F/22,5 A/22,5 A.L (PROTOTIPO)</t>
        </is>
      </c>
      <c r="E870" s="23" t="n"/>
      <c r="F870" s="23" t="inlineStr">
        <is>
          <t>SOHIPREN</t>
        </is>
      </c>
      <c r="G870" s="23" t="n"/>
      <c r="H870" s="23" t="inlineStr">
        <is>
          <t>draft</t>
        </is>
      </c>
      <c r="I870" s="23" t="inlineStr">
        <is>
          <t>ROMANELLI</t>
        </is>
      </c>
      <c r="J870" s="23" t="n"/>
      <c r="K870" s="23" t="inlineStr">
        <is>
          <t>PRINCIPAL</t>
        </is>
      </c>
      <c r="L870" s="23" t="inlineStr">
        <is>
          <t>R979028154 / CP04265</t>
        </is>
      </c>
      <c r="M870" s="31" t="n"/>
      <c r="N870" s="31" t="n"/>
      <c r="O870" s="31" t="n"/>
      <c r="P870" s="31" t="n"/>
      <c r="Q870" s="31" t="n"/>
      <c r="R870" s="34">
        <f>IFERROR(IF(AND(O870&gt;0,P870&gt;0,Q870&gt;0),(O870*P870*Q870)/6000,""),"")</f>
        <v/>
      </c>
      <c r="S870" s="34">
        <f>IFERROR(IF(AND(N870&gt;0,R870&gt;0),MAX(N870,R870),IF(N870&gt;0,N870,IF(R870&gt;0,R870,""))),"")</f>
        <v/>
      </c>
      <c r="T870" s="36" t="n"/>
      <c r="U870" s="38" t="inlineStr">
        <is>
          <t>FALTA</t>
        </is>
      </c>
      <c r="V870" s="36" t="n">
        <v>2220</v>
      </c>
      <c r="W870" s="39" t="n">
        <v>0.3</v>
      </c>
      <c r="X870" s="41">
        <f>IFERROR(V870+T870,"")</f>
        <v/>
      </c>
      <c r="Y870" s="41">
        <f>IFERROR(IF(W870&lt;1,X870/(1-W870),""),"")</f>
        <v/>
      </c>
      <c r="Z870" s="43">
        <f>'01_CONFIG_GLOBAL'!$C$14</f>
        <v/>
      </c>
      <c r="AA870" s="41">
        <f>IFERROR(Y870*Z870,"")</f>
        <v/>
      </c>
      <c r="AB870" s="41">
        <f>IFERROR(IF(Z870&lt;1,Y870/(1-Z870),""),"")</f>
        <v/>
      </c>
      <c r="AC870" s="23" t="n"/>
      <c r="AD870" s="36" t="n"/>
      <c r="AE870" s="23" t="n"/>
      <c r="AF870" s="36" t="n"/>
      <c r="AG870" s="23" t="n"/>
      <c r="AH870" s="36" t="n"/>
      <c r="AI870" s="41">
        <f>IFERROR(AVERAGE(AD870,AF870,AH870),"")</f>
        <v/>
      </c>
      <c r="AJ870" s="29">
        <f>IFERROR(IF(AI870="","sem dados",IF(AB870&lt;AI870*0.95,"abaixo",IF(AB870&gt;AI870*1.05,"acima","em linha"))),"")</f>
        <v/>
      </c>
      <c r="AK870" s="23" t="inlineStr">
        <is>
          <t>não</t>
        </is>
      </c>
      <c r="AL870" s="23" t="n"/>
      <c r="AM870" s="23" t="n"/>
      <c r="AN870" s="23" t="n"/>
      <c r="AO870" s="44">
        <f>A870</f>
        <v/>
      </c>
      <c r="AP870" s="44">
        <f>D870</f>
        <v/>
      </c>
    </row>
    <row r="871" hidden="1" ht="15.75" customHeight="1" s="93">
      <c r="A871" s="23" t="inlineStr">
        <is>
          <t>5.0421.0575062.0</t>
        </is>
      </c>
      <c r="B871" s="23" t="inlineStr">
        <is>
          <t>575062</t>
        </is>
      </c>
      <c r="C871" s="29">
        <f>IFERROR(LOWER(SUBSTITUTE(SUBSTITUTE(SUBSTITUTE(SUBSTITUTE(D871," ","-"),"/","-"),".",""),",","")),"")</f>
        <v/>
      </c>
      <c r="D871" s="23" t="inlineStr">
        <is>
          <t>BNI 22 E8.C7.F/22,5 A.L (PROTOTIPO)</t>
        </is>
      </c>
      <c r="E871" s="23" t="n"/>
      <c r="F871" s="23" t="inlineStr">
        <is>
          <t>SOHIPREN</t>
        </is>
      </c>
      <c r="G871" s="23" t="n"/>
      <c r="H871" s="23" t="inlineStr">
        <is>
          <t>draft</t>
        </is>
      </c>
      <c r="I871" s="23" t="inlineStr">
        <is>
          <t>ROMANELLI</t>
        </is>
      </c>
      <c r="J871" s="23" t="n"/>
      <c r="K871" s="23" t="inlineStr">
        <is>
          <t>PRINCIPAL</t>
        </is>
      </c>
      <c r="L871" s="23" t="inlineStr">
        <is>
          <t>R979028155 / CP04263</t>
        </is>
      </c>
      <c r="M871" s="31" t="n"/>
      <c r="N871" s="31" t="n"/>
      <c r="O871" s="31" t="n"/>
      <c r="P871" s="31" t="n"/>
      <c r="Q871" s="31" t="n"/>
      <c r="R871" s="34">
        <f>IFERROR(IF(AND(O871&gt;0,P871&gt;0,Q871&gt;0),(O871*P871*Q871)/6000,""),"")</f>
        <v/>
      </c>
      <c r="S871" s="34">
        <f>IFERROR(IF(AND(N871&gt;0,R871&gt;0),MAX(N871,R871),IF(N871&gt;0,N871,IF(R871&gt;0,R871,""))),"")</f>
        <v/>
      </c>
      <c r="T871" s="36" t="n"/>
      <c r="U871" s="38" t="inlineStr">
        <is>
          <t>FALTA</t>
        </is>
      </c>
      <c r="V871" s="36" t="n">
        <v>2230</v>
      </c>
      <c r="W871" s="39" t="n">
        <v>0.3</v>
      </c>
      <c r="X871" s="41">
        <f>IFERROR(V871+T871,"")</f>
        <v/>
      </c>
      <c r="Y871" s="41">
        <f>IFERROR(IF(W871&lt;1,X871/(1-W871),""),"")</f>
        <v/>
      </c>
      <c r="Z871" s="43">
        <f>'01_CONFIG_GLOBAL'!$C$14</f>
        <v/>
      </c>
      <c r="AA871" s="41">
        <f>IFERROR(Y871*Z871,"")</f>
        <v/>
      </c>
      <c r="AB871" s="41">
        <f>IFERROR(IF(Z871&lt;1,Y871/(1-Z871),""),"")</f>
        <v/>
      </c>
      <c r="AC871" s="23" t="n"/>
      <c r="AD871" s="36" t="n"/>
      <c r="AE871" s="23" t="n"/>
      <c r="AF871" s="36" t="n"/>
      <c r="AG871" s="23" t="n"/>
      <c r="AH871" s="36" t="n"/>
      <c r="AI871" s="41">
        <f>IFERROR(AVERAGE(AD871,AF871,AH871),"")</f>
        <v/>
      </c>
      <c r="AJ871" s="29">
        <f>IFERROR(IF(AI871="","sem dados",IF(AB871&lt;AI871*0.95,"abaixo",IF(AB871&gt;AI871*1.05,"acima","em linha"))),"")</f>
        <v/>
      </c>
      <c r="AK871" s="23" t="inlineStr">
        <is>
          <t>não</t>
        </is>
      </c>
      <c r="AL871" s="23" t="n"/>
      <c r="AM871" s="23" t="n"/>
      <c r="AN871" s="23" t="n"/>
      <c r="AO871" s="44">
        <f>A871</f>
        <v/>
      </c>
      <c r="AP871" s="44">
        <f>D871</f>
        <v/>
      </c>
    </row>
    <row r="872" hidden="1" ht="15.75" customHeight="1" s="93">
      <c r="A872" s="23" t="inlineStr">
        <is>
          <t>6.5001.L081467.1</t>
        </is>
      </c>
      <c r="B872" s="23" t="inlineStr">
        <is>
          <t>L081467.1</t>
        </is>
      </c>
      <c r="C872" s="29">
        <f>IFERROR(LOWER(SUBSTITUTE(SUBSTITUTE(SUBSTITUTE(SUBSTITUTE(D872," ","-"),"/","-"),".",""),",","")),"")</f>
        <v/>
      </c>
      <c r="D872" s="23" t="inlineStr">
        <is>
          <t>VÁLVULA LIMITADORA DE PRESSÃO 3/4'' BSP</t>
        </is>
      </c>
      <c r="E872" s="23" t="n"/>
      <c r="F872" s="23" t="inlineStr">
        <is>
          <t>SOHIPREN</t>
        </is>
      </c>
      <c r="G872" s="23" t="n"/>
      <c r="H872" s="23" t="inlineStr">
        <is>
          <t>draft</t>
        </is>
      </c>
      <c r="I872" s="23" t="inlineStr">
        <is>
          <t>ROMANELLI</t>
        </is>
      </c>
      <c r="J872" s="23" t="inlineStr">
        <is>
          <t>DIVERSOS</t>
        </is>
      </c>
      <c r="K872" s="23" t="n"/>
      <c r="L872" s="23" t="inlineStr">
        <is>
          <t>CP03407</t>
        </is>
      </c>
      <c r="M872" s="31" t="n"/>
      <c r="N872" s="31" t="n"/>
      <c r="O872" s="31" t="n"/>
      <c r="P872" s="31" t="n"/>
      <c r="Q872" s="31" t="n"/>
      <c r="R872" s="34">
        <f>IFERROR(IF(AND(O872&gt;0,P872&gt;0,Q872&gt;0),(O872*P872*Q872)/6000,""),"")</f>
        <v/>
      </c>
      <c r="S872" s="34">
        <f>IFERROR(IF(AND(N872&gt;0,R872&gt;0),MAX(N872,R872),IF(N872&gt;0,N872,IF(R872&gt;0,R872,""))),"")</f>
        <v/>
      </c>
      <c r="T872" s="36" t="n"/>
      <c r="U872" s="38" t="inlineStr">
        <is>
          <t>FALTA</t>
        </is>
      </c>
      <c r="V872" s="36" t="n">
        <v>456</v>
      </c>
      <c r="W872" s="39" t="n">
        <v>0.3</v>
      </c>
      <c r="X872" s="41">
        <f>IFERROR(V872+T872,"")</f>
        <v/>
      </c>
      <c r="Y872" s="41">
        <f>IFERROR(IF(W872&lt;1,X872/(1-W872),""),"")</f>
        <v/>
      </c>
      <c r="Z872" s="43">
        <f>'01_CONFIG_GLOBAL'!$C$14</f>
        <v/>
      </c>
      <c r="AA872" s="41">
        <f>IFERROR(Y872*Z872,"")</f>
        <v/>
      </c>
      <c r="AB872" s="41">
        <f>IFERROR(IF(Z872&lt;1,Y872/(1-Z872),""),"")</f>
        <v/>
      </c>
      <c r="AC872" s="23" t="n"/>
      <c r="AD872" s="36" t="n"/>
      <c r="AE872" s="23" t="n"/>
      <c r="AF872" s="36" t="n"/>
      <c r="AG872" s="23" t="n"/>
      <c r="AH872" s="36" t="n"/>
      <c r="AI872" s="41">
        <f>IFERROR(AVERAGE(AD872,AF872,AH872),"")</f>
        <v/>
      </c>
      <c r="AJ872" s="29">
        <f>IFERROR(IF(AI872="","sem dados",IF(AB872&lt;AI872*0.95,"abaixo",IF(AB872&gt;AI872*1.05,"acima","em linha"))),"")</f>
        <v/>
      </c>
      <c r="AK872" s="23" t="inlineStr">
        <is>
          <t>não</t>
        </is>
      </c>
      <c r="AL872" s="23" t="n"/>
      <c r="AM872" s="23" t="n"/>
      <c r="AN872" s="23" t="n"/>
      <c r="AO872" s="44">
        <f>A872</f>
        <v/>
      </c>
      <c r="AP872" s="44">
        <f>D872</f>
        <v/>
      </c>
    </row>
    <row r="873" hidden="1" ht="15.75" customHeight="1" s="93">
      <c r="A873" s="23" t="inlineStr">
        <is>
          <t>5.0210.L027055.0</t>
        </is>
      </c>
      <c r="B873" s="23" t="inlineStr">
        <is>
          <t>L027055</t>
        </is>
      </c>
      <c r="C873" s="29">
        <f>IFERROR(LOWER(SUBSTITUTE(SUBSTITUTE(SUBSTITUTE(SUBSTITUTE(D873," ","-"),"/","-"),".",""),",","")),"")</f>
        <v/>
      </c>
      <c r="D873" s="23" t="inlineStr">
        <is>
          <t>BOMBA HIDRÁULICA - APLICAÇÃO 22,5 E4.P1.A.L (C/ ADAPT)</t>
        </is>
      </c>
      <c r="E873" s="23" t="inlineStr">
        <is>
          <t>Bombas Hidráulicas</t>
        </is>
      </c>
      <c r="F873" s="23" t="inlineStr">
        <is>
          <t>SOHIPREN</t>
        </is>
      </c>
      <c r="G873" s="23" t="n"/>
      <c r="H873" s="23" t="inlineStr">
        <is>
          <t>draft</t>
        </is>
      </c>
      <c r="I873" s="23" t="inlineStr">
        <is>
          <t>ROMANELLI</t>
        </is>
      </c>
      <c r="J873" s="23" t="inlineStr">
        <is>
          <t>DIVERSOS</t>
        </is>
      </c>
      <c r="K873" s="23" t="n"/>
      <c r="L873" s="23" t="inlineStr">
        <is>
          <t>CP06223</t>
        </is>
      </c>
      <c r="M873" s="31" t="n"/>
      <c r="N873" s="31" t="n"/>
      <c r="O873" s="31" t="n"/>
      <c r="P873" s="31" t="n"/>
      <c r="Q873" s="31" t="n"/>
      <c r="R873" s="34">
        <f>IFERROR(IF(AND(O873&gt;0,P873&gt;0,Q873&gt;0),(O873*P873*Q873)/6000,""),"")</f>
        <v/>
      </c>
      <c r="S873" s="34">
        <f>IFERROR(IF(AND(N873&gt;0,R873&gt;0),MAX(N873,R873),IF(N873&gt;0,N873,IF(R873&gt;0,R873,""))),"")</f>
        <v/>
      </c>
      <c r="T873" s="36" t="n"/>
      <c r="U873" s="38" t="inlineStr">
        <is>
          <t>FALTA</t>
        </is>
      </c>
      <c r="V873" s="36" t="n">
        <v>605</v>
      </c>
      <c r="W873" s="39" t="n">
        <v>0.3</v>
      </c>
      <c r="X873" s="41">
        <f>IFERROR(V873+T873,"")</f>
        <v/>
      </c>
      <c r="Y873" s="41">
        <f>IFERROR(IF(W873&lt;1,X873/(1-W873),""),"")</f>
        <v/>
      </c>
      <c r="Z873" s="43">
        <f>'01_CONFIG_GLOBAL'!$C$14</f>
        <v/>
      </c>
      <c r="AA873" s="41">
        <f>IFERROR(Y873*Z873,"")</f>
        <v/>
      </c>
      <c r="AB873" s="41">
        <f>IFERROR(IF(Z873&lt;1,Y873/(1-Z873),""),"")</f>
        <v/>
      </c>
      <c r="AC873" s="23" t="n"/>
      <c r="AD873" s="36" t="n"/>
      <c r="AE873" s="23" t="n"/>
      <c r="AF873" s="36" t="n"/>
      <c r="AG873" s="23" t="n"/>
      <c r="AH873" s="36" t="n"/>
      <c r="AI873" s="41">
        <f>IFERROR(AVERAGE(AD873,AF873,AH873),"")</f>
        <v/>
      </c>
      <c r="AJ873" s="29">
        <f>IFERROR(IF(AI873="","sem dados",IF(AB873&lt;AI873*0.95,"abaixo",IF(AB873&gt;AI873*1.05,"acima","em linha"))),"")</f>
        <v/>
      </c>
      <c r="AK873" s="23" t="inlineStr">
        <is>
          <t>não</t>
        </is>
      </c>
      <c r="AL873" s="23" t="n"/>
      <c r="AM873" s="23" t="n"/>
      <c r="AN873" s="23" t="n"/>
      <c r="AO873" s="44">
        <f>A873</f>
        <v/>
      </c>
      <c r="AP873" s="44">
        <f>D873</f>
        <v/>
      </c>
    </row>
    <row r="874" hidden="1" ht="15.75" customHeight="1" s="93">
      <c r="A874" s="23" t="inlineStr">
        <is>
          <t>6.0404.L060505.0</t>
        </is>
      </c>
      <c r="B874" s="23" t="inlineStr">
        <is>
          <t>L060505</t>
        </is>
      </c>
      <c r="C874" s="29">
        <f>IFERROR(LOWER(SUBSTITUTE(SUBSTITUTE(SUBSTITUTE(SUBSTITUTE(D874," ","-"),"/","-"),".",""),",","")),"")</f>
        <v/>
      </c>
      <c r="D874" s="23" t="inlineStr">
        <is>
          <t>VM50 4CPO CFM/CFM/CFMSE/CADD (3º VIA SE LADO CAPSULA)</t>
        </is>
      </c>
      <c r="E874" s="23" t="n"/>
      <c r="F874" s="23" t="inlineStr">
        <is>
          <t>SOHIPREN</t>
        </is>
      </c>
      <c r="G874" s="23" t="n"/>
      <c r="H874" s="23" t="inlineStr">
        <is>
          <t>draft</t>
        </is>
      </c>
      <c r="I874" s="23" t="inlineStr">
        <is>
          <t>ROMANELLI</t>
        </is>
      </c>
      <c r="J874" s="23" t="n"/>
      <c r="K874" s="23" t="n"/>
      <c r="L874" s="23" t="inlineStr">
        <is>
          <t>1613511/CP00500</t>
        </is>
      </c>
      <c r="M874" s="31" t="n"/>
      <c r="N874" s="31" t="n"/>
      <c r="O874" s="31" t="n"/>
      <c r="P874" s="31" t="n"/>
      <c r="Q874" s="31" t="n"/>
      <c r="R874" s="34">
        <f>IFERROR(IF(AND(O874&gt;0,P874&gt;0,Q874&gt;0),(O874*P874*Q874)/6000,""),"")</f>
        <v/>
      </c>
      <c r="S874" s="34">
        <f>IFERROR(IF(AND(N874&gt;0,R874&gt;0),MAX(N874,R874),IF(N874&gt;0,N874,IF(R874&gt;0,R874,""))),"")</f>
        <v/>
      </c>
      <c r="T874" s="36" t="n"/>
      <c r="U874" s="38" t="inlineStr">
        <is>
          <t>FALTA</t>
        </is>
      </c>
      <c r="V874" s="36" t="n">
        <v>3218</v>
      </c>
      <c r="W874" s="39" t="n">
        <v>0.3</v>
      </c>
      <c r="X874" s="41">
        <f>IFERROR(V874+T874,"")</f>
        <v/>
      </c>
      <c r="Y874" s="41">
        <f>IFERROR(IF(W874&lt;1,X874/(1-W874),""),"")</f>
        <v/>
      </c>
      <c r="Z874" s="43">
        <f>'01_CONFIG_GLOBAL'!$C$14</f>
        <v/>
      </c>
      <c r="AA874" s="41">
        <f>IFERROR(Y874*Z874,"")</f>
        <v/>
      </c>
      <c r="AB874" s="41">
        <f>IFERROR(IF(Z874&lt;1,Y874/(1-Z874),""),"")</f>
        <v/>
      </c>
      <c r="AC874" s="23" t="n"/>
      <c r="AD874" s="36" t="n"/>
      <c r="AE874" s="23" t="n"/>
      <c r="AF874" s="36" t="n"/>
      <c r="AG874" s="23" t="n"/>
      <c r="AH874" s="36" t="n"/>
      <c r="AI874" s="41">
        <f>IFERROR(AVERAGE(AD874,AF874,AH874),"")</f>
        <v/>
      </c>
      <c r="AJ874" s="29">
        <f>IFERROR(IF(AI874="","sem dados",IF(AB874&lt;AI874*0.95,"abaixo",IF(AB874&gt;AI874*1.05,"acima","em linha"))),"")</f>
        <v/>
      </c>
      <c r="AK874" s="23" t="inlineStr">
        <is>
          <t>não</t>
        </is>
      </c>
      <c r="AL874" s="23" t="n"/>
      <c r="AM874" s="23" t="n"/>
      <c r="AN874" s="23" t="n"/>
      <c r="AO874" s="44">
        <f>A874</f>
        <v/>
      </c>
      <c r="AP874" s="44">
        <f>D874</f>
        <v/>
      </c>
    </row>
    <row r="875" hidden="1" ht="15.75" customHeight="1" s="93">
      <c r="A875" s="23" t="inlineStr">
        <is>
          <t>6.0460.L060525.1</t>
        </is>
      </c>
      <c r="B875" s="23" t="inlineStr">
        <is>
          <t>L060525</t>
        </is>
      </c>
      <c r="C875" s="29">
        <f>IFERROR(LOWER(SUBSTITUTE(SUBSTITUTE(SUBSTITUTE(SUBSTITUTE(D875," ","-"),"/","-"),".",""),",","")),"")</f>
        <v/>
      </c>
      <c r="D875" s="23" t="inlineStr">
        <is>
          <t>VALVULA 5-4WE10HA3X/EG12NZ5L</t>
        </is>
      </c>
      <c r="E875" s="23" t="n"/>
      <c r="F875" s="23" t="inlineStr">
        <is>
          <t>SOHIPREN</t>
        </is>
      </c>
      <c r="G875" s="23" t="n"/>
      <c r="H875" s="23" t="inlineStr">
        <is>
          <t>draft</t>
        </is>
      </c>
      <c r="I875" s="23" t="inlineStr">
        <is>
          <t>ROMANELLI</t>
        </is>
      </c>
      <c r="J875" s="23" t="inlineStr">
        <is>
          <t>DIVERSOS</t>
        </is>
      </c>
      <c r="K875" s="23" t="n"/>
      <c r="L875" s="23" t="inlineStr">
        <is>
          <t>CP02337 / 5-4WE10H33/CG12N9Z4</t>
        </is>
      </c>
      <c r="M875" s="31" t="n"/>
      <c r="N875" s="31" t="n"/>
      <c r="O875" s="31" t="n"/>
      <c r="P875" s="31" t="n"/>
      <c r="Q875" s="31" t="n"/>
      <c r="R875" s="34">
        <f>IFERROR(IF(AND(O875&gt;0,P875&gt;0,Q875&gt;0),(O875*P875*Q875)/6000,""),"")</f>
        <v/>
      </c>
      <c r="S875" s="34">
        <f>IFERROR(IF(AND(N875&gt;0,R875&gt;0),MAX(N875,R875),IF(N875&gt;0,N875,IF(R875&gt;0,R875,""))),"")</f>
        <v/>
      </c>
      <c r="T875" s="36" t="n"/>
      <c r="U875" s="38" t="inlineStr">
        <is>
          <t>FALTA</t>
        </is>
      </c>
      <c r="V875" s="36" t="n">
        <v>253</v>
      </c>
      <c r="W875" s="39" t="n">
        <v>0.3</v>
      </c>
      <c r="X875" s="41">
        <f>IFERROR(V875+T875,"")</f>
        <v/>
      </c>
      <c r="Y875" s="41">
        <f>IFERROR(IF(W875&lt;1,X875/(1-W875),""),"")</f>
        <v/>
      </c>
      <c r="Z875" s="43">
        <f>'01_CONFIG_GLOBAL'!$C$14</f>
        <v/>
      </c>
      <c r="AA875" s="41">
        <f>IFERROR(Y875*Z875,"")</f>
        <v/>
      </c>
      <c r="AB875" s="41">
        <f>IFERROR(IF(Z875&lt;1,Y875/(1-Z875),""),"")</f>
        <v/>
      </c>
      <c r="AC875" s="23" t="n"/>
      <c r="AD875" s="36" t="n"/>
      <c r="AE875" s="23" t="n"/>
      <c r="AF875" s="36" t="n"/>
      <c r="AG875" s="23" t="n"/>
      <c r="AH875" s="36" t="n"/>
      <c r="AI875" s="41">
        <f>IFERROR(AVERAGE(AD875,AF875,AH875),"")</f>
        <v/>
      </c>
      <c r="AJ875" s="29">
        <f>IFERROR(IF(AI875="","sem dados",IF(AB875&lt;AI875*0.95,"abaixo",IF(AB875&gt;AI875*1.05,"acima","em linha"))),"")</f>
        <v/>
      </c>
      <c r="AK875" s="23" t="inlineStr">
        <is>
          <t>não</t>
        </is>
      </c>
      <c r="AL875" s="23" t="n"/>
      <c r="AM875" s="23" t="n"/>
      <c r="AN875" s="23" t="n"/>
      <c r="AO875" s="44">
        <f>A875</f>
        <v/>
      </c>
      <c r="AP875" s="44">
        <f>D875</f>
        <v/>
      </c>
    </row>
    <row r="876" hidden="1" ht="15.75" customHeight="1" s="93">
      <c r="A876" s="23" t="inlineStr">
        <is>
          <t>6.0460.L060524.1</t>
        </is>
      </c>
      <c r="B876" s="23" t="inlineStr">
        <is>
          <t>L060524</t>
        </is>
      </c>
      <c r="C876" s="29">
        <f>IFERROR(LOWER(SUBSTITUTE(SUBSTITUTE(SUBSTITUTE(SUBSTITUTE(D876," ","-"),"/","-"),".",""),",","")),"")</f>
        <v/>
      </c>
      <c r="D876" s="23" t="inlineStr">
        <is>
          <t>VALVULA 4WE6H6X/EG12NZ5L</t>
        </is>
      </c>
      <c r="E876" s="23" t="n"/>
      <c r="F876" s="23" t="inlineStr">
        <is>
          <t>SOHIPREN</t>
        </is>
      </c>
      <c r="G876" s="23" t="n"/>
      <c r="H876" s="23" t="inlineStr">
        <is>
          <t>draft</t>
        </is>
      </c>
      <c r="I876" s="23" t="inlineStr">
        <is>
          <t>ROMANELLI</t>
        </is>
      </c>
      <c r="J876" s="23" t="inlineStr">
        <is>
          <t>DIVERSOS</t>
        </is>
      </c>
      <c r="K876" s="23" t="n"/>
      <c r="L876" s="23" t="inlineStr">
        <is>
          <t>CP02334 / 4WE6H61E/EG12NK4</t>
        </is>
      </c>
      <c r="M876" s="31" t="n"/>
      <c r="N876" s="31" t="n"/>
      <c r="O876" s="31" t="n"/>
      <c r="P876" s="31" t="n"/>
      <c r="Q876" s="31" t="n"/>
      <c r="R876" s="34">
        <f>IFERROR(IF(AND(O876&gt;0,P876&gt;0,Q876&gt;0),(O876*P876*Q876)/6000,""),"")</f>
        <v/>
      </c>
      <c r="S876" s="34">
        <f>IFERROR(IF(AND(N876&gt;0,R876&gt;0),MAX(N876,R876),IF(N876&gt;0,N876,IF(R876&gt;0,R876,""))),"")</f>
        <v/>
      </c>
      <c r="T876" s="36" t="n"/>
      <c r="U876" s="38" t="inlineStr">
        <is>
          <t>FALTA</t>
        </is>
      </c>
      <c r="V876" s="36" t="n">
        <v>595</v>
      </c>
      <c r="W876" s="39" t="n">
        <v>0.3</v>
      </c>
      <c r="X876" s="41">
        <f>IFERROR(V876+T876,"")</f>
        <v/>
      </c>
      <c r="Y876" s="41">
        <f>IFERROR(IF(W876&lt;1,X876/(1-W876),""),"")</f>
        <v/>
      </c>
      <c r="Z876" s="43">
        <f>'01_CONFIG_GLOBAL'!$C$14</f>
        <v/>
      </c>
      <c r="AA876" s="41">
        <f>IFERROR(Y876*Z876,"")</f>
        <v/>
      </c>
      <c r="AB876" s="41">
        <f>IFERROR(IF(Z876&lt;1,Y876/(1-Z876),""),"")</f>
        <v/>
      </c>
      <c r="AC876" s="23" t="n"/>
      <c r="AD876" s="36" t="n"/>
      <c r="AE876" s="23" t="n"/>
      <c r="AF876" s="36" t="n"/>
      <c r="AG876" s="23" t="n"/>
      <c r="AH876" s="36" t="n"/>
      <c r="AI876" s="41">
        <f>IFERROR(AVERAGE(AD876,AF876,AH876),"")</f>
        <v/>
      </c>
      <c r="AJ876" s="29">
        <f>IFERROR(IF(AI876="","sem dados",IF(AB876&lt;AI876*0.95,"abaixo",IF(AB876&gt;AI876*1.05,"acima","em linha"))),"")</f>
        <v/>
      </c>
      <c r="AK876" s="23" t="inlineStr">
        <is>
          <t>não</t>
        </is>
      </c>
      <c r="AL876" s="23" t="n"/>
      <c r="AM876" s="23" t="n"/>
      <c r="AN876" s="23" t="n"/>
      <c r="AO876" s="44">
        <f>A876</f>
        <v/>
      </c>
      <c r="AP876" s="44">
        <f>D876</f>
        <v/>
      </c>
    </row>
    <row r="877" hidden="1" ht="15.75" customHeight="1" s="93">
      <c r="A877" s="23" t="inlineStr">
        <is>
          <t>6.0460.L060521.1</t>
        </is>
      </c>
      <c r="B877" s="23" t="inlineStr">
        <is>
          <t>L060521</t>
        </is>
      </c>
      <c r="C877" s="29">
        <f>IFERROR(LOWER(SUBSTITUTE(SUBSTITUTE(SUBSTITUTE(SUBSTITUTE(D877," ","-"),"/","-"),".",""),",","")),"")</f>
        <v/>
      </c>
      <c r="D877" s="23" t="inlineStr">
        <is>
          <t>VALVULA DE VENTAGEM 4WE10HA3X/EG12NZ5L- 12V</t>
        </is>
      </c>
      <c r="E877" s="23" t="n"/>
      <c r="F877" s="23" t="inlineStr">
        <is>
          <t>SOHIPREN</t>
        </is>
      </c>
      <c r="G877" s="23" t="n"/>
      <c r="H877" s="23" t="inlineStr">
        <is>
          <t>draft</t>
        </is>
      </c>
      <c r="I877" s="23" t="inlineStr">
        <is>
          <t>ROMANELLI</t>
        </is>
      </c>
      <c r="J877" s="23" t="inlineStr">
        <is>
          <t>DIVERSOS</t>
        </is>
      </c>
      <c r="K877" s="23" t="n"/>
      <c r="L877" s="23" t="inlineStr">
        <is>
          <t>CP02338 / 4WEIOHA32/ CG12N9Z4</t>
        </is>
      </c>
      <c r="M877" s="31" t="n"/>
      <c r="N877" s="31" t="n"/>
      <c r="O877" s="31" t="n"/>
      <c r="P877" s="31" t="n"/>
      <c r="Q877" s="31" t="n"/>
      <c r="R877" s="34">
        <f>IFERROR(IF(AND(O877&gt;0,P877&gt;0,Q877&gt;0),(O877*P877*Q877)/6000,""),"")</f>
        <v/>
      </c>
      <c r="S877" s="34">
        <f>IFERROR(IF(AND(N877&gt;0,R877&gt;0),MAX(N877,R877),IF(N877&gt;0,N877,IF(R877&gt;0,R877,""))),"")</f>
        <v/>
      </c>
      <c r="T877" s="36" t="n"/>
      <c r="U877" s="38" t="inlineStr">
        <is>
          <t>FALTA</t>
        </is>
      </c>
      <c r="V877" s="36" t="n">
        <v>118.59</v>
      </c>
      <c r="W877" s="39" t="n">
        <v>0.3</v>
      </c>
      <c r="X877" s="41">
        <f>IFERROR(V877+T877,"")</f>
        <v/>
      </c>
      <c r="Y877" s="41">
        <f>IFERROR(IF(W877&lt;1,X877/(1-W877),""),"")</f>
        <v/>
      </c>
      <c r="Z877" s="43">
        <f>'01_CONFIG_GLOBAL'!$C$14</f>
        <v/>
      </c>
      <c r="AA877" s="41">
        <f>IFERROR(Y877*Z877,"")</f>
        <v/>
      </c>
      <c r="AB877" s="41">
        <f>IFERROR(IF(Z877&lt;1,Y877/(1-Z877),""),"")</f>
        <v/>
      </c>
      <c r="AC877" s="23" t="n"/>
      <c r="AD877" s="36" t="n"/>
      <c r="AE877" s="23" t="n"/>
      <c r="AF877" s="36" t="n"/>
      <c r="AG877" s="23" t="n"/>
      <c r="AH877" s="36" t="n"/>
      <c r="AI877" s="41">
        <f>IFERROR(AVERAGE(AD877,AF877,AH877),"")</f>
        <v/>
      </c>
      <c r="AJ877" s="29">
        <f>IFERROR(IF(AI877="","sem dados",IF(AB877&lt;AI877*0.95,"abaixo",IF(AB877&gt;AI877*1.05,"acima","em linha"))),"")</f>
        <v/>
      </c>
      <c r="AK877" s="23" t="inlineStr">
        <is>
          <t>não</t>
        </is>
      </c>
      <c r="AL877" s="23" t="n"/>
      <c r="AM877" s="23" t="n"/>
      <c r="AN877" s="23" t="n"/>
      <c r="AO877" s="44">
        <f>A877</f>
        <v/>
      </c>
      <c r="AP877" s="44">
        <f>D877</f>
        <v/>
      </c>
    </row>
    <row r="878" hidden="1" ht="15.75" customHeight="1" s="93">
      <c r="A878" s="23" t="inlineStr">
        <is>
          <t>6.0460.L082558.0</t>
        </is>
      </c>
      <c r="B878" s="23" t="inlineStr">
        <is>
          <t>L082558</t>
        </is>
      </c>
      <c r="C878" s="29">
        <f>IFERROR(LOWER(SUBSTITUTE(SUBSTITUTE(SUBSTITUTE(SUBSTITUTE(D878," ","-"),"/","-"),".",""),",","")),"")</f>
        <v/>
      </c>
      <c r="D878" s="23" t="inlineStr">
        <is>
          <t>BLSHP-00075</t>
        </is>
      </c>
      <c r="E878" s="23" t="n"/>
      <c r="F878" s="23" t="inlineStr">
        <is>
          <t>SOHIPREN</t>
        </is>
      </c>
      <c r="G878" s="23" t="n"/>
      <c r="H878" s="23" t="inlineStr">
        <is>
          <t>draft</t>
        </is>
      </c>
      <c r="I878" s="23" t="inlineStr">
        <is>
          <t>ROMANELLI</t>
        </is>
      </c>
      <c r="J878" s="23" t="inlineStr">
        <is>
          <t>DIVERSOS</t>
        </is>
      </c>
      <c r="K878" s="23" t="n"/>
      <c r="L878" s="23" t="inlineStr">
        <is>
          <t>CP03407</t>
        </is>
      </c>
      <c r="M878" s="31" t="n"/>
      <c r="N878" s="31" t="n"/>
      <c r="O878" s="31" t="n"/>
      <c r="P878" s="31" t="n"/>
      <c r="Q878" s="31" t="n"/>
      <c r="R878" s="34">
        <f>IFERROR(IF(AND(O878&gt;0,P878&gt;0,Q878&gt;0),(O878*P878*Q878)/6000,""),"")</f>
        <v/>
      </c>
      <c r="S878" s="34">
        <f>IFERROR(IF(AND(N878&gt;0,R878&gt;0),MAX(N878,R878),IF(N878&gt;0,N878,IF(R878&gt;0,R878,""))),"")</f>
        <v/>
      </c>
      <c r="T878" s="36" t="n"/>
      <c r="U878" s="38" t="inlineStr">
        <is>
          <t>FALTA</t>
        </is>
      </c>
      <c r="V878" s="36" t="n">
        <v>3255.05</v>
      </c>
      <c r="W878" s="39" t="n">
        <v>0.3</v>
      </c>
      <c r="X878" s="41">
        <f>IFERROR(V878+T878,"")</f>
        <v/>
      </c>
      <c r="Y878" s="41">
        <f>IFERROR(IF(W878&lt;1,X878/(1-W878),""),"")</f>
        <v/>
      </c>
      <c r="Z878" s="43">
        <f>'01_CONFIG_GLOBAL'!$C$14</f>
        <v/>
      </c>
      <c r="AA878" s="41">
        <f>IFERROR(Y878*Z878,"")</f>
        <v/>
      </c>
      <c r="AB878" s="41">
        <f>IFERROR(IF(Z878&lt;1,Y878/(1-Z878),""),"")</f>
        <v/>
      </c>
      <c r="AC878" s="23" t="n"/>
      <c r="AD878" s="36" t="n"/>
      <c r="AE878" s="23" t="n"/>
      <c r="AF878" s="36" t="n"/>
      <c r="AG878" s="23" t="n"/>
      <c r="AH878" s="36" t="n"/>
      <c r="AI878" s="41">
        <f>IFERROR(AVERAGE(AD878,AF878,AH878),"")</f>
        <v/>
      </c>
      <c r="AJ878" s="29">
        <f>IFERROR(IF(AI878="","sem dados",IF(AB878&lt;AI878*0.95,"abaixo",IF(AB878&gt;AI878*1.05,"acima","em linha"))),"")</f>
        <v/>
      </c>
      <c r="AK878" s="23" t="inlineStr">
        <is>
          <t>não</t>
        </is>
      </c>
      <c r="AL878" s="23" t="n"/>
      <c r="AM878" s="23" t="n"/>
      <c r="AN878" s="23" t="n"/>
      <c r="AO878" s="44">
        <f>A878</f>
        <v/>
      </c>
      <c r="AP878" s="44">
        <f>D878</f>
        <v/>
      </c>
    </row>
    <row r="879" hidden="1" ht="15.75" customHeight="1" s="93">
      <c r="A879" s="23" t="inlineStr">
        <is>
          <t>6.0460.L082402.1</t>
        </is>
      </c>
      <c r="B879" s="23" t="inlineStr">
        <is>
          <t>L082402</t>
        </is>
      </c>
      <c r="C879" s="29">
        <f>IFERROR(LOWER(SUBSTITUTE(SUBSTITUTE(SUBSTITUTE(SUBSTITUTE(D879," ","-"),"/","-"),".",""),",","")),"")</f>
        <v/>
      </c>
      <c r="D879" s="23" t="inlineStr">
        <is>
          <t>VALVULA REG PRESSAO (COMPRA L082292.1)</t>
        </is>
      </c>
      <c r="E879" s="23" t="n"/>
      <c r="F879" s="23" t="inlineStr">
        <is>
          <t>SOHIPREN</t>
        </is>
      </c>
      <c r="G879" s="23" t="n"/>
      <c r="H879" s="23" t="inlineStr">
        <is>
          <t>draft</t>
        </is>
      </c>
      <c r="I879" s="23" t="inlineStr">
        <is>
          <t>ROMANELLI</t>
        </is>
      </c>
      <c r="J879" s="23" t="n"/>
      <c r="K879" s="23" t="n"/>
      <c r="L879" s="23" t="inlineStr">
        <is>
          <t>CP02408 / ZDBDS10DP18B/100</t>
        </is>
      </c>
      <c r="M879" s="31" t="n"/>
      <c r="N879" s="31" t="n"/>
      <c r="O879" s="31" t="n"/>
      <c r="P879" s="31" t="n"/>
      <c r="Q879" s="31" t="n"/>
      <c r="R879" s="34">
        <f>IFERROR(IF(AND(O879&gt;0,P879&gt;0,Q879&gt;0),(O879*P879*Q879)/6000,""),"")</f>
        <v/>
      </c>
      <c r="S879" s="34">
        <f>IFERROR(IF(AND(N879&gt;0,R879&gt;0),MAX(N879,R879),IF(N879&gt;0,N879,IF(R879&gt;0,R879,""))),"")</f>
        <v/>
      </c>
      <c r="T879" s="36" t="n"/>
      <c r="U879" s="38" t="inlineStr">
        <is>
          <t>FALTA</t>
        </is>
      </c>
      <c r="V879" s="36" t="n">
        <v>195</v>
      </c>
      <c r="W879" s="39" t="n">
        <v>0.3</v>
      </c>
      <c r="X879" s="41">
        <f>IFERROR(V879+T879,"")</f>
        <v/>
      </c>
      <c r="Y879" s="41">
        <f>IFERROR(IF(W879&lt;1,X879/(1-W879),""),"")</f>
        <v/>
      </c>
      <c r="Z879" s="43">
        <f>'01_CONFIG_GLOBAL'!$C$14</f>
        <v/>
      </c>
      <c r="AA879" s="41">
        <f>IFERROR(Y879*Z879,"")</f>
        <v/>
      </c>
      <c r="AB879" s="41">
        <f>IFERROR(IF(Z879&lt;1,Y879/(1-Z879),""),"")</f>
        <v/>
      </c>
      <c r="AC879" s="23" t="n"/>
      <c r="AD879" s="36" t="n"/>
      <c r="AE879" s="23" t="n"/>
      <c r="AF879" s="36" t="n"/>
      <c r="AG879" s="23" t="n"/>
      <c r="AH879" s="36" t="n"/>
      <c r="AI879" s="41">
        <f>IFERROR(AVERAGE(AD879,AF879,AH879),"")</f>
        <v/>
      </c>
      <c r="AJ879" s="29">
        <f>IFERROR(IF(AI879="","sem dados",IF(AB879&lt;AI879*0.95,"abaixo",IF(AB879&gt;AI879*1.05,"acima","em linha"))),"")</f>
        <v/>
      </c>
      <c r="AK879" s="23" t="inlineStr">
        <is>
          <t>não</t>
        </is>
      </c>
      <c r="AL879" s="23" t="n"/>
      <c r="AM879" s="23" t="n"/>
      <c r="AN879" s="23" t="n"/>
      <c r="AO879" s="44">
        <f>A879</f>
        <v/>
      </c>
      <c r="AP879" s="44">
        <f>D879</f>
        <v/>
      </c>
    </row>
    <row r="880" hidden="1" ht="15.75" customHeight="1" s="93">
      <c r="A880" s="23" t="inlineStr">
        <is>
          <t>6.0460.L082403.1</t>
        </is>
      </c>
      <c r="B880" s="23" t="inlineStr">
        <is>
          <t>L082403.1</t>
        </is>
      </c>
      <c r="C880" s="29">
        <f>IFERROR(LOWER(SUBSTITUTE(SUBSTITUTE(SUBSTITUTE(SUBSTITUTE(D880," ","-"),"/","-"),".",""),",","")),"")</f>
        <v/>
      </c>
      <c r="D880" s="23" t="inlineStr">
        <is>
          <t>VALVULA REG PRESSAO (COMPRA L082293.1)</t>
        </is>
      </c>
      <c r="E880" s="23" t="n"/>
      <c r="F880" s="23" t="inlineStr">
        <is>
          <t>SOHIPREN</t>
        </is>
      </c>
      <c r="G880" s="23" t="n"/>
      <c r="H880" s="23" t="inlineStr">
        <is>
          <t>draft</t>
        </is>
      </c>
      <c r="I880" s="23" t="inlineStr">
        <is>
          <t>ROMANELLI</t>
        </is>
      </c>
      <c r="J880" s="23" t="n"/>
      <c r="K880" s="23" t="n"/>
      <c r="L880" s="23" t="inlineStr">
        <is>
          <t>CP02408 / ZDBDS10DP18B/100</t>
        </is>
      </c>
      <c r="M880" s="31" t="n"/>
      <c r="N880" s="31" t="n"/>
      <c r="O880" s="31" t="n"/>
      <c r="P880" s="31" t="n"/>
      <c r="Q880" s="31" t="n"/>
      <c r="R880" s="34">
        <f>IFERROR(IF(AND(O880&gt;0,P880&gt;0,Q880&gt;0),(O880*P880*Q880)/6000,""),"")</f>
        <v/>
      </c>
      <c r="S880" s="34">
        <f>IFERROR(IF(AND(N880&gt;0,R880&gt;0),MAX(N880,R880),IF(N880&gt;0,N880,IF(R880&gt;0,R880,""))),"")</f>
        <v/>
      </c>
      <c r="T880" s="36" t="n"/>
      <c r="U880" s="38" t="inlineStr">
        <is>
          <t>FALTA</t>
        </is>
      </c>
      <c r="V880" s="36" t="n">
        <v>195</v>
      </c>
      <c r="W880" s="39" t="n">
        <v>0.3</v>
      </c>
      <c r="X880" s="41">
        <f>IFERROR(V880+T880,"")</f>
        <v/>
      </c>
      <c r="Y880" s="41">
        <f>IFERROR(IF(W880&lt;1,X880/(1-W880),""),"")</f>
        <v/>
      </c>
      <c r="Z880" s="43">
        <f>'01_CONFIG_GLOBAL'!$C$14</f>
        <v/>
      </c>
      <c r="AA880" s="41">
        <f>IFERROR(Y880*Z880,"")</f>
        <v/>
      </c>
      <c r="AB880" s="41">
        <f>IFERROR(IF(Z880&lt;1,Y880/(1-Z880),""),"")</f>
        <v/>
      </c>
      <c r="AC880" s="23" t="n"/>
      <c r="AD880" s="36" t="n"/>
      <c r="AE880" s="23" t="n"/>
      <c r="AF880" s="36" t="n"/>
      <c r="AG880" s="23" t="n"/>
      <c r="AH880" s="36" t="n"/>
      <c r="AI880" s="41">
        <f>IFERROR(AVERAGE(AD880,AF880,AH880),"")</f>
        <v/>
      </c>
      <c r="AJ880" s="29">
        <f>IFERROR(IF(AI880="","sem dados",IF(AB880&lt;AI880*0.95,"abaixo",IF(AB880&gt;AI880*1.05,"acima","em linha"))),"")</f>
        <v/>
      </c>
      <c r="AK880" s="23" t="inlineStr">
        <is>
          <t>não</t>
        </is>
      </c>
      <c r="AL880" s="23" t="n"/>
      <c r="AM880" s="23" t="n"/>
      <c r="AN880" s="23" t="n"/>
      <c r="AO880" s="44">
        <f>A880</f>
        <v/>
      </c>
      <c r="AP880" s="44">
        <f>D880</f>
        <v/>
      </c>
    </row>
    <row r="881" hidden="1" ht="15.75" customHeight="1" s="93">
      <c r="A881" s="23" t="inlineStr">
        <is>
          <t>6.5061.L081843.0</t>
        </is>
      </c>
      <c r="B881" s="23" t="inlineStr">
        <is>
          <t>L081843</t>
        </is>
      </c>
      <c r="C881" s="29">
        <f>IFERROR(LOWER(SUBSTITUTE(SUBSTITUTE(SUBSTITUTE(SUBSTITUTE(D881," ","-"),"/","-"),".",""),",","")),"")</f>
        <v/>
      </c>
      <c r="D881" s="23" t="inlineStr">
        <is>
          <t>BLSHP-00019 (24V)</t>
        </is>
      </c>
      <c r="E881" s="23" t="n"/>
      <c r="F881" s="23" t="inlineStr">
        <is>
          <t>SOHIPREN</t>
        </is>
      </c>
      <c r="G881" s="23" t="n"/>
      <c r="H881" s="23" t="inlineStr">
        <is>
          <t>draft</t>
        </is>
      </c>
      <c r="I881" s="23" t="inlineStr">
        <is>
          <t>ROMANELLI</t>
        </is>
      </c>
      <c r="J881" s="23" t="inlineStr">
        <is>
          <t>DIVERSOS</t>
        </is>
      </c>
      <c r="K881" s="23" t="n"/>
      <c r="L881" s="23" t="inlineStr">
        <is>
          <t>CP02386 / HFB100708</t>
        </is>
      </c>
      <c r="M881" s="31" t="n"/>
      <c r="N881" s="31" t="n"/>
      <c r="O881" s="31" t="n"/>
      <c r="P881" s="31" t="n"/>
      <c r="Q881" s="31" t="n"/>
      <c r="R881" s="34">
        <f>IFERROR(IF(AND(O881&gt;0,P881&gt;0,Q881&gt;0),(O881*P881*Q881)/6000,""),"")</f>
        <v/>
      </c>
      <c r="S881" s="34">
        <f>IFERROR(IF(AND(N881&gt;0,R881&gt;0),MAX(N881,R881),IF(N881&gt;0,N881,IF(R881&gt;0,R881,""))),"")</f>
        <v/>
      </c>
      <c r="T881" s="36" t="n"/>
      <c r="U881" s="38" t="inlineStr">
        <is>
          <t>FALTA</t>
        </is>
      </c>
      <c r="V881" s="36" t="n">
        <v>1450</v>
      </c>
      <c r="W881" s="39" t="n">
        <v>0.3</v>
      </c>
      <c r="X881" s="41">
        <f>IFERROR(V881+T881,"")</f>
        <v/>
      </c>
      <c r="Y881" s="41">
        <f>IFERROR(IF(W881&lt;1,X881/(1-W881),""),"")</f>
        <v/>
      </c>
      <c r="Z881" s="43">
        <f>'01_CONFIG_GLOBAL'!$C$14</f>
        <v/>
      </c>
      <c r="AA881" s="41">
        <f>IFERROR(Y881*Z881,"")</f>
        <v/>
      </c>
      <c r="AB881" s="41">
        <f>IFERROR(IF(Z881&lt;1,Y881/(1-Z881),""),"")</f>
        <v/>
      </c>
      <c r="AC881" s="23" t="n"/>
      <c r="AD881" s="36" t="n"/>
      <c r="AE881" s="23" t="n"/>
      <c r="AF881" s="36" t="n"/>
      <c r="AG881" s="23" t="n"/>
      <c r="AH881" s="36" t="n"/>
      <c r="AI881" s="41">
        <f>IFERROR(AVERAGE(AD881,AF881,AH881),"")</f>
        <v/>
      </c>
      <c r="AJ881" s="29">
        <f>IFERROR(IF(AI881="","sem dados",IF(AB881&lt;AI881*0.95,"abaixo",IF(AB881&gt;AI881*1.05,"acima","em linha"))),"")</f>
        <v/>
      </c>
      <c r="AK881" s="23" t="inlineStr">
        <is>
          <t>não</t>
        </is>
      </c>
      <c r="AL881" s="23" t="n"/>
      <c r="AM881" s="23" t="n"/>
      <c r="AN881" s="23" t="n"/>
      <c r="AO881" s="44">
        <f>A881</f>
        <v/>
      </c>
      <c r="AP881" s="44">
        <f>D881</f>
        <v/>
      </c>
    </row>
    <row r="882" hidden="1" ht="15.75" customHeight="1" s="93">
      <c r="A882" s="23" t="inlineStr">
        <is>
          <t>6.5061.L081842.0</t>
        </is>
      </c>
      <c r="B882" s="23" t="inlineStr">
        <is>
          <t>L081842</t>
        </is>
      </c>
      <c r="C882" s="29">
        <f>IFERROR(LOWER(SUBSTITUTE(SUBSTITUTE(SUBSTITUTE(SUBSTITUTE(D882," ","-"),"/","-"),".",""),",","")),"")</f>
        <v/>
      </c>
      <c r="D882" s="23" t="inlineStr">
        <is>
          <t>BLSHP-00018 (12V)</t>
        </is>
      </c>
      <c r="E882" s="23" t="n"/>
      <c r="F882" s="23" t="inlineStr">
        <is>
          <t>SOHIPREN</t>
        </is>
      </c>
      <c r="G882" s="23" t="n"/>
      <c r="H882" s="23" t="inlineStr">
        <is>
          <t>draft</t>
        </is>
      </c>
      <c r="I882" s="23" t="inlineStr">
        <is>
          <t>ROMANELLI</t>
        </is>
      </c>
      <c r="J882" s="23" t="n"/>
      <c r="K882" s="23" t="n"/>
      <c r="L882" s="23" t="inlineStr">
        <is>
          <t>HFB 000627 / CP02384</t>
        </is>
      </c>
      <c r="M882" s="31" t="n"/>
      <c r="N882" s="31" t="n"/>
      <c r="O882" s="31" t="n"/>
      <c r="P882" s="31" t="n"/>
      <c r="Q882" s="31" t="n"/>
      <c r="R882" s="34">
        <f>IFERROR(IF(AND(O882&gt;0,P882&gt;0,Q882&gt;0),(O882*P882*Q882)/6000,""),"")</f>
        <v/>
      </c>
      <c r="S882" s="34">
        <f>IFERROR(IF(AND(N882&gt;0,R882&gt;0),MAX(N882,R882),IF(N882&gt;0,N882,IF(R882&gt;0,R882,""))),"")</f>
        <v/>
      </c>
      <c r="T882" s="36" t="n"/>
      <c r="U882" s="38" t="inlineStr">
        <is>
          <t>FALTA</t>
        </is>
      </c>
      <c r="V882" s="36" t="n">
        <v>4923.6</v>
      </c>
      <c r="W882" s="39" t="n">
        <v>0.3</v>
      </c>
      <c r="X882" s="41">
        <f>IFERROR(V882+T882,"")</f>
        <v/>
      </c>
      <c r="Y882" s="41">
        <f>IFERROR(IF(W882&lt;1,X882/(1-W882),""),"")</f>
        <v/>
      </c>
      <c r="Z882" s="43">
        <f>'01_CONFIG_GLOBAL'!$C$14</f>
        <v/>
      </c>
      <c r="AA882" s="41">
        <f>IFERROR(Y882*Z882,"")</f>
        <v/>
      </c>
      <c r="AB882" s="41">
        <f>IFERROR(IF(Z882&lt;1,Y882/(1-Z882),""),"")</f>
        <v/>
      </c>
      <c r="AC882" s="23" t="n"/>
      <c r="AD882" s="36" t="n"/>
      <c r="AE882" s="23" t="n"/>
      <c r="AF882" s="36" t="n"/>
      <c r="AG882" s="23" t="n"/>
      <c r="AH882" s="36" t="n"/>
      <c r="AI882" s="41">
        <f>IFERROR(AVERAGE(AD882,AF882,AH882),"")</f>
        <v/>
      </c>
      <c r="AJ882" s="29">
        <f>IFERROR(IF(AI882="","sem dados",IF(AB882&lt;AI882*0.95,"abaixo",IF(AB882&gt;AI882*1.05,"acima","em linha"))),"")</f>
        <v/>
      </c>
      <c r="AK882" s="23" t="inlineStr">
        <is>
          <t>não</t>
        </is>
      </c>
      <c r="AL882" s="23" t="n"/>
      <c r="AM882" s="23" t="n"/>
      <c r="AN882" s="23" t="n"/>
      <c r="AO882" s="44">
        <f>A882</f>
        <v/>
      </c>
      <c r="AP882" s="44">
        <f>D882</f>
        <v/>
      </c>
    </row>
    <row r="883" hidden="1" ht="15.75" customHeight="1" s="93">
      <c r="A883" s="23" t="inlineStr">
        <is>
          <t>6.5061.L081844.0</t>
        </is>
      </c>
      <c r="B883" s="23" t="inlineStr">
        <is>
          <t>L081844</t>
        </is>
      </c>
      <c r="C883" s="29">
        <f>IFERROR(LOWER(SUBSTITUTE(SUBSTITUTE(SUBSTITUTE(SUBSTITUTE(D883," ","-"),"/","-"),".",""),",","")),"")</f>
        <v/>
      </c>
      <c r="D883" s="23" t="inlineStr">
        <is>
          <t>BLSHP-00020</t>
        </is>
      </c>
      <c r="E883" s="23" t="n"/>
      <c r="F883" s="23" t="inlineStr">
        <is>
          <t>SOHIPREN</t>
        </is>
      </c>
      <c r="G883" s="23" t="n"/>
      <c r="H883" s="23" t="inlineStr">
        <is>
          <t>draft</t>
        </is>
      </c>
      <c r="I883" s="23" t="inlineStr">
        <is>
          <t>ROMANELLI</t>
        </is>
      </c>
      <c r="J883" s="23" t="n"/>
      <c r="K883" s="23" t="n"/>
      <c r="L883" s="23" t="inlineStr">
        <is>
          <t>HFB 000624 / CP00147</t>
        </is>
      </c>
      <c r="M883" s="31" t="n"/>
      <c r="N883" s="31" t="n"/>
      <c r="O883" s="31" t="n"/>
      <c r="P883" s="31" t="n"/>
      <c r="Q883" s="31" t="n"/>
      <c r="R883" s="34">
        <f>IFERROR(IF(AND(O883&gt;0,P883&gt;0,Q883&gt;0),(O883*P883*Q883)/6000,""),"")</f>
        <v/>
      </c>
      <c r="S883" s="34">
        <f>IFERROR(IF(AND(N883&gt;0,R883&gt;0),MAX(N883,R883),IF(N883&gt;0,N883,IF(R883&gt;0,R883,""))),"")</f>
        <v/>
      </c>
      <c r="T883" s="36" t="n"/>
      <c r="U883" s="38" t="inlineStr">
        <is>
          <t>FALTA</t>
        </is>
      </c>
      <c r="V883" s="36" t="n">
        <v>1450</v>
      </c>
      <c r="W883" s="39" t="n">
        <v>0.3</v>
      </c>
      <c r="X883" s="41">
        <f>IFERROR(V883+T883,"")</f>
        <v/>
      </c>
      <c r="Y883" s="41">
        <f>IFERROR(IF(W883&lt;1,X883/(1-W883),""),"")</f>
        <v/>
      </c>
      <c r="Z883" s="43">
        <f>'01_CONFIG_GLOBAL'!$C$14</f>
        <v/>
      </c>
      <c r="AA883" s="41">
        <f>IFERROR(Y883*Z883,"")</f>
        <v/>
      </c>
      <c r="AB883" s="41">
        <f>IFERROR(IF(Z883&lt;1,Y883/(1-Z883),""),"")</f>
        <v/>
      </c>
      <c r="AC883" s="23" t="n"/>
      <c r="AD883" s="36" t="n"/>
      <c r="AE883" s="23" t="n"/>
      <c r="AF883" s="36" t="n"/>
      <c r="AG883" s="23" t="n"/>
      <c r="AH883" s="36" t="n"/>
      <c r="AI883" s="41">
        <f>IFERROR(AVERAGE(AD883,AF883,AH883),"")</f>
        <v/>
      </c>
      <c r="AJ883" s="29">
        <f>IFERROR(IF(AI883="","sem dados",IF(AB883&lt;AI883*0.95,"abaixo",IF(AB883&gt;AI883*1.05,"acima","em linha"))),"")</f>
        <v/>
      </c>
      <c r="AK883" s="23" t="inlineStr">
        <is>
          <t>não</t>
        </is>
      </c>
      <c r="AL883" s="23" t="n"/>
      <c r="AM883" s="23" t="n"/>
      <c r="AN883" s="23" t="n"/>
      <c r="AO883" s="44">
        <f>A883</f>
        <v/>
      </c>
      <c r="AP883" s="44">
        <f>D883</f>
        <v/>
      </c>
    </row>
    <row r="884" hidden="1" ht="15.75" customHeight="1" s="93">
      <c r="A884" s="23" t="inlineStr">
        <is>
          <t>6.0460.L081902.1</t>
        </is>
      </c>
      <c r="B884" s="23" t="inlineStr">
        <is>
          <t>L081902</t>
        </is>
      </c>
      <c r="C884" s="29">
        <f>IFERROR(LOWER(SUBSTITUTE(SUBSTITUTE(SUBSTITUTE(SUBSTITUTE(D884," ","-"),"/","-"),".",""),",","")),"")</f>
        <v/>
      </c>
      <c r="D884" s="23" t="inlineStr">
        <is>
          <t>VALVULA DIRECIONAL ELETRICA 4WE6HA61/EG12N9K4</t>
        </is>
      </c>
      <c r="E884" s="23" t="n"/>
      <c r="F884" s="23" t="inlineStr">
        <is>
          <t>SOHIPREN</t>
        </is>
      </c>
      <c r="G884" s="23" t="n"/>
      <c r="H884" s="23" t="inlineStr">
        <is>
          <t>draft</t>
        </is>
      </c>
      <c r="I884" s="23" t="inlineStr">
        <is>
          <t>ROMANELLI</t>
        </is>
      </c>
      <c r="J884" s="23" t="inlineStr">
        <is>
          <t>DIVERSOS</t>
        </is>
      </c>
      <c r="K884" s="23" t="n"/>
      <c r="L884" s="23" t="inlineStr">
        <is>
          <t>CP00279 / 4WE6HA61/EG12N9K4</t>
        </is>
      </c>
      <c r="M884" s="31" t="n"/>
      <c r="N884" s="31" t="n"/>
      <c r="O884" s="31" t="n"/>
      <c r="P884" s="31" t="n"/>
      <c r="Q884" s="31" t="n"/>
      <c r="R884" s="34">
        <f>IFERROR(IF(AND(O884&gt;0,P884&gt;0,Q884&gt;0),(O884*P884*Q884)/6000,""),"")</f>
        <v/>
      </c>
      <c r="S884" s="34">
        <f>IFERROR(IF(AND(N884&gt;0,R884&gt;0),MAX(N884,R884),IF(N884&gt;0,N884,IF(R884&gt;0,R884,""))),"")</f>
        <v/>
      </c>
      <c r="T884" s="36" t="n"/>
      <c r="U884" s="38" t="inlineStr">
        <is>
          <t>FALTA</t>
        </is>
      </c>
      <c r="V884" s="36" t="n">
        <v>4737.7</v>
      </c>
      <c r="W884" s="39" t="n">
        <v>0.3</v>
      </c>
      <c r="X884" s="41">
        <f>IFERROR(V884+T884,"")</f>
        <v/>
      </c>
      <c r="Y884" s="41">
        <f>IFERROR(IF(W884&lt;1,X884/(1-W884),""),"")</f>
        <v/>
      </c>
      <c r="Z884" s="43">
        <f>'01_CONFIG_GLOBAL'!$C$14</f>
        <v/>
      </c>
      <c r="AA884" s="41">
        <f>IFERROR(Y884*Z884,"")</f>
        <v/>
      </c>
      <c r="AB884" s="41">
        <f>IFERROR(IF(Z884&lt;1,Y884/(1-Z884),""),"")</f>
        <v/>
      </c>
      <c r="AC884" s="23" t="n"/>
      <c r="AD884" s="36" t="n"/>
      <c r="AE884" s="23" t="n"/>
      <c r="AF884" s="36" t="n"/>
      <c r="AG884" s="23" t="n"/>
      <c r="AH884" s="36" t="n"/>
      <c r="AI884" s="41">
        <f>IFERROR(AVERAGE(AD884,AF884,AH884),"")</f>
        <v/>
      </c>
      <c r="AJ884" s="29">
        <f>IFERROR(IF(AI884="","sem dados",IF(AB884&lt;AI884*0.95,"abaixo",IF(AB884&gt;AI884*1.05,"acima","em linha"))),"")</f>
        <v/>
      </c>
      <c r="AK884" s="23" t="inlineStr">
        <is>
          <t>não</t>
        </is>
      </c>
      <c r="AL884" s="23" t="n"/>
      <c r="AM884" s="23" t="n"/>
      <c r="AN884" s="23" t="n"/>
      <c r="AO884" s="44">
        <f>A884</f>
        <v/>
      </c>
      <c r="AP884" s="44">
        <f>D884</f>
        <v/>
      </c>
    </row>
    <row r="885" hidden="1" ht="15.75" customHeight="1" s="93">
      <c r="A885" s="23" t="inlineStr">
        <is>
          <t>6.0460.L082270.0</t>
        </is>
      </c>
      <c r="B885" s="23" t="inlineStr">
        <is>
          <t>L082270</t>
        </is>
      </c>
      <c r="C885" s="29">
        <f>IFERROR(LOWER(SUBSTITUTE(SUBSTITUTE(SUBSTITUTE(SUBSTITUTE(D885," ","-"),"/","-"),".",""),",","")),"")</f>
        <v/>
      </c>
      <c r="D885" s="23" t="inlineStr">
        <is>
          <t>BLSHP-00021</t>
        </is>
      </c>
      <c r="E885" s="23" t="n"/>
      <c r="F885" s="23" t="inlineStr">
        <is>
          <t>SOHIPREN</t>
        </is>
      </c>
      <c r="G885" s="23" t="n"/>
      <c r="H885" s="23" t="inlineStr">
        <is>
          <t>draft</t>
        </is>
      </c>
      <c r="I885" s="23" t="inlineStr">
        <is>
          <t>ROMANELLI</t>
        </is>
      </c>
      <c r="J885" s="23" t="n"/>
      <c r="K885" s="23" t="n"/>
      <c r="L885" s="23" t="inlineStr">
        <is>
          <t>HFB 000622 / CP00146</t>
        </is>
      </c>
      <c r="M885" s="31" t="n"/>
      <c r="N885" s="31" t="n"/>
      <c r="O885" s="31" t="n"/>
      <c r="P885" s="31" t="n"/>
      <c r="Q885" s="31" t="n"/>
      <c r="R885" s="34">
        <f>IFERROR(IF(AND(O885&gt;0,P885&gt;0,Q885&gt;0),(O885*P885*Q885)/6000,""),"")</f>
        <v/>
      </c>
      <c r="S885" s="34">
        <f>IFERROR(IF(AND(N885&gt;0,R885&gt;0),MAX(N885,R885),IF(N885&gt;0,N885,IF(R885&gt;0,R885,""))),"")</f>
        <v/>
      </c>
      <c r="T885" s="36" t="n"/>
      <c r="U885" s="38" t="inlineStr">
        <is>
          <t>FALTA</t>
        </is>
      </c>
      <c r="V885" s="36" t="n">
        <v>3562.99</v>
      </c>
      <c r="W885" s="39" t="n">
        <v>0.3</v>
      </c>
      <c r="X885" s="41">
        <f>IFERROR(V885+T885,"")</f>
        <v/>
      </c>
      <c r="Y885" s="41">
        <f>IFERROR(IF(W885&lt;1,X885/(1-W885),""),"")</f>
        <v/>
      </c>
      <c r="Z885" s="43">
        <f>'01_CONFIG_GLOBAL'!$C$14</f>
        <v/>
      </c>
      <c r="AA885" s="41">
        <f>IFERROR(Y885*Z885,"")</f>
        <v/>
      </c>
      <c r="AB885" s="41">
        <f>IFERROR(IF(Z885&lt;1,Y885/(1-Z885),""),"")</f>
        <v/>
      </c>
      <c r="AC885" s="23" t="n"/>
      <c r="AD885" s="36" t="n"/>
      <c r="AE885" s="23" t="n"/>
      <c r="AF885" s="36" t="n"/>
      <c r="AG885" s="23" t="n"/>
      <c r="AH885" s="36" t="n"/>
      <c r="AI885" s="41">
        <f>IFERROR(AVERAGE(AD885,AF885,AH885),"")</f>
        <v/>
      </c>
      <c r="AJ885" s="29">
        <f>IFERROR(IF(AI885="","sem dados",IF(AB885&lt;AI885*0.95,"abaixo",IF(AB885&gt;AI885*1.05,"acima","em linha"))),"")</f>
        <v/>
      </c>
      <c r="AK885" s="23" t="inlineStr">
        <is>
          <t>não</t>
        </is>
      </c>
      <c r="AL885" s="23" t="n"/>
      <c r="AM885" s="23" t="n"/>
      <c r="AN885" s="23" t="n"/>
      <c r="AO885" s="44">
        <f>A885</f>
        <v/>
      </c>
      <c r="AP885" s="44">
        <f>D885</f>
        <v/>
      </c>
    </row>
    <row r="886" hidden="1" ht="15.75" customHeight="1" s="93">
      <c r="A886" s="23" t="inlineStr">
        <is>
          <t>6.0460.L082292.1</t>
        </is>
      </c>
      <c r="B886" s="23" t="inlineStr">
        <is>
          <t>L082292</t>
        </is>
      </c>
      <c r="C886" s="29">
        <f>IFERROR(LOWER(SUBSTITUTE(SUBSTITUTE(SUBSTITUTE(SUBSTITUTE(D886," ","-"),"/","-"),".",""),",","")),"")</f>
        <v/>
      </c>
      <c r="D886" s="23" t="inlineStr">
        <is>
          <t>VALVULA REG PRESSAO ZDBDS10DP18B/100</t>
        </is>
      </c>
      <c r="E886" s="23" t="n"/>
      <c r="F886" s="23" t="inlineStr">
        <is>
          <t>SOHIPREN</t>
        </is>
      </c>
      <c r="G886" s="23" t="n"/>
      <c r="H886" s="23" t="inlineStr">
        <is>
          <t>draft</t>
        </is>
      </c>
      <c r="I886" s="23" t="inlineStr">
        <is>
          <t>ROMANELLI</t>
        </is>
      </c>
      <c r="J886" s="23" t="n"/>
      <c r="K886" s="23" t="n"/>
      <c r="L886" s="23" t="inlineStr">
        <is>
          <t>CP02408 / ZDBDS10DP18B/100</t>
        </is>
      </c>
      <c r="M886" s="31" t="n"/>
      <c r="N886" s="31" t="n"/>
      <c r="O886" s="31" t="n"/>
      <c r="P886" s="31" t="n"/>
      <c r="Q886" s="31" t="n"/>
      <c r="R886" s="34">
        <f>IFERROR(IF(AND(O886&gt;0,P886&gt;0,Q886&gt;0),(O886*P886*Q886)/6000,""),"")</f>
        <v/>
      </c>
      <c r="S886" s="34">
        <f>IFERROR(IF(AND(N886&gt;0,R886&gt;0),MAX(N886,R886),IF(N886&gt;0,N886,IF(R886&gt;0,R886,""))),"")</f>
        <v/>
      </c>
      <c r="T886" s="36" t="n"/>
      <c r="U886" s="38" t="inlineStr">
        <is>
          <t>FALTA</t>
        </is>
      </c>
      <c r="V886" s="36" t="n">
        <v>5825</v>
      </c>
      <c r="W886" s="39" t="n">
        <v>0.3</v>
      </c>
      <c r="X886" s="41">
        <f>IFERROR(V886+T886,"")</f>
        <v/>
      </c>
      <c r="Y886" s="41">
        <f>IFERROR(IF(W886&lt;1,X886/(1-W886),""),"")</f>
        <v/>
      </c>
      <c r="Z886" s="43">
        <f>'01_CONFIG_GLOBAL'!$C$14</f>
        <v/>
      </c>
      <c r="AA886" s="41">
        <f>IFERROR(Y886*Z886,"")</f>
        <v/>
      </c>
      <c r="AB886" s="41">
        <f>IFERROR(IF(Z886&lt;1,Y886/(1-Z886),""),"")</f>
        <v/>
      </c>
      <c r="AC886" s="23" t="n"/>
      <c r="AD886" s="36" t="n"/>
      <c r="AE886" s="23" t="n"/>
      <c r="AF886" s="36" t="n"/>
      <c r="AG886" s="23" t="n"/>
      <c r="AH886" s="36" t="n"/>
      <c r="AI886" s="41">
        <f>IFERROR(AVERAGE(AD886,AF886,AH886),"")</f>
        <v/>
      </c>
      <c r="AJ886" s="29">
        <f>IFERROR(IF(AI886="","sem dados",IF(AB886&lt;AI886*0.95,"abaixo",IF(AB886&gt;AI886*1.05,"acima","em linha"))),"")</f>
        <v/>
      </c>
      <c r="AK886" s="23" t="inlineStr">
        <is>
          <t>não</t>
        </is>
      </c>
      <c r="AL886" s="23" t="n"/>
      <c r="AM886" s="23" t="n"/>
      <c r="AN886" s="23" t="n"/>
      <c r="AO886" s="44">
        <f>A886</f>
        <v/>
      </c>
      <c r="AP886" s="44">
        <f>D886</f>
        <v/>
      </c>
    </row>
    <row r="887" hidden="1" ht="15.75" customHeight="1" s="93">
      <c r="A887" s="23" t="inlineStr">
        <is>
          <t>6.0460.L082293.1</t>
        </is>
      </c>
      <c r="B887" s="23" t="inlineStr">
        <is>
          <t>L082293</t>
        </is>
      </c>
      <c r="C887" s="29">
        <f>IFERROR(LOWER(SUBSTITUTE(SUBSTITUTE(SUBSTITUTE(SUBSTITUTE(D887," ","-"),"/","-"),".",""),",","")),"")</f>
        <v/>
      </c>
      <c r="D887" s="23" t="inlineStr">
        <is>
          <t>VALVULA REG PRESSAO ZDBDS6DP18B/200</t>
        </is>
      </c>
      <c r="E887" s="23" t="n"/>
      <c r="F887" s="23" t="inlineStr">
        <is>
          <t>SOHIPREN</t>
        </is>
      </c>
      <c r="G887" s="23" t="n"/>
      <c r="H887" s="23" t="inlineStr">
        <is>
          <t>draft</t>
        </is>
      </c>
      <c r="I887" s="23" t="inlineStr">
        <is>
          <t>ROMANELLI</t>
        </is>
      </c>
      <c r="J887" s="23" t="n"/>
      <c r="K887" s="23" t="n"/>
      <c r="L887" s="23" t="inlineStr">
        <is>
          <t>CP02410 / ZDBDS6DP18B/200</t>
        </is>
      </c>
      <c r="M887" s="31" t="n"/>
      <c r="N887" s="31" t="n"/>
      <c r="O887" s="31" t="n"/>
      <c r="P887" s="31" t="n"/>
      <c r="Q887" s="31" t="n"/>
      <c r="R887" s="34">
        <f>IFERROR(IF(AND(O887&gt;0,P887&gt;0,Q887&gt;0),(O887*P887*Q887)/6000,""),"")</f>
        <v/>
      </c>
      <c r="S887" s="34">
        <f>IFERROR(IF(AND(N887&gt;0,R887&gt;0),MAX(N887,R887),IF(N887&gt;0,N887,IF(R887&gt;0,R887,""))),"")</f>
        <v/>
      </c>
      <c r="T887" s="36" t="n"/>
      <c r="U887" s="38" t="inlineStr">
        <is>
          <t>FALTA</t>
        </is>
      </c>
      <c r="V887" s="36" t="n">
        <v>730</v>
      </c>
      <c r="W887" s="39" t="n">
        <v>0.3</v>
      </c>
      <c r="X887" s="41">
        <f>IFERROR(V887+T887,"")</f>
        <v/>
      </c>
      <c r="Y887" s="41">
        <f>IFERROR(IF(W887&lt;1,X887/(1-W887),""),"")</f>
        <v/>
      </c>
      <c r="Z887" s="43">
        <f>'01_CONFIG_GLOBAL'!$C$14</f>
        <v/>
      </c>
      <c r="AA887" s="41">
        <f>IFERROR(Y887*Z887,"")</f>
        <v/>
      </c>
      <c r="AB887" s="41">
        <f>IFERROR(IF(Z887&lt;1,Y887/(1-Z887),""),"")</f>
        <v/>
      </c>
      <c r="AC887" s="23" t="n"/>
      <c r="AD887" s="36" t="n"/>
      <c r="AE887" s="23" t="n"/>
      <c r="AF887" s="36" t="n"/>
      <c r="AG887" s="23" t="n"/>
      <c r="AH887" s="36" t="n"/>
      <c r="AI887" s="41">
        <f>IFERROR(AVERAGE(AD887,AF887,AH887),"")</f>
        <v/>
      </c>
      <c r="AJ887" s="29">
        <f>IFERROR(IF(AI887="","sem dados",IF(AB887&lt;AI887*0.95,"abaixo",IF(AB887&gt;AI887*1.05,"acima","em linha"))),"")</f>
        <v/>
      </c>
      <c r="AK887" s="23" t="inlineStr">
        <is>
          <t>não</t>
        </is>
      </c>
      <c r="AL887" s="23" t="n"/>
      <c r="AM887" s="23" t="n"/>
      <c r="AN887" s="23" t="n"/>
      <c r="AO887" s="44">
        <f>A887</f>
        <v/>
      </c>
      <c r="AP887" s="44">
        <f>D887</f>
        <v/>
      </c>
    </row>
    <row r="888" hidden="1" ht="15.75" customHeight="1" s="93">
      <c r="A888" s="23" t="inlineStr">
        <is>
          <t>5.1621.L007540.0</t>
        </is>
      </c>
      <c r="B888" s="23" t="inlineStr">
        <is>
          <t>L00754</t>
        </is>
      </c>
      <c r="C888" s="29">
        <f>IFERROR(LOWER(SUBSTITUTE(SUBSTITUTE(SUBSTITUTE(SUBSTITUTE(D888," ","-"),"/","-"),".",""),",","")),"")</f>
        <v/>
      </c>
      <c r="D888" s="23" t="inlineStr">
        <is>
          <t>MLS 500 E200.C2.P5 (14 DENTES)</t>
        </is>
      </c>
      <c r="E888" s="23" t="n"/>
      <c r="F888" s="23" t="inlineStr">
        <is>
          <t>SOHIPREN</t>
        </is>
      </c>
      <c r="G888" s="23" t="n"/>
      <c r="H888" s="23" t="inlineStr">
        <is>
          <t>draft</t>
        </is>
      </c>
      <c r="I888" s="23" t="inlineStr">
        <is>
          <t>ROMANELLI</t>
        </is>
      </c>
      <c r="J888" s="23" t="n"/>
      <c r="K888" s="23" t="n"/>
      <c r="L888" s="23" t="inlineStr">
        <is>
          <t>CP01244/104-3935-006/151F2348</t>
        </is>
      </c>
      <c r="M888" s="31" t="n"/>
      <c r="N888" s="31" t="n"/>
      <c r="O888" s="31" t="n"/>
      <c r="P888" s="31" t="n"/>
      <c r="Q888" s="31" t="n"/>
      <c r="R888" s="34">
        <f>IFERROR(IF(AND(O888&gt;0,P888&gt;0,Q888&gt;0),(O888*P888*Q888)/6000,""),"")</f>
        <v/>
      </c>
      <c r="S888" s="34">
        <f>IFERROR(IF(AND(N888&gt;0,R888&gt;0),MAX(N888,R888),IF(N888&gt;0,N888,IF(R888&gt;0,R888,""))),"")</f>
        <v/>
      </c>
      <c r="T888" s="36" t="n"/>
      <c r="U888" s="38" t="inlineStr">
        <is>
          <t>FALTA</t>
        </is>
      </c>
      <c r="V888" s="36" t="n">
        <v>1545</v>
      </c>
      <c r="W888" s="39" t="n">
        <v>0.3</v>
      </c>
      <c r="X888" s="41">
        <f>IFERROR(V888+T888,"")</f>
        <v/>
      </c>
      <c r="Y888" s="41">
        <f>IFERROR(IF(W888&lt;1,X888/(1-W888),""),"")</f>
        <v/>
      </c>
      <c r="Z888" s="43">
        <f>'01_CONFIG_GLOBAL'!$C$14</f>
        <v/>
      </c>
      <c r="AA888" s="41">
        <f>IFERROR(Y888*Z888,"")</f>
        <v/>
      </c>
      <c r="AB888" s="41">
        <f>IFERROR(IF(Z888&lt;1,Y888/(1-Z888),""),"")</f>
        <v/>
      </c>
      <c r="AC888" s="23" t="n"/>
      <c r="AD888" s="36" t="n"/>
      <c r="AE888" s="23" t="n"/>
      <c r="AF888" s="36" t="n"/>
      <c r="AG888" s="23" t="n"/>
      <c r="AH888" s="36" t="n"/>
      <c r="AI888" s="41">
        <f>IFERROR(AVERAGE(AD888,AF888,AH888),"")</f>
        <v/>
      </c>
      <c r="AJ888" s="29">
        <f>IFERROR(IF(AI888="","sem dados",IF(AB888&lt;AI888*0.95,"abaixo",IF(AB888&gt;AI888*1.05,"acima","em linha"))),"")</f>
        <v/>
      </c>
      <c r="AK888" s="23" t="inlineStr">
        <is>
          <t>não</t>
        </is>
      </c>
      <c r="AL888" s="23" t="n"/>
      <c r="AM888" s="23" t="n"/>
      <c r="AN888" s="23" t="n"/>
      <c r="AO888" s="44">
        <f>A888</f>
        <v/>
      </c>
      <c r="AP888" s="44">
        <f>D888</f>
        <v/>
      </c>
    </row>
    <row r="889" hidden="1" ht="15.75" customHeight="1" s="93">
      <c r="A889" s="23" t="inlineStr">
        <is>
          <t>5.5205.L008710.0</t>
        </is>
      </c>
      <c r="B889" s="23" t="inlineStr">
        <is>
          <t>L008710</t>
        </is>
      </c>
      <c r="C889" s="29">
        <f>IFERROR(LOWER(SUBSTITUTE(SUBSTITUTE(SUBSTITUTE(SUBSTITUTE(D889," ","-"),"/","-"),".",""),",","")),"")</f>
        <v/>
      </c>
      <c r="D889" s="23" t="inlineStr">
        <is>
          <t>MUI BO 8 C11.P1.C27.L</t>
        </is>
      </c>
      <c r="E889" s="23" t="n"/>
      <c r="F889" s="23" t="inlineStr">
        <is>
          <t>SOHIPREN</t>
        </is>
      </c>
      <c r="G889" s="23" t="n"/>
      <c r="H889" s="23" t="inlineStr">
        <is>
          <t>draft</t>
        </is>
      </c>
      <c r="I889" s="23" t="inlineStr">
        <is>
          <t>ROMANELLI</t>
        </is>
      </c>
      <c r="J889" s="23" t="inlineStr">
        <is>
          <t>COMBOMBA HIDRÁULICA - APLICAÇÃOO</t>
        </is>
      </c>
      <c r="K889" s="23" t="n"/>
      <c r="L889" s="23" t="inlineStr">
        <is>
          <t>CP1209/F000510491/CP01209</t>
        </is>
      </c>
      <c r="M889" s="31" t="n"/>
      <c r="N889" s="31" t="n"/>
      <c r="O889" s="31" t="n"/>
      <c r="P889" s="31" t="n"/>
      <c r="Q889" s="31" t="n"/>
      <c r="R889" s="34">
        <f>IFERROR(IF(AND(O889&gt;0,P889&gt;0,Q889&gt;0),(O889*P889*Q889)/6000,""),"")</f>
        <v/>
      </c>
      <c r="S889" s="34">
        <f>IFERROR(IF(AND(N889&gt;0,R889&gt;0),MAX(N889,R889),IF(N889&gt;0,N889,IF(R889&gt;0,R889,""))),"")</f>
        <v/>
      </c>
      <c r="T889" s="36" t="n"/>
      <c r="U889" s="38" t="inlineStr">
        <is>
          <t>FALTA</t>
        </is>
      </c>
      <c r="V889" s="36" t="n">
        <v>632</v>
      </c>
      <c r="W889" s="39" t="n">
        <v>0.3</v>
      </c>
      <c r="X889" s="41">
        <f>IFERROR(V889+T889,"")</f>
        <v/>
      </c>
      <c r="Y889" s="41">
        <f>IFERROR(IF(W889&lt;1,X889/(1-W889),""),"")</f>
        <v/>
      </c>
      <c r="Z889" s="43">
        <f>'01_CONFIG_GLOBAL'!$C$14</f>
        <v/>
      </c>
      <c r="AA889" s="41">
        <f>IFERROR(Y889*Z889,"")</f>
        <v/>
      </c>
      <c r="AB889" s="41">
        <f>IFERROR(IF(Z889&lt;1,Y889/(1-Z889),""),"")</f>
        <v/>
      </c>
      <c r="AC889" s="23" t="n"/>
      <c r="AD889" s="36" t="n"/>
      <c r="AE889" s="23" t="n"/>
      <c r="AF889" s="36" t="n"/>
      <c r="AG889" s="23" t="n"/>
      <c r="AH889" s="36" t="n"/>
      <c r="AI889" s="41">
        <f>IFERROR(AVERAGE(AD889,AF889,AH889),"")</f>
        <v/>
      </c>
      <c r="AJ889" s="29">
        <f>IFERROR(IF(AI889="","sem dados",IF(AB889&lt;AI889*0.95,"abaixo",IF(AB889&gt;AI889*1.05,"acima","em linha"))),"")</f>
        <v/>
      </c>
      <c r="AK889" s="23" t="inlineStr">
        <is>
          <t>não</t>
        </is>
      </c>
      <c r="AL889" s="23" t="n"/>
      <c r="AM889" s="23" t="n"/>
      <c r="AN889" s="23" t="n"/>
      <c r="AO889" s="44">
        <f>A889</f>
        <v/>
      </c>
      <c r="AP889" s="44">
        <f>D889</f>
        <v/>
      </c>
    </row>
    <row r="890" hidden="1" ht="15.75" customHeight="1" s="93">
      <c r="A890" s="23" t="inlineStr">
        <is>
          <t>5.5210.L011400.0</t>
        </is>
      </c>
      <c r="B890" s="23" t="inlineStr">
        <is>
          <t>L01140</t>
        </is>
      </c>
      <c r="C890" s="29">
        <f>IFERROR(LOWER(SUBSTITUTE(SUBSTITUTE(SUBSTITUTE(SUBSTITUTE(D890," ","-"),"/","-"),".",""),",","")),"")</f>
        <v/>
      </c>
      <c r="D890" s="23" t="inlineStr">
        <is>
          <t>MUD BO 22,5 C11.P1.C19.L</t>
        </is>
      </c>
      <c r="E890" s="23" t="n"/>
      <c r="F890" s="23" t="inlineStr">
        <is>
          <t>SOHIPREN</t>
        </is>
      </c>
      <c r="G890" s="23" t="n"/>
      <c r="H890" s="23" t="inlineStr">
        <is>
          <t>draft</t>
        </is>
      </c>
      <c r="I890" s="23" t="inlineStr">
        <is>
          <t>ROMANELLI</t>
        </is>
      </c>
      <c r="J890" s="23" t="inlineStr">
        <is>
          <t>MÁQUINA OPERATRIZ</t>
        </is>
      </c>
      <c r="K890" s="23" t="inlineStr">
        <is>
          <t>MOVIMENTAÇÃO</t>
        </is>
      </c>
      <c r="L890" s="23" t="inlineStr">
        <is>
          <t>CP06892 / F000510729</t>
        </is>
      </c>
      <c r="M890" s="31" t="n"/>
      <c r="N890" s="31" t="n"/>
      <c r="O890" s="31" t="n"/>
      <c r="P890" s="31" t="n"/>
      <c r="Q890" s="31" t="n"/>
      <c r="R890" s="34">
        <f>IFERROR(IF(AND(O890&gt;0,P890&gt;0,Q890&gt;0),(O890*P890*Q890)/6000,""),"")</f>
        <v/>
      </c>
      <c r="S890" s="34">
        <f>IFERROR(IF(AND(N890&gt;0,R890&gt;0),MAX(N890,R890),IF(N890&gt;0,N890,IF(R890&gt;0,R890,""))),"")</f>
        <v/>
      </c>
      <c r="T890" s="36" t="n"/>
      <c r="U890" s="38" t="inlineStr">
        <is>
          <t>FALTA</t>
        </is>
      </c>
      <c r="V890" s="36" t="n">
        <v>695</v>
      </c>
      <c r="W890" s="39" t="n">
        <v>0.3</v>
      </c>
      <c r="X890" s="41">
        <f>IFERROR(V890+T890,"")</f>
        <v/>
      </c>
      <c r="Y890" s="41">
        <f>IFERROR(IF(W890&lt;1,X890/(1-W890),""),"")</f>
        <v/>
      </c>
      <c r="Z890" s="43">
        <f>'01_CONFIG_GLOBAL'!$C$14</f>
        <v/>
      </c>
      <c r="AA890" s="41">
        <f>IFERROR(Y890*Z890,"")</f>
        <v/>
      </c>
      <c r="AB890" s="41">
        <f>IFERROR(IF(Z890&lt;1,Y890/(1-Z890),""),"")</f>
        <v/>
      </c>
      <c r="AC890" s="23" t="n"/>
      <c r="AD890" s="36" t="n"/>
      <c r="AE890" s="23" t="n"/>
      <c r="AF890" s="36" t="n"/>
      <c r="AG890" s="23" t="n"/>
      <c r="AH890" s="36" t="n"/>
      <c r="AI890" s="41">
        <f>IFERROR(AVERAGE(AD890,AF890,AH890),"")</f>
        <v/>
      </c>
      <c r="AJ890" s="29">
        <f>IFERROR(IF(AI890="","sem dados",IF(AB890&lt;AI890*0.95,"abaixo",IF(AB890&gt;AI890*1.05,"acima","em linha"))),"")</f>
        <v/>
      </c>
      <c r="AK890" s="23" t="inlineStr">
        <is>
          <t>não</t>
        </is>
      </c>
      <c r="AL890" s="23" t="n"/>
      <c r="AM890" s="23" t="n"/>
      <c r="AN890" s="23" t="n"/>
      <c r="AO890" s="44">
        <f>A890</f>
        <v/>
      </c>
      <c r="AP890" s="44">
        <f>D890</f>
        <v/>
      </c>
    </row>
    <row r="891" hidden="1" ht="15.75" customHeight="1" s="93">
      <c r="A891" s="23" t="inlineStr">
        <is>
          <t>5.5206.L011180.0</t>
        </is>
      </c>
      <c r="B891" s="23" t="inlineStr">
        <is>
          <t>L01118</t>
        </is>
      </c>
      <c r="C891" s="29">
        <f>IFERROR(LOWER(SUBSTITUTE(SUBSTITUTE(SUBSTITUTE(SUBSTITUTE(D891," ","-"),"/","-"),".",""),",","")),"")</f>
        <v/>
      </c>
      <c r="D891" s="23" t="inlineStr">
        <is>
          <t>MUI BO 11 C11.P1.C19.L</t>
        </is>
      </c>
      <c r="E891" s="23" t="n"/>
      <c r="F891" s="23" t="inlineStr">
        <is>
          <t>SOHIPREN</t>
        </is>
      </c>
      <c r="G891" s="23" t="n"/>
      <c r="H891" s="23" t="inlineStr">
        <is>
          <t>draft</t>
        </is>
      </c>
      <c r="I891" s="23" t="inlineStr">
        <is>
          <t>ROMANELLI</t>
        </is>
      </c>
      <c r="J891" s="23" t="inlineStr">
        <is>
          <t>UHR700H</t>
        </is>
      </c>
      <c r="K891" s="23" t="inlineStr">
        <is>
          <t>MOVIMENTAÇÃO</t>
        </is>
      </c>
      <c r="L891" s="23" t="inlineStr">
        <is>
          <t>CP06543 / F000510528</t>
        </is>
      </c>
      <c r="M891" s="31" t="n"/>
      <c r="N891" s="31" t="n"/>
      <c r="O891" s="31" t="n"/>
      <c r="P891" s="31" t="n"/>
      <c r="Q891" s="31" t="n"/>
      <c r="R891" s="34">
        <f>IFERROR(IF(AND(O891&gt;0,P891&gt;0,Q891&gt;0),(O891*P891*Q891)/6000,""),"")</f>
        <v/>
      </c>
      <c r="S891" s="34">
        <f>IFERROR(IF(AND(N891&gt;0,R891&gt;0),MAX(N891,R891),IF(N891&gt;0,N891,IF(R891&gt;0,R891,""))),"")</f>
        <v/>
      </c>
      <c r="T891" s="36" t="n"/>
      <c r="U891" s="38" t="inlineStr">
        <is>
          <t>FALTA</t>
        </is>
      </c>
      <c r="V891" s="36" t="n">
        <v>778</v>
      </c>
      <c r="W891" s="39" t="n">
        <v>0.3</v>
      </c>
      <c r="X891" s="41">
        <f>IFERROR(V891+T891,"")</f>
        <v/>
      </c>
      <c r="Y891" s="41">
        <f>IFERROR(IF(W891&lt;1,X891/(1-W891),""),"")</f>
        <v/>
      </c>
      <c r="Z891" s="43">
        <f>'01_CONFIG_GLOBAL'!$C$14</f>
        <v/>
      </c>
      <c r="AA891" s="41">
        <f>IFERROR(Y891*Z891,"")</f>
        <v/>
      </c>
      <c r="AB891" s="41">
        <f>IFERROR(IF(Z891&lt;1,Y891/(1-Z891),""),"")</f>
        <v/>
      </c>
      <c r="AC891" s="23" t="n"/>
      <c r="AD891" s="36" t="n"/>
      <c r="AE891" s="23" t="n"/>
      <c r="AF891" s="36" t="n"/>
      <c r="AG891" s="23" t="n"/>
      <c r="AH891" s="36" t="n"/>
      <c r="AI891" s="41">
        <f>IFERROR(AVERAGE(AD891,AF891,AH891),"")</f>
        <v/>
      </c>
      <c r="AJ891" s="29">
        <f>IFERROR(IF(AI891="","sem dados",IF(AB891&lt;AI891*0.95,"abaixo",IF(AB891&gt;AI891*1.05,"acima","em linha"))),"")</f>
        <v/>
      </c>
      <c r="AK891" s="23" t="inlineStr">
        <is>
          <t>não</t>
        </is>
      </c>
      <c r="AL891" s="23" t="n"/>
      <c r="AM891" s="23" t="n"/>
      <c r="AN891" s="23" t="n"/>
      <c r="AO891" s="44">
        <f>A891</f>
        <v/>
      </c>
      <c r="AP891" s="44">
        <f>D891</f>
        <v/>
      </c>
    </row>
    <row r="892" hidden="1" ht="15.75" customHeight="1" s="93">
      <c r="A892" s="23" t="inlineStr">
        <is>
          <t>5.5210.L010590.0</t>
        </is>
      </c>
      <c r="B892" s="23" t="inlineStr">
        <is>
          <t>L01059</t>
        </is>
      </c>
      <c r="C892" s="29">
        <f>IFERROR(LOWER(SUBSTITUTE(SUBSTITUTE(SUBSTITUTE(SUBSTITUTE(D892," ","-"),"/","-"),".",""),",","")),"")</f>
        <v/>
      </c>
      <c r="D892" s="23" t="inlineStr">
        <is>
          <t>MUI BO 22,5 C11.P1.C19.L</t>
        </is>
      </c>
      <c r="E892" s="23" t="n"/>
      <c r="F892" s="23" t="inlineStr">
        <is>
          <t>SOHIPREN</t>
        </is>
      </c>
      <c r="G892" s="23" t="n"/>
      <c r="H892" s="23" t="inlineStr">
        <is>
          <t>draft</t>
        </is>
      </c>
      <c r="I892" s="23" t="inlineStr">
        <is>
          <t>ROMANELLI</t>
        </is>
      </c>
      <c r="J892" s="23" t="inlineStr">
        <is>
          <t>COMBOMBA HIDRÁULICA - APLICAÇÃOO</t>
        </is>
      </c>
      <c r="K892" s="23" t="inlineStr">
        <is>
          <t>PRINCIPAL</t>
        </is>
      </c>
      <c r="L892" s="23" t="inlineStr">
        <is>
          <t>CP06901/F000510728</t>
        </is>
      </c>
      <c r="M892" s="31" t="n"/>
      <c r="N892" s="31" t="n"/>
      <c r="O892" s="31" t="n"/>
      <c r="P892" s="31" t="n"/>
      <c r="Q892" s="31" t="n"/>
      <c r="R892" s="34">
        <f>IFERROR(IF(AND(O892&gt;0,P892&gt;0,Q892&gt;0),(O892*P892*Q892)/6000,""),"")</f>
        <v/>
      </c>
      <c r="S892" s="34">
        <f>IFERROR(IF(AND(N892&gt;0,R892&gt;0),MAX(N892,R892),IF(N892&gt;0,N892,IF(R892&gt;0,R892,""))),"")</f>
        <v/>
      </c>
      <c r="T892" s="36" t="n"/>
      <c r="U892" s="38" t="inlineStr">
        <is>
          <t>FALTA</t>
        </is>
      </c>
      <c r="V892" s="36" t="n">
        <v>515.1</v>
      </c>
      <c r="W892" s="39" t="n">
        <v>0.3</v>
      </c>
      <c r="X892" s="41">
        <f>IFERROR(V892+T892,"")</f>
        <v/>
      </c>
      <c r="Y892" s="41">
        <f>IFERROR(IF(W892&lt;1,X892/(1-W892),""),"")</f>
        <v/>
      </c>
      <c r="Z892" s="43">
        <f>'01_CONFIG_GLOBAL'!$C$14</f>
        <v/>
      </c>
      <c r="AA892" s="41">
        <f>IFERROR(Y892*Z892,"")</f>
        <v/>
      </c>
      <c r="AB892" s="41">
        <f>IFERROR(IF(Z892&lt;1,Y892/(1-Z892),""),"")</f>
        <v/>
      </c>
      <c r="AC892" s="23" t="n"/>
      <c r="AD892" s="36" t="n"/>
      <c r="AE892" s="23" t="n"/>
      <c r="AF892" s="36" t="n"/>
      <c r="AG892" s="23" t="n"/>
      <c r="AH892" s="36" t="n"/>
      <c r="AI892" s="41">
        <f>IFERROR(AVERAGE(AD892,AF892,AH892),"")</f>
        <v/>
      </c>
      <c r="AJ892" s="29">
        <f>IFERROR(IF(AI892="","sem dados",IF(AB892&lt;AI892*0.95,"abaixo",IF(AB892&gt;AI892*1.05,"acima","em linha"))),"")</f>
        <v/>
      </c>
      <c r="AK892" s="23" t="inlineStr">
        <is>
          <t>não</t>
        </is>
      </c>
      <c r="AL892" s="23" t="n"/>
      <c r="AM892" s="23" t="n"/>
      <c r="AN892" s="23" t="n"/>
      <c r="AO892" s="44">
        <f>A892</f>
        <v/>
      </c>
      <c r="AP892" s="44">
        <f>D892</f>
        <v/>
      </c>
    </row>
    <row r="893" hidden="1" ht="15.75" customHeight="1" s="93">
      <c r="A893" s="23" t="inlineStr">
        <is>
          <t>5.1678.L012850.1</t>
        </is>
      </c>
      <c r="B893" s="23" t="inlineStr">
        <is>
          <t>L01285</t>
        </is>
      </c>
      <c r="C893" s="29">
        <f>IFERROR(LOWER(SUBSTITUTE(SUBSTITUTE(SUBSTITUTE(SUBSTITUTE(D893," ","-"),"/","-"),".",""),",","")),"")</f>
        <v/>
      </c>
      <c r="D893" s="23" t="inlineStr">
        <is>
          <t>KIT.MLT400. E13.PX</t>
        </is>
      </c>
      <c r="E893" s="23" t="n"/>
      <c r="F893" s="23" t="inlineStr">
        <is>
          <t>SOHIPREN</t>
        </is>
      </c>
      <c r="G893" s="23" t="n"/>
      <c r="H893" s="23" t="inlineStr">
        <is>
          <t>draft</t>
        </is>
      </c>
      <c r="I893" s="23" t="inlineStr">
        <is>
          <t>ROMANELLI</t>
        </is>
      </c>
      <c r="J893" s="23" t="n"/>
      <c r="K893" s="23" t="n"/>
      <c r="L893" s="23" t="n"/>
      <c r="M893" s="31" t="n"/>
      <c r="N893" s="31" t="n"/>
      <c r="O893" s="31" t="n"/>
      <c r="P893" s="31" t="n"/>
      <c r="Q893" s="31" t="n"/>
      <c r="R893" s="34">
        <f>IFERROR(IF(AND(O893&gt;0,P893&gt;0,Q893&gt;0),(O893*P893*Q893)/6000,""),"")</f>
        <v/>
      </c>
      <c r="S893" s="34">
        <f>IFERROR(IF(AND(N893&gt;0,R893&gt;0),MAX(N893,R893),IF(N893&gt;0,N893,IF(R893&gt;0,R893,""))),"")</f>
        <v/>
      </c>
      <c r="T893" s="36" t="n"/>
      <c r="U893" s="38" t="inlineStr">
        <is>
          <t>FALTA</t>
        </is>
      </c>
      <c r="V893" s="36" t="n">
        <v>346.5</v>
      </c>
      <c r="W893" s="39" t="n">
        <v>0.3</v>
      </c>
      <c r="X893" s="41">
        <f>IFERROR(V893+T893,"")</f>
        <v/>
      </c>
      <c r="Y893" s="41">
        <f>IFERROR(IF(W893&lt;1,X893/(1-W893),""),"")</f>
        <v/>
      </c>
      <c r="Z893" s="43">
        <f>'01_CONFIG_GLOBAL'!$C$14</f>
        <v/>
      </c>
      <c r="AA893" s="41">
        <f>IFERROR(Y893*Z893,"")</f>
        <v/>
      </c>
      <c r="AB893" s="41">
        <f>IFERROR(IF(Z893&lt;1,Y893/(1-Z893),""),"")</f>
        <v/>
      </c>
      <c r="AC893" s="23" t="n"/>
      <c r="AD893" s="36" t="n"/>
      <c r="AE893" s="23" t="n"/>
      <c r="AF893" s="36" t="n"/>
      <c r="AG893" s="23" t="n"/>
      <c r="AH893" s="36" t="n"/>
      <c r="AI893" s="41">
        <f>IFERROR(AVERAGE(AD893,AF893,AH893),"")</f>
        <v/>
      </c>
      <c r="AJ893" s="29">
        <f>IFERROR(IF(AI893="","sem dados",IF(AB893&lt;AI893*0.95,"abaixo",IF(AB893&gt;AI893*1.05,"acima","em linha"))),"")</f>
        <v/>
      </c>
      <c r="AK893" s="23" t="inlineStr">
        <is>
          <t>não</t>
        </is>
      </c>
      <c r="AL893" s="23" t="n"/>
      <c r="AM893" s="23" t="n"/>
      <c r="AN893" s="23" t="n"/>
      <c r="AO893" s="44">
        <f>A893</f>
        <v/>
      </c>
      <c r="AP893" s="44">
        <f>D893</f>
        <v/>
      </c>
    </row>
    <row r="894" hidden="1" ht="15.75" customHeight="1" s="93">
      <c r="A894" s="23" t="inlineStr">
        <is>
          <t>5.1621.L012860.1</t>
        </is>
      </c>
      <c r="B894" s="23" t="inlineStr">
        <is>
          <t>L01286</t>
        </is>
      </c>
      <c r="C894" s="29">
        <f>IFERROR(LOWER(SUBSTITUTE(SUBSTITUTE(SUBSTITUTE(SUBSTITUTE(D894," ","-"),"/","-"),".",""),",","")),"")</f>
        <v/>
      </c>
      <c r="D894" s="23" t="inlineStr">
        <is>
          <t>MLT 200 C200 (COMPRA 700059.1)</t>
        </is>
      </c>
      <c r="E894" s="23" t="n"/>
      <c r="F894" s="23" t="inlineStr">
        <is>
          <t>SOHIPREN</t>
        </is>
      </c>
      <c r="G894" s="23" t="n"/>
      <c r="H894" s="23" t="inlineStr">
        <is>
          <t>draft</t>
        </is>
      </c>
      <c r="I894" s="23" t="inlineStr">
        <is>
          <t>ROMANELLI</t>
        </is>
      </c>
      <c r="J894" s="23" t="n"/>
      <c r="K894" s="23" t="n"/>
      <c r="L894" s="23" t="n"/>
      <c r="M894" s="31" t="n"/>
      <c r="N894" s="31" t="n"/>
      <c r="O894" s="31" t="n"/>
      <c r="P894" s="31" t="n"/>
      <c r="Q894" s="31" t="n"/>
      <c r="R894" s="34">
        <f>IFERROR(IF(AND(O894&gt;0,P894&gt;0,Q894&gt;0),(O894*P894*Q894)/6000,""),"")</f>
        <v/>
      </c>
      <c r="S894" s="34">
        <f>IFERROR(IF(AND(N894&gt;0,R894&gt;0),MAX(N894,R894),IF(N894&gt;0,N894,IF(R894&gt;0,R894,""))),"")</f>
        <v/>
      </c>
      <c r="T894" s="36" t="n"/>
      <c r="U894" s="38" t="inlineStr">
        <is>
          <t>FALTA</t>
        </is>
      </c>
      <c r="V894" s="36" t="n">
        <v>876</v>
      </c>
      <c r="W894" s="39" t="n">
        <v>0.3</v>
      </c>
      <c r="X894" s="41">
        <f>IFERROR(V894+T894,"")</f>
        <v/>
      </c>
      <c r="Y894" s="41">
        <f>IFERROR(IF(W894&lt;1,X894/(1-W894),""),"")</f>
        <v/>
      </c>
      <c r="Z894" s="43">
        <f>'01_CONFIG_GLOBAL'!$C$14</f>
        <v/>
      </c>
      <c r="AA894" s="41">
        <f>IFERROR(Y894*Z894,"")</f>
        <v/>
      </c>
      <c r="AB894" s="41">
        <f>IFERROR(IF(Z894&lt;1,Y894/(1-Z894),""),"")</f>
        <v/>
      </c>
      <c r="AC894" s="23" t="n"/>
      <c r="AD894" s="36" t="n"/>
      <c r="AE894" s="23" t="n"/>
      <c r="AF894" s="36" t="n"/>
      <c r="AG894" s="23" t="n"/>
      <c r="AH894" s="36" t="n"/>
      <c r="AI894" s="41">
        <f>IFERROR(AVERAGE(AD894,AF894,AH894),"")</f>
        <v/>
      </c>
      <c r="AJ894" s="29">
        <f>IFERROR(IF(AI894="","sem dados",IF(AB894&lt;AI894*0.95,"abaixo",IF(AB894&gt;AI894*1.05,"acima","em linha"))),"")</f>
        <v/>
      </c>
      <c r="AK894" s="23" t="inlineStr">
        <is>
          <t>não</t>
        </is>
      </c>
      <c r="AL894" s="23" t="n"/>
      <c r="AM894" s="23" t="n"/>
      <c r="AN894" s="23" t="n"/>
      <c r="AO894" s="44">
        <f>A894</f>
        <v/>
      </c>
      <c r="AP894" s="44">
        <f>D894</f>
        <v/>
      </c>
    </row>
    <row r="895" hidden="1" ht="15.75" customHeight="1" s="93">
      <c r="A895" s="23" t="inlineStr">
        <is>
          <t>5.1621.L012840.1</t>
        </is>
      </c>
      <c r="B895" s="23" t="inlineStr">
        <is>
          <t>L01284</t>
        </is>
      </c>
      <c r="C895" s="29">
        <f>IFERROR(LOWER(SUBSTITUTE(SUBSTITUTE(SUBSTITUTE(SUBSTITUTE(D895," ","-"),"/","-"),".",""),",","")),"")</f>
        <v/>
      </c>
      <c r="D895" s="23" t="inlineStr">
        <is>
          <t>MOTOR MLT 400 (COMPRA 700058.1)</t>
        </is>
      </c>
      <c r="E895" s="23" t="n"/>
      <c r="F895" s="23" t="inlineStr">
        <is>
          <t>SOHIPREN</t>
        </is>
      </c>
      <c r="G895" s="23" t="n"/>
      <c r="H895" s="23" t="inlineStr">
        <is>
          <t>draft</t>
        </is>
      </c>
      <c r="I895" s="23" t="inlineStr">
        <is>
          <t>ROMANELLI</t>
        </is>
      </c>
      <c r="J895" s="23" t="n"/>
      <c r="K895" s="23" t="n"/>
      <c r="L895" s="23" t="n"/>
      <c r="M895" s="31" t="n"/>
      <c r="N895" s="31" t="n"/>
      <c r="O895" s="31" t="n"/>
      <c r="P895" s="31" t="n"/>
      <c r="Q895" s="31" t="n"/>
      <c r="R895" s="34">
        <f>IFERROR(IF(AND(O895&gt;0,P895&gt;0,Q895&gt;0),(O895*P895*Q895)/6000,""),"")</f>
        <v/>
      </c>
      <c r="S895" s="34">
        <f>IFERROR(IF(AND(N895&gt;0,R895&gt;0),MAX(N895,R895),IF(N895&gt;0,N895,IF(R895&gt;0,R895,""))),"")</f>
        <v/>
      </c>
      <c r="T895" s="36" t="n"/>
      <c r="U895" s="38" t="inlineStr">
        <is>
          <t>FALTA</t>
        </is>
      </c>
      <c r="V895" s="36" t="n">
        <v>876</v>
      </c>
      <c r="W895" s="39" t="n">
        <v>0.3</v>
      </c>
      <c r="X895" s="41">
        <f>IFERROR(V895+T895,"")</f>
        <v/>
      </c>
      <c r="Y895" s="41">
        <f>IFERROR(IF(W895&lt;1,X895/(1-W895),""),"")</f>
        <v/>
      </c>
      <c r="Z895" s="43">
        <f>'01_CONFIG_GLOBAL'!$C$14</f>
        <v/>
      </c>
      <c r="AA895" s="41">
        <f>IFERROR(Y895*Z895,"")</f>
        <v/>
      </c>
      <c r="AB895" s="41">
        <f>IFERROR(IF(Z895&lt;1,Y895/(1-Z895),""),"")</f>
        <v/>
      </c>
      <c r="AC895" s="23" t="n"/>
      <c r="AD895" s="36" t="n"/>
      <c r="AE895" s="23" t="n"/>
      <c r="AF895" s="36" t="n"/>
      <c r="AG895" s="23" t="n"/>
      <c r="AH895" s="36" t="n"/>
      <c r="AI895" s="41">
        <f>IFERROR(AVERAGE(AD895,AF895,AH895),"")</f>
        <v/>
      </c>
      <c r="AJ895" s="29">
        <f>IFERROR(IF(AI895="","sem dados",IF(AB895&lt;AI895*0.95,"abaixo",IF(AB895&gt;AI895*1.05,"acima","em linha"))),"")</f>
        <v/>
      </c>
      <c r="AK895" s="23" t="inlineStr">
        <is>
          <t>não</t>
        </is>
      </c>
      <c r="AL895" s="23" t="n"/>
      <c r="AM895" s="23" t="n"/>
      <c r="AN895" s="23" t="n"/>
      <c r="AO895" s="44">
        <f>A895</f>
        <v/>
      </c>
      <c r="AP895" s="44">
        <f>D895</f>
        <v/>
      </c>
    </row>
    <row r="896" hidden="1" ht="15.75" customHeight="1" s="93">
      <c r="A896" s="23" t="inlineStr">
        <is>
          <t>5.0209.L026014.0</t>
        </is>
      </c>
      <c r="B896" s="23" t="inlineStr">
        <is>
          <t>L026014</t>
        </is>
      </c>
      <c r="C896" s="29">
        <f>IFERROR(LOWER(SUBSTITUTE(SUBSTITUTE(SUBSTITUTE(SUBSTITUTE(D896," ","-"),"/","-"),".",""),",","")),"")</f>
        <v/>
      </c>
      <c r="D896" s="23" t="inlineStr">
        <is>
          <t>BOMBA HIDRÁULICA - APLICAÇÃO 19 E18.C.C1.L</t>
        </is>
      </c>
      <c r="E896" s="23" t="inlineStr">
        <is>
          <t>Bombas Hidráulicas</t>
        </is>
      </c>
      <c r="F896" s="23" t="inlineStr">
        <is>
          <t>SOHIPREN</t>
        </is>
      </c>
      <c r="G896" s="23" t="n"/>
      <c r="H896" s="23" t="inlineStr">
        <is>
          <t>draft</t>
        </is>
      </c>
      <c r="I896" s="23" t="inlineStr">
        <is>
          <t>ROMANELLI</t>
        </is>
      </c>
      <c r="J896" s="23" t="inlineStr">
        <is>
          <t>MÁQUINA OPERATRIZ</t>
        </is>
      </c>
      <c r="K896" s="23" t="inlineStr">
        <is>
          <t>MOVIMENTAÇÃO</t>
        </is>
      </c>
      <c r="L896" s="23" t="inlineStr">
        <is>
          <t>CP03118</t>
        </is>
      </c>
      <c r="M896" s="31" t="n"/>
      <c r="N896" s="31" t="n"/>
      <c r="O896" s="31" t="n"/>
      <c r="P896" s="31" t="n"/>
      <c r="Q896" s="31" t="n"/>
      <c r="R896" s="34">
        <f>IFERROR(IF(AND(O896&gt;0,P896&gt;0,Q896&gt;0),(O896*P896*Q896)/6000,""),"")</f>
        <v/>
      </c>
      <c r="S896" s="34">
        <f>IFERROR(IF(AND(N896&gt;0,R896&gt;0),MAX(N896,R896),IF(N896&gt;0,N896,IF(R896&gt;0,R896,""))),"")</f>
        <v/>
      </c>
      <c r="T896" s="36" t="n"/>
      <c r="U896" s="38" t="inlineStr">
        <is>
          <t>FALTA</t>
        </is>
      </c>
      <c r="V896" s="36" t="n">
        <v>946.34</v>
      </c>
      <c r="W896" s="39" t="n">
        <v>0.3</v>
      </c>
      <c r="X896" s="41">
        <f>IFERROR(V896+T896,"")</f>
        <v/>
      </c>
      <c r="Y896" s="41">
        <f>IFERROR(IF(W896&lt;1,X896/(1-W896),""),"")</f>
        <v/>
      </c>
      <c r="Z896" s="43">
        <f>'01_CONFIG_GLOBAL'!$C$14</f>
        <v/>
      </c>
      <c r="AA896" s="41">
        <f>IFERROR(Y896*Z896,"")</f>
        <v/>
      </c>
      <c r="AB896" s="41">
        <f>IFERROR(IF(Z896&lt;1,Y896/(1-Z896),""),"")</f>
        <v/>
      </c>
      <c r="AC896" s="23" t="n"/>
      <c r="AD896" s="36" t="n"/>
      <c r="AE896" s="23" t="n"/>
      <c r="AF896" s="36" t="n"/>
      <c r="AG896" s="23" t="n"/>
      <c r="AH896" s="36" t="n"/>
      <c r="AI896" s="41">
        <f>IFERROR(AVERAGE(AD896,AF896,AH896),"")</f>
        <v/>
      </c>
      <c r="AJ896" s="29">
        <f>IFERROR(IF(AI896="","sem dados",IF(AB896&lt;AI896*0.95,"abaixo",IF(AB896&gt;AI896*1.05,"acima","em linha"))),"")</f>
        <v/>
      </c>
      <c r="AK896" s="23" t="inlineStr">
        <is>
          <t>não</t>
        </is>
      </c>
      <c r="AL896" s="23" t="n"/>
      <c r="AM896" s="23" t="n"/>
      <c r="AN896" s="23" t="n"/>
      <c r="AO896" s="44">
        <f>A896</f>
        <v/>
      </c>
      <c r="AP896" s="44">
        <f>D896</f>
        <v/>
      </c>
    </row>
    <row r="897" hidden="1" ht="15.75" customHeight="1" s="93">
      <c r="A897" s="23" t="inlineStr">
        <is>
          <t>5.0504.L026106.0</t>
        </is>
      </c>
      <c r="B897" s="23" t="inlineStr">
        <is>
          <t>L026106</t>
        </is>
      </c>
      <c r="C897" s="29">
        <f>IFERROR(LOWER(SUBSTITUTE(SUBSTITUTE(SUBSTITUTE(SUBSTITUTE(D897," ","-"),"/","-"),".",""),",","")),"")</f>
        <v/>
      </c>
      <c r="D897" s="23" t="inlineStr">
        <is>
          <t>MC1 40 201.2.21.300.61</t>
        </is>
      </c>
      <c r="E897" s="23" t="n"/>
      <c r="F897" s="23" t="inlineStr">
        <is>
          <t>SOHIPREN</t>
        </is>
      </c>
      <c r="G897" s="23" t="n"/>
      <c r="H897" s="23" t="inlineStr">
        <is>
          <t>draft</t>
        </is>
      </c>
      <c r="I897" s="23" t="inlineStr">
        <is>
          <t>ROMANELLI</t>
        </is>
      </c>
      <c r="J897" s="23" t="inlineStr">
        <is>
          <t>DIVERSOS</t>
        </is>
      </c>
      <c r="K897" s="23" t="n"/>
      <c r="L897" s="23" t="inlineStr">
        <is>
          <t>CP06215 / 9510390203 / AZPN-12-036RDCO7MB</t>
        </is>
      </c>
      <c r="M897" s="31" t="n"/>
      <c r="N897" s="31" t="n"/>
      <c r="O897" s="31" t="n"/>
      <c r="P897" s="31" t="n"/>
      <c r="Q897" s="31" t="n"/>
      <c r="R897" s="34">
        <f>IFERROR(IF(AND(O897&gt;0,P897&gt;0,Q897&gt;0),(O897*P897*Q897)/6000,""),"")</f>
        <v/>
      </c>
      <c r="S897" s="34">
        <f>IFERROR(IF(AND(N897&gt;0,R897&gt;0),MAX(N897,R897),IF(N897&gt;0,N897,IF(R897&gt;0,R897,""))),"")</f>
        <v/>
      </c>
      <c r="T897" s="36" t="n"/>
      <c r="U897" s="38" t="inlineStr">
        <is>
          <t>FALTA</t>
        </is>
      </c>
      <c r="V897" s="36" t="n">
        <v>852.9</v>
      </c>
      <c r="W897" s="39" t="n">
        <v>0.3</v>
      </c>
      <c r="X897" s="41">
        <f>IFERROR(V897+T897,"")</f>
        <v/>
      </c>
      <c r="Y897" s="41">
        <f>IFERROR(IF(W897&lt;1,X897/(1-W897),""),"")</f>
        <v/>
      </c>
      <c r="Z897" s="43">
        <f>'01_CONFIG_GLOBAL'!$C$14</f>
        <v/>
      </c>
      <c r="AA897" s="41">
        <f>IFERROR(Y897*Z897,"")</f>
        <v/>
      </c>
      <c r="AB897" s="41">
        <f>IFERROR(IF(Z897&lt;1,Y897/(1-Z897),""),"")</f>
        <v/>
      </c>
      <c r="AC897" s="23" t="n"/>
      <c r="AD897" s="36" t="n"/>
      <c r="AE897" s="23" t="n"/>
      <c r="AF897" s="36" t="n"/>
      <c r="AG897" s="23" t="n"/>
      <c r="AH897" s="36" t="n"/>
      <c r="AI897" s="41">
        <f>IFERROR(AVERAGE(AD897,AF897,AH897),"")</f>
        <v/>
      </c>
      <c r="AJ897" s="29">
        <f>IFERROR(IF(AI897="","sem dados",IF(AB897&lt;AI897*0.95,"abaixo",IF(AB897&gt;AI897*1.05,"acima","em linha"))),"")</f>
        <v/>
      </c>
      <c r="AK897" s="23" t="inlineStr">
        <is>
          <t>não</t>
        </is>
      </c>
      <c r="AL897" s="23" t="n"/>
      <c r="AM897" s="23" t="n"/>
      <c r="AN897" s="23" t="n"/>
      <c r="AO897" s="44">
        <f>A897</f>
        <v/>
      </c>
      <c r="AP897" s="44">
        <f>D897</f>
        <v/>
      </c>
    </row>
    <row r="898" hidden="1" ht="15.75" customHeight="1" s="93">
      <c r="A898" s="23" t="inlineStr">
        <is>
          <t>5.0521.L025874.0</t>
        </is>
      </c>
      <c r="B898" s="23" t="inlineStr">
        <is>
          <t>L025874</t>
        </is>
      </c>
      <c r="C898" s="29">
        <f>IFERROR(LOWER(SUBSTITUTE(SUBSTITUTE(SUBSTITUTE(SUBSTITUTE(D898," ","-"),"/","-"),".",""),",","")),"")</f>
        <v/>
      </c>
      <c r="D898" s="23" t="inlineStr">
        <is>
          <t>MC1 40 201.1.21.314/22,5 A/16 A.L</t>
        </is>
      </c>
      <c r="E898" s="23" t="n"/>
      <c r="F898" s="23" t="inlineStr">
        <is>
          <t>SOHIPREN</t>
        </is>
      </c>
      <c r="G898" s="23" t="n"/>
      <c r="H898" s="23" t="inlineStr">
        <is>
          <t>draft</t>
        </is>
      </c>
      <c r="I898" s="23" t="inlineStr">
        <is>
          <t>ROMANELLI</t>
        </is>
      </c>
      <c r="J898" s="23" t="inlineStr">
        <is>
          <t>COMBOMBA HIDRÁULICA - APLICAÇÃOO</t>
        </is>
      </c>
      <c r="K898" s="23" t="inlineStr">
        <is>
          <t>PRINCIPAL</t>
        </is>
      </c>
      <c r="L898" s="23" t="inlineStr">
        <is>
          <t>CP08083</t>
        </is>
      </c>
      <c r="M898" s="31" t="n"/>
      <c r="N898" s="31" t="n"/>
      <c r="O898" s="31" t="n"/>
      <c r="P898" s="31" t="n"/>
      <c r="Q898" s="31" t="n"/>
      <c r="R898" s="34">
        <f>IFERROR(IF(AND(O898&gt;0,P898&gt;0,Q898&gt;0),(O898*P898*Q898)/6000,""),"")</f>
        <v/>
      </c>
      <c r="S898" s="34">
        <f>IFERROR(IF(AND(N898&gt;0,R898&gt;0),MAX(N898,R898),IF(N898&gt;0,N898,IF(R898&gt;0,R898,""))),"")</f>
        <v/>
      </c>
      <c r="T898" s="36" t="n"/>
      <c r="U898" s="38" t="inlineStr">
        <is>
          <t>FALTA</t>
        </is>
      </c>
      <c r="V898" s="36" t="n">
        <v>1452</v>
      </c>
      <c r="W898" s="39" t="n">
        <v>0.3</v>
      </c>
      <c r="X898" s="41">
        <f>IFERROR(V898+T898,"")</f>
        <v/>
      </c>
      <c r="Y898" s="41">
        <f>IFERROR(IF(W898&lt;1,X898/(1-W898),""),"")</f>
        <v/>
      </c>
      <c r="Z898" s="43">
        <f>'01_CONFIG_GLOBAL'!$C$14</f>
        <v/>
      </c>
      <c r="AA898" s="41">
        <f>IFERROR(Y898*Z898,"")</f>
        <v/>
      </c>
      <c r="AB898" s="41">
        <f>IFERROR(IF(Z898&lt;1,Y898/(1-Z898),""),"")</f>
        <v/>
      </c>
      <c r="AC898" s="23" t="n"/>
      <c r="AD898" s="36" t="n"/>
      <c r="AE898" s="23" t="n"/>
      <c r="AF898" s="36" t="n"/>
      <c r="AG898" s="23" t="n"/>
      <c r="AH898" s="36" t="n"/>
      <c r="AI898" s="41">
        <f>IFERROR(AVERAGE(AD898,AF898,AH898),"")</f>
        <v/>
      </c>
      <c r="AJ898" s="29">
        <f>IFERROR(IF(AI898="","sem dados",IF(AB898&lt;AI898*0.95,"abaixo",IF(AB898&gt;AI898*1.05,"acima","em linha"))),"")</f>
        <v/>
      </c>
      <c r="AK898" s="23" t="inlineStr">
        <is>
          <t>não</t>
        </is>
      </c>
      <c r="AL898" s="23" t="n"/>
      <c r="AM898" s="23" t="n"/>
      <c r="AN898" s="23" t="n"/>
      <c r="AO898" s="44">
        <f>A898</f>
        <v/>
      </c>
      <c r="AP898" s="44">
        <f>D898</f>
        <v/>
      </c>
    </row>
    <row r="899" hidden="1" ht="15.75" customHeight="1" s="93">
      <c r="A899" s="23" t="inlineStr">
        <is>
          <t>5.0520.L025833.0</t>
        </is>
      </c>
      <c r="B899" s="23" t="inlineStr">
        <is>
          <t>L025833</t>
        </is>
      </c>
      <c r="C899" s="29">
        <f>IFERROR(LOWER(SUBSTITUTE(SUBSTITUTE(SUBSTITUTE(SUBSTITUTE(D899," ","-"),"/","-"),".",""),",","")),"")</f>
        <v/>
      </c>
      <c r="D899" s="23" t="inlineStr">
        <is>
          <t>MC1 50 201.1.21.74/40.74.61</t>
        </is>
      </c>
      <c r="E899" s="23" t="n"/>
      <c r="F899" s="23" t="inlineStr">
        <is>
          <t>SOHIPREN</t>
        </is>
      </c>
      <c r="G899" s="23" t="n"/>
      <c r="H899" s="23" t="inlineStr">
        <is>
          <t>draft</t>
        </is>
      </c>
      <c r="I899" s="23" t="inlineStr">
        <is>
          <t>ROMANELLI</t>
        </is>
      </c>
      <c r="J899" s="23" t="n"/>
      <c r="K899" s="23" t="n"/>
      <c r="L899" s="23" t="inlineStr">
        <is>
          <t>CP08095</t>
        </is>
      </c>
      <c r="M899" s="31" t="n"/>
      <c r="N899" s="31" t="n"/>
      <c r="O899" s="31" t="n"/>
      <c r="P899" s="31" t="n"/>
      <c r="Q899" s="31" t="n"/>
      <c r="R899" s="34">
        <f>IFERROR(IF(AND(O899&gt;0,P899&gt;0,Q899&gt;0),(O899*P899*Q899)/6000,""),"")</f>
        <v/>
      </c>
      <c r="S899" s="34">
        <f>IFERROR(IF(AND(N899&gt;0,R899&gt;0),MAX(N899,R899),IF(N899&gt;0,N899,IF(R899&gt;0,R899,""))),"")</f>
        <v/>
      </c>
      <c r="T899" s="36" t="n"/>
      <c r="U899" s="38" t="inlineStr">
        <is>
          <t>FALTA</t>
        </is>
      </c>
      <c r="V899" s="36" t="n">
        <v>2478.63</v>
      </c>
      <c r="W899" s="39" t="n">
        <v>0.3</v>
      </c>
      <c r="X899" s="41">
        <f>IFERROR(V899+T899,"")</f>
        <v/>
      </c>
      <c r="Y899" s="41">
        <f>IFERROR(IF(W899&lt;1,X899/(1-W899),""),"")</f>
        <v/>
      </c>
      <c r="Z899" s="43">
        <f>'01_CONFIG_GLOBAL'!$C$14</f>
        <v/>
      </c>
      <c r="AA899" s="41">
        <f>IFERROR(Y899*Z899,"")</f>
        <v/>
      </c>
      <c r="AB899" s="41">
        <f>IFERROR(IF(Z899&lt;1,Y899/(1-Z899),""),"")</f>
        <v/>
      </c>
      <c r="AC899" s="23" t="n"/>
      <c r="AD899" s="36" t="n"/>
      <c r="AE899" s="23" t="n"/>
      <c r="AF899" s="36" t="n"/>
      <c r="AG899" s="23" t="n"/>
      <c r="AH899" s="36" t="n"/>
      <c r="AI899" s="41">
        <f>IFERROR(AVERAGE(AD899,AF899,AH899),"")</f>
        <v/>
      </c>
      <c r="AJ899" s="29">
        <f>IFERROR(IF(AI899="","sem dados",IF(AB899&lt;AI899*0.95,"abaixo",IF(AB899&gt;AI899*1.05,"acima","em linha"))),"")</f>
        <v/>
      </c>
      <c r="AK899" s="23" t="inlineStr">
        <is>
          <t>não</t>
        </is>
      </c>
      <c r="AL899" s="23" t="n"/>
      <c r="AM899" s="23" t="n"/>
      <c r="AN899" s="23" t="n"/>
      <c r="AO899" s="44">
        <f>A899</f>
        <v/>
      </c>
      <c r="AP899" s="44">
        <f>D899</f>
        <v/>
      </c>
    </row>
    <row r="900" hidden="1" ht="15.75" customHeight="1" s="93">
      <c r="A900" s="23" t="inlineStr">
        <is>
          <t>5.0520.L025834.0</t>
        </is>
      </c>
      <c r="B900" s="23" t="inlineStr">
        <is>
          <t>L025834</t>
        </is>
      </c>
      <c r="C900" s="29">
        <f>IFERROR(LOWER(SUBSTITUTE(SUBSTITUTE(SUBSTITUTE(SUBSTITUTE(D900," ","-"),"/","-"),".",""),",","")),"")</f>
        <v/>
      </c>
      <c r="D900" s="23" t="inlineStr">
        <is>
          <t>MC1 50 201.1.21.74/26.74/16.C21.L</t>
        </is>
      </c>
      <c r="E900" s="23" t="n"/>
      <c r="F900" s="23" t="inlineStr">
        <is>
          <t>SOHIPREN</t>
        </is>
      </c>
      <c r="G900" s="23" t="n"/>
      <c r="H900" s="23" t="inlineStr">
        <is>
          <t>draft</t>
        </is>
      </c>
      <c r="I900" s="23" t="inlineStr">
        <is>
          <t>ROMANELLI</t>
        </is>
      </c>
      <c r="J900" s="23" t="n"/>
      <c r="K900" s="23" t="n"/>
      <c r="L900" s="23" t="inlineStr">
        <is>
          <t>CP08096</t>
        </is>
      </c>
      <c r="M900" s="31" t="n"/>
      <c r="N900" s="31" t="n"/>
      <c r="O900" s="31" t="n"/>
      <c r="P900" s="31" t="n"/>
      <c r="Q900" s="31" t="n"/>
      <c r="R900" s="34">
        <f>IFERROR(IF(AND(O900&gt;0,P900&gt;0,Q900&gt;0),(O900*P900*Q900)/6000,""),"")</f>
        <v/>
      </c>
      <c r="S900" s="34">
        <f>IFERROR(IF(AND(N900&gt;0,R900&gt;0),MAX(N900,R900),IF(N900&gt;0,N900,IF(R900&gt;0,R900,""))),"")</f>
        <v/>
      </c>
      <c r="T900" s="36" t="n"/>
      <c r="U900" s="38" t="inlineStr">
        <is>
          <t>FALTA</t>
        </is>
      </c>
      <c r="V900" s="36" t="n">
        <v>2300</v>
      </c>
      <c r="W900" s="39" t="n">
        <v>0.3</v>
      </c>
      <c r="X900" s="41">
        <f>IFERROR(V900+T900,"")</f>
        <v/>
      </c>
      <c r="Y900" s="41">
        <f>IFERROR(IF(W900&lt;1,X900/(1-W900),""),"")</f>
        <v/>
      </c>
      <c r="Z900" s="43">
        <f>'01_CONFIG_GLOBAL'!$C$14</f>
        <v/>
      </c>
      <c r="AA900" s="41">
        <f>IFERROR(Y900*Z900,"")</f>
        <v/>
      </c>
      <c r="AB900" s="41">
        <f>IFERROR(IF(Z900&lt;1,Y900/(1-Z900),""),"")</f>
        <v/>
      </c>
      <c r="AC900" s="23" t="n"/>
      <c r="AD900" s="36" t="n"/>
      <c r="AE900" s="23" t="n"/>
      <c r="AF900" s="36" t="n"/>
      <c r="AG900" s="23" t="n"/>
      <c r="AH900" s="36" t="n"/>
      <c r="AI900" s="41">
        <f>IFERROR(AVERAGE(AD900,AF900,AH900),"")</f>
        <v/>
      </c>
      <c r="AJ900" s="29">
        <f>IFERROR(IF(AI900="","sem dados",IF(AB900&lt;AI900*0.95,"abaixo",IF(AB900&gt;AI900*1.05,"acima","em linha"))),"")</f>
        <v/>
      </c>
      <c r="AK900" s="23" t="inlineStr">
        <is>
          <t>não</t>
        </is>
      </c>
      <c r="AL900" s="23" t="n"/>
      <c r="AM900" s="23" t="n"/>
      <c r="AN900" s="23" t="n"/>
      <c r="AO900" s="44">
        <f>A900</f>
        <v/>
      </c>
      <c r="AP900" s="44">
        <f>D900</f>
        <v/>
      </c>
    </row>
    <row r="901" hidden="1" ht="15.75" customHeight="1" s="93">
      <c r="A901" s="23" t="inlineStr">
        <is>
          <t>5.0521.L025814.0</t>
        </is>
      </c>
      <c r="B901" s="23" t="inlineStr">
        <is>
          <t>L025814</t>
        </is>
      </c>
      <c r="C901" s="29">
        <f>IFERROR(LOWER(SUBSTITUTE(SUBSTITUTE(SUBSTITUTE(SUBSTITUTE(D901," ","-"),"/","-"),".",""),",","")),"")</f>
        <v/>
      </c>
      <c r="D901" s="23" t="inlineStr">
        <is>
          <t>MC1 60 201.1.21.83/22,5.C1.L</t>
        </is>
      </c>
      <c r="E901" s="23" t="n"/>
      <c r="F901" s="23" t="inlineStr">
        <is>
          <t>SOHIPREN</t>
        </is>
      </c>
      <c r="G901" s="23" t="n"/>
      <c r="H901" s="23" t="inlineStr">
        <is>
          <t>draft</t>
        </is>
      </c>
      <c r="I901" s="23" t="inlineStr">
        <is>
          <t>ROMANELLI</t>
        </is>
      </c>
      <c r="J901" s="23" t="inlineStr">
        <is>
          <t>COMBOMBA HIDRÁULICA - APLICAÇÃOO</t>
        </is>
      </c>
      <c r="K901" s="23" t="inlineStr">
        <is>
          <t>PRINCIPAL</t>
        </is>
      </c>
      <c r="L901" s="23" t="inlineStr">
        <is>
          <t>CP080039</t>
        </is>
      </c>
      <c r="M901" s="31" t="n"/>
      <c r="N901" s="31" t="n"/>
      <c r="O901" s="31" t="n"/>
      <c r="P901" s="31" t="n"/>
      <c r="Q901" s="31" t="n"/>
      <c r="R901" s="34">
        <f>IFERROR(IF(AND(O901&gt;0,P901&gt;0,Q901&gt;0),(O901*P901*Q901)/6000,""),"")</f>
        <v/>
      </c>
      <c r="S901" s="34">
        <f>IFERROR(IF(AND(N901&gt;0,R901&gt;0),MAX(N901,R901),IF(N901&gt;0,N901,IF(R901&gt;0,R901,""))),"")</f>
        <v/>
      </c>
      <c r="T901" s="36" t="n"/>
      <c r="U901" s="38" t="inlineStr">
        <is>
          <t>FALTA</t>
        </is>
      </c>
      <c r="V901" s="36" t="n">
        <v>1525</v>
      </c>
      <c r="W901" s="39" t="n">
        <v>0.3</v>
      </c>
      <c r="X901" s="41">
        <f>IFERROR(V901+T901,"")</f>
        <v/>
      </c>
      <c r="Y901" s="41">
        <f>IFERROR(IF(W901&lt;1,X901/(1-W901),""),"")</f>
        <v/>
      </c>
      <c r="Z901" s="43">
        <f>'01_CONFIG_GLOBAL'!$C$14</f>
        <v/>
      </c>
      <c r="AA901" s="41">
        <f>IFERROR(Y901*Z901,"")</f>
        <v/>
      </c>
      <c r="AB901" s="41">
        <f>IFERROR(IF(Z901&lt;1,Y901/(1-Z901),""),"")</f>
        <v/>
      </c>
      <c r="AC901" s="23" t="n"/>
      <c r="AD901" s="36" t="n"/>
      <c r="AE901" s="23" t="n"/>
      <c r="AF901" s="36" t="n"/>
      <c r="AG901" s="23" t="n"/>
      <c r="AH901" s="36" t="n"/>
      <c r="AI901" s="41">
        <f>IFERROR(AVERAGE(AD901,AF901,AH901),"")</f>
        <v/>
      </c>
      <c r="AJ901" s="29">
        <f>IFERROR(IF(AI901="","sem dados",IF(AB901&lt;AI901*0.95,"abaixo",IF(AB901&gt;AI901*1.05,"acima","em linha"))),"")</f>
        <v/>
      </c>
      <c r="AK901" s="23" t="inlineStr">
        <is>
          <t>não</t>
        </is>
      </c>
      <c r="AL901" s="23" t="n"/>
      <c r="AM901" s="23" t="n"/>
      <c r="AN901" s="23" t="n"/>
      <c r="AO901" s="44">
        <f>A901</f>
        <v/>
      </c>
      <c r="AP901" s="44">
        <f>D901</f>
        <v/>
      </c>
    </row>
    <row r="902" hidden="1" ht="15.75" customHeight="1" s="93">
      <c r="A902" s="23" t="inlineStr">
        <is>
          <t>5.0207.L025912.0</t>
        </is>
      </c>
      <c r="B902" s="23" t="inlineStr">
        <is>
          <t>L025912</t>
        </is>
      </c>
      <c r="C902" s="29">
        <f>IFERROR(LOWER(SUBSTITUTE(SUBSTITUTE(SUBSTITUTE(SUBSTITUTE(D902," ","-"),"/","-"),".",""),",","")),"")</f>
        <v/>
      </c>
      <c r="D902" s="23" t="inlineStr">
        <is>
          <t>BOD 14 E4.C9.C21.L - (C/Adap)</t>
        </is>
      </c>
      <c r="E902" s="23" t="inlineStr">
        <is>
          <t>Bombas Hidráulicas</t>
        </is>
      </c>
      <c r="F902" s="23" t="inlineStr">
        <is>
          <t>SOHIPREN</t>
        </is>
      </c>
      <c r="G902" s="23" t="n"/>
      <c r="H902" s="23" t="inlineStr">
        <is>
          <t>draft</t>
        </is>
      </c>
      <c r="I902" s="23" t="inlineStr">
        <is>
          <t>ROMANELLI</t>
        </is>
      </c>
      <c r="J902" s="23" t="inlineStr">
        <is>
          <t>DIVERSOS</t>
        </is>
      </c>
      <c r="K902" s="23" t="n"/>
      <c r="L902" s="23" t="inlineStr">
        <is>
          <t>CP08308</t>
        </is>
      </c>
      <c r="M902" s="31" t="n"/>
      <c r="N902" s="31" t="n"/>
      <c r="O902" s="31" t="n"/>
      <c r="P902" s="31" t="n"/>
      <c r="Q902" s="31" t="n"/>
      <c r="R902" s="34">
        <f>IFERROR(IF(AND(O902&gt;0,P902&gt;0,Q902&gt;0),(O902*P902*Q902)/6000,""),"")</f>
        <v/>
      </c>
      <c r="S902" s="34">
        <f>IFERROR(IF(AND(N902&gt;0,R902&gt;0),MAX(N902,R902),IF(N902&gt;0,N902,IF(R902&gt;0,R902,""))),"")</f>
        <v/>
      </c>
      <c r="T902" s="36" t="n"/>
      <c r="U902" s="38" t="inlineStr">
        <is>
          <t>FALTA</t>
        </is>
      </c>
      <c r="V902" s="36" t="n">
        <v>425.25</v>
      </c>
      <c r="W902" s="39" t="n">
        <v>0.3</v>
      </c>
      <c r="X902" s="41">
        <f>IFERROR(V902+T902,"")</f>
        <v/>
      </c>
      <c r="Y902" s="41">
        <f>IFERROR(IF(W902&lt;1,X902/(1-W902),""),"")</f>
        <v/>
      </c>
      <c r="Z902" s="43">
        <f>'01_CONFIG_GLOBAL'!$C$14</f>
        <v/>
      </c>
      <c r="AA902" s="41">
        <f>IFERROR(Y902*Z902,"")</f>
        <v/>
      </c>
      <c r="AB902" s="41">
        <f>IFERROR(IF(Z902&lt;1,Y902/(1-Z902),""),"")</f>
        <v/>
      </c>
      <c r="AC902" s="23" t="n"/>
      <c r="AD902" s="36" t="n"/>
      <c r="AE902" s="23" t="n"/>
      <c r="AF902" s="36" t="n"/>
      <c r="AG902" s="23" t="n"/>
      <c r="AH902" s="36" t="n"/>
      <c r="AI902" s="41">
        <f>IFERROR(AVERAGE(AD902,AF902,AH902),"")</f>
        <v/>
      </c>
      <c r="AJ902" s="29">
        <f>IFERROR(IF(AI902="","sem dados",IF(AB902&lt;AI902*0.95,"abaixo",IF(AB902&gt;AI902*1.05,"acima","em linha"))),"")</f>
        <v/>
      </c>
      <c r="AK902" s="23" t="inlineStr">
        <is>
          <t>não</t>
        </is>
      </c>
      <c r="AL902" s="23" t="n"/>
      <c r="AM902" s="23" t="n"/>
      <c r="AN902" s="23" t="n"/>
      <c r="AO902" s="44">
        <f>A902</f>
        <v/>
      </c>
      <c r="AP902" s="44">
        <f>D902</f>
        <v/>
      </c>
    </row>
    <row r="903" hidden="1" ht="15.75" customHeight="1" s="93">
      <c r="A903" s="23" t="inlineStr">
        <is>
          <t>5.0520.L026879.0</t>
        </is>
      </c>
      <c r="B903" s="23" t="inlineStr">
        <is>
          <t>L026879</t>
        </is>
      </c>
      <c r="C903" s="29">
        <f>IFERROR(LOWER(SUBSTITUTE(SUBSTITUTE(SUBSTITUTE(SUBSTITUTE(D903," ","-"),"/","-"),".",""),",","")),"")</f>
        <v/>
      </c>
      <c r="D903" s="23" t="inlineStr">
        <is>
          <t>BOMBA HIDRÁULICA - APLICAÇÃO 14 E18.C.C1/5,5.C1.L</t>
        </is>
      </c>
      <c r="E903" s="23" t="inlineStr">
        <is>
          <t>Bombas Hidráulicas</t>
        </is>
      </c>
      <c r="F903" s="23" t="inlineStr">
        <is>
          <t>SOHIPREN</t>
        </is>
      </c>
      <c r="G903" s="23" t="n"/>
      <c r="H903" s="23" t="inlineStr">
        <is>
          <t>draft</t>
        </is>
      </c>
      <c r="I903" s="23" t="inlineStr">
        <is>
          <t>ROMANELLI</t>
        </is>
      </c>
      <c r="J903" s="23" t="n"/>
      <c r="K903" s="23" t="n"/>
      <c r="L903" s="23" t="inlineStr">
        <is>
          <t>CP10265</t>
        </is>
      </c>
      <c r="M903" s="31" t="n"/>
      <c r="N903" s="31" t="n"/>
      <c r="O903" s="31" t="n"/>
      <c r="P903" s="31" t="n"/>
      <c r="Q903" s="31" t="n"/>
      <c r="R903" s="34">
        <f>IFERROR(IF(AND(O903&gt;0,P903&gt;0,Q903&gt;0),(O903*P903*Q903)/6000,""),"")</f>
        <v/>
      </c>
      <c r="S903" s="34">
        <f>IFERROR(IF(AND(N903&gt;0,R903&gt;0),MAX(N903,R903),IF(N903&gt;0,N903,IF(R903&gt;0,R903,""))),"")</f>
        <v/>
      </c>
      <c r="T903" s="36" t="n"/>
      <c r="U903" s="38" t="inlineStr">
        <is>
          <t>FALTA</t>
        </is>
      </c>
      <c r="V903" s="36" t="n">
        <v>1870</v>
      </c>
      <c r="W903" s="39" t="n">
        <v>0.3</v>
      </c>
      <c r="X903" s="41">
        <f>IFERROR(V903+T903,"")</f>
        <v/>
      </c>
      <c r="Y903" s="41">
        <f>IFERROR(IF(W903&lt;1,X903/(1-W903),""),"")</f>
        <v/>
      </c>
      <c r="Z903" s="43">
        <f>'01_CONFIG_GLOBAL'!$C$14</f>
        <v/>
      </c>
      <c r="AA903" s="41">
        <f>IFERROR(Y903*Z903,"")</f>
        <v/>
      </c>
      <c r="AB903" s="41">
        <f>IFERROR(IF(Z903&lt;1,Y903/(1-Z903),""),"")</f>
        <v/>
      </c>
      <c r="AC903" s="23" t="n"/>
      <c r="AD903" s="36" t="n"/>
      <c r="AE903" s="23" t="n"/>
      <c r="AF903" s="36" t="n"/>
      <c r="AG903" s="23" t="n"/>
      <c r="AH903" s="36" t="n"/>
      <c r="AI903" s="41">
        <f>IFERROR(AVERAGE(AD903,AF903,AH903),"")</f>
        <v/>
      </c>
      <c r="AJ903" s="29">
        <f>IFERROR(IF(AI903="","sem dados",IF(AB903&lt;AI903*0.95,"abaixo",IF(AB903&gt;AI903*1.05,"acima","em linha"))),"")</f>
        <v/>
      </c>
      <c r="AK903" s="23" t="inlineStr">
        <is>
          <t>não</t>
        </is>
      </c>
      <c r="AL903" s="23" t="n"/>
      <c r="AM903" s="23" t="n"/>
      <c r="AN903" s="23" t="n"/>
      <c r="AO903" s="44">
        <f>A903</f>
        <v/>
      </c>
      <c r="AP903" s="44">
        <f>D903</f>
        <v/>
      </c>
    </row>
    <row r="904" hidden="1" ht="15.75" customHeight="1" s="93">
      <c r="A904" s="23" t="inlineStr">
        <is>
          <t>5.1301.L026816.0</t>
        </is>
      </c>
      <c r="B904" s="23" t="inlineStr">
        <is>
          <t>L026816</t>
        </is>
      </c>
      <c r="C904" s="29">
        <f>IFERROR(LOWER(SUBSTITUTE(SUBSTITUTE(SUBSTITUTE(SUBSTITUTE(D904," ","-"),"/","-"),".",""),",","")),"")</f>
        <v/>
      </c>
      <c r="D904" s="23" t="inlineStr">
        <is>
          <t>BOMBA PISTOES 63-RPF1-L-B-C-1-B-SD-RP-1-T (TD Z13)-ESQUERDA</t>
        </is>
      </c>
      <c r="E904" s="23" t="inlineStr">
        <is>
          <t>Bombas Hidráulicas</t>
        </is>
      </c>
      <c r="F904" s="23" t="inlineStr">
        <is>
          <t>SOHIPREN</t>
        </is>
      </c>
      <c r="G904" s="23" t="n"/>
      <c r="H904" s="23" t="inlineStr">
        <is>
          <t>draft</t>
        </is>
      </c>
      <c r="I904" s="23" t="inlineStr">
        <is>
          <t>ROMANELLI</t>
        </is>
      </c>
      <c r="J904" s="23" t="inlineStr">
        <is>
          <t>CAMINHÃO COMBOMBA HIDRÁULICA - APLICAÇÃOO</t>
        </is>
      </c>
      <c r="K904" s="23" t="inlineStr">
        <is>
          <t>PRINCIPAL</t>
        </is>
      </c>
      <c r="L904" s="23" t="inlineStr">
        <is>
          <t>CP09987</t>
        </is>
      </c>
      <c r="M904" s="31" t="n"/>
      <c r="N904" s="31" t="n"/>
      <c r="O904" s="31" t="n"/>
      <c r="P904" s="31" t="n"/>
      <c r="Q904" s="31" t="n"/>
      <c r="R904" s="34">
        <f>IFERROR(IF(AND(O904&gt;0,P904&gt;0,Q904&gt;0),(O904*P904*Q904)/6000,""),"")</f>
        <v/>
      </c>
      <c r="S904" s="34">
        <f>IFERROR(IF(AND(N904&gt;0,R904&gt;0),MAX(N904,R904),IF(N904&gt;0,N904,IF(R904&gt;0,R904,""))),"")</f>
        <v/>
      </c>
      <c r="T904" s="36" t="n"/>
      <c r="U904" s="38" t="inlineStr">
        <is>
          <t>FALTA</t>
        </is>
      </c>
      <c r="V904" s="36" t="n">
        <v>11301</v>
      </c>
      <c r="W904" s="39" t="n">
        <v>0.3</v>
      </c>
      <c r="X904" s="41">
        <f>IFERROR(V904+T904,"")</f>
        <v/>
      </c>
      <c r="Y904" s="41">
        <f>IFERROR(IF(W904&lt;1,X904/(1-W904),""),"")</f>
        <v/>
      </c>
      <c r="Z904" s="43">
        <f>'01_CONFIG_GLOBAL'!$C$14</f>
        <v/>
      </c>
      <c r="AA904" s="41">
        <f>IFERROR(Y904*Z904,"")</f>
        <v/>
      </c>
      <c r="AB904" s="41">
        <f>IFERROR(IF(Z904&lt;1,Y904/(1-Z904),""),"")</f>
        <v/>
      </c>
      <c r="AC904" s="23" t="n"/>
      <c r="AD904" s="36" t="n"/>
      <c r="AE904" s="23" t="n"/>
      <c r="AF904" s="36" t="n"/>
      <c r="AG904" s="23" t="n"/>
      <c r="AH904" s="36" t="n"/>
      <c r="AI904" s="41">
        <f>IFERROR(AVERAGE(AD904,AF904,AH904),"")</f>
        <v/>
      </c>
      <c r="AJ904" s="29">
        <f>IFERROR(IF(AI904="","sem dados",IF(AB904&lt;AI904*0.95,"abaixo",IF(AB904&gt;AI904*1.05,"acima","em linha"))),"")</f>
        <v/>
      </c>
      <c r="AK904" s="23" t="inlineStr">
        <is>
          <t>não</t>
        </is>
      </c>
      <c r="AL904" s="23" t="n"/>
      <c r="AM904" s="23" t="n"/>
      <c r="AN904" s="23" t="n"/>
      <c r="AO904" s="44">
        <f>A904</f>
        <v/>
      </c>
      <c r="AP904" s="44">
        <f>D904</f>
        <v/>
      </c>
    </row>
    <row r="905" hidden="1" ht="15.75" customHeight="1" s="93">
      <c r="A905" s="23" t="inlineStr">
        <is>
          <t>5.1301.L026701.0</t>
        </is>
      </c>
      <c r="B905" s="23" t="inlineStr">
        <is>
          <t>L026701</t>
        </is>
      </c>
      <c r="C905" s="29">
        <f>IFERROR(LOWER(SUBSTITUTE(SUBSTITUTE(SUBSTITUTE(SUBSTITUTE(D905," ","-"),"/","-"),".",""),",","")),"")</f>
        <v/>
      </c>
      <c r="D905" s="23" t="inlineStr">
        <is>
          <t>BOMBA PISTOES 63-RPF1-R-B-C-1-B-SD-RP-1-T (TD Z13)</t>
        </is>
      </c>
      <c r="E905" s="23" t="inlineStr">
        <is>
          <t>Bombas Hidráulicas</t>
        </is>
      </c>
      <c r="F905" s="23" t="inlineStr">
        <is>
          <t>SOHIPREN</t>
        </is>
      </c>
      <c r="G905" s="23" t="n"/>
      <c r="H905" s="23" t="inlineStr">
        <is>
          <t>draft</t>
        </is>
      </c>
      <c r="I905" s="23" t="inlineStr">
        <is>
          <t>ROMANELLI</t>
        </is>
      </c>
      <c r="J905" s="23" t="inlineStr">
        <is>
          <t>CAMINHÃO COMBOMBA HIDRÁULICA - APLICAÇÃOO</t>
        </is>
      </c>
      <c r="K905" s="23" t="inlineStr">
        <is>
          <t>PRINCIPAL</t>
        </is>
      </c>
      <c r="L905" s="23" t="inlineStr">
        <is>
          <t>CP09741</t>
        </is>
      </c>
      <c r="M905" s="31" t="n"/>
      <c r="N905" s="31" t="n"/>
      <c r="O905" s="31" t="n"/>
      <c r="P905" s="31" t="n"/>
      <c r="Q905" s="31" t="n"/>
      <c r="R905" s="34">
        <f>IFERROR(IF(AND(O905&gt;0,P905&gt;0,Q905&gt;0),(O905*P905*Q905)/6000,""),"")</f>
        <v/>
      </c>
      <c r="S905" s="34">
        <f>IFERROR(IF(AND(N905&gt;0,R905&gt;0),MAX(N905,R905),IF(N905&gt;0,N905,IF(R905&gt;0,R905,""))),"")</f>
        <v/>
      </c>
      <c r="T905" s="36" t="n"/>
      <c r="U905" s="38" t="inlineStr">
        <is>
          <t>FALTA</t>
        </is>
      </c>
      <c r="V905" s="36" t="n">
        <v>1497.38</v>
      </c>
      <c r="W905" s="39" t="n">
        <v>0.3</v>
      </c>
      <c r="X905" s="41">
        <f>IFERROR(V905+T905,"")</f>
        <v/>
      </c>
      <c r="Y905" s="41">
        <f>IFERROR(IF(W905&lt;1,X905/(1-W905),""),"")</f>
        <v/>
      </c>
      <c r="Z905" s="43">
        <f>'01_CONFIG_GLOBAL'!$C$14</f>
        <v/>
      </c>
      <c r="AA905" s="41">
        <f>IFERROR(Y905*Z905,"")</f>
        <v/>
      </c>
      <c r="AB905" s="41">
        <f>IFERROR(IF(Z905&lt;1,Y905/(1-Z905),""),"")</f>
        <v/>
      </c>
      <c r="AC905" s="23" t="n"/>
      <c r="AD905" s="36" t="n"/>
      <c r="AE905" s="23" t="n"/>
      <c r="AF905" s="36" t="n"/>
      <c r="AG905" s="23" t="n"/>
      <c r="AH905" s="36" t="n"/>
      <c r="AI905" s="41">
        <f>IFERROR(AVERAGE(AD905,AF905,AH905),"")</f>
        <v/>
      </c>
      <c r="AJ905" s="29">
        <f>IFERROR(IF(AI905="","sem dados",IF(AB905&lt;AI905*0.95,"abaixo",IF(AB905&gt;AI905*1.05,"acima","em linha"))),"")</f>
        <v/>
      </c>
      <c r="AK905" s="23" t="inlineStr">
        <is>
          <t>não</t>
        </is>
      </c>
      <c r="AL905" s="23" t="n"/>
      <c r="AM905" s="23" t="n"/>
      <c r="AN905" s="23" t="n"/>
      <c r="AO905" s="44">
        <f>A905</f>
        <v/>
      </c>
      <c r="AP905" s="44">
        <f>D905</f>
        <v/>
      </c>
    </row>
    <row r="906" hidden="1" ht="15.75" customHeight="1" s="93">
      <c r="A906" s="23" t="inlineStr">
        <is>
          <t>5.1301.L026702.0</t>
        </is>
      </c>
      <c r="B906" s="23" t="inlineStr">
        <is>
          <t>L026702</t>
        </is>
      </c>
      <c r="C906" s="29">
        <f>IFERROR(LOWER(SUBSTITUTE(SUBSTITUTE(SUBSTITUTE(SUBSTITUTE(D906," ","-"),"/","-"),".",""),",","")),"")</f>
        <v/>
      </c>
      <c r="D906" s="23" t="inlineStr">
        <is>
          <t>BOMBA PISTOES 71-RPF1-R-B-C-1-B-SD-RP-1-T (TD Z9)</t>
        </is>
      </c>
      <c r="E906" s="23" t="inlineStr">
        <is>
          <t>Bombas Hidráulicas</t>
        </is>
      </c>
      <c r="F906" s="23" t="inlineStr">
        <is>
          <t>SOHIPREN</t>
        </is>
      </c>
      <c r="G906" s="23" t="n"/>
      <c r="H906" s="23" t="inlineStr">
        <is>
          <t>draft</t>
        </is>
      </c>
      <c r="I906" s="23" t="inlineStr">
        <is>
          <t>ROMANELLI</t>
        </is>
      </c>
      <c r="J906" s="23" t="inlineStr">
        <is>
          <t>CAMINHÇAO COMBOMBA HIDRÁULICA - APLICAÇÃOO</t>
        </is>
      </c>
      <c r="K906" s="23" t="inlineStr">
        <is>
          <t>PRINCIPAL</t>
        </is>
      </c>
      <c r="L906" s="23" t="inlineStr">
        <is>
          <t>CP09469</t>
        </is>
      </c>
      <c r="M906" s="31" t="n"/>
      <c r="N906" s="31" t="n"/>
      <c r="O906" s="31" t="n"/>
      <c r="P906" s="31" t="n"/>
      <c r="Q906" s="31" t="n"/>
      <c r="R906" s="34">
        <f>IFERROR(IF(AND(O906&gt;0,P906&gt;0,Q906&gt;0),(O906*P906*Q906)/6000,""),"")</f>
        <v/>
      </c>
      <c r="S906" s="34">
        <f>IFERROR(IF(AND(N906&gt;0,R906&gt;0),MAX(N906,R906),IF(N906&gt;0,N906,IF(R906&gt;0,R906,""))),"")</f>
        <v/>
      </c>
      <c r="T906" s="36" t="n"/>
      <c r="U906" s="38" t="inlineStr">
        <is>
          <t>FALTA</t>
        </is>
      </c>
      <c r="V906" s="36" t="n">
        <v>1497.38</v>
      </c>
      <c r="W906" s="39" t="n">
        <v>0.3</v>
      </c>
      <c r="X906" s="41">
        <f>IFERROR(V906+T906,"")</f>
        <v/>
      </c>
      <c r="Y906" s="41">
        <f>IFERROR(IF(W906&lt;1,X906/(1-W906),""),"")</f>
        <v/>
      </c>
      <c r="Z906" s="43">
        <f>'01_CONFIG_GLOBAL'!$C$14</f>
        <v/>
      </c>
      <c r="AA906" s="41">
        <f>IFERROR(Y906*Z906,"")</f>
        <v/>
      </c>
      <c r="AB906" s="41">
        <f>IFERROR(IF(Z906&lt;1,Y906/(1-Z906),""),"")</f>
        <v/>
      </c>
      <c r="AC906" s="23" t="n"/>
      <c r="AD906" s="36" t="n"/>
      <c r="AE906" s="23" t="n"/>
      <c r="AF906" s="36" t="n"/>
      <c r="AG906" s="23" t="n"/>
      <c r="AH906" s="36" t="n"/>
      <c r="AI906" s="41">
        <f>IFERROR(AVERAGE(AD906,AF906,AH906),"")</f>
        <v/>
      </c>
      <c r="AJ906" s="29">
        <f>IFERROR(IF(AI906="","sem dados",IF(AB906&lt;AI906*0.95,"abaixo",IF(AB906&gt;AI906*1.05,"acima","em linha"))),"")</f>
        <v/>
      </c>
      <c r="AK906" s="23" t="inlineStr">
        <is>
          <t>não</t>
        </is>
      </c>
      <c r="AL906" s="23" t="n"/>
      <c r="AM906" s="23" t="n"/>
      <c r="AN906" s="23" t="n"/>
      <c r="AO906" s="44">
        <f>A906</f>
        <v/>
      </c>
      <c r="AP906" s="44">
        <f>D906</f>
        <v/>
      </c>
    </row>
    <row r="907" hidden="1" ht="15.75" customHeight="1" s="93">
      <c r="A907" s="23" t="inlineStr">
        <is>
          <t>5.1301.L026715.0</t>
        </is>
      </c>
      <c r="B907" s="23" t="inlineStr">
        <is>
          <t>L026715</t>
        </is>
      </c>
      <c r="C907" s="29">
        <f>IFERROR(LOWER(SUBSTITUTE(SUBSTITUTE(SUBSTITUTE(SUBSTITUTE(D907," ","-"),"/","-"),".",""),",","")),"")</f>
        <v/>
      </c>
      <c r="D907" s="23" t="inlineStr">
        <is>
          <t>BOMBA PISTOES 71-RPF1-R-B-C-1-B-SD-RP-1-T (TD Z13) - ESQ</t>
        </is>
      </c>
      <c r="E907" s="23" t="inlineStr">
        <is>
          <t>Bombas Hidráulicas</t>
        </is>
      </c>
      <c r="F907" s="23" t="inlineStr">
        <is>
          <t>SOHIPREN</t>
        </is>
      </c>
      <c r="G907" s="23" t="n"/>
      <c r="H907" s="23" t="inlineStr">
        <is>
          <t>draft</t>
        </is>
      </c>
      <c r="I907" s="23" t="inlineStr">
        <is>
          <t>ROMANELLI</t>
        </is>
      </c>
      <c r="J907" s="23" t="inlineStr">
        <is>
          <t>CAMINHÃO COMBOMBA HIDRÁULICA - APLICAÇÃOO</t>
        </is>
      </c>
      <c r="K907" s="23" t="inlineStr">
        <is>
          <t>PRINCIPAL</t>
        </is>
      </c>
      <c r="L907" s="23" t="inlineStr">
        <is>
          <t>CP09697</t>
        </is>
      </c>
      <c r="M907" s="31" t="n"/>
      <c r="N907" s="31" t="n"/>
      <c r="O907" s="31" t="n"/>
      <c r="P907" s="31" t="n"/>
      <c r="Q907" s="31" t="n"/>
      <c r="R907" s="34">
        <f>IFERROR(IF(AND(O907&gt;0,P907&gt;0,Q907&gt;0),(O907*P907*Q907)/6000,""),"")</f>
        <v/>
      </c>
      <c r="S907" s="34">
        <f>IFERROR(IF(AND(N907&gt;0,R907&gt;0),MAX(N907,R907),IF(N907&gt;0,N907,IF(R907&gt;0,R907,""))),"")</f>
        <v/>
      </c>
      <c r="T907" s="36" t="n"/>
      <c r="U907" s="38" t="inlineStr">
        <is>
          <t>FALTA</t>
        </is>
      </c>
      <c r="V907" s="36" t="n">
        <v>2010</v>
      </c>
      <c r="W907" s="39" t="n">
        <v>0.3</v>
      </c>
      <c r="X907" s="41">
        <f>IFERROR(V907+T907,"")</f>
        <v/>
      </c>
      <c r="Y907" s="41">
        <f>IFERROR(IF(W907&lt;1,X907/(1-W907),""),"")</f>
        <v/>
      </c>
      <c r="Z907" s="43">
        <f>'01_CONFIG_GLOBAL'!$C$14</f>
        <v/>
      </c>
      <c r="AA907" s="41">
        <f>IFERROR(Y907*Z907,"")</f>
        <v/>
      </c>
      <c r="AB907" s="41">
        <f>IFERROR(IF(Z907&lt;1,Y907/(1-Z907),""),"")</f>
        <v/>
      </c>
      <c r="AC907" s="23" t="n"/>
      <c r="AD907" s="36" t="n"/>
      <c r="AE907" s="23" t="n"/>
      <c r="AF907" s="36" t="n"/>
      <c r="AG907" s="23" t="n"/>
      <c r="AH907" s="36" t="n"/>
      <c r="AI907" s="41">
        <f>IFERROR(AVERAGE(AD907,AF907,AH907),"")</f>
        <v/>
      </c>
      <c r="AJ907" s="29">
        <f>IFERROR(IF(AI907="","sem dados",IF(AB907&lt;AI907*0.95,"abaixo",IF(AB907&gt;AI907*1.05,"acima","em linha"))),"")</f>
        <v/>
      </c>
      <c r="AK907" s="23" t="inlineStr">
        <is>
          <t>não</t>
        </is>
      </c>
      <c r="AL907" s="23" t="n"/>
      <c r="AM907" s="23" t="n"/>
      <c r="AN907" s="23" t="n"/>
      <c r="AO907" s="44">
        <f>A907</f>
        <v/>
      </c>
      <c r="AP907" s="44">
        <f>D907</f>
        <v/>
      </c>
    </row>
    <row r="908" hidden="1" ht="15.75" customHeight="1" s="93">
      <c r="A908" s="23" t="inlineStr">
        <is>
          <t>5.0209.0545694.0</t>
        </is>
      </c>
      <c r="B908" s="23" t="inlineStr">
        <is>
          <t>545694</t>
        </is>
      </c>
      <c r="C908" s="29">
        <f>IFERROR(LOWER(SUBSTITUTE(SUBSTITUTE(SUBSTITUTE(SUBSTITUTE(D908," ","-"),"/","-"),".",""),",","")),"")</f>
        <v/>
      </c>
      <c r="D908" s="23" t="inlineStr">
        <is>
          <t>BOD 19 E18.C.C1.L</t>
        </is>
      </c>
      <c r="E908" s="23" t="inlineStr">
        <is>
          <t>Bombas Hidráulicas</t>
        </is>
      </c>
      <c r="F908" s="23" t="inlineStr">
        <is>
          <t>SOHIPREN</t>
        </is>
      </c>
      <c r="G908" s="23" t="n"/>
      <c r="H908" s="23" t="inlineStr">
        <is>
          <t>draft</t>
        </is>
      </c>
      <c r="I908" s="23" t="inlineStr">
        <is>
          <t>ROMANELLI</t>
        </is>
      </c>
      <c r="J908" s="23" t="n"/>
      <c r="K908" s="23" t="n"/>
      <c r="L908" s="23" t="inlineStr">
        <is>
          <t>CP00173</t>
        </is>
      </c>
      <c r="M908" s="31" t="n"/>
      <c r="N908" s="31" t="n"/>
      <c r="O908" s="31" t="n"/>
      <c r="P908" s="31" t="n"/>
      <c r="Q908" s="31" t="n"/>
      <c r="R908" s="34">
        <f>IFERROR(IF(AND(O908&gt;0,P908&gt;0,Q908&gt;0),(O908*P908*Q908)/6000,""),"")</f>
        <v/>
      </c>
      <c r="S908" s="34">
        <f>IFERROR(IF(AND(N908&gt;0,R908&gt;0),MAX(N908,R908),IF(N908&gt;0,N908,IF(R908&gt;0,R908,""))),"")</f>
        <v/>
      </c>
      <c r="T908" s="36" t="n"/>
      <c r="U908" s="38" t="inlineStr">
        <is>
          <t>FALTA</t>
        </is>
      </c>
      <c r="V908" s="36" t="n">
        <v>605</v>
      </c>
      <c r="W908" s="39" t="n">
        <v>0.3</v>
      </c>
      <c r="X908" s="41">
        <f>IFERROR(V908+T908,"")</f>
        <v/>
      </c>
      <c r="Y908" s="41">
        <f>IFERROR(IF(W908&lt;1,X908/(1-W908),""),"")</f>
        <v/>
      </c>
      <c r="Z908" s="43">
        <f>'01_CONFIG_GLOBAL'!$C$14</f>
        <v/>
      </c>
      <c r="AA908" s="41">
        <f>IFERROR(Y908*Z908,"")</f>
        <v/>
      </c>
      <c r="AB908" s="41">
        <f>IFERROR(IF(Z908&lt;1,Y908/(1-Z908),""),"")</f>
        <v/>
      </c>
      <c r="AC908" s="23" t="n"/>
      <c r="AD908" s="36" t="n"/>
      <c r="AE908" s="23" t="n"/>
      <c r="AF908" s="36" t="n"/>
      <c r="AG908" s="23" t="n"/>
      <c r="AH908" s="36" t="n"/>
      <c r="AI908" s="41">
        <f>IFERROR(AVERAGE(AD908,AF908,AH908),"")</f>
        <v/>
      </c>
      <c r="AJ908" s="29">
        <f>IFERROR(IF(AI908="","sem dados",IF(AB908&lt;AI908*0.95,"abaixo",IF(AB908&gt;AI908*1.05,"acima","em linha"))),"")</f>
        <v/>
      </c>
      <c r="AK908" s="23" t="inlineStr">
        <is>
          <t>não</t>
        </is>
      </c>
      <c r="AL908" s="23" t="n"/>
      <c r="AM908" s="23" t="n"/>
      <c r="AN908" s="23" t="n"/>
      <c r="AO908" s="44">
        <f>A908</f>
        <v/>
      </c>
      <c r="AP908" s="44">
        <f>D908</f>
        <v/>
      </c>
    </row>
    <row r="909" hidden="1" ht="15.75" customHeight="1" s="93">
      <c r="A909" s="23" t="inlineStr">
        <is>
          <t>5.0207.0544059.0</t>
        </is>
      </c>
      <c r="B909" s="23" t="inlineStr">
        <is>
          <t>544059</t>
        </is>
      </c>
      <c r="C909" s="29">
        <f>IFERROR(LOWER(SUBSTITUTE(SUBSTITUTE(SUBSTITUTE(SUBSTITUTE(D909," ","-"),"/","-"),".",""),",","")),"")</f>
        <v/>
      </c>
      <c r="D909" s="23" t="inlineStr">
        <is>
          <t>BOD 14 E18.C.C1.L</t>
        </is>
      </c>
      <c r="E909" s="23" t="inlineStr">
        <is>
          <t>Bombas Hidráulicas</t>
        </is>
      </c>
      <c r="F909" s="23" t="inlineStr">
        <is>
          <t>SOHIPREN</t>
        </is>
      </c>
      <c r="G909" s="23" t="n"/>
      <c r="H909" s="23" t="inlineStr">
        <is>
          <t>draft</t>
        </is>
      </c>
      <c r="I909" s="23" t="inlineStr">
        <is>
          <t>ROMANELLI</t>
        </is>
      </c>
      <c r="J909" s="23" t="n"/>
      <c r="K909" s="23" t="n"/>
      <c r="L909" s="23" t="inlineStr">
        <is>
          <t>CP05922</t>
        </is>
      </c>
      <c r="M909" s="31" t="n"/>
      <c r="N909" s="31" t="n"/>
      <c r="O909" s="31" t="n"/>
      <c r="P909" s="31" t="n"/>
      <c r="Q909" s="31" t="n"/>
      <c r="R909" s="34">
        <f>IFERROR(IF(AND(O909&gt;0,P909&gt;0,Q909&gt;0),(O909*P909*Q909)/6000,""),"")</f>
        <v/>
      </c>
      <c r="S909" s="34">
        <f>IFERROR(IF(AND(N909&gt;0,R909&gt;0),MAX(N909,R909),IF(N909&gt;0,N909,IF(R909&gt;0,R909,""))),"")</f>
        <v/>
      </c>
      <c r="T909" s="36" t="n"/>
      <c r="U909" s="38" t="inlineStr">
        <is>
          <t>FALTA</t>
        </is>
      </c>
      <c r="V909" s="36" t="n">
        <v>605</v>
      </c>
      <c r="W909" s="39" t="n">
        <v>0.3</v>
      </c>
      <c r="X909" s="41">
        <f>IFERROR(V909+T909,"")</f>
        <v/>
      </c>
      <c r="Y909" s="41">
        <f>IFERROR(IF(W909&lt;1,X909/(1-W909),""),"")</f>
        <v/>
      </c>
      <c r="Z909" s="43">
        <f>'01_CONFIG_GLOBAL'!$C$14</f>
        <v/>
      </c>
      <c r="AA909" s="41">
        <f>IFERROR(Y909*Z909,"")</f>
        <v/>
      </c>
      <c r="AB909" s="41">
        <f>IFERROR(IF(Z909&lt;1,Y909/(1-Z909),""),"")</f>
        <v/>
      </c>
      <c r="AC909" s="23" t="n"/>
      <c r="AD909" s="36" t="n"/>
      <c r="AE909" s="23" t="n"/>
      <c r="AF909" s="36" t="n"/>
      <c r="AG909" s="23" t="n"/>
      <c r="AH909" s="36" t="n"/>
      <c r="AI909" s="41">
        <f>IFERROR(AVERAGE(AD909,AF909,AH909),"")</f>
        <v/>
      </c>
      <c r="AJ909" s="29">
        <f>IFERROR(IF(AI909="","sem dados",IF(AB909&lt;AI909*0.95,"abaixo",IF(AB909&gt;AI909*1.05,"acima","em linha"))),"")</f>
        <v/>
      </c>
      <c r="AK909" s="23" t="inlineStr">
        <is>
          <t>não</t>
        </is>
      </c>
      <c r="AL909" s="23" t="n"/>
      <c r="AM909" s="23" t="n"/>
      <c r="AN909" s="23" t="n"/>
      <c r="AO909" s="44">
        <f>A909</f>
        <v/>
      </c>
      <c r="AP909" s="44">
        <f>D909</f>
        <v/>
      </c>
    </row>
    <row r="910" hidden="1" ht="15.75" customHeight="1" s="93">
      <c r="A910" s="23" t="inlineStr">
        <is>
          <t>5.1621.0670016.1</t>
        </is>
      </c>
      <c r="B910" s="23" t="inlineStr">
        <is>
          <t>670016.1</t>
        </is>
      </c>
      <c r="C910" s="29">
        <f>IFERROR(LOWER(SUBSTITUTE(SUBSTITUTE(SUBSTITUTE(SUBSTITUTE(D910," ","-"),"/","-"),".",""),",","")),"")</f>
        <v/>
      </c>
      <c r="D910" s="23" t="inlineStr">
        <is>
          <t>MOTOR ORBITAL 250 Cm³/Rot ( S )</t>
        </is>
      </c>
      <c r="E910" s="23" t="n"/>
      <c r="F910" s="23" t="inlineStr">
        <is>
          <t>SOHIPREN</t>
        </is>
      </c>
      <c r="G910" s="23" t="n"/>
      <c r="H910" s="23" t="inlineStr">
        <is>
          <t>draft</t>
        </is>
      </c>
      <c r="I910" s="23" t="inlineStr">
        <is>
          <t>ROMANELLI-J COLOMBO</t>
        </is>
      </c>
      <c r="J910" s="23" t="inlineStr">
        <is>
          <t>DIVERSOS</t>
        </is>
      </c>
      <c r="K910" s="23" t="n"/>
      <c r="L910" s="23" t="inlineStr">
        <is>
          <t>CP06523 / 104-1027-006</t>
        </is>
      </c>
      <c r="M910" s="31" t="n"/>
      <c r="N910" s="31" t="n"/>
      <c r="O910" s="31" t="n"/>
      <c r="P910" s="31" t="n"/>
      <c r="Q910" s="31" t="n"/>
      <c r="R910" s="34">
        <f>IFERROR(IF(AND(O910&gt;0,P910&gt;0,Q910&gt;0),(O910*P910*Q910)/6000,""),"")</f>
        <v/>
      </c>
      <c r="S910" s="34">
        <f>IFERROR(IF(AND(N910&gt;0,R910&gt;0),MAX(N910,R910),IF(N910&gt;0,N910,IF(R910&gt;0,R910,""))),"")</f>
        <v/>
      </c>
      <c r="T910" s="36" t="n"/>
      <c r="U910" s="38" t="inlineStr">
        <is>
          <t>FALTA</t>
        </is>
      </c>
      <c r="V910" s="36" t="n">
        <v>1332.06</v>
      </c>
      <c r="W910" s="39" t="n">
        <v>0.3</v>
      </c>
      <c r="X910" s="41">
        <f>IFERROR(V910+T910,"")</f>
        <v/>
      </c>
      <c r="Y910" s="41">
        <f>IFERROR(IF(W910&lt;1,X910/(1-W910),""),"")</f>
        <v/>
      </c>
      <c r="Z910" s="43">
        <f>'01_CONFIG_GLOBAL'!$C$14</f>
        <v/>
      </c>
      <c r="AA910" s="41">
        <f>IFERROR(Y910*Z910,"")</f>
        <v/>
      </c>
      <c r="AB910" s="41">
        <f>IFERROR(IF(Z910&lt;1,Y910/(1-Z910),""),"")</f>
        <v/>
      </c>
      <c r="AC910" s="23" t="n"/>
      <c r="AD910" s="36" t="n"/>
      <c r="AE910" s="23" t="n"/>
      <c r="AF910" s="36" t="n"/>
      <c r="AG910" s="23" t="n"/>
      <c r="AH910" s="36" t="n"/>
      <c r="AI910" s="41">
        <f>IFERROR(AVERAGE(AD910,AF910,AH910),"")</f>
        <v/>
      </c>
      <c r="AJ910" s="29">
        <f>IFERROR(IF(AI910="","sem dados",IF(AB910&lt;AI910*0.95,"abaixo",IF(AB910&gt;AI910*1.05,"acima","em linha"))),"")</f>
        <v/>
      </c>
      <c r="AK910" s="23" t="inlineStr">
        <is>
          <t>não</t>
        </is>
      </c>
      <c r="AL910" s="23" t="n"/>
      <c r="AM910" s="23" t="n"/>
      <c r="AN910" s="23" t="n"/>
      <c r="AO910" s="44">
        <f>A910</f>
        <v/>
      </c>
      <c r="AP910" s="44">
        <f>D910</f>
        <v/>
      </c>
    </row>
    <row r="911" hidden="1" ht="15.75" customHeight="1" s="93">
      <c r="A911" s="23" t="inlineStr">
        <is>
          <t>5.0208.L025818.0</t>
        </is>
      </c>
      <c r="B911" s="23" t="inlineStr">
        <is>
          <t>L025818</t>
        </is>
      </c>
      <c r="C911" s="29">
        <f>IFERROR(LOWER(SUBSTITUTE(SUBSTITUTE(SUBSTITUTE(SUBSTITUTE(D911," ","-"),"/","-"),".",""),",","")),"")</f>
        <v/>
      </c>
      <c r="D911" s="23" t="inlineStr">
        <is>
          <t>BOMBA HIDRÁULICA - APLICAÇÃO 16 E18.C.C1.L</t>
        </is>
      </c>
      <c r="E911" s="23" t="inlineStr">
        <is>
          <t>Bombas Hidráulicas</t>
        </is>
      </c>
      <c r="F911" s="23" t="inlineStr">
        <is>
          <t>SOHIPREN</t>
        </is>
      </c>
      <c r="G911" s="23" t="n"/>
      <c r="H911" s="23" t="inlineStr">
        <is>
          <t>draft</t>
        </is>
      </c>
      <c r="I911" s="23" t="inlineStr">
        <is>
          <t>ROMANELLI-LINDE</t>
        </is>
      </c>
      <c r="J911" s="23" t="inlineStr">
        <is>
          <t>COMBOMBA HIDRÁULICA - APLICAÇÃOO-BOMBAS DE PIESÕES</t>
        </is>
      </c>
      <c r="K911" s="23" t="inlineStr">
        <is>
          <t>GERAL</t>
        </is>
      </c>
      <c r="L911" s="23" t="inlineStr">
        <is>
          <t>CP08041-A16XXX002</t>
        </is>
      </c>
      <c r="M911" s="31" t="n"/>
      <c r="N911" s="31" t="n"/>
      <c r="O911" s="31" t="n"/>
      <c r="P911" s="31" t="n"/>
      <c r="Q911" s="31" t="n"/>
      <c r="R911" s="34">
        <f>IFERROR(IF(AND(O911&gt;0,P911&gt;0,Q911&gt;0),(O911*P911*Q911)/6000,""),"")</f>
        <v/>
      </c>
      <c r="S911" s="34">
        <f>IFERROR(IF(AND(N911&gt;0,R911&gt;0),MAX(N911,R911),IF(N911&gt;0,N911,IF(R911&gt;0,R911,""))),"")</f>
        <v/>
      </c>
      <c r="T911" s="36" t="n"/>
      <c r="U911" s="38" t="inlineStr">
        <is>
          <t>FALTA</t>
        </is>
      </c>
      <c r="V911" s="36" t="n">
        <v>390.52</v>
      </c>
      <c r="W911" s="39" t="n">
        <v>0.3</v>
      </c>
      <c r="X911" s="41">
        <f>IFERROR(V911+T911,"")</f>
        <v/>
      </c>
      <c r="Y911" s="41">
        <f>IFERROR(IF(W911&lt;1,X911/(1-W911),""),"")</f>
        <v/>
      </c>
      <c r="Z911" s="43">
        <f>'01_CONFIG_GLOBAL'!$C$14</f>
        <v/>
      </c>
      <c r="AA911" s="41">
        <f>IFERROR(Y911*Z911,"")</f>
        <v/>
      </c>
      <c r="AB911" s="41">
        <f>IFERROR(IF(Z911&lt;1,Y911/(1-Z911),""),"")</f>
        <v/>
      </c>
      <c r="AC911" s="23" t="n"/>
      <c r="AD911" s="36" t="n"/>
      <c r="AE911" s="23" t="n"/>
      <c r="AF911" s="36" t="n"/>
      <c r="AG911" s="23" t="n"/>
      <c r="AH911" s="36" t="n"/>
      <c r="AI911" s="41">
        <f>IFERROR(AVERAGE(AD911,AF911,AH911),"")</f>
        <v/>
      </c>
      <c r="AJ911" s="29">
        <f>IFERROR(IF(AI911="","sem dados",IF(AB911&lt;AI911*0.95,"abaixo",IF(AB911&gt;AI911*1.05,"acima","em linha"))),"")</f>
        <v/>
      </c>
      <c r="AK911" s="23" t="inlineStr">
        <is>
          <t>não</t>
        </is>
      </c>
      <c r="AL911" s="23" t="n"/>
      <c r="AM911" s="23" t="n"/>
      <c r="AN911" s="23" t="n"/>
      <c r="AO911" s="44">
        <f>A911</f>
        <v/>
      </c>
      <c r="AP911" s="44">
        <f>D911</f>
        <v/>
      </c>
    </row>
    <row r="912" hidden="1" ht="15.75" customHeight="1" s="93">
      <c r="A912" s="23" t="inlineStr">
        <is>
          <t>5.1301.L026716.0</t>
        </is>
      </c>
      <c r="B912" s="23" t="inlineStr">
        <is>
          <t>L026716</t>
        </is>
      </c>
      <c r="C912" s="29">
        <f>IFERROR(LOWER(SUBSTITUTE(SUBSTITUTE(SUBSTITUTE(SUBSTITUTE(D912," ","-"),"/","-"),".",""),",","")),"")</f>
        <v/>
      </c>
      <c r="D912" s="23" t="inlineStr">
        <is>
          <t>BOMBA PISTOES 71-RPF1-R-B-C-1-B-SD-RP-1-T (TD Z9) - ESQ</t>
        </is>
      </c>
      <c r="E912" s="23" t="inlineStr">
        <is>
          <t>Bombas Hidráulicas</t>
        </is>
      </c>
      <c r="F912" s="23" t="inlineStr">
        <is>
          <t>SOHIPREN</t>
        </is>
      </c>
      <c r="G912" s="23" t="n"/>
      <c r="H912" s="23" t="inlineStr">
        <is>
          <t>draft</t>
        </is>
      </c>
      <c r="I912" s="23" t="inlineStr">
        <is>
          <t>ROMANNELI</t>
        </is>
      </c>
      <c r="J912" s="23" t="inlineStr">
        <is>
          <t>CAMINHÃO COMBOMBA HIDRÁULICA - APLICAÇÃOO</t>
        </is>
      </c>
      <c r="K912" s="23" t="inlineStr">
        <is>
          <t>PRINCIPAL</t>
        </is>
      </c>
      <c r="L912" s="23" t="inlineStr">
        <is>
          <t>CP09698</t>
        </is>
      </c>
      <c r="M912" s="31" t="n"/>
      <c r="N912" s="31" t="n"/>
      <c r="O912" s="31" t="n"/>
      <c r="P912" s="31" t="n"/>
      <c r="Q912" s="31" t="n"/>
      <c r="R912" s="34">
        <f>IFERROR(IF(AND(O912&gt;0,P912&gt;0,Q912&gt;0),(O912*P912*Q912)/6000,""),"")</f>
        <v/>
      </c>
      <c r="S912" s="34">
        <f>IFERROR(IF(AND(N912&gt;0,R912&gt;0),MAX(N912,R912),IF(N912&gt;0,N912,IF(R912&gt;0,R912,""))),"")</f>
        <v/>
      </c>
      <c r="T912" s="36" t="n"/>
      <c r="U912" s="38" t="inlineStr">
        <is>
          <t>FALTA</t>
        </is>
      </c>
      <c r="V912" s="36" t="n">
        <v>2010</v>
      </c>
      <c r="W912" s="39" t="n">
        <v>0.3</v>
      </c>
      <c r="X912" s="41">
        <f>IFERROR(V912+T912,"")</f>
        <v/>
      </c>
      <c r="Y912" s="41">
        <f>IFERROR(IF(W912&lt;1,X912/(1-W912),""),"")</f>
        <v/>
      </c>
      <c r="Z912" s="43">
        <f>'01_CONFIG_GLOBAL'!$C$14</f>
        <v/>
      </c>
      <c r="AA912" s="41">
        <f>IFERROR(Y912*Z912,"")</f>
        <v/>
      </c>
      <c r="AB912" s="41">
        <f>IFERROR(IF(Z912&lt;1,Y912/(1-Z912),""),"")</f>
        <v/>
      </c>
      <c r="AC912" s="23" t="n"/>
      <c r="AD912" s="36" t="n"/>
      <c r="AE912" s="23" t="n"/>
      <c r="AF912" s="36" t="n"/>
      <c r="AG912" s="23" t="n"/>
      <c r="AH912" s="36" t="n"/>
      <c r="AI912" s="41">
        <f>IFERROR(AVERAGE(AD912,AF912,AH912),"")</f>
        <v/>
      </c>
      <c r="AJ912" s="29">
        <f>IFERROR(IF(AI912="","sem dados",IF(AB912&lt;AI912*0.95,"abaixo",IF(AB912&gt;AI912*1.05,"acima","em linha"))),"")</f>
        <v/>
      </c>
      <c r="AK912" s="23" t="inlineStr">
        <is>
          <t>não</t>
        </is>
      </c>
      <c r="AL912" s="23" t="n"/>
      <c r="AM912" s="23" t="n"/>
      <c r="AN912" s="23" t="n"/>
      <c r="AO912" s="44">
        <f>A912</f>
        <v/>
      </c>
      <c r="AP912" s="44">
        <f>D912</f>
        <v/>
      </c>
    </row>
    <row r="913" hidden="1" ht="15.75" customHeight="1" s="93">
      <c r="A913" s="23" t="inlineStr">
        <is>
          <t>0.2201.L082466.0</t>
        </is>
      </c>
      <c r="B913" s="23" t="inlineStr">
        <is>
          <t>L082466</t>
        </is>
      </c>
      <c r="C913" s="29">
        <f>IFERROR(LOWER(SUBSTITUTE(SUBSTITUTE(SUBSTITUTE(SUBSTITUTE(D913," ","-"),"/","-"),".",""),",","")),"")</f>
        <v/>
      </c>
      <c r="D913" s="23" t="inlineStr">
        <is>
          <t>PORTA INSERTO MICROMETRICO CAPAC. Ø36-54MM CCMT 0602</t>
        </is>
      </c>
      <c r="E913" s="23" t="n"/>
      <c r="F913" s="23" t="inlineStr">
        <is>
          <t>SOHIPREN</t>
        </is>
      </c>
      <c r="G913" s="23" t="n"/>
      <c r="H913" s="23" t="inlineStr">
        <is>
          <t>draft</t>
        </is>
      </c>
      <c r="I913" s="23" t="inlineStr">
        <is>
          <t>SANBLA</t>
        </is>
      </c>
      <c r="J913" s="23" t="n"/>
      <c r="K913" s="23" t="n"/>
      <c r="L913" s="23" t="inlineStr">
        <is>
          <t>FMA-012</t>
        </is>
      </c>
      <c r="M913" s="31" t="n"/>
      <c r="N913" s="31" t="n"/>
      <c r="O913" s="31" t="n"/>
      <c r="P913" s="31" t="n"/>
      <c r="Q913" s="31" t="n"/>
      <c r="R913" s="34">
        <f>IFERROR(IF(AND(O913&gt;0,P913&gt;0,Q913&gt;0),(O913*P913*Q913)/6000,""),"")</f>
        <v/>
      </c>
      <c r="S913" s="34">
        <f>IFERROR(IF(AND(N913&gt;0,R913&gt;0),MAX(N913,R913),IF(N913&gt;0,N913,IF(R913&gt;0,R913,""))),"")</f>
        <v/>
      </c>
      <c r="T913" s="36" t="n"/>
      <c r="U913" s="38" t="inlineStr">
        <is>
          <t>FALTA</t>
        </is>
      </c>
      <c r="V913" s="36" t="n">
        <v>9817.5</v>
      </c>
      <c r="W913" s="39" t="n">
        <v>0.3</v>
      </c>
      <c r="X913" s="41">
        <f>IFERROR(V913+T913,"")</f>
        <v/>
      </c>
      <c r="Y913" s="41">
        <f>IFERROR(IF(W913&lt;1,X913/(1-W913),""),"")</f>
        <v/>
      </c>
      <c r="Z913" s="43">
        <f>'01_CONFIG_GLOBAL'!$C$14</f>
        <v/>
      </c>
      <c r="AA913" s="41">
        <f>IFERROR(Y913*Z913,"")</f>
        <v/>
      </c>
      <c r="AB913" s="41">
        <f>IFERROR(IF(Z913&lt;1,Y913/(1-Z913),""),"")</f>
        <v/>
      </c>
      <c r="AC913" s="23" t="n"/>
      <c r="AD913" s="36" t="n"/>
      <c r="AE913" s="23" t="n"/>
      <c r="AF913" s="36" t="n"/>
      <c r="AG913" s="23" t="n"/>
      <c r="AH913" s="36" t="n"/>
      <c r="AI913" s="41">
        <f>IFERROR(AVERAGE(AD913,AF913,AH913),"")</f>
        <v/>
      </c>
      <c r="AJ913" s="29">
        <f>IFERROR(IF(AI913="","sem dados",IF(AB913&lt;AI913*0.95,"abaixo",IF(AB913&gt;AI913*1.05,"acima","em linha"))),"")</f>
        <v/>
      </c>
      <c r="AK913" s="23" t="inlineStr">
        <is>
          <t>não</t>
        </is>
      </c>
      <c r="AL913" s="23" t="n"/>
      <c r="AM913" s="23" t="n"/>
      <c r="AN913" s="23" t="n"/>
      <c r="AO913" s="44">
        <f>A913</f>
        <v/>
      </c>
      <c r="AP913" s="44">
        <f>D913</f>
        <v/>
      </c>
    </row>
    <row r="914" hidden="1" ht="15.75" customHeight="1" s="93">
      <c r="A914" s="23" t="inlineStr">
        <is>
          <t>5.0206.0543273.0</t>
        </is>
      </c>
      <c r="B914" s="23" t="inlineStr">
        <is>
          <t>543273</t>
        </is>
      </c>
      <c r="C914" s="29">
        <f>IFERROR(LOWER(SUBSTITUTE(SUBSTITUTE(SUBSTITUTE(SUBSTITUTE(D914," ","-"),"/","-"),".",""),",","")),"")</f>
        <v/>
      </c>
      <c r="D914" s="23" t="inlineStr">
        <is>
          <t>BOD 11 B2.P4.A14.D5  9-90+10 BAR</t>
        </is>
      </c>
      <c r="E914" s="23" t="inlineStr">
        <is>
          <t>Bombas Hidráulicas</t>
        </is>
      </c>
      <c r="F914" s="23" t="inlineStr">
        <is>
          <t>SOHIPREN</t>
        </is>
      </c>
      <c r="G914" s="23" t="n"/>
      <c r="H914" s="23" t="inlineStr">
        <is>
          <t>draft</t>
        </is>
      </c>
      <c r="I914" s="23" t="inlineStr">
        <is>
          <t>SANTA MATILDE</t>
        </is>
      </c>
      <c r="J914" s="23" t="inlineStr">
        <is>
          <t>COLHEITADEIRA</t>
        </is>
      </c>
      <c r="K914" s="23" t="n"/>
      <c r="L914" s="23" t="inlineStr">
        <is>
          <t>E 65261</t>
        </is>
      </c>
      <c r="M914" s="31" t="n"/>
      <c r="N914" s="31" t="n"/>
      <c r="O914" s="31" t="n"/>
      <c r="P914" s="31" t="n"/>
      <c r="Q914" s="31" t="n"/>
      <c r="R914" s="34">
        <f>IFERROR(IF(AND(O914&gt;0,P914&gt;0,Q914&gt;0),(O914*P914*Q914)/6000,""),"")</f>
        <v/>
      </c>
      <c r="S914" s="34">
        <f>IFERROR(IF(AND(N914&gt;0,R914&gt;0),MAX(N914,R914),IF(N914&gt;0,N914,IF(R914&gt;0,R914,""))),"")</f>
        <v/>
      </c>
      <c r="T914" s="36" t="n"/>
      <c r="U914" s="38" t="inlineStr">
        <is>
          <t>FALTA</t>
        </is>
      </c>
      <c r="V914" s="36" t="n">
        <v>956</v>
      </c>
      <c r="W914" s="39" t="n">
        <v>0.3</v>
      </c>
      <c r="X914" s="41">
        <f>IFERROR(V914+T914,"")</f>
        <v/>
      </c>
      <c r="Y914" s="41">
        <f>IFERROR(IF(W914&lt;1,X914/(1-W914),""),"")</f>
        <v/>
      </c>
      <c r="Z914" s="43">
        <f>'01_CONFIG_GLOBAL'!$C$14</f>
        <v/>
      </c>
      <c r="AA914" s="41">
        <f>IFERROR(Y914*Z914,"")</f>
        <v/>
      </c>
      <c r="AB914" s="41">
        <f>IFERROR(IF(Z914&lt;1,Y914/(1-Z914),""),"")</f>
        <v/>
      </c>
      <c r="AC914" s="23" t="n"/>
      <c r="AD914" s="36" t="n"/>
      <c r="AE914" s="23" t="n"/>
      <c r="AF914" s="36" t="n"/>
      <c r="AG914" s="23" t="n"/>
      <c r="AH914" s="36" t="n"/>
      <c r="AI914" s="41">
        <f>IFERROR(AVERAGE(AD914,AF914,AH914),"")</f>
        <v/>
      </c>
      <c r="AJ914" s="29">
        <f>IFERROR(IF(AI914="","sem dados",IF(AB914&lt;AI914*0.95,"abaixo",IF(AB914&gt;AI914*1.05,"acima","em linha"))),"")</f>
        <v/>
      </c>
      <c r="AK914" s="23" t="inlineStr">
        <is>
          <t>não</t>
        </is>
      </c>
      <c r="AL914" s="23" t="n"/>
      <c r="AM914" s="23" t="n"/>
      <c r="AN914" s="23" t="n"/>
      <c r="AO914" s="44">
        <f>A914</f>
        <v/>
      </c>
      <c r="AP914" s="44">
        <f>D914</f>
        <v/>
      </c>
    </row>
    <row r="915" hidden="1" ht="15.75" customHeight="1" s="93">
      <c r="A915" s="23" t="inlineStr">
        <is>
          <t>5.0208.0544816.0</t>
        </is>
      </c>
      <c r="B915" s="23" t="inlineStr">
        <is>
          <t>544816</t>
        </is>
      </c>
      <c r="C915" s="29">
        <f>IFERROR(LOWER(SUBSTITUTE(SUBSTITUTE(SUBSTITUTE(SUBSTITUTE(D915," ","-"),"/","-"),".",""),",","")),"")</f>
        <v/>
      </c>
      <c r="D915" s="23" t="inlineStr">
        <is>
          <t>BOD 16 F4.A2.A4.L</t>
        </is>
      </c>
      <c r="E915" s="23" t="inlineStr">
        <is>
          <t>Bombas Hidráulicas</t>
        </is>
      </c>
      <c r="F915" s="23" t="inlineStr">
        <is>
          <t>SOHIPREN</t>
        </is>
      </c>
      <c r="G915" s="23" t="n"/>
      <c r="H915" s="23" t="inlineStr">
        <is>
          <t>draft</t>
        </is>
      </c>
      <c r="I915" s="23" t="inlineStr">
        <is>
          <t>SANTAL</t>
        </is>
      </c>
      <c r="J915" s="23" t="inlineStr">
        <is>
          <t>CONJ BASC MOTONIVELADORA    |</t>
        </is>
      </c>
      <c r="K915" s="23" t="inlineStr">
        <is>
          <t>PRINCIPAL DIREÇÃO</t>
        </is>
      </c>
      <c r="L915" s="23" t="inlineStr">
        <is>
          <t>1901-40</t>
        </is>
      </c>
      <c r="M915" s="31" t="n"/>
      <c r="N915" s="31" t="n"/>
      <c r="O915" s="31" t="n"/>
      <c r="P915" s="31" t="n"/>
      <c r="Q915" s="31" t="n"/>
      <c r="R915" s="34">
        <f>IFERROR(IF(AND(O915&gt;0,P915&gt;0,Q915&gt;0),(O915*P915*Q915)/6000,""),"")</f>
        <v/>
      </c>
      <c r="S915" s="34">
        <f>IFERROR(IF(AND(N915&gt;0,R915&gt;0),MAX(N915,R915),IF(N915&gt;0,N915,IF(R915&gt;0,R915,""))),"")</f>
        <v/>
      </c>
      <c r="T915" s="36" t="n"/>
      <c r="U915" s="38" t="inlineStr">
        <is>
          <t>FALTA</t>
        </is>
      </c>
      <c r="V915" s="36" t="n">
        <v>558</v>
      </c>
      <c r="W915" s="39" t="n">
        <v>0.3</v>
      </c>
      <c r="X915" s="41">
        <f>IFERROR(V915+T915,"")</f>
        <v/>
      </c>
      <c r="Y915" s="41">
        <f>IFERROR(IF(W915&lt;1,X915/(1-W915),""),"")</f>
        <v/>
      </c>
      <c r="Z915" s="43">
        <f>'01_CONFIG_GLOBAL'!$C$14</f>
        <v/>
      </c>
      <c r="AA915" s="41">
        <f>IFERROR(Y915*Z915,"")</f>
        <v/>
      </c>
      <c r="AB915" s="41">
        <f>IFERROR(IF(Z915&lt;1,Y915/(1-Z915),""),"")</f>
        <v/>
      </c>
      <c r="AC915" s="23" t="n"/>
      <c r="AD915" s="36" t="n"/>
      <c r="AE915" s="23" t="n"/>
      <c r="AF915" s="36" t="n"/>
      <c r="AG915" s="23" t="n"/>
      <c r="AH915" s="36" t="n"/>
      <c r="AI915" s="41">
        <f>IFERROR(AVERAGE(AD915,AF915,AH915),"")</f>
        <v/>
      </c>
      <c r="AJ915" s="29">
        <f>IFERROR(IF(AI915="","sem dados",IF(AB915&lt;AI915*0.95,"abaixo",IF(AB915&gt;AI915*1.05,"acima","em linha"))),"")</f>
        <v/>
      </c>
      <c r="AK915" s="23" t="inlineStr">
        <is>
          <t>não</t>
        </is>
      </c>
      <c r="AL915" s="23" t="n"/>
      <c r="AM915" s="23" t="n"/>
      <c r="AN915" s="23" t="n"/>
      <c r="AO915" s="44">
        <f>A915</f>
        <v/>
      </c>
      <c r="AP915" s="44">
        <f>D915</f>
        <v/>
      </c>
    </row>
    <row r="916" hidden="1" ht="15.75" customHeight="1" s="93">
      <c r="A916" s="23" t="inlineStr">
        <is>
          <t>5.1601.0547950.0</t>
        </is>
      </c>
      <c r="B916" s="23" t="inlineStr">
        <is>
          <t>547950</t>
        </is>
      </c>
      <c r="C916" s="29">
        <f>IFERROR(LOWER(SUBSTITUTE(SUBSTITUTE(SUBSTITUTE(SUBSTITUTE(D916," ","-"),"/","-"),".",""),",","")),"")</f>
        <v/>
      </c>
      <c r="D916" s="23" t="inlineStr">
        <is>
          <t>BOMBA AUXILIAR 12 CM3 DERECHA</t>
        </is>
      </c>
      <c r="E916" s="23" t="inlineStr">
        <is>
          <t>Bombas Hidráulicas</t>
        </is>
      </c>
      <c r="F916" s="23" t="inlineStr">
        <is>
          <t>SOHIPREN</t>
        </is>
      </c>
      <c r="G916" s="23" t="n"/>
      <c r="H916" s="23" t="inlineStr">
        <is>
          <t>draft</t>
        </is>
      </c>
      <c r="I916" s="23" t="inlineStr">
        <is>
          <t>SAUER - SUNDSTRAND</t>
        </is>
      </c>
      <c r="J916" s="23" t="inlineStr">
        <is>
          <t>BOMBA DE CARGA</t>
        </is>
      </c>
      <c r="K916" s="23" t="inlineStr">
        <is>
          <t>BOMBA DE ALIMENTAÇÃO</t>
        </is>
      </c>
      <c r="L916" s="23" t="n"/>
      <c r="M916" s="31" t="n"/>
      <c r="N916" s="31" t="n"/>
      <c r="O916" s="31" t="n"/>
      <c r="P916" s="31" t="n"/>
      <c r="Q916" s="31" t="n"/>
      <c r="R916" s="34">
        <f>IFERROR(IF(AND(O916&gt;0,P916&gt;0,Q916&gt;0),(O916*P916*Q916)/6000,""),"")</f>
        <v/>
      </c>
      <c r="S916" s="34">
        <f>IFERROR(IF(AND(N916&gt;0,R916&gt;0),MAX(N916,R916),IF(N916&gt;0,N916,IF(R916&gt;0,R916,""))),"")</f>
        <v/>
      </c>
      <c r="T916" s="36" t="n"/>
      <c r="U916" s="38" t="inlineStr">
        <is>
          <t>FALTA</t>
        </is>
      </c>
      <c r="V916" s="36" t="n">
        <v>2221.49</v>
      </c>
      <c r="W916" s="39" t="n">
        <v>0.3</v>
      </c>
      <c r="X916" s="41">
        <f>IFERROR(V916+T916,"")</f>
        <v/>
      </c>
      <c r="Y916" s="41">
        <f>IFERROR(IF(W916&lt;1,X916/(1-W916),""),"")</f>
        <v/>
      </c>
      <c r="Z916" s="43">
        <f>'01_CONFIG_GLOBAL'!$C$14</f>
        <v/>
      </c>
      <c r="AA916" s="41">
        <f>IFERROR(Y916*Z916,"")</f>
        <v/>
      </c>
      <c r="AB916" s="41">
        <f>IFERROR(IF(Z916&lt;1,Y916/(1-Z916),""),"")</f>
        <v/>
      </c>
      <c r="AC916" s="23" t="n"/>
      <c r="AD916" s="36" t="n"/>
      <c r="AE916" s="23" t="n"/>
      <c r="AF916" s="36" t="n"/>
      <c r="AG916" s="23" t="n"/>
      <c r="AH916" s="36" t="n"/>
      <c r="AI916" s="41">
        <f>IFERROR(AVERAGE(AD916,AF916,AH916),"")</f>
        <v/>
      </c>
      <c r="AJ916" s="29">
        <f>IFERROR(IF(AI916="","sem dados",IF(AB916&lt;AI916*0.95,"abaixo",IF(AB916&gt;AI916*1.05,"acima","em linha"))),"")</f>
        <v/>
      </c>
      <c r="AK916" s="23" t="inlineStr">
        <is>
          <t>não</t>
        </is>
      </c>
      <c r="AL916" s="23" t="n"/>
      <c r="AM916" s="23" t="n"/>
      <c r="AN916" s="23" t="n"/>
      <c r="AO916" s="44">
        <f>A916</f>
        <v/>
      </c>
      <c r="AP916" s="44">
        <f>D916</f>
        <v/>
      </c>
    </row>
    <row r="917" hidden="1" ht="15.75" customHeight="1" s="93">
      <c r="A917" s="23" t="inlineStr">
        <is>
          <t>5.1602.0547951.0</t>
        </is>
      </c>
      <c r="B917" s="23" t="inlineStr">
        <is>
          <t>547951</t>
        </is>
      </c>
      <c r="C917" s="29">
        <f>IFERROR(LOWER(SUBSTITUTE(SUBSTITUTE(SUBSTITUTE(SUBSTITUTE(D917," ","-"),"/","-"),".",""),",","")),"")</f>
        <v/>
      </c>
      <c r="D917" s="23" t="inlineStr">
        <is>
          <t>BOMBA AUXILIAR 18 CM3 DERECHA</t>
        </is>
      </c>
      <c r="E917" s="23" t="inlineStr">
        <is>
          <t>Bombas Hidráulicas</t>
        </is>
      </c>
      <c r="F917" s="23" t="inlineStr">
        <is>
          <t>SOHIPREN</t>
        </is>
      </c>
      <c r="G917" s="23" t="n"/>
      <c r="H917" s="23" t="inlineStr">
        <is>
          <t>draft</t>
        </is>
      </c>
      <c r="I917" s="23" t="inlineStr">
        <is>
          <t>SAUER - SUNDSTRAND</t>
        </is>
      </c>
      <c r="J917" s="23" t="inlineStr">
        <is>
          <t>BOMBA DE CARGA</t>
        </is>
      </c>
      <c r="K917" s="23" t="inlineStr">
        <is>
          <t>BOMBA DE ALIMENTAÇÃO</t>
        </is>
      </c>
      <c r="L917" s="23" t="n"/>
      <c r="M917" s="31" t="n"/>
      <c r="N917" s="31" t="n"/>
      <c r="O917" s="31" t="n"/>
      <c r="P917" s="31" t="n"/>
      <c r="Q917" s="31" t="n"/>
      <c r="R917" s="34">
        <f>IFERROR(IF(AND(O917&gt;0,P917&gt;0,Q917&gt;0),(O917*P917*Q917)/6000,""),"")</f>
        <v/>
      </c>
      <c r="S917" s="34">
        <f>IFERROR(IF(AND(N917&gt;0,R917&gt;0),MAX(N917,R917),IF(N917&gt;0,N917,IF(R917&gt;0,R917,""))),"")</f>
        <v/>
      </c>
      <c r="T917" s="36" t="n"/>
      <c r="U917" s="38" t="inlineStr">
        <is>
          <t>FALTA</t>
        </is>
      </c>
      <c r="V917" s="36" t="n">
        <v>2221.49</v>
      </c>
      <c r="W917" s="39" t="n">
        <v>0.3</v>
      </c>
      <c r="X917" s="41">
        <f>IFERROR(V917+T917,"")</f>
        <v/>
      </c>
      <c r="Y917" s="41">
        <f>IFERROR(IF(W917&lt;1,X917/(1-W917),""),"")</f>
        <v/>
      </c>
      <c r="Z917" s="43">
        <f>'01_CONFIG_GLOBAL'!$C$14</f>
        <v/>
      </c>
      <c r="AA917" s="41">
        <f>IFERROR(Y917*Z917,"")</f>
        <v/>
      </c>
      <c r="AB917" s="41">
        <f>IFERROR(IF(Z917&lt;1,Y917/(1-Z917),""),"")</f>
        <v/>
      </c>
      <c r="AC917" s="23" t="n"/>
      <c r="AD917" s="36" t="n"/>
      <c r="AE917" s="23" t="n"/>
      <c r="AF917" s="36" t="n"/>
      <c r="AG917" s="23" t="n"/>
      <c r="AH917" s="36" t="n"/>
      <c r="AI917" s="41">
        <f>IFERROR(AVERAGE(AD917,AF917,AH917),"")</f>
        <v/>
      </c>
      <c r="AJ917" s="29">
        <f>IFERROR(IF(AI917="","sem dados",IF(AB917&lt;AI917*0.95,"abaixo",IF(AB917&gt;AI917*1.05,"acima","em linha"))),"")</f>
        <v/>
      </c>
      <c r="AK917" s="23" t="inlineStr">
        <is>
          <t>não</t>
        </is>
      </c>
      <c r="AL917" s="23" t="n"/>
      <c r="AM917" s="23" t="n"/>
      <c r="AN917" s="23" t="n"/>
      <c r="AO917" s="44">
        <f>A917</f>
        <v/>
      </c>
      <c r="AP917" s="44">
        <f>D917</f>
        <v/>
      </c>
    </row>
    <row r="918" hidden="1" ht="15.75" customHeight="1" s="93">
      <c r="A918" s="23" t="inlineStr">
        <is>
          <t>5.5209.L005750.0</t>
        </is>
      </c>
      <c r="B918" s="23" t="inlineStr">
        <is>
          <t>L00575</t>
        </is>
      </c>
      <c r="C918" s="29">
        <f>IFERROR(LOWER(SUBSTITUTE(SUBSTITUTE(SUBSTITUTE(SUBSTITUTE(D918," ","-"),"/","-"),".",""),",","")),"")</f>
        <v/>
      </c>
      <c r="D918" s="23" t="inlineStr">
        <is>
          <t>MUI BO 19 B1.P1.A.L</t>
        </is>
      </c>
      <c r="E918" s="23" t="n"/>
      <c r="F918" s="23" t="inlineStr">
        <is>
          <t>SOHIPREN</t>
        </is>
      </c>
      <c r="G918" s="23" t="n"/>
      <c r="H918" s="23" t="inlineStr">
        <is>
          <t>draft</t>
        </is>
      </c>
      <c r="I918" s="23" t="inlineStr">
        <is>
          <t>SCANIA</t>
        </is>
      </c>
      <c r="J918" s="23" t="inlineStr">
        <is>
          <t>ONIBUS</t>
        </is>
      </c>
      <c r="K918" s="23" t="inlineStr">
        <is>
          <t>MOTOR SISTEMA DE ARREFECIMENTO</t>
        </is>
      </c>
      <c r="L918" s="23" t="inlineStr">
        <is>
          <t>2196419</t>
        </is>
      </c>
      <c r="M918" s="31" t="n"/>
      <c r="N918" s="31" t="n"/>
      <c r="O918" s="31" t="n"/>
      <c r="P918" s="31" t="n"/>
      <c r="Q918" s="31" t="n"/>
      <c r="R918" s="34">
        <f>IFERROR(IF(AND(O918&gt;0,P918&gt;0,Q918&gt;0),(O918*P918*Q918)/6000,""),"")</f>
        <v/>
      </c>
      <c r="S918" s="34">
        <f>IFERROR(IF(AND(N918&gt;0,R918&gt;0),MAX(N918,R918),IF(N918&gt;0,N918,IF(R918&gt;0,R918,""))),"")</f>
        <v/>
      </c>
      <c r="T918" s="36" t="n"/>
      <c r="U918" s="38" t="inlineStr">
        <is>
          <t>FALTA</t>
        </is>
      </c>
      <c r="V918" s="36" t="n">
        <v>572</v>
      </c>
      <c r="W918" s="39" t="n">
        <v>0.3</v>
      </c>
      <c r="X918" s="41">
        <f>IFERROR(V918+T918,"")</f>
        <v/>
      </c>
      <c r="Y918" s="41">
        <f>IFERROR(IF(W918&lt;1,X918/(1-W918),""),"")</f>
        <v/>
      </c>
      <c r="Z918" s="43">
        <f>'01_CONFIG_GLOBAL'!$C$14</f>
        <v/>
      </c>
      <c r="AA918" s="41">
        <f>IFERROR(Y918*Z918,"")</f>
        <v/>
      </c>
      <c r="AB918" s="41">
        <f>IFERROR(IF(Z918&lt;1,Y918/(1-Z918),""),"")</f>
        <v/>
      </c>
      <c r="AC918" s="23" t="n"/>
      <c r="AD918" s="36" t="n"/>
      <c r="AE918" s="23" t="n"/>
      <c r="AF918" s="36" t="n"/>
      <c r="AG918" s="23" t="n"/>
      <c r="AH918" s="36" t="n"/>
      <c r="AI918" s="41">
        <f>IFERROR(AVERAGE(AD918,AF918,AH918),"")</f>
        <v/>
      </c>
      <c r="AJ918" s="29">
        <f>IFERROR(IF(AI918="","sem dados",IF(AB918&lt;AI918*0.95,"abaixo",IF(AB918&gt;AI918*1.05,"acima","em linha"))),"")</f>
        <v/>
      </c>
      <c r="AK918" s="23" t="inlineStr">
        <is>
          <t>não</t>
        </is>
      </c>
      <c r="AL918" s="23" t="n"/>
      <c r="AM918" s="23" t="n"/>
      <c r="AN918" s="23" t="n"/>
      <c r="AO918" s="44">
        <f>A918</f>
        <v/>
      </c>
      <c r="AP918" s="44">
        <f>D918</f>
        <v/>
      </c>
    </row>
    <row r="919" hidden="1" ht="15.75" customHeight="1" s="93">
      <c r="A919" s="23" t="inlineStr">
        <is>
          <t>5.5210.L006430.0</t>
        </is>
      </c>
      <c r="B919" s="23" t="inlineStr">
        <is>
          <t>L00643</t>
        </is>
      </c>
      <c r="C919" s="29">
        <f>IFERROR(LOWER(SUBSTITUTE(SUBSTITUTE(SUBSTITUTE(SUBSTITUTE(D919," ","-"),"/","-"),".",""),",","")),"")</f>
        <v/>
      </c>
      <c r="D919" s="23" t="inlineStr">
        <is>
          <t>MUI BO 22,5 B1.P1.A124.L</t>
        </is>
      </c>
      <c r="E919" s="23" t="n"/>
      <c r="F919" s="23" t="inlineStr">
        <is>
          <t>SOHIPREN</t>
        </is>
      </c>
      <c r="G919" s="23" t="n"/>
      <c r="H919" s="23" t="inlineStr">
        <is>
          <t>draft</t>
        </is>
      </c>
      <c r="I919" s="23" t="inlineStr">
        <is>
          <t>SCANIA</t>
        </is>
      </c>
      <c r="J919" s="23" t="inlineStr">
        <is>
          <t>ONIBUS</t>
        </is>
      </c>
      <c r="K919" s="23" t="inlineStr">
        <is>
          <t>MOTOR SISTEMA DE ARREFECIMENTO</t>
        </is>
      </c>
      <c r="L919" s="23" t="inlineStr">
        <is>
          <t>2196420</t>
        </is>
      </c>
      <c r="M919" s="31" t="n"/>
      <c r="N919" s="31" t="n"/>
      <c r="O919" s="31" t="n"/>
      <c r="P919" s="31" t="n"/>
      <c r="Q919" s="31" t="n"/>
      <c r="R919" s="34">
        <f>IFERROR(IF(AND(O919&gt;0,P919&gt;0,Q919&gt;0),(O919*P919*Q919)/6000,""),"")</f>
        <v/>
      </c>
      <c r="S919" s="34">
        <f>IFERROR(IF(AND(N919&gt;0,R919&gt;0),MAX(N919,R919),IF(N919&gt;0,N919,IF(R919&gt;0,R919,""))),"")</f>
        <v/>
      </c>
      <c r="T919" s="36" t="n"/>
      <c r="U919" s="38" t="inlineStr">
        <is>
          <t>FALTA</t>
        </is>
      </c>
      <c r="V919" s="36" t="n">
        <v>708</v>
      </c>
      <c r="W919" s="39" t="n">
        <v>0.3</v>
      </c>
      <c r="X919" s="41">
        <f>IFERROR(V919+T919,"")</f>
        <v/>
      </c>
      <c r="Y919" s="41">
        <f>IFERROR(IF(W919&lt;1,X919/(1-W919),""),"")</f>
        <v/>
      </c>
      <c r="Z919" s="43">
        <f>'01_CONFIG_GLOBAL'!$C$14</f>
        <v/>
      </c>
      <c r="AA919" s="41">
        <f>IFERROR(Y919*Z919,"")</f>
        <v/>
      </c>
      <c r="AB919" s="41">
        <f>IFERROR(IF(Z919&lt;1,Y919/(1-Z919),""),"")</f>
        <v/>
      </c>
      <c r="AC919" s="23" t="n"/>
      <c r="AD919" s="36" t="n"/>
      <c r="AE919" s="23" t="n"/>
      <c r="AF919" s="36" t="n"/>
      <c r="AG919" s="23" t="n"/>
      <c r="AH919" s="36" t="n"/>
      <c r="AI919" s="41">
        <f>IFERROR(AVERAGE(AD919,AF919,AH919),"")</f>
        <v/>
      </c>
      <c r="AJ919" s="29">
        <f>IFERROR(IF(AI919="","sem dados",IF(AB919&lt;AI919*0.95,"abaixo",IF(AB919&gt;AI919*1.05,"acima","em linha"))),"")</f>
        <v/>
      </c>
      <c r="AK919" s="23" t="inlineStr">
        <is>
          <t>não</t>
        </is>
      </c>
      <c r="AL919" s="23" t="n"/>
      <c r="AM919" s="23" t="n"/>
      <c r="AN919" s="23" t="n"/>
      <c r="AO919" s="44">
        <f>A919</f>
        <v/>
      </c>
      <c r="AP919" s="44">
        <f>D919</f>
        <v/>
      </c>
    </row>
    <row r="920" hidden="1" ht="15.75" customHeight="1" s="93">
      <c r="A920" s="23" t="inlineStr">
        <is>
          <t>5.0206.0543272.0</t>
        </is>
      </c>
      <c r="B920" s="23" t="inlineStr">
        <is>
          <t>543272</t>
        </is>
      </c>
      <c r="C920" s="29">
        <f>IFERROR(LOWER(SUBSTITUTE(SUBSTITUTE(SUBSTITUTE(SUBSTITUTE(D920," ","-"),"/","-"),".",""),",","")),"")</f>
        <v/>
      </c>
      <c r="D920" s="23" t="inlineStr">
        <is>
          <t>BOD 11 F4.A2.A42.L</t>
        </is>
      </c>
      <c r="E920" s="23" t="inlineStr">
        <is>
          <t>Bombas Hidráulicas</t>
        </is>
      </c>
      <c r="F920" s="23" t="inlineStr">
        <is>
          <t>SOHIPREN</t>
        </is>
      </c>
      <c r="G920" s="23" t="n"/>
      <c r="H920" s="23" t="inlineStr">
        <is>
          <t>draft</t>
        </is>
      </c>
      <c r="I920" s="23" t="inlineStr">
        <is>
          <t>SCHWING SIWA</t>
        </is>
      </c>
      <c r="J920" s="23" t="inlineStr">
        <is>
          <t>PRENSA HIDRAULICA</t>
        </is>
      </c>
      <c r="K920" s="23" t="inlineStr">
        <is>
          <t>PRINCIPAL</t>
        </is>
      </c>
      <c r="L920" s="23" t="n"/>
      <c r="M920" s="31" t="n"/>
      <c r="N920" s="31" t="n"/>
      <c r="O920" s="31" t="n"/>
      <c r="P920" s="31" t="n"/>
      <c r="Q920" s="31" t="n"/>
      <c r="R920" s="34">
        <f>IFERROR(IF(AND(O920&gt;0,P920&gt;0,Q920&gt;0),(O920*P920*Q920)/6000,""),"")</f>
        <v/>
      </c>
      <c r="S920" s="34">
        <f>IFERROR(IF(AND(N920&gt;0,R920&gt;0),MAX(N920,R920),IF(N920&gt;0,N920,IF(R920&gt;0,R920,""))),"")</f>
        <v/>
      </c>
      <c r="T920" s="36" t="n"/>
      <c r="U920" s="38" t="inlineStr">
        <is>
          <t>FALTA</t>
        </is>
      </c>
      <c r="V920" s="36" t="n">
        <v>416.88</v>
      </c>
      <c r="W920" s="39" t="n">
        <v>0.3</v>
      </c>
      <c r="X920" s="41">
        <f>IFERROR(V920+T920,"")</f>
        <v/>
      </c>
      <c r="Y920" s="41">
        <f>IFERROR(IF(W920&lt;1,X920/(1-W920),""),"")</f>
        <v/>
      </c>
      <c r="Z920" s="43">
        <f>'01_CONFIG_GLOBAL'!$C$14</f>
        <v/>
      </c>
      <c r="AA920" s="41">
        <f>IFERROR(Y920*Z920,"")</f>
        <v/>
      </c>
      <c r="AB920" s="41">
        <f>IFERROR(IF(Z920&lt;1,Y920/(1-Z920),""),"")</f>
        <v/>
      </c>
      <c r="AC920" s="23" t="n"/>
      <c r="AD920" s="36" t="n"/>
      <c r="AE920" s="23" t="n"/>
      <c r="AF920" s="36" t="n"/>
      <c r="AG920" s="23" t="n"/>
      <c r="AH920" s="36" t="n"/>
      <c r="AI920" s="41">
        <f>IFERROR(AVERAGE(AD920,AF920,AH920),"")</f>
        <v/>
      </c>
      <c r="AJ920" s="29">
        <f>IFERROR(IF(AI920="","sem dados",IF(AB920&lt;AI920*0.95,"abaixo",IF(AB920&gt;AI920*1.05,"acima","em linha"))),"")</f>
        <v/>
      </c>
      <c r="AK920" s="23" t="inlineStr">
        <is>
          <t>não</t>
        </is>
      </c>
      <c r="AL920" s="23" t="n"/>
      <c r="AM920" s="23" t="n"/>
      <c r="AN920" s="23" t="n"/>
      <c r="AO920" s="44">
        <f>A920</f>
        <v/>
      </c>
      <c r="AP920" s="44">
        <f>D920</f>
        <v/>
      </c>
    </row>
    <row r="921" hidden="1" ht="15.75" customHeight="1" s="93">
      <c r="A921" s="23" t="inlineStr">
        <is>
          <t>6.0504.L060320.0</t>
        </is>
      </c>
      <c r="B921" s="23" t="inlineStr">
        <is>
          <t>L060320</t>
        </is>
      </c>
      <c r="C921" s="29">
        <f>IFERROR(LOWER(SUBSTITUTE(SUBSTITUTE(SUBSTITUTE(SUBSTITUTE(D921," ","-"),"/","-"),".",""),",","")),"")</f>
        <v/>
      </c>
      <c r="D921" s="23" t="inlineStr">
        <is>
          <t>VM100 4 CPO PROPORCIONAL (ECO T043)</t>
        </is>
      </c>
      <c r="E921" s="23" t="n"/>
      <c r="F921" s="23" t="inlineStr">
        <is>
          <t>SOHIPREN</t>
        </is>
      </c>
      <c r="G921" s="23" t="n"/>
      <c r="H921" s="23" t="inlineStr">
        <is>
          <t>draft</t>
        </is>
      </c>
      <c r="I921" s="23" t="inlineStr">
        <is>
          <t>SERGOMEL</t>
        </is>
      </c>
      <c r="J921" s="23" t="inlineStr">
        <is>
          <t>TRANSBORDO</t>
        </is>
      </c>
      <c r="K921" s="23" t="inlineStr">
        <is>
          <t>ACIONAMENTO TRANSBORDO</t>
        </is>
      </c>
      <c r="L921" s="23" t="n"/>
      <c r="M921" s="31" t="n"/>
      <c r="N921" s="31" t="n"/>
      <c r="O921" s="31" t="n"/>
      <c r="P921" s="31" t="n"/>
      <c r="Q921" s="31" t="n"/>
      <c r="R921" s="34">
        <f>IFERROR(IF(AND(O921&gt;0,P921&gt;0,Q921&gt;0),(O921*P921*Q921)/6000,""),"")</f>
        <v/>
      </c>
      <c r="S921" s="34">
        <f>IFERROR(IF(AND(N921&gt;0,R921&gt;0),MAX(N921,R921),IF(N921&gt;0,N921,IF(R921&gt;0,R921,""))),"")</f>
        <v/>
      </c>
      <c r="T921" s="36" t="n"/>
      <c r="U921" s="38" t="inlineStr">
        <is>
          <t>FALTA</t>
        </is>
      </c>
      <c r="V921" s="36" t="n">
        <v>2619</v>
      </c>
      <c r="W921" s="39" t="n">
        <v>0.3</v>
      </c>
      <c r="X921" s="41">
        <f>IFERROR(V921+T921,"")</f>
        <v/>
      </c>
      <c r="Y921" s="41">
        <f>IFERROR(IF(W921&lt;1,X921/(1-W921),""),"")</f>
        <v/>
      </c>
      <c r="Z921" s="43">
        <f>'01_CONFIG_GLOBAL'!$C$14</f>
        <v/>
      </c>
      <c r="AA921" s="41">
        <f>IFERROR(Y921*Z921,"")</f>
        <v/>
      </c>
      <c r="AB921" s="41">
        <f>IFERROR(IF(Z921&lt;1,Y921/(1-Z921),""),"")</f>
        <v/>
      </c>
      <c r="AC921" s="23" t="n"/>
      <c r="AD921" s="36" t="n"/>
      <c r="AE921" s="23" t="n"/>
      <c r="AF921" s="36" t="n"/>
      <c r="AG921" s="23" t="n"/>
      <c r="AH921" s="36" t="n"/>
      <c r="AI921" s="41">
        <f>IFERROR(AVERAGE(AD921,AF921,AH921),"")</f>
        <v/>
      </c>
      <c r="AJ921" s="29">
        <f>IFERROR(IF(AI921="","sem dados",IF(AB921&lt;AI921*0.95,"abaixo",IF(AB921&gt;AI921*1.05,"acima","em linha"))),"")</f>
        <v/>
      </c>
      <c r="AK921" s="23" t="inlineStr">
        <is>
          <t>não</t>
        </is>
      </c>
      <c r="AL921" s="23" t="n"/>
      <c r="AM921" s="23" t="n"/>
      <c r="AN921" s="23" t="n"/>
      <c r="AO921" s="44">
        <f>A921</f>
        <v/>
      </c>
      <c r="AP921" s="44">
        <f>D921</f>
        <v/>
      </c>
    </row>
    <row r="922" hidden="1" ht="15.75" customHeight="1" s="93">
      <c r="A922" s="23" t="inlineStr">
        <is>
          <t>6.0502.L060424.0</t>
        </is>
      </c>
      <c r="B922" s="23" t="inlineStr">
        <is>
          <t>L060424</t>
        </is>
      </c>
      <c r="C922" s="29">
        <f>IFERROR(LOWER(SUBSTITUTE(SUBSTITUTE(SUBSTITUTE(SUBSTITUTE(D922," ","-"),"/","-"),".",""),",","")),"")</f>
        <v/>
      </c>
      <c r="D922" s="23" t="inlineStr">
        <is>
          <t>VM100 ECO 02 CPO PROPORCIONAL</t>
        </is>
      </c>
      <c r="E922" s="23" t="n"/>
      <c r="F922" s="23" t="inlineStr">
        <is>
          <t>SOHIPREN</t>
        </is>
      </c>
      <c r="G922" s="23" t="n"/>
      <c r="H922" s="23" t="inlineStr">
        <is>
          <t>draft</t>
        </is>
      </c>
      <c r="I922" s="23" t="inlineStr">
        <is>
          <t>SERGOMEL</t>
        </is>
      </c>
      <c r="J922" s="23" t="inlineStr">
        <is>
          <t>TRANSBORDO</t>
        </is>
      </c>
      <c r="K922" s="23" t="inlineStr">
        <is>
          <t>ACIONAMENTO TRANSBORDO</t>
        </is>
      </c>
      <c r="L922" s="23" t="n"/>
      <c r="M922" s="31" t="n"/>
      <c r="N922" s="31" t="n"/>
      <c r="O922" s="31" t="n"/>
      <c r="P922" s="31" t="n"/>
      <c r="Q922" s="31" t="n"/>
      <c r="R922" s="34">
        <f>IFERROR(IF(AND(O922&gt;0,P922&gt;0,Q922&gt;0),(O922*P922*Q922)/6000,""),"")</f>
        <v/>
      </c>
      <c r="S922" s="34">
        <f>IFERROR(IF(AND(N922&gt;0,R922&gt;0),MAX(N922,R922),IF(N922&gt;0,N922,IF(R922&gt;0,R922,""))),"")</f>
        <v/>
      </c>
      <c r="T922" s="36" t="n"/>
      <c r="U922" s="38" t="inlineStr">
        <is>
          <t>FALTA</t>
        </is>
      </c>
      <c r="V922" s="36" t="n">
        <v>3190</v>
      </c>
      <c r="W922" s="39" t="n">
        <v>0.3</v>
      </c>
      <c r="X922" s="41">
        <f>IFERROR(V922+T922,"")</f>
        <v/>
      </c>
      <c r="Y922" s="41">
        <f>IFERROR(IF(W922&lt;1,X922/(1-W922),""),"")</f>
        <v/>
      </c>
      <c r="Z922" s="43">
        <f>'01_CONFIG_GLOBAL'!$C$14</f>
        <v/>
      </c>
      <c r="AA922" s="41">
        <f>IFERROR(Y922*Z922,"")</f>
        <v/>
      </c>
      <c r="AB922" s="41">
        <f>IFERROR(IF(Z922&lt;1,Y922/(1-Z922),""),"")</f>
        <v/>
      </c>
      <c r="AC922" s="23" t="n"/>
      <c r="AD922" s="36" t="n"/>
      <c r="AE922" s="23" t="n"/>
      <c r="AF922" s="36" t="n"/>
      <c r="AG922" s="23" t="n"/>
      <c r="AH922" s="36" t="n"/>
      <c r="AI922" s="41">
        <f>IFERROR(AVERAGE(AD922,AF922,AH922),"")</f>
        <v/>
      </c>
      <c r="AJ922" s="29">
        <f>IFERROR(IF(AI922="","sem dados",IF(AB922&lt;AI922*0.95,"abaixo",IF(AB922&gt;AI922*1.05,"acima","em linha"))),"")</f>
        <v/>
      </c>
      <c r="AK922" s="23" t="inlineStr">
        <is>
          <t>não</t>
        </is>
      </c>
      <c r="AL922" s="23" t="n"/>
      <c r="AM922" s="23" t="n"/>
      <c r="AN922" s="23" t="n"/>
      <c r="AO922" s="44">
        <f>A922</f>
        <v/>
      </c>
      <c r="AP922" s="44">
        <f>D922</f>
        <v/>
      </c>
    </row>
    <row r="923" hidden="1" ht="15.75" customHeight="1" s="93">
      <c r="A923" s="23" t="inlineStr">
        <is>
          <t>5.0220.L025111.0</t>
        </is>
      </c>
      <c r="B923" s="23" t="inlineStr">
        <is>
          <t>L025111</t>
        </is>
      </c>
      <c r="C923" s="29">
        <f>IFERROR(LOWER(SUBSTITUTE(SUBSTITUTE(SUBSTITUTE(SUBSTITUTE(D923," ","-"),"/","-"),".",""),",","")),"")</f>
        <v/>
      </c>
      <c r="D923" s="23" t="inlineStr">
        <is>
          <t>BOD 22,5 E18.C.C19/14.C19.L</t>
        </is>
      </c>
      <c r="E923" s="23" t="inlineStr">
        <is>
          <t>Bombas Hidráulicas</t>
        </is>
      </c>
      <c r="F923" s="23" t="inlineStr">
        <is>
          <t>SOHIPREN</t>
        </is>
      </c>
      <c r="G923" s="23" t="n"/>
      <c r="H923" s="23" t="inlineStr">
        <is>
          <t>draft</t>
        </is>
      </c>
      <c r="I923" s="23" t="inlineStr">
        <is>
          <t>SERVSPRAY</t>
        </is>
      </c>
      <c r="J923" s="23" t="inlineStr">
        <is>
          <t>PULVERIZADOR</t>
        </is>
      </c>
      <c r="K923" s="23" t="n"/>
      <c r="L923" s="23" t="inlineStr">
        <is>
          <t>F000510724/R979002338</t>
        </is>
      </c>
      <c r="M923" s="31" t="n"/>
      <c r="N923" s="31" t="n"/>
      <c r="O923" s="31" t="n"/>
      <c r="P923" s="31" t="n"/>
      <c r="Q923" s="31" t="n"/>
      <c r="R923" s="34">
        <f>IFERROR(IF(AND(O923&gt;0,P923&gt;0,Q923&gt;0),(O923*P923*Q923)/6000,""),"")</f>
        <v/>
      </c>
      <c r="S923" s="34">
        <f>IFERROR(IF(AND(N923&gt;0,R923&gt;0),MAX(N923,R923),IF(N923&gt;0,N923,IF(R923&gt;0,R923,""))),"")</f>
        <v/>
      </c>
      <c r="T923" s="36" t="n"/>
      <c r="U923" s="38" t="inlineStr">
        <is>
          <t>FALTA</t>
        </is>
      </c>
      <c r="V923" s="36" t="n">
        <v>2249</v>
      </c>
      <c r="W923" s="39" t="n">
        <v>0.3</v>
      </c>
      <c r="X923" s="41">
        <f>IFERROR(V923+T923,"")</f>
        <v/>
      </c>
      <c r="Y923" s="41">
        <f>IFERROR(IF(W923&lt;1,X923/(1-W923),""),"")</f>
        <v/>
      </c>
      <c r="Z923" s="43">
        <f>'01_CONFIG_GLOBAL'!$C$14</f>
        <v/>
      </c>
      <c r="AA923" s="41">
        <f>IFERROR(Y923*Z923,"")</f>
        <v/>
      </c>
      <c r="AB923" s="41">
        <f>IFERROR(IF(Z923&lt;1,Y923/(1-Z923),""),"")</f>
        <v/>
      </c>
      <c r="AC923" s="23" t="n"/>
      <c r="AD923" s="36" t="n"/>
      <c r="AE923" s="23" t="n"/>
      <c r="AF923" s="36" t="n"/>
      <c r="AG923" s="23" t="n"/>
      <c r="AH923" s="36" t="n"/>
      <c r="AI923" s="41">
        <f>IFERROR(AVERAGE(AD923,AF923,AH923),"")</f>
        <v/>
      </c>
      <c r="AJ923" s="29">
        <f>IFERROR(IF(AI923="","sem dados",IF(AB923&lt;AI923*0.95,"abaixo",IF(AB923&gt;AI923*1.05,"acima","em linha"))),"")</f>
        <v/>
      </c>
      <c r="AK923" s="23" t="inlineStr">
        <is>
          <t>não</t>
        </is>
      </c>
      <c r="AL923" s="23" t="n"/>
      <c r="AM923" s="23" t="n"/>
      <c r="AN923" s="23" t="n"/>
      <c r="AO923" s="44">
        <f>A923</f>
        <v/>
      </c>
      <c r="AP923" s="44">
        <f>D923</f>
        <v/>
      </c>
    </row>
    <row r="924" hidden="1" ht="15.75" customHeight="1" s="93">
      <c r="A924" s="23" t="inlineStr">
        <is>
          <t>5.0203.0540812.0</t>
        </is>
      </c>
      <c r="B924" s="23" t="inlineStr">
        <is>
          <t>540812</t>
        </is>
      </c>
      <c r="C924" s="29">
        <f>IFERROR(LOWER(SUBSTITUTE(SUBSTITUTE(SUBSTITUTE(SUBSTITUTE(D924," ","-"),"/","-"),".",""),",","")),"")</f>
        <v/>
      </c>
      <c r="D924" s="23" t="inlineStr">
        <is>
          <t>BOD 5,5 B1.P1.A.L</t>
        </is>
      </c>
      <c r="E924" s="23" t="inlineStr">
        <is>
          <t>Bombas Hidráulicas</t>
        </is>
      </c>
      <c r="F924" s="23" t="inlineStr">
        <is>
          <t>SOHIPREN</t>
        </is>
      </c>
      <c r="G924" s="23" t="n"/>
      <c r="H924" s="23" t="inlineStr">
        <is>
          <t>draft</t>
        </is>
      </c>
      <c r="I924" s="23" t="inlineStr">
        <is>
          <t>SKAM</t>
        </is>
      </c>
      <c r="J924" s="23" t="inlineStr">
        <is>
          <t>EMPILHADEIRA ELÉTRICA</t>
        </is>
      </c>
      <c r="K924" s="23" t="inlineStr">
        <is>
          <t>DIREÇÃO</t>
        </is>
      </c>
      <c r="L924" s="23" t="n"/>
      <c r="M924" s="31" t="n"/>
      <c r="N924" s="31" t="n"/>
      <c r="O924" s="31" t="n"/>
      <c r="P924" s="31" t="n"/>
      <c r="Q924" s="31" t="n"/>
      <c r="R924" s="34">
        <f>IFERROR(IF(AND(O924&gt;0,P924&gt;0,Q924&gt;0),(O924*P924*Q924)/6000,""),"")</f>
        <v/>
      </c>
      <c r="S924" s="34">
        <f>IFERROR(IF(AND(N924&gt;0,R924&gt;0),MAX(N924,R924),IF(N924&gt;0,N924,IF(R924&gt;0,R924,""))),"")</f>
        <v/>
      </c>
      <c r="T924" s="36" t="n"/>
      <c r="U924" s="38" t="inlineStr">
        <is>
          <t>FALTA</t>
        </is>
      </c>
      <c r="V924" s="36" t="n">
        <v>950</v>
      </c>
      <c r="W924" s="39" t="n">
        <v>0.3</v>
      </c>
      <c r="X924" s="41">
        <f>IFERROR(V924+T924,"")</f>
        <v/>
      </c>
      <c r="Y924" s="41">
        <f>IFERROR(IF(W924&lt;1,X924/(1-W924),""),"")</f>
        <v/>
      </c>
      <c r="Z924" s="43">
        <f>'01_CONFIG_GLOBAL'!$C$14</f>
        <v/>
      </c>
      <c r="AA924" s="41">
        <f>IFERROR(Y924*Z924,"")</f>
        <v/>
      </c>
      <c r="AB924" s="41">
        <f>IFERROR(IF(Z924&lt;1,Y924/(1-Z924),""),"")</f>
        <v/>
      </c>
      <c r="AC924" s="23" t="n"/>
      <c r="AD924" s="36" t="n"/>
      <c r="AE924" s="23" t="n"/>
      <c r="AF924" s="36" t="n"/>
      <c r="AG924" s="23" t="n"/>
      <c r="AH924" s="36" t="n"/>
      <c r="AI924" s="41">
        <f>IFERROR(AVERAGE(AD924,AF924,AH924),"")</f>
        <v/>
      </c>
      <c r="AJ924" s="29">
        <f>IFERROR(IF(AI924="","sem dados",IF(AB924&lt;AI924*0.95,"abaixo",IF(AB924&gt;AI924*1.05,"acima","em linha"))),"")</f>
        <v/>
      </c>
      <c r="AK924" s="23" t="inlineStr">
        <is>
          <t>não</t>
        </is>
      </c>
      <c r="AL924" s="23" t="n"/>
      <c r="AM924" s="23" t="n"/>
      <c r="AN924" s="23" t="n"/>
      <c r="AO924" s="44">
        <f>A924</f>
        <v/>
      </c>
      <c r="AP924" s="44">
        <f>D924</f>
        <v/>
      </c>
    </row>
    <row r="925" hidden="1" ht="15.75" customHeight="1" s="93">
      <c r="A925" s="23" t="inlineStr">
        <is>
          <t>5.0220.0548999.0</t>
        </is>
      </c>
      <c r="B925" s="23" t="inlineStr">
        <is>
          <t>548999</t>
        </is>
      </c>
      <c r="C925" s="29">
        <f>IFERROR(LOWER(SUBSTITUTE(SUBSTITUTE(SUBSTITUTE(SUBSTITUTE(D925," ","-"),"/","-"),".",""),",","")),"")</f>
        <v/>
      </c>
      <c r="D925" s="23" t="inlineStr">
        <is>
          <t>BOD 4 B1.C.C3/4 C3.L</t>
        </is>
      </c>
      <c r="E925" s="23" t="inlineStr">
        <is>
          <t>Bombas Hidráulicas</t>
        </is>
      </c>
      <c r="F925" s="23" t="inlineStr">
        <is>
          <t>SOHIPREN</t>
        </is>
      </c>
      <c r="G925" s="23" t="n"/>
      <c r="H925" s="23" t="inlineStr">
        <is>
          <t>draft</t>
        </is>
      </c>
      <c r="I925" s="23" t="inlineStr">
        <is>
          <t>SLC</t>
        </is>
      </c>
      <c r="J925" s="23" t="inlineStr">
        <is>
          <t>PULVERIZADOR</t>
        </is>
      </c>
      <c r="K925" s="23" t="inlineStr">
        <is>
          <t>PRINCIPAL</t>
        </is>
      </c>
      <c r="L925" s="23" t="inlineStr">
        <is>
          <t>79114231</t>
        </is>
      </c>
      <c r="M925" s="31" t="n"/>
      <c r="N925" s="31" t="n"/>
      <c r="O925" s="31" t="n"/>
      <c r="P925" s="31" t="n"/>
      <c r="Q925" s="31" t="n"/>
      <c r="R925" s="34">
        <f>IFERROR(IF(AND(O925&gt;0,P925&gt;0,Q925&gt;0),(O925*P925*Q925)/6000,""),"")</f>
        <v/>
      </c>
      <c r="S925" s="34">
        <f>IFERROR(IF(AND(N925&gt;0,R925&gt;0),MAX(N925,R925),IF(N925&gt;0,N925,IF(R925&gt;0,R925,""))),"")</f>
        <v/>
      </c>
      <c r="T925" s="36" t="n"/>
      <c r="U925" s="38" t="inlineStr">
        <is>
          <t>FALTA</t>
        </is>
      </c>
      <c r="V925" s="36" t="n">
        <v>1280</v>
      </c>
      <c r="W925" s="39" t="n">
        <v>0.3</v>
      </c>
      <c r="X925" s="41">
        <f>IFERROR(V925+T925,"")</f>
        <v/>
      </c>
      <c r="Y925" s="41">
        <f>IFERROR(IF(W925&lt;1,X925/(1-W925),""),"")</f>
        <v/>
      </c>
      <c r="Z925" s="43">
        <f>'01_CONFIG_GLOBAL'!$C$14</f>
        <v/>
      </c>
      <c r="AA925" s="41">
        <f>IFERROR(Y925*Z925,"")</f>
        <v/>
      </c>
      <c r="AB925" s="41">
        <f>IFERROR(IF(Z925&lt;1,Y925/(1-Z925),""),"")</f>
        <v/>
      </c>
      <c r="AC925" s="23" t="n"/>
      <c r="AD925" s="36" t="n"/>
      <c r="AE925" s="23" t="n"/>
      <c r="AF925" s="36" t="n"/>
      <c r="AG925" s="23" t="n"/>
      <c r="AH925" s="36" t="n"/>
      <c r="AI925" s="41">
        <f>IFERROR(AVERAGE(AD925,AF925,AH925),"")</f>
        <v/>
      </c>
      <c r="AJ925" s="29">
        <f>IFERROR(IF(AI925="","sem dados",IF(AB925&lt;AI925*0.95,"abaixo",IF(AB925&gt;AI925*1.05,"acima","em linha"))),"")</f>
        <v/>
      </c>
      <c r="AK925" s="23" t="inlineStr">
        <is>
          <t>não</t>
        </is>
      </c>
      <c r="AL925" s="23" t="n"/>
      <c r="AM925" s="23" t="n"/>
      <c r="AN925" s="23" t="n"/>
      <c r="AO925" s="44">
        <f>A925</f>
        <v/>
      </c>
      <c r="AP925" s="44">
        <f>D925</f>
        <v/>
      </c>
    </row>
    <row r="926" hidden="1" ht="15.75" customHeight="1" s="93">
      <c r="A926" s="23" t="inlineStr">
        <is>
          <t>5.0208.0544810.0</t>
        </is>
      </c>
      <c r="B926" s="23" t="inlineStr">
        <is>
          <t>544810</t>
        </is>
      </c>
      <c r="C926" s="29">
        <f>IFERROR(LOWER(SUBSTITUTE(SUBSTITUTE(SUBSTITUTE(SUBSTITUTE(D926," ","-"),"/","-"),".",""),",","")),"")</f>
        <v/>
      </c>
      <c r="D926" s="23" t="inlineStr">
        <is>
          <t>BOD 16 B2.P4.A14.D6  9-90+10 BAR</t>
        </is>
      </c>
      <c r="E926" s="23" t="inlineStr">
        <is>
          <t>Bombas Hidráulicas</t>
        </is>
      </c>
      <c r="F926" s="23" t="inlineStr">
        <is>
          <t>SOHIPREN</t>
        </is>
      </c>
      <c r="G926" s="23" t="n"/>
      <c r="H926" s="23" t="inlineStr">
        <is>
          <t>draft</t>
        </is>
      </c>
      <c r="I926" s="23" t="inlineStr">
        <is>
          <t>SLC</t>
        </is>
      </c>
      <c r="J926" s="23" t="inlineStr">
        <is>
          <t>COLHEDEIRA</t>
        </is>
      </c>
      <c r="K926" s="23" t="inlineStr">
        <is>
          <t>PRINCIPAL</t>
        </is>
      </c>
      <c r="L926" s="23" t="inlineStr">
        <is>
          <t>AS06047 / AS06132</t>
        </is>
      </c>
      <c r="M926" s="31" t="n"/>
      <c r="N926" s="31" t="n"/>
      <c r="O926" s="31" t="n"/>
      <c r="P926" s="31" t="n"/>
      <c r="Q926" s="31" t="n"/>
      <c r="R926" s="34">
        <f>IFERROR(IF(AND(O926&gt;0,P926&gt;0,Q926&gt;0),(O926*P926*Q926)/6000,""),"")</f>
        <v/>
      </c>
      <c r="S926" s="34">
        <f>IFERROR(IF(AND(N926&gt;0,R926&gt;0),MAX(N926,R926),IF(N926&gt;0,N926,IF(R926&gt;0,R926,""))),"")</f>
        <v/>
      </c>
      <c r="T926" s="36" t="n"/>
      <c r="U926" s="38" t="inlineStr">
        <is>
          <t>FALTA</t>
        </is>
      </c>
      <c r="V926" s="36" t="n">
        <v>875</v>
      </c>
      <c r="W926" s="39" t="n">
        <v>0.3</v>
      </c>
      <c r="X926" s="41">
        <f>IFERROR(V926+T926,"")</f>
        <v/>
      </c>
      <c r="Y926" s="41">
        <f>IFERROR(IF(W926&lt;1,X926/(1-W926),""),"")</f>
        <v/>
      </c>
      <c r="Z926" s="43">
        <f>'01_CONFIG_GLOBAL'!$C$14</f>
        <v/>
      </c>
      <c r="AA926" s="41">
        <f>IFERROR(Y926*Z926,"")</f>
        <v/>
      </c>
      <c r="AB926" s="41">
        <f>IFERROR(IF(Z926&lt;1,Y926/(1-Z926),""),"")</f>
        <v/>
      </c>
      <c r="AC926" s="23" t="n"/>
      <c r="AD926" s="36" t="n"/>
      <c r="AE926" s="23" t="n"/>
      <c r="AF926" s="36" t="n"/>
      <c r="AG926" s="23" t="n"/>
      <c r="AH926" s="36" t="n"/>
      <c r="AI926" s="41">
        <f>IFERROR(AVERAGE(AD926,AF926,AH926),"")</f>
        <v/>
      </c>
      <c r="AJ926" s="29">
        <f>IFERROR(IF(AI926="","sem dados",IF(AB926&lt;AI926*0.95,"abaixo",IF(AB926&gt;AI926*1.05,"acima","em linha"))),"")</f>
        <v/>
      </c>
      <c r="AK926" s="23" t="inlineStr">
        <is>
          <t>não</t>
        </is>
      </c>
      <c r="AL926" s="23" t="n"/>
      <c r="AM926" s="23" t="n"/>
      <c r="AN926" s="23" t="n"/>
      <c r="AO926" s="44">
        <f>A926</f>
        <v/>
      </c>
      <c r="AP926" s="44">
        <f>D926</f>
        <v/>
      </c>
    </row>
    <row r="927" hidden="1" ht="15.75" customHeight="1" s="93">
      <c r="A927" s="23" t="inlineStr">
        <is>
          <t>5.0503.L005700.0</t>
        </is>
      </c>
      <c r="B927" s="23" t="inlineStr">
        <is>
          <t>L00570</t>
        </is>
      </c>
      <c r="C927" s="29">
        <f>IFERROR(LOWER(SUBSTITUTE(SUBSTITUTE(SUBSTITUTE(SUBSTITUTE(D927," ","-"),"/","-"),".",""),",","")),"")</f>
        <v/>
      </c>
      <c r="D927" s="23" t="inlineStr">
        <is>
          <t>MUD.MC1 32 201.37.69.61</t>
        </is>
      </c>
      <c r="E927" s="23" t="n"/>
      <c r="F927" s="23" t="inlineStr">
        <is>
          <t>SOHIPREN</t>
        </is>
      </c>
      <c r="G927" s="23" t="n"/>
      <c r="H927" s="23" t="inlineStr">
        <is>
          <t>draft</t>
        </is>
      </c>
      <c r="I927" s="23" t="inlineStr">
        <is>
          <t>SR ROMANELLI</t>
        </is>
      </c>
      <c r="J927" s="23" t="inlineStr">
        <is>
          <t>USINA DE MICRO PAVIMENTÇÃO</t>
        </is>
      </c>
      <c r="K927" s="23" t="inlineStr">
        <is>
          <t>EMULSÃO</t>
        </is>
      </c>
      <c r="L927" s="23" t="inlineStr">
        <is>
          <t>CP3801</t>
        </is>
      </c>
      <c r="M927" s="31" t="n"/>
      <c r="N927" s="31" t="n"/>
      <c r="O927" s="31" t="n"/>
      <c r="P927" s="31" t="n"/>
      <c r="Q927" s="31" t="n"/>
      <c r="R927" s="34">
        <f>IFERROR(IF(AND(O927&gt;0,P927&gt;0,Q927&gt;0),(O927*P927*Q927)/6000,""),"")</f>
        <v/>
      </c>
      <c r="S927" s="34">
        <f>IFERROR(IF(AND(N927&gt;0,R927&gt;0),MAX(N927,R927),IF(N927&gt;0,N927,IF(R927&gt;0,R927,""))),"")</f>
        <v/>
      </c>
      <c r="T927" s="36" t="n"/>
      <c r="U927" s="38" t="inlineStr">
        <is>
          <t>FALTA</t>
        </is>
      </c>
      <c r="V927" s="36" t="n">
        <v>1089</v>
      </c>
      <c r="W927" s="39" t="n">
        <v>0.3</v>
      </c>
      <c r="X927" s="41">
        <f>IFERROR(V927+T927,"")</f>
        <v/>
      </c>
      <c r="Y927" s="41">
        <f>IFERROR(IF(W927&lt;1,X927/(1-W927),""),"")</f>
        <v/>
      </c>
      <c r="Z927" s="43">
        <f>'01_CONFIG_GLOBAL'!$C$14</f>
        <v/>
      </c>
      <c r="AA927" s="41">
        <f>IFERROR(Y927*Z927,"")</f>
        <v/>
      </c>
      <c r="AB927" s="41">
        <f>IFERROR(IF(Z927&lt;1,Y927/(1-Z927),""),"")</f>
        <v/>
      </c>
      <c r="AC927" s="23" t="n"/>
      <c r="AD927" s="36" t="n"/>
      <c r="AE927" s="23" t="n"/>
      <c r="AF927" s="36" t="n"/>
      <c r="AG927" s="23" t="n"/>
      <c r="AH927" s="36" t="n"/>
      <c r="AI927" s="41">
        <f>IFERROR(AVERAGE(AD927,AF927,AH927),"")</f>
        <v/>
      </c>
      <c r="AJ927" s="29">
        <f>IFERROR(IF(AI927="","sem dados",IF(AB927&lt;AI927*0.95,"abaixo",IF(AB927&gt;AI927*1.05,"acima","em linha"))),"")</f>
        <v/>
      </c>
      <c r="AK927" s="23" t="inlineStr">
        <is>
          <t>não</t>
        </is>
      </c>
      <c r="AL927" s="23" t="n"/>
      <c r="AM927" s="23" t="n"/>
      <c r="AN927" s="23" t="n"/>
      <c r="AO927" s="44">
        <f>A927</f>
        <v/>
      </c>
      <c r="AP927" s="44">
        <f>D927</f>
        <v/>
      </c>
    </row>
    <row r="928" hidden="1" ht="15.75" customHeight="1" s="93">
      <c r="A928" s="23" t="inlineStr">
        <is>
          <t>5.5209.L005540.0</t>
        </is>
      </c>
      <c r="B928" s="23" t="inlineStr">
        <is>
          <t>L00554</t>
        </is>
      </c>
      <c r="C928" s="29">
        <f>IFERROR(LOWER(SUBSTITUTE(SUBSTITUTE(SUBSTITUTE(SUBSTITUTE(D928," ","-"),"/","-"),".",""),",","")),"")</f>
        <v/>
      </c>
      <c r="D928" s="23" t="inlineStr">
        <is>
          <t>MUI BO 19 C11.C.C3.L</t>
        </is>
      </c>
      <c r="E928" s="23" t="n"/>
      <c r="F928" s="23" t="inlineStr">
        <is>
          <t>SOHIPREN</t>
        </is>
      </c>
      <c r="G928" s="23" t="n"/>
      <c r="H928" s="23" t="inlineStr">
        <is>
          <t>draft</t>
        </is>
      </c>
      <c r="I928" s="23" t="inlineStr">
        <is>
          <t>SR ROMANELLI</t>
        </is>
      </c>
      <c r="J928" s="23" t="inlineStr">
        <is>
          <t>USINA DE MICRO PAVIMENTAÇÃO</t>
        </is>
      </c>
      <c r="K928" s="23" t="inlineStr">
        <is>
          <t>BOMBA D'AGUA</t>
        </is>
      </c>
      <c r="L928" s="23" t="inlineStr">
        <is>
          <t>CP3779</t>
        </is>
      </c>
      <c r="M928" s="31" t="n"/>
      <c r="N928" s="31" t="n"/>
      <c r="O928" s="31" t="n"/>
      <c r="P928" s="31" t="n"/>
      <c r="Q928" s="31" t="n"/>
      <c r="R928" s="34">
        <f>IFERROR(IF(AND(O928&gt;0,P928&gt;0,Q928&gt;0),(O928*P928*Q928)/6000,""),"")</f>
        <v/>
      </c>
      <c r="S928" s="34">
        <f>IFERROR(IF(AND(N928&gt;0,R928&gt;0),MAX(N928,R928),IF(N928&gt;0,N928,IF(R928&gt;0,R928,""))),"")</f>
        <v/>
      </c>
      <c r="T928" s="36" t="n"/>
      <c r="U928" s="38" t="inlineStr">
        <is>
          <t>FALTA</t>
        </is>
      </c>
      <c r="V928" s="36" t="n">
        <v>1210</v>
      </c>
      <c r="W928" s="39" t="n">
        <v>0.3</v>
      </c>
      <c r="X928" s="41">
        <f>IFERROR(V928+T928,"")</f>
        <v/>
      </c>
      <c r="Y928" s="41">
        <f>IFERROR(IF(W928&lt;1,X928/(1-W928),""),"")</f>
        <v/>
      </c>
      <c r="Z928" s="43">
        <f>'01_CONFIG_GLOBAL'!$C$14</f>
        <v/>
      </c>
      <c r="AA928" s="41">
        <f>IFERROR(Y928*Z928,"")</f>
        <v/>
      </c>
      <c r="AB928" s="41">
        <f>IFERROR(IF(Z928&lt;1,Y928/(1-Z928),""),"")</f>
        <v/>
      </c>
      <c r="AC928" s="23" t="n"/>
      <c r="AD928" s="36" t="n"/>
      <c r="AE928" s="23" t="n"/>
      <c r="AF928" s="36" t="n"/>
      <c r="AG928" s="23" t="n"/>
      <c r="AH928" s="36" t="n"/>
      <c r="AI928" s="41">
        <f>IFERROR(AVERAGE(AD928,AF928,AH928),"")</f>
        <v/>
      </c>
      <c r="AJ928" s="29">
        <f>IFERROR(IF(AI928="","sem dados",IF(AB928&lt;AI928*0.95,"abaixo",IF(AB928&gt;AI928*1.05,"acima","em linha"))),"")</f>
        <v/>
      </c>
      <c r="AK928" s="23" t="inlineStr">
        <is>
          <t>não</t>
        </is>
      </c>
      <c r="AL928" s="23" t="n"/>
      <c r="AM928" s="23" t="n"/>
      <c r="AN928" s="23" t="n"/>
      <c r="AO928" s="44">
        <f>A928</f>
        <v/>
      </c>
      <c r="AP928" s="44">
        <f>D928</f>
        <v/>
      </c>
    </row>
    <row r="929" hidden="1" ht="15.75" customHeight="1" s="93">
      <c r="A929" s="23" t="inlineStr">
        <is>
          <t>5.5208.L011790.0</t>
        </is>
      </c>
      <c r="B929" s="23" t="inlineStr">
        <is>
          <t>L01179</t>
        </is>
      </c>
      <c r="C929" s="29">
        <f>IFERROR(LOWER(SUBSTITUTE(SUBSTITUTE(SUBSTITUTE(SUBSTITUTE(D929," ","-"),"/","-"),".",""),",","")),"")</f>
        <v/>
      </c>
      <c r="D929" s="23" t="inlineStr">
        <is>
          <t>MUD BO 16.C11.P1.C3.L</t>
        </is>
      </c>
      <c r="E929" s="23" t="n"/>
      <c r="F929" s="23" t="inlineStr">
        <is>
          <t>SOHIPREN</t>
        </is>
      </c>
      <c r="G929" s="23" t="n"/>
      <c r="H929" s="23" t="inlineStr">
        <is>
          <t>draft</t>
        </is>
      </c>
      <c r="I929" s="23" t="inlineStr">
        <is>
          <t>SR ROMANELLI</t>
        </is>
      </c>
      <c r="J929" s="23" t="inlineStr">
        <is>
          <t>USINA DE MICRO PAVIMENTAÇÃO</t>
        </is>
      </c>
      <c r="K929" s="23" t="inlineStr">
        <is>
          <t>MOTOR VAP</t>
        </is>
      </c>
      <c r="L929" s="23" t="inlineStr">
        <is>
          <t>CP1408</t>
        </is>
      </c>
      <c r="M929" s="31" t="n"/>
      <c r="N929" s="31" t="n"/>
      <c r="O929" s="31" t="n"/>
      <c r="P929" s="31" t="n"/>
      <c r="Q929" s="31" t="n"/>
      <c r="R929" s="34">
        <f>IFERROR(IF(AND(O929&gt;0,P929&gt;0,Q929&gt;0),(O929*P929*Q929)/6000,""),"")</f>
        <v/>
      </c>
      <c r="S929" s="34">
        <f>IFERROR(IF(AND(N929&gt;0,R929&gt;0),MAX(N929,R929),IF(N929&gt;0,N929,IF(R929&gt;0,R929,""))),"")</f>
        <v/>
      </c>
      <c r="T929" s="36" t="n"/>
      <c r="U929" s="38" t="inlineStr">
        <is>
          <t>FALTA</t>
        </is>
      </c>
      <c r="V929" s="36" t="n">
        <v>708</v>
      </c>
      <c r="W929" s="39" t="n">
        <v>0.3</v>
      </c>
      <c r="X929" s="41">
        <f>IFERROR(V929+T929,"")</f>
        <v/>
      </c>
      <c r="Y929" s="41">
        <f>IFERROR(IF(W929&lt;1,X929/(1-W929),""),"")</f>
        <v/>
      </c>
      <c r="Z929" s="43">
        <f>'01_CONFIG_GLOBAL'!$C$14</f>
        <v/>
      </c>
      <c r="AA929" s="41">
        <f>IFERROR(Y929*Z929,"")</f>
        <v/>
      </c>
      <c r="AB929" s="41">
        <f>IFERROR(IF(Z929&lt;1,Y929/(1-Z929),""),"")</f>
        <v/>
      </c>
      <c r="AC929" s="23" t="n"/>
      <c r="AD929" s="36" t="n"/>
      <c r="AE929" s="23" t="n"/>
      <c r="AF929" s="36" t="n"/>
      <c r="AG929" s="23" t="n"/>
      <c r="AH929" s="36" t="n"/>
      <c r="AI929" s="41">
        <f>IFERROR(AVERAGE(AD929,AF929,AH929),"")</f>
        <v/>
      </c>
      <c r="AJ929" s="29">
        <f>IFERROR(IF(AI929="","sem dados",IF(AB929&lt;AI929*0.95,"abaixo",IF(AB929&gt;AI929*1.05,"acima","em linha"))),"")</f>
        <v/>
      </c>
      <c r="AK929" s="23" t="inlineStr">
        <is>
          <t>não</t>
        </is>
      </c>
      <c r="AL929" s="23" t="n"/>
      <c r="AM929" s="23" t="n"/>
      <c r="AN929" s="23" t="n"/>
      <c r="AO929" s="44">
        <f>A929</f>
        <v/>
      </c>
      <c r="AP929" s="44">
        <f>D929</f>
        <v/>
      </c>
    </row>
    <row r="930" hidden="1" ht="15.75" customHeight="1" s="93">
      <c r="A930" s="23" t="inlineStr">
        <is>
          <t>5.1621.0660002.1</t>
        </is>
      </c>
      <c r="B930" s="23" t="inlineStr">
        <is>
          <t>660002.1</t>
        </is>
      </c>
      <c r="C930" s="29">
        <f>IFERROR(LOWER(SUBSTITUTE(SUBSTITUTE(SUBSTITUTE(SUBSTITUTE(D930," ","-"),"/","-"),".",""),",","")),"")</f>
        <v/>
      </c>
      <c r="D930" s="23" t="inlineStr">
        <is>
          <t>MLRS 80 C3.C2.P5</t>
        </is>
      </c>
      <c r="E930" s="23" t="n"/>
      <c r="F930" s="23" t="inlineStr">
        <is>
          <t>SOHIPREN</t>
        </is>
      </c>
      <c r="G930" s="23" t="n"/>
      <c r="H930" s="23" t="inlineStr">
        <is>
          <t>draft</t>
        </is>
      </c>
      <c r="I930" s="23" t="inlineStr">
        <is>
          <t>STARA</t>
        </is>
      </c>
      <c r="J930" s="23" t="inlineStr">
        <is>
          <t>DISTRIBUIDOR DE CALCÁRIO</t>
        </is>
      </c>
      <c r="K930" s="23" t="inlineStr">
        <is>
          <t>TAXA VARIÁVEL</t>
        </is>
      </c>
      <c r="L930" s="23" t="inlineStr">
        <is>
          <t>TE0080AS100AAAA</t>
        </is>
      </c>
      <c r="M930" s="31" t="n"/>
      <c r="N930" s="31" t="n"/>
      <c r="O930" s="31" t="n"/>
      <c r="P930" s="31" t="n"/>
      <c r="Q930" s="31" t="n"/>
      <c r="R930" s="34">
        <f>IFERROR(IF(AND(O930&gt;0,P930&gt;0,Q930&gt;0),(O930*P930*Q930)/6000,""),"")</f>
        <v/>
      </c>
      <c r="S930" s="34">
        <f>IFERROR(IF(AND(N930&gt;0,R930&gt;0),MAX(N930,R930),IF(N930&gt;0,N930,IF(R930&gt;0,R930,""))),"")</f>
        <v/>
      </c>
      <c r="T930" s="36" t="n"/>
      <c r="U930" s="38" t="inlineStr">
        <is>
          <t>FALTA</t>
        </is>
      </c>
      <c r="V930" s="36" t="n">
        <v>912</v>
      </c>
      <c r="W930" s="39" t="n">
        <v>0.3</v>
      </c>
      <c r="X930" s="41">
        <f>IFERROR(V930+T930,"")</f>
        <v/>
      </c>
      <c r="Y930" s="41">
        <f>IFERROR(IF(W930&lt;1,X930/(1-W930),""),"")</f>
        <v/>
      </c>
      <c r="Z930" s="43">
        <f>'01_CONFIG_GLOBAL'!$C$14</f>
        <v/>
      </c>
      <c r="AA930" s="41">
        <f>IFERROR(Y930*Z930,"")</f>
        <v/>
      </c>
      <c r="AB930" s="41">
        <f>IFERROR(IF(Z930&lt;1,Y930/(1-Z930),""),"")</f>
        <v/>
      </c>
      <c r="AC930" s="23" t="n"/>
      <c r="AD930" s="36" t="n"/>
      <c r="AE930" s="23" t="n"/>
      <c r="AF930" s="36" t="n"/>
      <c r="AG930" s="23" t="n"/>
      <c r="AH930" s="36" t="n"/>
      <c r="AI930" s="41">
        <f>IFERROR(AVERAGE(AD930,AF930,AH930),"")</f>
        <v/>
      </c>
      <c r="AJ930" s="29">
        <f>IFERROR(IF(AI930="","sem dados",IF(AB930&lt;AI930*0.95,"abaixo",IF(AB930&gt;AI930*1.05,"acima","em linha"))),"")</f>
        <v/>
      </c>
      <c r="AK930" s="23" t="inlineStr">
        <is>
          <t>não</t>
        </is>
      </c>
      <c r="AL930" s="23" t="n"/>
      <c r="AM930" s="23" t="n"/>
      <c r="AN930" s="23" t="n"/>
      <c r="AO930" s="44">
        <f>A930</f>
        <v/>
      </c>
      <c r="AP930" s="44">
        <f>D930</f>
        <v/>
      </c>
    </row>
    <row r="931" hidden="1" ht="15.75" customHeight="1" s="93">
      <c r="A931" s="23" t="inlineStr">
        <is>
          <t>5.5203.L012780.0</t>
        </is>
      </c>
      <c r="B931" s="23" t="inlineStr">
        <is>
          <t>L01278</t>
        </is>
      </c>
      <c r="C931" s="29">
        <f>IFERROR(LOWER(SUBSTITUTE(SUBSTITUTE(SUBSTITUTE(SUBSTITUTE(D931," ","-"),"/","-"),".",""),",","")),"")</f>
        <v/>
      </c>
      <c r="D931" s="23" t="inlineStr">
        <is>
          <t>MRBO 5,5 B1.B12.A104.L12</t>
        </is>
      </c>
      <c r="E931" s="23" t="n"/>
      <c r="F931" s="23" t="inlineStr">
        <is>
          <t>SOHIPREN</t>
        </is>
      </c>
      <c r="G931" s="23" t="n"/>
      <c r="H931" s="23" t="inlineStr">
        <is>
          <t>draft</t>
        </is>
      </c>
      <c r="I931" s="23" t="inlineStr">
        <is>
          <t>STARA</t>
        </is>
      </c>
      <c r="J931" s="23" t="inlineStr">
        <is>
          <t>PULVERIZADOR</t>
        </is>
      </c>
      <c r="K931" s="23" t="inlineStr">
        <is>
          <t>VENTILADOR</t>
        </is>
      </c>
      <c r="L931" s="23" t="inlineStr">
        <is>
          <t>79804212-3103497-7980-4212</t>
        </is>
      </c>
      <c r="M931" s="31" t="n"/>
      <c r="N931" s="31" t="n"/>
      <c r="O931" s="31" t="n"/>
      <c r="P931" s="31" t="n"/>
      <c r="Q931" s="31" t="n"/>
      <c r="R931" s="34">
        <f>IFERROR(IF(AND(O931&gt;0,P931&gt;0,Q931&gt;0),(O931*P931*Q931)/6000,""),"")</f>
        <v/>
      </c>
      <c r="S931" s="34">
        <f>IFERROR(IF(AND(N931&gt;0,R931&gt;0),MAX(N931,R931),IF(N931&gt;0,N931,IF(R931&gt;0,R931,""))),"")</f>
        <v/>
      </c>
      <c r="T931" s="36" t="n"/>
      <c r="U931" s="38" t="inlineStr">
        <is>
          <t>FALTA</t>
        </is>
      </c>
      <c r="V931" s="36" t="n">
        <v>675</v>
      </c>
      <c r="W931" s="39" t="n">
        <v>0.3</v>
      </c>
      <c r="X931" s="41">
        <f>IFERROR(V931+T931,"")</f>
        <v/>
      </c>
      <c r="Y931" s="41">
        <f>IFERROR(IF(W931&lt;1,X931/(1-W931),""),"")</f>
        <v/>
      </c>
      <c r="Z931" s="43">
        <f>'01_CONFIG_GLOBAL'!$C$14</f>
        <v/>
      </c>
      <c r="AA931" s="41">
        <f>IFERROR(Y931*Z931,"")</f>
        <v/>
      </c>
      <c r="AB931" s="41">
        <f>IFERROR(IF(Z931&lt;1,Y931/(1-Z931),""),"")</f>
        <v/>
      </c>
      <c r="AC931" s="23" t="n"/>
      <c r="AD931" s="36" t="n"/>
      <c r="AE931" s="23" t="n"/>
      <c r="AF931" s="36" t="n"/>
      <c r="AG931" s="23" t="n"/>
      <c r="AH931" s="36" t="n"/>
      <c r="AI931" s="41">
        <f>IFERROR(AVERAGE(AD931,AF931,AH931),"")</f>
        <v/>
      </c>
      <c r="AJ931" s="29">
        <f>IFERROR(IF(AI931="","sem dados",IF(AB931&lt;AI931*0.95,"abaixo",IF(AB931&gt;AI931*1.05,"acima","em linha"))),"")</f>
        <v/>
      </c>
      <c r="AK931" s="23" t="inlineStr">
        <is>
          <t>não</t>
        </is>
      </c>
      <c r="AL931" s="23" t="n"/>
      <c r="AM931" s="23" t="n"/>
      <c r="AN931" s="23" t="n"/>
      <c r="AO931" s="44">
        <f>A931</f>
        <v/>
      </c>
      <c r="AP931" s="44">
        <f>D931</f>
        <v/>
      </c>
    </row>
    <row r="932" hidden="1" ht="15.75" customHeight="1" s="93">
      <c r="A932" s="23" t="inlineStr">
        <is>
          <t>5.5208.L012270.0</t>
        </is>
      </c>
      <c r="B932" s="23" t="inlineStr">
        <is>
          <t>L01227</t>
        </is>
      </c>
      <c r="C932" s="29">
        <f>IFERROR(LOWER(SUBSTITUTE(SUBSTITUTE(SUBSTITUTE(SUBSTITUTE(D932," ","-"),"/","-"),".",""),",","")),"")</f>
        <v/>
      </c>
      <c r="D932" s="23" t="inlineStr">
        <is>
          <t>MRBO 8 B1.B12.C3.L</t>
        </is>
      </c>
      <c r="E932" s="23" t="n"/>
      <c r="F932" s="23" t="inlineStr">
        <is>
          <t>SOHIPREN</t>
        </is>
      </c>
      <c r="G932" s="23" t="n"/>
      <c r="H932" s="23" t="inlineStr">
        <is>
          <t>draft</t>
        </is>
      </c>
      <c r="I932" s="23" t="inlineStr">
        <is>
          <t>STARA</t>
        </is>
      </c>
      <c r="J932" s="23" t="inlineStr">
        <is>
          <t>PULVERIZADOR</t>
        </is>
      </c>
      <c r="K932" s="23" t="inlineStr">
        <is>
          <t>MOTOR</t>
        </is>
      </c>
      <c r="L932" s="23" t="inlineStr">
        <is>
          <t>3103497-79114502</t>
        </is>
      </c>
      <c r="M932" s="31" t="n"/>
      <c r="N932" s="31" t="n"/>
      <c r="O932" s="31" t="n"/>
      <c r="P932" s="31" t="n"/>
      <c r="Q932" s="31" t="n"/>
      <c r="R932" s="34">
        <f>IFERROR(IF(AND(O932&gt;0,P932&gt;0,Q932&gt;0),(O932*P932*Q932)/6000,""),"")</f>
        <v/>
      </c>
      <c r="S932" s="34">
        <f>IFERROR(IF(AND(N932&gt;0,R932&gt;0),MAX(N932,R932),IF(N932&gt;0,N932,IF(R932&gt;0,R932,""))),"")</f>
        <v/>
      </c>
      <c r="T932" s="36" t="n"/>
      <c r="U932" s="38" t="inlineStr">
        <is>
          <t>FALTA</t>
        </is>
      </c>
      <c r="V932" s="36" t="n">
        <v>632</v>
      </c>
      <c r="W932" s="39" t="n">
        <v>0.3</v>
      </c>
      <c r="X932" s="41">
        <f>IFERROR(V932+T932,"")</f>
        <v/>
      </c>
      <c r="Y932" s="41">
        <f>IFERROR(IF(W932&lt;1,X932/(1-W932),""),"")</f>
        <v/>
      </c>
      <c r="Z932" s="43">
        <f>'01_CONFIG_GLOBAL'!$C$14</f>
        <v/>
      </c>
      <c r="AA932" s="41">
        <f>IFERROR(Y932*Z932,"")</f>
        <v/>
      </c>
      <c r="AB932" s="41">
        <f>IFERROR(IF(Z932&lt;1,Y932/(1-Z932),""),"")</f>
        <v/>
      </c>
      <c r="AC932" s="23" t="n"/>
      <c r="AD932" s="36" t="n"/>
      <c r="AE932" s="23" t="n"/>
      <c r="AF932" s="36" t="n"/>
      <c r="AG932" s="23" t="n"/>
      <c r="AH932" s="36" t="n"/>
      <c r="AI932" s="41">
        <f>IFERROR(AVERAGE(AD932,AF932,AH932),"")</f>
        <v/>
      </c>
      <c r="AJ932" s="29">
        <f>IFERROR(IF(AI932="","sem dados",IF(AB932&lt;AI932*0.95,"abaixo",IF(AB932&gt;AI932*1.05,"acima","em linha"))),"")</f>
        <v/>
      </c>
      <c r="AK932" s="23" t="inlineStr">
        <is>
          <t>não</t>
        </is>
      </c>
      <c r="AL932" s="23" t="n"/>
      <c r="AM932" s="23" t="n"/>
      <c r="AN932" s="23" t="n"/>
      <c r="AO932" s="44">
        <f>A932</f>
        <v/>
      </c>
      <c r="AP932" s="44">
        <f>D932</f>
        <v/>
      </c>
    </row>
    <row r="933" hidden="1" ht="15.75" customHeight="1" s="93">
      <c r="A933" s="23" t="inlineStr">
        <is>
          <t>5.0209.L026909.0</t>
        </is>
      </c>
      <c r="B933" s="23" t="inlineStr">
        <is>
          <t>L026909</t>
        </is>
      </c>
      <c r="C933" s="29">
        <f>IFERROR(LOWER(SUBSTITUTE(SUBSTITUTE(SUBSTITUTE(SUBSTITUTE(D933," ","-"),"/","-"),".",""),",","")),"")</f>
        <v/>
      </c>
      <c r="D933" s="23" t="inlineStr">
        <is>
          <t>BOD 19 E18.C.C134.L</t>
        </is>
      </c>
      <c r="E933" s="23" t="inlineStr">
        <is>
          <t>Bombas Hidráulicas</t>
        </is>
      </c>
      <c r="F933" s="23" t="inlineStr">
        <is>
          <t>SOHIPREN</t>
        </is>
      </c>
      <c r="G933" s="23" t="n"/>
      <c r="H933" s="23" t="inlineStr">
        <is>
          <t>draft</t>
        </is>
      </c>
      <c r="I933" s="23" t="inlineStr">
        <is>
          <t>STARA</t>
        </is>
      </c>
      <c r="J933" s="23" t="inlineStr">
        <is>
          <t>PULVERIZADOR STARA HERCULES 6.0</t>
        </is>
      </c>
      <c r="K933" s="23" t="n"/>
      <c r="L933" s="23" t="inlineStr">
        <is>
          <t>OEM 7955-4107/R979108006</t>
        </is>
      </c>
      <c r="M933" s="31" t="n"/>
      <c r="N933" s="31" t="n"/>
      <c r="O933" s="31" t="n"/>
      <c r="P933" s="31" t="n"/>
      <c r="Q933" s="31" t="n"/>
      <c r="R933" s="34">
        <f>IFERROR(IF(AND(O933&gt;0,P933&gt;0,Q933&gt;0),(O933*P933*Q933)/6000,""),"")</f>
        <v/>
      </c>
      <c r="S933" s="34">
        <f>IFERROR(IF(AND(N933&gt;0,R933&gt;0),MAX(N933,R933),IF(N933&gt;0,N933,IF(R933&gt;0,R933,""))),"")</f>
        <v/>
      </c>
      <c r="T933" s="36" t="n"/>
      <c r="U933" s="38" t="inlineStr">
        <is>
          <t>FALTA</t>
        </is>
      </c>
      <c r="V933" s="36" t="n">
        <v>517</v>
      </c>
      <c r="W933" s="39" t="n">
        <v>0.3</v>
      </c>
      <c r="X933" s="41">
        <f>IFERROR(V933+T933,"")</f>
        <v/>
      </c>
      <c r="Y933" s="41">
        <f>IFERROR(IF(W933&lt;1,X933/(1-W933),""),"")</f>
        <v/>
      </c>
      <c r="Z933" s="43">
        <f>'01_CONFIG_GLOBAL'!$C$14</f>
        <v/>
      </c>
      <c r="AA933" s="41">
        <f>IFERROR(Y933*Z933,"")</f>
        <v/>
      </c>
      <c r="AB933" s="41">
        <f>IFERROR(IF(Z933&lt;1,Y933/(1-Z933),""),"")</f>
        <v/>
      </c>
      <c r="AC933" s="23" t="n"/>
      <c r="AD933" s="36" t="n"/>
      <c r="AE933" s="23" t="n"/>
      <c r="AF933" s="36" t="n"/>
      <c r="AG933" s="23" t="n"/>
      <c r="AH933" s="36" t="n"/>
      <c r="AI933" s="41">
        <f>IFERROR(AVERAGE(AD933,AF933,AH933),"")</f>
        <v/>
      </c>
      <c r="AJ933" s="29">
        <f>IFERROR(IF(AI933="","sem dados",IF(AB933&lt;AI933*0.95,"abaixo",IF(AB933&gt;AI933*1.05,"acima","em linha"))),"")</f>
        <v/>
      </c>
      <c r="AK933" s="23" t="inlineStr">
        <is>
          <t>não</t>
        </is>
      </c>
      <c r="AL933" s="23" t="n"/>
      <c r="AM933" s="23" t="n"/>
      <c r="AN933" s="23" t="n"/>
      <c r="AO933" s="44">
        <f>A933</f>
        <v/>
      </c>
      <c r="AP933" s="44">
        <f>D933</f>
        <v/>
      </c>
    </row>
    <row r="934" hidden="1" ht="15.75" customHeight="1" s="93">
      <c r="A934" s="23" t="inlineStr">
        <is>
          <t>0.2003.L081951.0</t>
        </is>
      </c>
      <c r="B934" s="23" t="inlineStr">
        <is>
          <t>L081951</t>
        </is>
      </c>
      <c r="C934" s="29">
        <f>IFERROR(LOWER(SUBSTITUTE(SUBSTITUTE(SUBSTITUTE(SUBSTITUTE(D934," ","-"),"/","-"),".",""),",","")),"")</f>
        <v/>
      </c>
      <c r="D934" s="23" t="inlineStr">
        <is>
          <t>INSERTO ESPECIAL 3 ARESTAS SV0655I004-00-00-VD (SEM COBERT.)</t>
        </is>
      </c>
      <c r="E934" s="23" t="n"/>
      <c r="F934" s="23" t="inlineStr">
        <is>
          <t>SOHIPREN</t>
        </is>
      </c>
      <c r="G934" s="23" t="n"/>
      <c r="H934" s="23" t="inlineStr">
        <is>
          <t>draft</t>
        </is>
      </c>
      <c r="I934" s="23" t="inlineStr">
        <is>
          <t>STEEL VIDEA</t>
        </is>
      </c>
      <c r="J934" s="23" t="n"/>
      <c r="K934" s="23" t="n"/>
      <c r="L934" s="23" t="inlineStr">
        <is>
          <t>SV0655I004-00-00-VD</t>
        </is>
      </c>
      <c r="M934" s="31" t="n"/>
      <c r="N934" s="31" t="n"/>
      <c r="O934" s="31" t="n"/>
      <c r="P934" s="31" t="n"/>
      <c r="Q934" s="31" t="n"/>
      <c r="R934" s="34">
        <f>IFERROR(IF(AND(O934&gt;0,P934&gt;0,Q934&gt;0),(O934*P934*Q934)/6000,""),"")</f>
        <v/>
      </c>
      <c r="S934" s="34">
        <f>IFERROR(IF(AND(N934&gt;0,R934&gt;0),MAX(N934,R934),IF(N934&gt;0,N934,IF(R934&gt;0,R934,""))),"")</f>
        <v/>
      </c>
      <c r="T934" s="36" t="n"/>
      <c r="U934" s="38" t="inlineStr">
        <is>
          <t>FALTA</t>
        </is>
      </c>
      <c r="V934" s="36" t="n">
        <v>59</v>
      </c>
      <c r="W934" s="39" t="n">
        <v>0.3</v>
      </c>
      <c r="X934" s="41">
        <f>IFERROR(V934+T934,"")</f>
        <v/>
      </c>
      <c r="Y934" s="41">
        <f>IFERROR(IF(W934&lt;1,X934/(1-W934),""),"")</f>
        <v/>
      </c>
      <c r="Z934" s="43">
        <f>'01_CONFIG_GLOBAL'!$C$14</f>
        <v/>
      </c>
      <c r="AA934" s="41">
        <f>IFERROR(Y934*Z934,"")</f>
        <v/>
      </c>
      <c r="AB934" s="41">
        <f>IFERROR(IF(Z934&lt;1,Y934/(1-Z934),""),"")</f>
        <v/>
      </c>
      <c r="AC934" s="23" t="n"/>
      <c r="AD934" s="36" t="n"/>
      <c r="AE934" s="23" t="n"/>
      <c r="AF934" s="36" t="n"/>
      <c r="AG934" s="23" t="n"/>
      <c r="AH934" s="36" t="n"/>
      <c r="AI934" s="41">
        <f>IFERROR(AVERAGE(AD934,AF934,AH934),"")</f>
        <v/>
      </c>
      <c r="AJ934" s="29">
        <f>IFERROR(IF(AI934="","sem dados",IF(AB934&lt;AI934*0.95,"abaixo",IF(AB934&gt;AI934*1.05,"acima","em linha"))),"")</f>
        <v/>
      </c>
      <c r="AK934" s="23" t="inlineStr">
        <is>
          <t>não</t>
        </is>
      </c>
      <c r="AL934" s="23" t="n"/>
      <c r="AM934" s="23" t="n"/>
      <c r="AN934" s="23" t="n"/>
      <c r="AO934" s="44">
        <f>A934</f>
        <v/>
      </c>
      <c r="AP934" s="44">
        <f>D934</f>
        <v/>
      </c>
    </row>
    <row r="935" hidden="1" ht="15.75" customHeight="1" s="93">
      <c r="A935" s="23" t="inlineStr">
        <is>
          <t>0.2003.L081952.0</t>
        </is>
      </c>
      <c r="B935" s="23" t="inlineStr">
        <is>
          <t>L081952</t>
        </is>
      </c>
      <c r="C935" s="29">
        <f>IFERROR(LOWER(SUBSTITUTE(SUBSTITUTE(SUBSTITUTE(SUBSTITUTE(D935," ","-"),"/","-"),".",""),",","")),"")</f>
        <v/>
      </c>
      <c r="D935" s="23" t="inlineStr">
        <is>
          <t>INSERTO ESPECIAL 3 ARESTAS SV0655I005-00-00-VD (SEM COBERT.)</t>
        </is>
      </c>
      <c r="E935" s="23" t="n"/>
      <c r="F935" s="23" t="inlineStr">
        <is>
          <t>SOHIPREN</t>
        </is>
      </c>
      <c r="G935" s="23" t="n"/>
      <c r="H935" s="23" t="inlineStr">
        <is>
          <t>draft</t>
        </is>
      </c>
      <c r="I935" s="23" t="inlineStr">
        <is>
          <t>STEEL VIDEA</t>
        </is>
      </c>
      <c r="J935" s="23" t="n"/>
      <c r="K935" s="23" t="n"/>
      <c r="L935" s="23" t="inlineStr">
        <is>
          <t>SV0655I005-00-00-VD</t>
        </is>
      </c>
      <c r="M935" s="31" t="n"/>
      <c r="N935" s="31" t="n"/>
      <c r="O935" s="31" t="n"/>
      <c r="P935" s="31" t="n"/>
      <c r="Q935" s="31" t="n"/>
      <c r="R935" s="34">
        <f>IFERROR(IF(AND(O935&gt;0,P935&gt;0,Q935&gt;0),(O935*P935*Q935)/6000,""),"")</f>
        <v/>
      </c>
      <c r="S935" s="34">
        <f>IFERROR(IF(AND(N935&gt;0,R935&gt;0),MAX(N935,R935),IF(N935&gt;0,N935,IF(R935&gt;0,R935,""))),"")</f>
        <v/>
      </c>
      <c r="T935" s="36" t="n"/>
      <c r="U935" s="38" t="inlineStr">
        <is>
          <t>FALTA</t>
        </is>
      </c>
      <c r="V935" s="36" t="n">
        <v>59</v>
      </c>
      <c r="W935" s="39" t="n">
        <v>0.3</v>
      </c>
      <c r="X935" s="41">
        <f>IFERROR(V935+T935,"")</f>
        <v/>
      </c>
      <c r="Y935" s="41">
        <f>IFERROR(IF(W935&lt;1,X935/(1-W935),""),"")</f>
        <v/>
      </c>
      <c r="Z935" s="43">
        <f>'01_CONFIG_GLOBAL'!$C$14</f>
        <v/>
      </c>
      <c r="AA935" s="41">
        <f>IFERROR(Y935*Z935,"")</f>
        <v/>
      </c>
      <c r="AB935" s="41">
        <f>IFERROR(IF(Z935&lt;1,Y935/(1-Z935),""),"")</f>
        <v/>
      </c>
      <c r="AC935" s="23" t="n"/>
      <c r="AD935" s="36" t="n"/>
      <c r="AE935" s="23" t="n"/>
      <c r="AF935" s="36" t="n"/>
      <c r="AG935" s="23" t="n"/>
      <c r="AH935" s="36" t="n"/>
      <c r="AI935" s="41">
        <f>IFERROR(AVERAGE(AD935,AF935,AH935),"")</f>
        <v/>
      </c>
      <c r="AJ935" s="29">
        <f>IFERROR(IF(AI935="","sem dados",IF(AB935&lt;AI935*0.95,"abaixo",IF(AB935&gt;AI935*1.05,"acima","em linha"))),"")</f>
        <v/>
      </c>
      <c r="AK935" s="23" t="inlineStr">
        <is>
          <t>não</t>
        </is>
      </c>
      <c r="AL935" s="23" t="n"/>
      <c r="AM935" s="23" t="n"/>
      <c r="AN935" s="23" t="n"/>
      <c r="AO935" s="44">
        <f>A935</f>
        <v/>
      </c>
      <c r="AP935" s="44">
        <f>D935</f>
        <v/>
      </c>
    </row>
    <row r="936" hidden="1" ht="15.75" customHeight="1" s="93">
      <c r="A936" s="23" t="inlineStr">
        <is>
          <t>5.0105.L026950.0</t>
        </is>
      </c>
      <c r="B936" s="23" t="inlineStr">
        <is>
          <t>L026950</t>
        </is>
      </c>
      <c r="C936" s="29">
        <f>IFERROR(LOWER(SUBSTITUTE(SUBSTITUTE(SUBSTITUTE(SUBSTITUTE(D936," ","-"),"/","-"),".",""),",","")),"")</f>
        <v/>
      </c>
      <c r="D936" s="23" t="inlineStr">
        <is>
          <t>B1D 3,6 A100.B100.G.G100</t>
        </is>
      </c>
      <c r="E936" s="23" t="n"/>
      <c r="F936" s="23" t="inlineStr">
        <is>
          <t>SOHIPREN</t>
        </is>
      </c>
      <c r="G936" s="23" t="n"/>
      <c r="H936" s="23" t="inlineStr">
        <is>
          <t>draft</t>
        </is>
      </c>
      <c r="I936" s="23" t="inlineStr">
        <is>
          <t>STILL</t>
        </is>
      </c>
      <c r="J936" s="23" t="inlineStr">
        <is>
          <t>EMPILHADEIRA ELETRICA</t>
        </is>
      </c>
      <c r="K936" s="23" t="n"/>
      <c r="L936" s="23" t="n"/>
      <c r="M936" s="31" t="n"/>
      <c r="N936" s="31" t="n"/>
      <c r="O936" s="31" t="n"/>
      <c r="P936" s="31" t="n"/>
      <c r="Q936" s="31" t="n"/>
      <c r="R936" s="34">
        <f>IFERROR(IF(AND(O936&gt;0,P936&gt;0,Q936&gt;0),(O936*P936*Q936)/6000,""),"")</f>
        <v/>
      </c>
      <c r="S936" s="34">
        <f>IFERROR(IF(AND(N936&gt;0,R936&gt;0),MAX(N936,R936),IF(N936&gt;0,N936,IF(R936&gt;0,R936,""))),"")</f>
        <v/>
      </c>
      <c r="T936" s="36" t="n"/>
      <c r="U936" s="38" t="inlineStr">
        <is>
          <t>FALTA</t>
        </is>
      </c>
      <c r="V936" s="36" t="n">
        <v>473</v>
      </c>
      <c r="W936" s="39" t="n">
        <v>0.3</v>
      </c>
      <c r="X936" s="41">
        <f>IFERROR(V936+T936,"")</f>
        <v/>
      </c>
      <c r="Y936" s="41">
        <f>IFERROR(IF(W936&lt;1,X936/(1-W936),""),"")</f>
        <v/>
      </c>
      <c r="Z936" s="43">
        <f>'01_CONFIG_GLOBAL'!$C$14</f>
        <v/>
      </c>
      <c r="AA936" s="41">
        <f>IFERROR(Y936*Z936,"")</f>
        <v/>
      </c>
      <c r="AB936" s="41">
        <f>IFERROR(IF(Z936&lt;1,Y936/(1-Z936),""),"")</f>
        <v/>
      </c>
      <c r="AC936" s="23" t="n"/>
      <c r="AD936" s="36" t="n"/>
      <c r="AE936" s="23" t="n"/>
      <c r="AF936" s="36" t="n"/>
      <c r="AG936" s="23" t="n"/>
      <c r="AH936" s="36" t="n"/>
      <c r="AI936" s="41">
        <f>IFERROR(AVERAGE(AD936,AF936,AH936),"")</f>
        <v/>
      </c>
      <c r="AJ936" s="29">
        <f>IFERROR(IF(AI936="","sem dados",IF(AB936&lt;AI936*0.95,"abaixo",IF(AB936&gt;AI936*1.05,"acima","em linha"))),"")</f>
        <v/>
      </c>
      <c r="AK936" s="23" t="inlineStr">
        <is>
          <t>não</t>
        </is>
      </c>
      <c r="AL936" s="23" t="n"/>
      <c r="AM936" s="23" t="n"/>
      <c r="AN936" s="23" t="n"/>
      <c r="AO936" s="44">
        <f>A936</f>
        <v/>
      </c>
      <c r="AP936" s="44">
        <f>D936</f>
        <v/>
      </c>
    </row>
    <row r="937" hidden="1" ht="15.75" customHeight="1" s="93">
      <c r="A937" s="23" t="inlineStr">
        <is>
          <t>5.1378.L080317.0</t>
        </is>
      </c>
      <c r="B937" s="23" t="inlineStr">
        <is>
          <t>L080317</t>
        </is>
      </c>
      <c r="C937" s="29">
        <f>IFERROR(LOWER(SUBSTITUTE(SUBSTITUTE(SUBSTITUTE(SUBSTITUTE(D937," ","-"),"/","-"),".",""),",","")),"")</f>
        <v/>
      </c>
      <c r="D937" s="23" t="inlineStr">
        <is>
          <t>MULTIPLICADOR 44CV - 1:3 - ENGATE RAPIDO</t>
        </is>
      </c>
      <c r="E937" s="23" t="n"/>
      <c r="F937" s="23" t="inlineStr">
        <is>
          <t>SOHIPREN</t>
        </is>
      </c>
      <c r="G937" s="23" t="n"/>
      <c r="H937" s="23" t="inlineStr">
        <is>
          <t>draft</t>
        </is>
      </c>
      <c r="I937" s="23" t="inlineStr">
        <is>
          <t>TAKARADA</t>
        </is>
      </c>
      <c r="J937" s="23" t="inlineStr">
        <is>
          <t>TRATOR</t>
        </is>
      </c>
      <c r="K937" s="23" t="inlineStr">
        <is>
          <t>MULTIPLICADOR DE VELOCIDADE</t>
        </is>
      </c>
      <c r="L937" s="23" t="inlineStr">
        <is>
          <t>TK1239.01</t>
        </is>
      </c>
      <c r="M937" s="31" t="n"/>
      <c r="N937" s="31" t="n"/>
      <c r="O937" s="31" t="n"/>
      <c r="P937" s="31" t="n"/>
      <c r="Q937" s="31" t="n"/>
      <c r="R937" s="34">
        <f>IFERROR(IF(AND(O937&gt;0,P937&gt;0,Q937&gt;0),(O937*P937*Q937)/6000,""),"")</f>
        <v/>
      </c>
      <c r="S937" s="34">
        <f>IFERROR(IF(AND(N937&gt;0,R937&gt;0),MAX(N937,R937),IF(N937&gt;0,N937,IF(R937&gt;0,R937,""))),"")</f>
        <v/>
      </c>
      <c r="T937" s="36" t="n"/>
      <c r="U937" s="38" t="inlineStr">
        <is>
          <t>FALTA</t>
        </is>
      </c>
      <c r="V937" s="36" t="n">
        <v>2045.77</v>
      </c>
      <c r="W937" s="39" t="n">
        <v>0.3</v>
      </c>
      <c r="X937" s="41">
        <f>IFERROR(V937+T937,"")</f>
        <v/>
      </c>
      <c r="Y937" s="41">
        <f>IFERROR(IF(W937&lt;1,X937/(1-W937),""),"")</f>
        <v/>
      </c>
      <c r="Z937" s="43">
        <f>'01_CONFIG_GLOBAL'!$C$14</f>
        <v/>
      </c>
      <c r="AA937" s="41">
        <f>IFERROR(Y937*Z937,"")</f>
        <v/>
      </c>
      <c r="AB937" s="41">
        <f>IFERROR(IF(Z937&lt;1,Y937/(1-Z937),""),"")</f>
        <v/>
      </c>
      <c r="AC937" s="23" t="n"/>
      <c r="AD937" s="36" t="n"/>
      <c r="AE937" s="23" t="n"/>
      <c r="AF937" s="36" t="n"/>
      <c r="AG937" s="23" t="n"/>
      <c r="AH937" s="36" t="n"/>
      <c r="AI937" s="41">
        <f>IFERROR(AVERAGE(AD937,AF937,AH937),"")</f>
        <v/>
      </c>
      <c r="AJ937" s="29">
        <f>IFERROR(IF(AI937="","sem dados",IF(AB937&lt;AI937*0.95,"abaixo",IF(AB937&gt;AI937*1.05,"acima","em linha"))),"")</f>
        <v/>
      </c>
      <c r="AK937" s="23" t="inlineStr">
        <is>
          <t>não</t>
        </is>
      </c>
      <c r="AL937" s="23" t="n"/>
      <c r="AM937" s="23" t="n"/>
      <c r="AN937" s="23" t="n"/>
      <c r="AO937" s="44">
        <f>A937</f>
        <v/>
      </c>
      <c r="AP937" s="44">
        <f>D937</f>
        <v/>
      </c>
    </row>
    <row r="938" hidden="1" ht="15.75" customHeight="1" s="93">
      <c r="A938" s="23" t="inlineStr">
        <is>
          <t>5.1378.L080318.0</t>
        </is>
      </c>
      <c r="B938" s="23" t="inlineStr">
        <is>
          <t>L080318.1</t>
        </is>
      </c>
      <c r="C938" s="29">
        <f>IFERROR(LOWER(SUBSTITUTE(SUBSTITUTE(SUBSTITUTE(SUBSTITUTE(D938," ","-"),"/","-"),".",""),",","")),"")</f>
        <v/>
      </c>
      <c r="D938" s="23" t="inlineStr">
        <is>
          <t>MULTIPLICADOR 44CV (COMPRA L080317)</t>
        </is>
      </c>
      <c r="E938" s="23" t="n"/>
      <c r="F938" s="23" t="inlineStr">
        <is>
          <t>SOHIPREN</t>
        </is>
      </c>
      <c r="G938" s="23" t="n"/>
      <c r="H938" s="23" t="inlineStr">
        <is>
          <t>draft</t>
        </is>
      </c>
      <c r="I938" s="23" t="inlineStr">
        <is>
          <t>TAKARADA</t>
        </is>
      </c>
      <c r="J938" s="23" t="inlineStr">
        <is>
          <t>TRATOR</t>
        </is>
      </c>
      <c r="K938" s="23" t="inlineStr">
        <is>
          <t>MULTIPLICADOR DE VELOCIDADE</t>
        </is>
      </c>
      <c r="L938" s="23" t="inlineStr">
        <is>
          <t>TK1239.01</t>
        </is>
      </c>
      <c r="M938" s="31" t="n"/>
      <c r="N938" s="31" t="n"/>
      <c r="O938" s="31" t="n"/>
      <c r="P938" s="31" t="n"/>
      <c r="Q938" s="31" t="n"/>
      <c r="R938" s="34">
        <f>IFERROR(IF(AND(O938&gt;0,P938&gt;0,Q938&gt;0),(O938*P938*Q938)/6000,""),"")</f>
        <v/>
      </c>
      <c r="S938" s="34">
        <f>IFERROR(IF(AND(N938&gt;0,R938&gt;0),MAX(N938,R938),IF(N938&gt;0,N938,IF(R938&gt;0,R938,""))),"")</f>
        <v/>
      </c>
      <c r="T938" s="36" t="n"/>
      <c r="U938" s="38" t="inlineStr">
        <is>
          <t>FALTA</t>
        </is>
      </c>
      <c r="V938" s="36" t="n">
        <v>2278</v>
      </c>
      <c r="W938" s="39" t="n">
        <v>0.3</v>
      </c>
      <c r="X938" s="41">
        <f>IFERROR(V938+T938,"")</f>
        <v/>
      </c>
      <c r="Y938" s="41">
        <f>IFERROR(IF(W938&lt;1,X938/(1-W938),""),"")</f>
        <v/>
      </c>
      <c r="Z938" s="43">
        <f>'01_CONFIG_GLOBAL'!$C$14</f>
        <v/>
      </c>
      <c r="AA938" s="41">
        <f>IFERROR(Y938*Z938,"")</f>
        <v/>
      </c>
      <c r="AB938" s="41">
        <f>IFERROR(IF(Z938&lt;1,Y938/(1-Z938),""),"")</f>
        <v/>
      </c>
      <c r="AC938" s="23" t="n"/>
      <c r="AD938" s="36" t="n"/>
      <c r="AE938" s="23" t="n"/>
      <c r="AF938" s="36" t="n"/>
      <c r="AG938" s="23" t="n"/>
      <c r="AH938" s="36" t="n"/>
      <c r="AI938" s="41">
        <f>IFERROR(AVERAGE(AD938,AF938,AH938),"")</f>
        <v/>
      </c>
      <c r="AJ938" s="29">
        <f>IFERROR(IF(AI938="","sem dados",IF(AB938&lt;AI938*0.95,"abaixo",IF(AB938&gt;AI938*1.05,"acima","em linha"))),"")</f>
        <v/>
      </c>
      <c r="AK938" s="23" t="inlineStr">
        <is>
          <t>não</t>
        </is>
      </c>
      <c r="AL938" s="23" t="n"/>
      <c r="AM938" s="23" t="n"/>
      <c r="AN938" s="23" t="n"/>
      <c r="AO938" s="44">
        <f>A938</f>
        <v/>
      </c>
      <c r="AP938" s="44">
        <f>D938</f>
        <v/>
      </c>
    </row>
    <row r="939" hidden="1" ht="15.75" customHeight="1" s="93">
      <c r="A939" s="23" t="inlineStr">
        <is>
          <t>5.1777.L069069.0</t>
        </is>
      </c>
      <c r="B939" s="23" t="inlineStr">
        <is>
          <t>L069069</t>
        </is>
      </c>
      <c r="C939" s="29">
        <f>IFERROR(LOWER(SUBSTITUTE(SUBSTITUTE(SUBSTITUTE(SUBSTITUTE(D939," ","-"),"/","-"),".",""),",","")),"")</f>
        <v/>
      </c>
      <c r="D939" s="23" t="inlineStr">
        <is>
          <t>KIT ACIONAMENTO TDF (COMPRA L069052)</t>
        </is>
      </c>
      <c r="E939" s="23" t="n"/>
      <c r="F939" s="23" t="inlineStr">
        <is>
          <t>SOHIPREN</t>
        </is>
      </c>
      <c r="G939" s="23" t="n"/>
      <c r="H939" s="23" t="inlineStr">
        <is>
          <t>draft</t>
        </is>
      </c>
      <c r="I939" s="23" t="inlineStr">
        <is>
          <t>TAKARADA - INTERPUMP</t>
        </is>
      </c>
      <c r="J939" s="23" t="inlineStr">
        <is>
          <t>TOMADA DE FORÇA</t>
        </is>
      </c>
      <c r="K939" s="23" t="inlineStr">
        <is>
          <t>KIT DE ACIONAMENTO TDF - VALV ELETRO PNEUMATICA</t>
        </is>
      </c>
      <c r="L939" s="23" t="inlineStr">
        <is>
          <t>6245/2716</t>
        </is>
      </c>
      <c r="M939" s="31" t="n"/>
      <c r="N939" s="31" t="n"/>
      <c r="O939" s="31" t="n"/>
      <c r="P939" s="31" t="n"/>
      <c r="Q939" s="31" t="n"/>
      <c r="R939" s="34">
        <f>IFERROR(IF(AND(O939&gt;0,P939&gt;0,Q939&gt;0),(O939*P939*Q939)/6000,""),"")</f>
        <v/>
      </c>
      <c r="S939" s="34">
        <f>IFERROR(IF(AND(N939&gt;0,R939&gt;0),MAX(N939,R939),IF(N939&gt;0,N939,IF(R939&gt;0,R939,""))),"")</f>
        <v/>
      </c>
      <c r="T939" s="36" t="n"/>
      <c r="U939" s="38" t="inlineStr">
        <is>
          <t>FALTA</t>
        </is>
      </c>
      <c r="V939" s="36" t="n">
        <v>2045.77</v>
      </c>
      <c r="W939" s="39" t="n">
        <v>0.3</v>
      </c>
      <c r="X939" s="41">
        <f>IFERROR(V939+T939,"")</f>
        <v/>
      </c>
      <c r="Y939" s="41">
        <f>IFERROR(IF(W939&lt;1,X939/(1-W939),""),"")</f>
        <v/>
      </c>
      <c r="Z939" s="43">
        <f>'01_CONFIG_GLOBAL'!$C$14</f>
        <v/>
      </c>
      <c r="AA939" s="41">
        <f>IFERROR(Y939*Z939,"")</f>
        <v/>
      </c>
      <c r="AB939" s="41">
        <f>IFERROR(IF(Z939&lt;1,Y939/(1-Z939),""),"")</f>
        <v/>
      </c>
      <c r="AC939" s="23" t="n"/>
      <c r="AD939" s="36" t="n"/>
      <c r="AE939" s="23" t="n"/>
      <c r="AF939" s="36" t="n"/>
      <c r="AG939" s="23" t="n"/>
      <c r="AH939" s="36" t="n"/>
      <c r="AI939" s="41">
        <f>IFERROR(AVERAGE(AD939,AF939,AH939),"")</f>
        <v/>
      </c>
      <c r="AJ939" s="29">
        <f>IFERROR(IF(AI939="","sem dados",IF(AB939&lt;AI939*0.95,"abaixo",IF(AB939&gt;AI939*1.05,"acima","em linha"))),"")</f>
        <v/>
      </c>
      <c r="AK939" s="23" t="inlineStr">
        <is>
          <t>não</t>
        </is>
      </c>
      <c r="AL939" s="23" t="n"/>
      <c r="AM939" s="23" t="n"/>
      <c r="AN939" s="23" t="n"/>
      <c r="AO939" s="44">
        <f>A939</f>
        <v/>
      </c>
      <c r="AP939" s="44">
        <f>D939</f>
        <v/>
      </c>
    </row>
    <row r="940" hidden="1" ht="15.75" customHeight="1" s="93">
      <c r="A940" s="23" t="inlineStr">
        <is>
          <t>5.1378.L069070.0</t>
        </is>
      </c>
      <c r="B940" s="23" t="inlineStr">
        <is>
          <t>L069070</t>
        </is>
      </c>
      <c r="C940" s="29">
        <f>IFERROR(LOWER(SUBSTITUTE(SUBSTITUTE(SUBSTITUTE(SUBSTITUTE(D940," ","-"),"/","-"),".",""),",","")),"")</f>
        <v/>
      </c>
      <c r="D940" s="23" t="inlineStr">
        <is>
          <t>TOMADA FORCA 6106A - SAE B 13Z (COMPRA L069055)</t>
        </is>
      </c>
      <c r="E940" s="23" t="n"/>
      <c r="F940" s="23" t="inlineStr">
        <is>
          <t>SOHIPREN</t>
        </is>
      </c>
      <c r="G940" s="23" t="n"/>
      <c r="H940" s="23" t="inlineStr">
        <is>
          <t>draft</t>
        </is>
      </c>
      <c r="I940" s="23" t="inlineStr">
        <is>
          <t>TAKARADA - INTERPUMP</t>
        </is>
      </c>
      <c r="J940" s="23" t="inlineStr">
        <is>
          <t>TOMADA DE FORÇA</t>
        </is>
      </c>
      <c r="K940" s="23" t="inlineStr">
        <is>
          <t>ACIONAMENTO DA BOMBA HIDRÁULICA</t>
        </is>
      </c>
      <c r="L940" s="23" t="inlineStr">
        <is>
          <t>12479/TK9131</t>
        </is>
      </c>
      <c r="M940" s="31" t="n"/>
      <c r="N940" s="31" t="n"/>
      <c r="O940" s="31" t="n"/>
      <c r="P940" s="31" t="n"/>
      <c r="Q940" s="31" t="n"/>
      <c r="R940" s="34">
        <f>IFERROR(IF(AND(O940&gt;0,P940&gt;0,Q940&gt;0),(O940*P940*Q940)/6000,""),"")</f>
        <v/>
      </c>
      <c r="S940" s="34">
        <f>IFERROR(IF(AND(N940&gt;0,R940&gt;0),MAX(N940,R940),IF(N940&gt;0,N940,IF(R940&gt;0,R940,""))),"")</f>
        <v/>
      </c>
      <c r="T940" s="36" t="n"/>
      <c r="U940" s="38" t="inlineStr">
        <is>
          <t>FALTA</t>
        </is>
      </c>
      <c r="V940" s="36" t="n">
        <v>2333</v>
      </c>
      <c r="W940" s="39" t="n">
        <v>0.3</v>
      </c>
      <c r="X940" s="41">
        <f>IFERROR(V940+T940,"")</f>
        <v/>
      </c>
      <c r="Y940" s="41">
        <f>IFERROR(IF(W940&lt;1,X940/(1-W940),""),"")</f>
        <v/>
      </c>
      <c r="Z940" s="43">
        <f>'01_CONFIG_GLOBAL'!$C$14</f>
        <v/>
      </c>
      <c r="AA940" s="41">
        <f>IFERROR(Y940*Z940,"")</f>
        <v/>
      </c>
      <c r="AB940" s="41">
        <f>IFERROR(IF(Z940&lt;1,Y940/(1-Z940),""),"")</f>
        <v/>
      </c>
      <c r="AC940" s="23" t="n"/>
      <c r="AD940" s="36" t="n"/>
      <c r="AE940" s="23" t="n"/>
      <c r="AF940" s="36" t="n"/>
      <c r="AG940" s="23" t="n"/>
      <c r="AH940" s="36" t="n"/>
      <c r="AI940" s="41">
        <f>IFERROR(AVERAGE(AD940,AF940,AH940),"")</f>
        <v/>
      </c>
      <c r="AJ940" s="29">
        <f>IFERROR(IF(AI940="","sem dados",IF(AB940&lt;AI940*0.95,"abaixo",IF(AB940&gt;AI940*1.05,"acima","em linha"))),"")</f>
        <v/>
      </c>
      <c r="AK940" s="23" t="inlineStr">
        <is>
          <t>não</t>
        </is>
      </c>
      <c r="AL940" s="23" t="n"/>
      <c r="AM940" s="23" t="n"/>
      <c r="AN940" s="23" t="n"/>
      <c r="AO940" s="44">
        <f>A940</f>
        <v/>
      </c>
      <c r="AP940" s="44">
        <f>D940</f>
        <v/>
      </c>
    </row>
    <row r="941" hidden="1" ht="15.75" customHeight="1" s="93">
      <c r="A941" s="23" t="inlineStr">
        <is>
          <t>5.1378.L069071.0</t>
        </is>
      </c>
      <c r="B941" s="23" t="inlineStr">
        <is>
          <t>L069071</t>
        </is>
      </c>
      <c r="C941" s="29">
        <f>IFERROR(LOWER(SUBSTITUTE(SUBSTITUTE(SUBSTITUTE(SUBSTITUTE(D941," ","-"),"/","-"),".",""),",","")),"")</f>
        <v/>
      </c>
      <c r="D941" s="23" t="inlineStr">
        <is>
          <t>TOMADA FORCA 6106A - EIXO 1" (COMPRA L069051)</t>
        </is>
      </c>
      <c r="E941" s="23" t="n"/>
      <c r="F941" s="23" t="inlineStr">
        <is>
          <t>SOHIPREN</t>
        </is>
      </c>
      <c r="G941" s="23" t="n"/>
      <c r="H941" s="23" t="inlineStr">
        <is>
          <t>draft</t>
        </is>
      </c>
      <c r="I941" s="23" t="inlineStr">
        <is>
          <t>TAKARADA - INTERPUMP</t>
        </is>
      </c>
      <c r="J941" s="23" t="inlineStr">
        <is>
          <t>TOMADA DE FORÇA</t>
        </is>
      </c>
      <c r="K941" s="23" t="inlineStr">
        <is>
          <t>ACIONAMENTO DA BOMBA HIDRÁULICA</t>
        </is>
      </c>
      <c r="L941" s="23" t="inlineStr">
        <is>
          <t>13236</t>
        </is>
      </c>
      <c r="M941" s="31" t="n"/>
      <c r="N941" s="31" t="n"/>
      <c r="O941" s="31" t="n"/>
      <c r="P941" s="31" t="n"/>
      <c r="Q941" s="31" t="n"/>
      <c r="R941" s="34">
        <f>IFERROR(IF(AND(O941&gt;0,P941&gt;0,Q941&gt;0),(O941*P941*Q941)/6000,""),"")</f>
        <v/>
      </c>
      <c r="S941" s="34">
        <f>IFERROR(IF(AND(N941&gt;0,R941&gt;0),MAX(N941,R941),IF(N941&gt;0,N941,IF(R941&gt;0,R941,""))),"")</f>
        <v/>
      </c>
      <c r="T941" s="36" t="n"/>
      <c r="U941" s="38" t="inlineStr">
        <is>
          <t>FALTA</t>
        </is>
      </c>
      <c r="V941" s="36" t="n">
        <v>2333</v>
      </c>
      <c r="W941" s="39" t="n">
        <v>0.3</v>
      </c>
      <c r="X941" s="41">
        <f>IFERROR(V941+T941,"")</f>
        <v/>
      </c>
      <c r="Y941" s="41">
        <f>IFERROR(IF(W941&lt;1,X941/(1-W941),""),"")</f>
        <v/>
      </c>
      <c r="Z941" s="43">
        <f>'01_CONFIG_GLOBAL'!$C$14</f>
        <v/>
      </c>
      <c r="AA941" s="41">
        <f>IFERROR(Y941*Z941,"")</f>
        <v/>
      </c>
      <c r="AB941" s="41">
        <f>IFERROR(IF(Z941&lt;1,Y941/(1-Z941),""),"")</f>
        <v/>
      </c>
      <c r="AC941" s="23" t="n"/>
      <c r="AD941" s="36" t="n"/>
      <c r="AE941" s="23" t="n"/>
      <c r="AF941" s="36" t="n"/>
      <c r="AG941" s="23" t="n"/>
      <c r="AH941" s="36" t="n"/>
      <c r="AI941" s="41">
        <f>IFERROR(AVERAGE(AD941,AF941,AH941),"")</f>
        <v/>
      </c>
      <c r="AJ941" s="29">
        <f>IFERROR(IF(AI941="","sem dados",IF(AB941&lt;AI941*0.95,"abaixo",IF(AB941&gt;AI941*1.05,"acima","em linha"))),"")</f>
        <v/>
      </c>
      <c r="AK941" s="23" t="inlineStr">
        <is>
          <t>não</t>
        </is>
      </c>
      <c r="AL941" s="23" t="n"/>
      <c r="AM941" s="23" t="n"/>
      <c r="AN941" s="23" t="n"/>
      <c r="AO941" s="44">
        <f>A941</f>
        <v/>
      </c>
      <c r="AP941" s="44">
        <f>D941</f>
        <v/>
      </c>
    </row>
    <row r="942" hidden="1" ht="15.75" customHeight="1" s="93">
      <c r="A942" s="23" t="inlineStr">
        <is>
          <t>5.1378.L069072.0</t>
        </is>
      </c>
      <c r="B942" s="23" t="inlineStr">
        <is>
          <t>L069072</t>
        </is>
      </c>
      <c r="C942" s="29">
        <f>IFERROR(LOWER(SUBSTITUTE(SUBSTITUTE(SUBSTITUTE(SUBSTITUTE(D942," ","-"),"/","-"),".",""),",","")),"")</f>
        <v/>
      </c>
      <c r="D942" s="23" t="inlineStr">
        <is>
          <t>TOMADA DE FORÇA ESO 6106 C/ KIT AR LED</t>
        </is>
      </c>
      <c r="E942" s="23" t="n"/>
      <c r="F942" s="23" t="inlineStr">
        <is>
          <t>SOHIPREN</t>
        </is>
      </c>
      <c r="G942" s="23" t="n"/>
      <c r="H942" s="23" t="inlineStr">
        <is>
          <t>draft</t>
        </is>
      </c>
      <c r="I942" s="23" t="inlineStr">
        <is>
          <t>TAKARADA - INTERPUMP</t>
        </is>
      </c>
      <c r="J942" s="23" t="inlineStr">
        <is>
          <t>TOMADA DE FORÇA</t>
        </is>
      </c>
      <c r="K942" s="23" t="inlineStr">
        <is>
          <t>ACIONAMENTO DA BOMBA HIDRÁULICA</t>
        </is>
      </c>
      <c r="L942" s="23" t="inlineStr">
        <is>
          <t>13236</t>
        </is>
      </c>
      <c r="M942" s="31" t="n"/>
      <c r="N942" s="31" t="n"/>
      <c r="O942" s="31" t="n"/>
      <c r="P942" s="31" t="n"/>
      <c r="Q942" s="31" t="n"/>
      <c r="R942" s="34">
        <f>IFERROR(IF(AND(O942&gt;0,P942&gt;0,Q942&gt;0),(O942*P942*Q942)/6000,""),"")</f>
        <v/>
      </c>
      <c r="S942" s="34">
        <f>IFERROR(IF(AND(N942&gt;0,R942&gt;0),MAX(N942,R942),IF(N942&gt;0,N942,IF(R942&gt;0,R942,""))),"")</f>
        <v/>
      </c>
      <c r="T942" s="36" t="n"/>
      <c r="U942" s="38" t="inlineStr">
        <is>
          <t>FALTA</t>
        </is>
      </c>
      <c r="V942" s="36" t="n">
        <v>2333</v>
      </c>
      <c r="W942" s="39" t="n">
        <v>0.3</v>
      </c>
      <c r="X942" s="41">
        <f>IFERROR(V942+T942,"")</f>
        <v/>
      </c>
      <c r="Y942" s="41">
        <f>IFERROR(IF(W942&lt;1,X942/(1-W942),""),"")</f>
        <v/>
      </c>
      <c r="Z942" s="43">
        <f>'01_CONFIG_GLOBAL'!$C$14</f>
        <v/>
      </c>
      <c r="AA942" s="41">
        <f>IFERROR(Y942*Z942,"")</f>
        <v/>
      </c>
      <c r="AB942" s="41">
        <f>IFERROR(IF(Z942&lt;1,Y942/(1-Z942),""),"")</f>
        <v/>
      </c>
      <c r="AC942" s="23" t="n"/>
      <c r="AD942" s="36" t="n"/>
      <c r="AE942" s="23" t="n"/>
      <c r="AF942" s="36" t="n"/>
      <c r="AG942" s="23" t="n"/>
      <c r="AH942" s="36" t="n"/>
      <c r="AI942" s="41">
        <f>IFERROR(AVERAGE(AD942,AF942,AH942),"")</f>
        <v/>
      </c>
      <c r="AJ942" s="29">
        <f>IFERROR(IF(AI942="","sem dados",IF(AB942&lt;AI942*0.95,"abaixo",IF(AB942&gt;AI942*1.05,"acima","em linha"))),"")</f>
        <v/>
      </c>
      <c r="AK942" s="23" t="inlineStr">
        <is>
          <t>não</t>
        </is>
      </c>
      <c r="AL942" s="23" t="n"/>
      <c r="AM942" s="23" t="n"/>
      <c r="AN942" s="23" t="n"/>
      <c r="AO942" s="44">
        <f>A942</f>
        <v/>
      </c>
      <c r="AP942" s="44">
        <f>D942</f>
        <v/>
      </c>
    </row>
    <row r="943" hidden="1" ht="15.75" customHeight="1" s="93">
      <c r="A943" s="23" t="inlineStr">
        <is>
          <t>5.1378.L069055.0</t>
        </is>
      </c>
      <c r="B943" s="23" t="inlineStr">
        <is>
          <t>L069055</t>
        </is>
      </c>
      <c r="C943" s="29">
        <f>IFERROR(LOWER(SUBSTITUTE(SUBSTITUTE(SUBSTITUTE(SUBSTITUTE(D943," ","-"),"/","-"),".",""),",","")),"")</f>
        <v/>
      </c>
      <c r="D943" s="23" t="inlineStr">
        <is>
          <t>TOMADA DE FORÇA ESO 6106A - SAE B 13Z - 1.1:35</t>
        </is>
      </c>
      <c r="E943" s="23" t="n"/>
      <c r="F943" s="23" t="inlineStr">
        <is>
          <t>SOHIPREN</t>
        </is>
      </c>
      <c r="G943" s="23" t="n"/>
      <c r="H943" s="23" t="inlineStr">
        <is>
          <t>draft</t>
        </is>
      </c>
      <c r="I943" s="23" t="inlineStr">
        <is>
          <t>TAKARADA - INTERPUMP</t>
        </is>
      </c>
      <c r="J943" s="23" t="inlineStr">
        <is>
          <t>TOMADA DE FORÇA</t>
        </is>
      </c>
      <c r="K943" s="23" t="inlineStr">
        <is>
          <t>ACIONAMENTO DA BOMBA HIDRÁULICA</t>
        </is>
      </c>
      <c r="L943" s="23" t="inlineStr">
        <is>
          <t>12479/TK9131</t>
        </is>
      </c>
      <c r="M943" s="31" t="n"/>
      <c r="N943" s="31" t="n"/>
      <c r="O943" s="31" t="n"/>
      <c r="P943" s="31" t="n"/>
      <c r="Q943" s="31" t="n"/>
      <c r="R943" s="34">
        <f>IFERROR(IF(AND(O943&gt;0,P943&gt;0,Q943&gt;0),(O943*P943*Q943)/6000,""),"")</f>
        <v/>
      </c>
      <c r="S943" s="34">
        <f>IFERROR(IF(AND(N943&gt;0,R943&gt;0),MAX(N943,R943),IF(N943&gt;0,N943,IF(R943&gt;0,R943,""))),"")</f>
        <v/>
      </c>
      <c r="T943" s="36" t="n"/>
      <c r="U943" s="38" t="inlineStr">
        <is>
          <t>FALTA</t>
        </is>
      </c>
      <c r="V943" s="36" t="n">
        <v>2045.77</v>
      </c>
      <c r="W943" s="39" t="n">
        <v>0.3</v>
      </c>
      <c r="X943" s="41">
        <f>IFERROR(V943+T943,"")</f>
        <v/>
      </c>
      <c r="Y943" s="41">
        <f>IFERROR(IF(W943&lt;1,X943/(1-W943),""),"")</f>
        <v/>
      </c>
      <c r="Z943" s="43">
        <f>'01_CONFIG_GLOBAL'!$C$14</f>
        <v/>
      </c>
      <c r="AA943" s="41">
        <f>IFERROR(Y943*Z943,"")</f>
        <v/>
      </c>
      <c r="AB943" s="41">
        <f>IFERROR(IF(Z943&lt;1,Y943/(1-Z943),""),"")</f>
        <v/>
      </c>
      <c r="AC943" s="23" t="n"/>
      <c r="AD943" s="36" t="n"/>
      <c r="AE943" s="23" t="n"/>
      <c r="AF943" s="36" t="n"/>
      <c r="AG943" s="23" t="n"/>
      <c r="AH943" s="36" t="n"/>
      <c r="AI943" s="41">
        <f>IFERROR(AVERAGE(AD943,AF943,AH943),"")</f>
        <v/>
      </c>
      <c r="AJ943" s="29">
        <f>IFERROR(IF(AI943="","sem dados",IF(AB943&lt;AI943*0.95,"abaixo",IF(AB943&gt;AI943*1.05,"acima","em linha"))),"")</f>
        <v/>
      </c>
      <c r="AK943" s="23" t="inlineStr">
        <is>
          <t>não</t>
        </is>
      </c>
      <c r="AL943" s="23" t="n"/>
      <c r="AM943" s="23" t="n"/>
      <c r="AN943" s="23" t="n"/>
      <c r="AO943" s="44">
        <f>A943</f>
        <v/>
      </c>
      <c r="AP943" s="44">
        <f>D943</f>
        <v/>
      </c>
    </row>
    <row r="944" hidden="1" ht="15.75" customHeight="1" s="93">
      <c r="A944" s="23" t="inlineStr">
        <is>
          <t>5.1378.L069054.0</t>
        </is>
      </c>
      <c r="B944" s="23" t="inlineStr">
        <is>
          <t>L069054</t>
        </is>
      </c>
      <c r="C944" s="29">
        <f>IFERROR(LOWER(SUBSTITUTE(SUBSTITUTE(SUBSTITUTE(SUBSTITUTE(D944," ","-"),"/","-"),".",""),",","")),"")</f>
        <v/>
      </c>
      <c r="D944" s="23" t="inlineStr">
        <is>
          <t>TOMADA DE FORÇA ESO 4206A - EIXO CIL 1'' - 1.1:35</t>
        </is>
      </c>
      <c r="E944" s="23" t="n"/>
      <c r="F944" s="23" t="inlineStr">
        <is>
          <t>SOHIPREN</t>
        </is>
      </c>
      <c r="G944" s="23" t="n"/>
      <c r="H944" s="23" t="inlineStr">
        <is>
          <t>draft</t>
        </is>
      </c>
      <c r="I944" s="23" t="inlineStr">
        <is>
          <t>TAKARADA - INTERPUMP</t>
        </is>
      </c>
      <c r="J944" s="23" t="inlineStr">
        <is>
          <t>TOMADA DE FORÇA</t>
        </is>
      </c>
      <c r="K944" s="23" t="inlineStr">
        <is>
          <t>ACIONAMENTO DA BOMBA HIDRÁULICA</t>
        </is>
      </c>
      <c r="L944" s="23" t="inlineStr">
        <is>
          <t>13160</t>
        </is>
      </c>
      <c r="M944" s="31" t="n"/>
      <c r="N944" s="31" t="n"/>
      <c r="O944" s="31" t="n"/>
      <c r="P944" s="31" t="n"/>
      <c r="Q944" s="31" t="n"/>
      <c r="R944" s="34">
        <f>IFERROR(IF(AND(O944&gt;0,P944&gt;0,Q944&gt;0),(O944*P944*Q944)/6000,""),"")</f>
        <v/>
      </c>
      <c r="S944" s="34">
        <f>IFERROR(IF(AND(N944&gt;0,R944&gt;0),MAX(N944,R944),IF(N944&gt;0,N944,IF(R944&gt;0,R944,""))),"")</f>
        <v/>
      </c>
      <c r="T944" s="36" t="n"/>
      <c r="U944" s="38" t="inlineStr">
        <is>
          <t>FALTA</t>
        </is>
      </c>
      <c r="V944" s="36" t="n">
        <v>574.37</v>
      </c>
      <c r="W944" s="39" t="n">
        <v>0.3</v>
      </c>
      <c r="X944" s="41">
        <f>IFERROR(V944+T944,"")</f>
        <v/>
      </c>
      <c r="Y944" s="41">
        <f>IFERROR(IF(W944&lt;1,X944/(1-W944),""),"")</f>
        <v/>
      </c>
      <c r="Z944" s="43">
        <f>'01_CONFIG_GLOBAL'!$C$14</f>
        <v/>
      </c>
      <c r="AA944" s="41">
        <f>IFERROR(Y944*Z944,"")</f>
        <v/>
      </c>
      <c r="AB944" s="41">
        <f>IFERROR(IF(Z944&lt;1,Y944/(1-Z944),""),"")</f>
        <v/>
      </c>
      <c r="AC944" s="23" t="n"/>
      <c r="AD944" s="36" t="n"/>
      <c r="AE944" s="23" t="n"/>
      <c r="AF944" s="36" t="n"/>
      <c r="AG944" s="23" t="n"/>
      <c r="AH944" s="36" t="n"/>
      <c r="AI944" s="41">
        <f>IFERROR(AVERAGE(AD944,AF944,AH944),"")</f>
        <v/>
      </c>
      <c r="AJ944" s="29">
        <f>IFERROR(IF(AI944="","sem dados",IF(AB944&lt;AI944*0.95,"abaixo",IF(AB944&gt;AI944*1.05,"acima","em linha"))),"")</f>
        <v/>
      </c>
      <c r="AK944" s="23" t="inlineStr">
        <is>
          <t>não</t>
        </is>
      </c>
      <c r="AL944" s="23" t="n"/>
      <c r="AM944" s="23" t="n"/>
      <c r="AN944" s="23" t="n"/>
      <c r="AO944" s="44">
        <f>A944</f>
        <v/>
      </c>
      <c r="AP944" s="44">
        <f>D944</f>
        <v/>
      </c>
    </row>
    <row r="945" hidden="1" ht="15.75" customHeight="1" s="93">
      <c r="A945" s="23" t="inlineStr">
        <is>
          <t>5.1710.L069051.0</t>
        </is>
      </c>
      <c r="B945" s="23" t="inlineStr">
        <is>
          <t>L069051</t>
        </is>
      </c>
      <c r="C945" s="29">
        <f>IFERROR(LOWER(SUBSTITUTE(SUBSTITUTE(SUBSTITUTE(SUBSTITUTE(D945," ","-"),"/","-"),".",""),",","")),"")</f>
        <v/>
      </c>
      <c r="D945" s="23" t="inlineStr">
        <is>
          <t>TOMADA DE FORÇA ESO 6106 A (9131) EIXO CIL.1''</t>
        </is>
      </c>
      <c r="E945" s="23" t="n"/>
      <c r="F945" s="23" t="inlineStr">
        <is>
          <t>SOHIPREN</t>
        </is>
      </c>
      <c r="G945" s="23" t="n"/>
      <c r="H945" s="23" t="inlineStr">
        <is>
          <t>draft</t>
        </is>
      </c>
      <c r="I945" s="23" t="inlineStr">
        <is>
          <t>TAKARADA - INTERPUMP</t>
        </is>
      </c>
      <c r="J945" s="23" t="inlineStr">
        <is>
          <t>TOMADA DE FORÇA</t>
        </is>
      </c>
      <c r="K945" s="23" t="inlineStr">
        <is>
          <t>ACIONAMENTO DA BOMBA HIDRÁULICA</t>
        </is>
      </c>
      <c r="L945" s="23" t="inlineStr">
        <is>
          <t>13236</t>
        </is>
      </c>
      <c r="M945" s="31" t="n"/>
      <c r="N945" s="31" t="n"/>
      <c r="O945" s="31" t="n"/>
      <c r="P945" s="31" t="n"/>
      <c r="Q945" s="31" t="n"/>
      <c r="R945" s="34">
        <f>IFERROR(IF(AND(O945&gt;0,P945&gt;0,Q945&gt;0),(O945*P945*Q945)/6000,""),"")</f>
        <v/>
      </c>
      <c r="S945" s="34">
        <f>IFERROR(IF(AND(N945&gt;0,R945&gt;0),MAX(N945,R945),IF(N945&gt;0,N945,IF(R945&gt;0,R945,""))),"")</f>
        <v/>
      </c>
      <c r="T945" s="36" t="n"/>
      <c r="U945" s="38" t="inlineStr">
        <is>
          <t>FALTA</t>
        </is>
      </c>
      <c r="V945" s="36" t="n">
        <v>1307.9</v>
      </c>
      <c r="W945" s="39" t="n">
        <v>0.3</v>
      </c>
      <c r="X945" s="41">
        <f>IFERROR(V945+T945,"")</f>
        <v/>
      </c>
      <c r="Y945" s="41">
        <f>IFERROR(IF(W945&lt;1,X945/(1-W945),""),"")</f>
        <v/>
      </c>
      <c r="Z945" s="43">
        <f>'01_CONFIG_GLOBAL'!$C$14</f>
        <v/>
      </c>
      <c r="AA945" s="41">
        <f>IFERROR(Y945*Z945,"")</f>
        <v/>
      </c>
      <c r="AB945" s="41">
        <f>IFERROR(IF(Z945&lt;1,Y945/(1-Z945),""),"")</f>
        <v/>
      </c>
      <c r="AC945" s="23" t="n"/>
      <c r="AD945" s="36" t="n"/>
      <c r="AE945" s="23" t="n"/>
      <c r="AF945" s="36" t="n"/>
      <c r="AG945" s="23" t="n"/>
      <c r="AH945" s="36" t="n"/>
      <c r="AI945" s="41">
        <f>IFERROR(AVERAGE(AD945,AF945,AH945),"")</f>
        <v/>
      </c>
      <c r="AJ945" s="29">
        <f>IFERROR(IF(AI945="","sem dados",IF(AB945&lt;AI945*0.95,"abaixo",IF(AB945&gt;AI945*1.05,"acima","em linha"))),"")</f>
        <v/>
      </c>
      <c r="AK945" s="23" t="inlineStr">
        <is>
          <t>não</t>
        </is>
      </c>
      <c r="AL945" s="23" t="n"/>
      <c r="AM945" s="23" t="n"/>
      <c r="AN945" s="23" t="n"/>
      <c r="AO945" s="44">
        <f>A945</f>
        <v/>
      </c>
      <c r="AP945" s="44">
        <f>D945</f>
        <v/>
      </c>
    </row>
    <row r="946" hidden="1" ht="15.75" customHeight="1" s="93">
      <c r="A946" s="23" t="inlineStr">
        <is>
          <t>5.1378.L069052.0</t>
        </is>
      </c>
      <c r="B946" s="23" t="inlineStr">
        <is>
          <t>L069052</t>
        </is>
      </c>
      <c r="C946" s="29">
        <f>IFERROR(LOWER(SUBSTITUTE(SUBSTITUTE(SUBSTITUTE(SUBSTITUTE(D946," ","-"),"/","-"),".",""),",","")),"")</f>
        <v/>
      </c>
      <c r="D946" s="23" t="inlineStr">
        <is>
          <t>KIT ACIONAMENTO TDF C/ LED</t>
        </is>
      </c>
      <c r="E946" s="23" t="n"/>
      <c r="F946" s="23" t="inlineStr">
        <is>
          <t>SOHIPREN</t>
        </is>
      </c>
      <c r="G946" s="23" t="n"/>
      <c r="H946" s="23" t="inlineStr">
        <is>
          <t>draft</t>
        </is>
      </c>
      <c r="I946" s="23" t="inlineStr">
        <is>
          <t>TAKARADA - INTERPUMP</t>
        </is>
      </c>
      <c r="J946" s="23" t="inlineStr">
        <is>
          <t>TOMADA DE FORÇA</t>
        </is>
      </c>
      <c r="K946" s="23" t="inlineStr">
        <is>
          <t>KIT DE ACIONAMENTO TDF - VALV ELETRO PNEUMATICA</t>
        </is>
      </c>
      <c r="L946" s="23" t="inlineStr">
        <is>
          <t>6245/2716</t>
        </is>
      </c>
      <c r="M946" s="31" t="n"/>
      <c r="N946" s="31" t="n"/>
      <c r="O946" s="31" t="n"/>
      <c r="P946" s="31" t="n"/>
      <c r="Q946" s="31" t="n"/>
      <c r="R946" s="34">
        <f>IFERROR(IF(AND(O946&gt;0,P946&gt;0,Q946&gt;0),(O946*P946*Q946)/6000,""),"")</f>
        <v/>
      </c>
      <c r="S946" s="34">
        <f>IFERROR(IF(AND(N946&gt;0,R946&gt;0),MAX(N946,R946),IF(N946&gt;0,N946,IF(R946&gt;0,R946,""))),"")</f>
        <v/>
      </c>
      <c r="T946" s="36" t="n"/>
      <c r="U946" s="38" t="inlineStr">
        <is>
          <t>FALTA</t>
        </is>
      </c>
      <c r="V946" s="36" t="n">
        <v>150</v>
      </c>
      <c r="W946" s="39" t="n">
        <v>0.3</v>
      </c>
      <c r="X946" s="41">
        <f>IFERROR(V946+T946,"")</f>
        <v/>
      </c>
      <c r="Y946" s="41">
        <f>IFERROR(IF(W946&lt;1,X946/(1-W946),""),"")</f>
        <v/>
      </c>
      <c r="Z946" s="43">
        <f>'01_CONFIG_GLOBAL'!$C$14</f>
        <v/>
      </c>
      <c r="AA946" s="41">
        <f>IFERROR(Y946*Z946,"")</f>
        <v/>
      </c>
      <c r="AB946" s="41">
        <f>IFERROR(IF(Z946&lt;1,Y946/(1-Z946),""),"")</f>
        <v/>
      </c>
      <c r="AC946" s="23" t="n"/>
      <c r="AD946" s="36" t="n"/>
      <c r="AE946" s="23" t="n"/>
      <c r="AF946" s="36" t="n"/>
      <c r="AG946" s="23" t="n"/>
      <c r="AH946" s="36" t="n"/>
      <c r="AI946" s="41">
        <f>IFERROR(AVERAGE(AD946,AF946,AH946),"")</f>
        <v/>
      </c>
      <c r="AJ946" s="29">
        <f>IFERROR(IF(AI946="","sem dados",IF(AB946&lt;AI946*0.95,"abaixo",IF(AB946&gt;AI946*1.05,"acima","em linha"))),"")</f>
        <v/>
      </c>
      <c r="AK946" s="23" t="inlineStr">
        <is>
          <t>não</t>
        </is>
      </c>
      <c r="AL946" s="23" t="n"/>
      <c r="AM946" s="23" t="n"/>
      <c r="AN946" s="23" t="n"/>
      <c r="AO946" s="44">
        <f>A946</f>
        <v/>
      </c>
      <c r="AP946" s="44">
        <f>D946</f>
        <v/>
      </c>
    </row>
    <row r="947" hidden="1" ht="15.75" customHeight="1" s="93">
      <c r="A947" s="23" t="inlineStr">
        <is>
          <t>5.1378.L069053.0</t>
        </is>
      </c>
      <c r="B947" s="23" t="inlineStr">
        <is>
          <t>L069053</t>
        </is>
      </c>
      <c r="C947" s="29">
        <f>IFERROR(LOWER(SUBSTITUTE(SUBSTITUTE(SUBSTITUTE(SUBSTITUTE(D947," ","-"),"/","-"),".",""),",","")),"")</f>
        <v/>
      </c>
      <c r="D947" s="23" t="inlineStr">
        <is>
          <t>NAO USAR</t>
        </is>
      </c>
      <c r="E947" s="23" t="n"/>
      <c r="F947" s="23" t="inlineStr">
        <is>
          <t>SOHIPREN</t>
        </is>
      </c>
      <c r="G947" s="23" t="n"/>
      <c r="H947" s="23" t="inlineStr">
        <is>
          <t>draft</t>
        </is>
      </c>
      <c r="I947" s="23" t="inlineStr">
        <is>
          <t>TAKARADA - INTERPUMP</t>
        </is>
      </c>
      <c r="J947" s="23" t="inlineStr">
        <is>
          <t>TOMADA DE FORÇA</t>
        </is>
      </c>
      <c r="K947" s="23" t="inlineStr">
        <is>
          <t>ACIONAMENTO DA BOMBA HIDRÁULICA</t>
        </is>
      </c>
      <c r="L947" s="23" t="n"/>
      <c r="M947" s="31" t="n"/>
      <c r="N947" s="31" t="n"/>
      <c r="O947" s="31" t="n"/>
      <c r="P947" s="31" t="n"/>
      <c r="Q947" s="31" t="n"/>
      <c r="R947" s="34">
        <f>IFERROR(IF(AND(O947&gt;0,P947&gt;0,Q947&gt;0),(O947*P947*Q947)/6000,""),"")</f>
        <v/>
      </c>
      <c r="S947" s="34">
        <f>IFERROR(IF(AND(N947&gt;0,R947&gt;0),MAX(N947,R947),IF(N947&gt;0,N947,IF(R947&gt;0,R947,""))),"")</f>
        <v/>
      </c>
      <c r="T947" s="36" t="n"/>
      <c r="U947" s="38" t="inlineStr">
        <is>
          <t>FALTA</t>
        </is>
      </c>
      <c r="V947" s="36" t="n">
        <v>574.37</v>
      </c>
      <c r="W947" s="39" t="n">
        <v>0.3</v>
      </c>
      <c r="X947" s="41">
        <f>IFERROR(V947+T947,"")</f>
        <v/>
      </c>
      <c r="Y947" s="41">
        <f>IFERROR(IF(W947&lt;1,X947/(1-W947),""),"")</f>
        <v/>
      </c>
      <c r="Z947" s="43">
        <f>'01_CONFIG_GLOBAL'!$C$14</f>
        <v/>
      </c>
      <c r="AA947" s="41">
        <f>IFERROR(Y947*Z947,"")</f>
        <v/>
      </c>
      <c r="AB947" s="41">
        <f>IFERROR(IF(Z947&lt;1,Y947/(1-Z947),""),"")</f>
        <v/>
      </c>
      <c r="AC947" s="23" t="n"/>
      <c r="AD947" s="36" t="n"/>
      <c r="AE947" s="23" t="n"/>
      <c r="AF947" s="36" t="n"/>
      <c r="AG947" s="23" t="n"/>
      <c r="AH947" s="36" t="n"/>
      <c r="AI947" s="41">
        <f>IFERROR(AVERAGE(AD947,AF947,AH947),"")</f>
        <v/>
      </c>
      <c r="AJ947" s="29">
        <f>IFERROR(IF(AI947="","sem dados",IF(AB947&lt;AI947*0.95,"abaixo",IF(AB947&gt;AI947*1.05,"acima","em linha"))),"")</f>
        <v/>
      </c>
      <c r="AK947" s="23" t="inlineStr">
        <is>
          <t>não</t>
        </is>
      </c>
      <c r="AL947" s="23" t="n"/>
      <c r="AM947" s="23" t="n"/>
      <c r="AN947" s="23" t="n"/>
      <c r="AO947" s="44">
        <f>A947</f>
        <v/>
      </c>
      <c r="AP947" s="44">
        <f>D947</f>
        <v/>
      </c>
    </row>
    <row r="948" hidden="1" ht="15.75" customHeight="1" s="93">
      <c r="A948" s="23" t="inlineStr">
        <is>
          <t>2.5007.0202980.0</t>
        </is>
      </c>
      <c r="B948" s="23" t="inlineStr">
        <is>
          <t>202980</t>
        </is>
      </c>
      <c r="C948" s="29">
        <f>IFERROR(LOWER(SUBSTITUTE(SUBSTITUTE(SUBSTITUTE(SUBSTITUTE(D948," ","-"),"/","-"),".",""),",","")),"")</f>
        <v/>
      </c>
      <c r="D948" s="23" t="inlineStr">
        <is>
          <t>BLOQUE.COMANDO HIDRAULICO DESMALEZADOR.TBEH</t>
        </is>
      </c>
      <c r="E948" s="23" t="n"/>
      <c r="F948" s="23" t="inlineStr">
        <is>
          <t>SOHIPREN</t>
        </is>
      </c>
      <c r="G948" s="23" t="n"/>
      <c r="H948" s="23" t="inlineStr">
        <is>
          <t>draft</t>
        </is>
      </c>
      <c r="I948" s="23" t="inlineStr">
        <is>
          <t>TBEH</t>
        </is>
      </c>
      <c r="J948" s="23" t="n"/>
      <c r="K948" s="23" t="n"/>
      <c r="L948" s="23" t="n"/>
      <c r="M948" s="31" t="n"/>
      <c r="N948" s="31" t="n"/>
      <c r="O948" s="31" t="n"/>
      <c r="P948" s="31" t="n"/>
      <c r="Q948" s="31" t="n"/>
      <c r="R948" s="34">
        <f>IFERROR(IF(AND(O948&gt;0,P948&gt;0,Q948&gt;0),(O948*P948*Q948)/6000,""),"")</f>
        <v/>
      </c>
      <c r="S948" s="34">
        <f>IFERROR(IF(AND(N948&gt;0,R948&gt;0),MAX(N948,R948),IF(N948&gt;0,N948,IF(R948&gt;0,R948,""))),"")</f>
        <v/>
      </c>
      <c r="T948" s="36" t="n"/>
      <c r="U948" s="38" t="inlineStr">
        <is>
          <t>FALTA</t>
        </is>
      </c>
      <c r="V948" s="36" t="n">
        <v>232</v>
      </c>
      <c r="W948" s="39" t="n">
        <v>0.3</v>
      </c>
      <c r="X948" s="41">
        <f>IFERROR(V948+T948,"")</f>
        <v/>
      </c>
      <c r="Y948" s="41">
        <f>IFERROR(IF(W948&lt;1,X948/(1-W948),""),"")</f>
        <v/>
      </c>
      <c r="Z948" s="43">
        <f>'01_CONFIG_GLOBAL'!$C$14</f>
        <v/>
      </c>
      <c r="AA948" s="41">
        <f>IFERROR(Y948*Z948,"")</f>
        <v/>
      </c>
      <c r="AB948" s="41">
        <f>IFERROR(IF(Z948&lt;1,Y948/(1-Z948),""),"")</f>
        <v/>
      </c>
      <c r="AC948" s="23" t="n"/>
      <c r="AD948" s="36" t="n"/>
      <c r="AE948" s="23" t="n"/>
      <c r="AF948" s="36" t="n"/>
      <c r="AG948" s="23" t="n"/>
      <c r="AH948" s="36" t="n"/>
      <c r="AI948" s="41">
        <f>IFERROR(AVERAGE(AD948,AF948,AH948),"")</f>
        <v/>
      </c>
      <c r="AJ948" s="29">
        <f>IFERROR(IF(AI948="","sem dados",IF(AB948&lt;AI948*0.95,"abaixo",IF(AB948&gt;AI948*1.05,"acima","em linha"))),"")</f>
        <v/>
      </c>
      <c r="AK948" s="23" t="inlineStr">
        <is>
          <t>não</t>
        </is>
      </c>
      <c r="AL948" s="23" t="n"/>
      <c r="AM948" s="23" t="n"/>
      <c r="AN948" s="23" t="n"/>
      <c r="AO948" s="44">
        <f>A948</f>
        <v/>
      </c>
      <c r="AP948" s="44">
        <f>D948</f>
        <v/>
      </c>
    </row>
    <row r="949" hidden="1" ht="15.75" customHeight="1" s="93">
      <c r="A949" s="23" t="inlineStr">
        <is>
          <t>5.0220.0548950.0</t>
        </is>
      </c>
      <c r="B949" s="23" t="inlineStr">
        <is>
          <t>548950</t>
        </is>
      </c>
      <c r="C949" s="29">
        <f>IFERROR(LOWER(SUBSTITUTE(SUBSTITUTE(SUBSTITUTE(SUBSTITUTE(D949," ","-"),"/","-"),".",""),",","")),"")</f>
        <v/>
      </c>
      <c r="D949" s="23" t="inlineStr">
        <is>
          <t>BOD 22,5 E18.C.C1/22,5 C1.L</t>
        </is>
      </c>
      <c r="E949" s="23" t="inlineStr">
        <is>
          <t>Bombas Hidráulicas</t>
        </is>
      </c>
      <c r="F949" s="23" t="inlineStr">
        <is>
          <t>SOHIPREN</t>
        </is>
      </c>
      <c r="G949" s="23" t="n"/>
      <c r="H949" s="23" t="inlineStr">
        <is>
          <t>draft</t>
        </is>
      </c>
      <c r="I949" s="23" t="inlineStr">
        <is>
          <t>TEREX</t>
        </is>
      </c>
      <c r="J949" s="23" t="inlineStr">
        <is>
          <t>VIBRO ACABADORA</t>
        </is>
      </c>
      <c r="K949" s="23" t="inlineStr">
        <is>
          <t>PRINCIPAL</t>
        </is>
      </c>
      <c r="L949" s="23" t="inlineStr">
        <is>
          <t>28051442</t>
        </is>
      </c>
      <c r="M949" s="31" t="n"/>
      <c r="N949" s="31" t="n"/>
      <c r="O949" s="31" t="n"/>
      <c r="P949" s="31" t="n"/>
      <c r="Q949" s="31" t="n"/>
      <c r="R949" s="34">
        <f>IFERROR(IF(AND(O949&gt;0,P949&gt;0,Q949&gt;0),(O949*P949*Q949)/6000,""),"")</f>
        <v/>
      </c>
      <c r="S949" s="34">
        <f>IFERROR(IF(AND(N949&gt;0,R949&gt;0),MAX(N949,R949),IF(N949&gt;0,N949,IF(R949&gt;0,R949,""))),"")</f>
        <v/>
      </c>
      <c r="T949" s="36" t="n"/>
      <c r="U949" s="38" t="inlineStr">
        <is>
          <t>FALTA</t>
        </is>
      </c>
      <c r="V949" s="36" t="n">
        <v>1330</v>
      </c>
      <c r="W949" s="39" t="n">
        <v>0.3</v>
      </c>
      <c r="X949" s="41">
        <f>IFERROR(V949+T949,"")</f>
        <v/>
      </c>
      <c r="Y949" s="41">
        <f>IFERROR(IF(W949&lt;1,X949/(1-W949),""),"")</f>
        <v/>
      </c>
      <c r="Z949" s="43">
        <f>'01_CONFIG_GLOBAL'!$C$14</f>
        <v/>
      </c>
      <c r="AA949" s="41">
        <f>IFERROR(Y949*Z949,"")</f>
        <v/>
      </c>
      <c r="AB949" s="41">
        <f>IFERROR(IF(Z949&lt;1,Y949/(1-Z949),""),"")</f>
        <v/>
      </c>
      <c r="AC949" s="23" t="n"/>
      <c r="AD949" s="36" t="n"/>
      <c r="AE949" s="23" t="n"/>
      <c r="AF949" s="36" t="n"/>
      <c r="AG949" s="23" t="n"/>
      <c r="AH949" s="36" t="n"/>
      <c r="AI949" s="41">
        <f>IFERROR(AVERAGE(AD949,AF949,AH949),"")</f>
        <v/>
      </c>
      <c r="AJ949" s="29">
        <f>IFERROR(IF(AI949="","sem dados",IF(AB949&lt;AI949*0.95,"abaixo",IF(AB949&gt;AI949*1.05,"acima","em linha"))),"")</f>
        <v/>
      </c>
      <c r="AK949" s="23" t="inlineStr">
        <is>
          <t>não</t>
        </is>
      </c>
      <c r="AL949" s="23" t="n"/>
      <c r="AM949" s="23" t="n"/>
      <c r="AN949" s="23" t="n"/>
      <c r="AO949" s="44">
        <f>A949</f>
        <v/>
      </c>
      <c r="AP949" s="44">
        <f>D949</f>
        <v/>
      </c>
    </row>
    <row r="950" hidden="1" ht="15.75" customHeight="1" s="93">
      <c r="A950" s="23" t="inlineStr">
        <is>
          <t>5.0220.0547797.0</t>
        </is>
      </c>
      <c r="B950" s="23" t="inlineStr">
        <is>
          <t>547797</t>
        </is>
      </c>
      <c r="C950" s="29">
        <f>IFERROR(LOWER(SUBSTITUTE(SUBSTITUTE(SUBSTITUTE(SUBSTITUTE(D950," ","-"),"/","-"),".",""),",","")),"")</f>
        <v/>
      </c>
      <c r="D950" s="23" t="inlineStr">
        <is>
          <t>(NO USAR) BOMBA HIDRÁULICA - APLICAÇÃO 11 E2.P.A42/14 A42.L (AMBOS CPOS INVERTIDOS)</t>
        </is>
      </c>
      <c r="E950" s="23" t="inlineStr">
        <is>
          <t>Bombas Hidráulicas</t>
        </is>
      </c>
      <c r="F950" s="23" t="inlineStr">
        <is>
          <t>SOHIPREN</t>
        </is>
      </c>
      <c r="G950" s="23" t="n"/>
      <c r="H950" s="23" t="inlineStr">
        <is>
          <t>draft</t>
        </is>
      </c>
      <c r="I950" s="23" t="inlineStr">
        <is>
          <t>TEREX</t>
        </is>
      </c>
      <c r="J950" s="23" t="inlineStr">
        <is>
          <t>VIBRO ACABADORA</t>
        </is>
      </c>
      <c r="K950" s="23" t="inlineStr">
        <is>
          <t>PRINCIPAL</t>
        </is>
      </c>
      <c r="L950" s="23" t="inlineStr">
        <is>
          <t>28056498</t>
        </is>
      </c>
      <c r="M950" s="31" t="n"/>
      <c r="N950" s="31" t="n"/>
      <c r="O950" s="31" t="n"/>
      <c r="P950" s="31" t="n"/>
      <c r="Q950" s="31" t="n"/>
      <c r="R950" s="34">
        <f>IFERROR(IF(AND(O950&gt;0,P950&gt;0,Q950&gt;0),(O950*P950*Q950)/6000,""),"")</f>
        <v/>
      </c>
      <c r="S950" s="34">
        <f>IFERROR(IF(AND(N950&gt;0,R950&gt;0),MAX(N950,R950),IF(N950&gt;0,N950,IF(R950&gt;0,R950,""))),"")</f>
        <v/>
      </c>
      <c r="T950" s="36" t="n"/>
      <c r="U950" s="38" t="inlineStr">
        <is>
          <t>FALTA</t>
        </is>
      </c>
      <c r="V950" s="36" t="n">
        <v>863.5</v>
      </c>
      <c r="W950" s="39" t="n">
        <v>0.3</v>
      </c>
      <c r="X950" s="41">
        <f>IFERROR(V950+T950,"")</f>
        <v/>
      </c>
      <c r="Y950" s="41">
        <f>IFERROR(IF(W950&lt;1,X950/(1-W950),""),"")</f>
        <v/>
      </c>
      <c r="Z950" s="43">
        <f>'01_CONFIG_GLOBAL'!$C$14</f>
        <v/>
      </c>
      <c r="AA950" s="41">
        <f>IFERROR(Y950*Z950,"")</f>
        <v/>
      </c>
      <c r="AB950" s="41">
        <f>IFERROR(IF(Z950&lt;1,Y950/(1-Z950),""),"")</f>
        <v/>
      </c>
      <c r="AC950" s="23" t="n"/>
      <c r="AD950" s="36" t="n"/>
      <c r="AE950" s="23" t="n"/>
      <c r="AF950" s="36" t="n"/>
      <c r="AG950" s="23" t="n"/>
      <c r="AH950" s="36" t="n"/>
      <c r="AI950" s="41">
        <f>IFERROR(AVERAGE(AD950,AF950,AH950),"")</f>
        <v/>
      </c>
      <c r="AJ950" s="29">
        <f>IFERROR(IF(AI950="","sem dados",IF(AB950&lt;AI950*0.95,"abaixo",IF(AB950&gt;AI950*1.05,"acima","em linha"))),"")</f>
        <v/>
      </c>
      <c r="AK950" s="23" t="inlineStr">
        <is>
          <t>não</t>
        </is>
      </c>
      <c r="AL950" s="23" t="n"/>
      <c r="AM950" s="23" t="n"/>
      <c r="AN950" s="23" t="n"/>
      <c r="AO950" s="44">
        <f>A950</f>
        <v/>
      </c>
      <c r="AP950" s="44">
        <f>D950</f>
        <v/>
      </c>
    </row>
    <row r="951" hidden="1" ht="15.75" customHeight="1" s="93">
      <c r="A951" s="23" t="inlineStr">
        <is>
          <t>0.2021.L082157.0</t>
        </is>
      </c>
      <c r="B951" s="23" t="inlineStr">
        <is>
          <t>L082157</t>
        </is>
      </c>
      <c r="C951" s="29">
        <f>IFERROR(LOWER(SUBSTITUTE(SUBSTITUTE(SUBSTITUTE(SUBSTITUTE(D951," ","-"),"/","-"),".",""),",","")),"")</f>
        <v/>
      </c>
      <c r="D951" s="23" t="inlineStr">
        <is>
          <t>ACOPLAMENTO R+W SERVOMAX EK2-060-A/12/12</t>
        </is>
      </c>
      <c r="E951" s="23" t="n"/>
      <c r="F951" s="23" t="inlineStr">
        <is>
          <t>SOHIPREN</t>
        </is>
      </c>
      <c r="G951" s="23" t="n"/>
      <c r="H951" s="23" t="inlineStr">
        <is>
          <t>draft</t>
        </is>
      </c>
      <c r="I951" s="23" t="inlineStr">
        <is>
          <t>THOMAS TECNICA</t>
        </is>
      </c>
      <c r="J951" s="23" t="n"/>
      <c r="K951" s="23" t="n"/>
      <c r="L951" s="23" t="inlineStr">
        <is>
          <t>3770</t>
        </is>
      </c>
      <c r="M951" s="31" t="n"/>
      <c r="N951" s="31" t="n"/>
      <c r="O951" s="31" t="n"/>
      <c r="P951" s="31" t="n"/>
      <c r="Q951" s="31" t="n"/>
      <c r="R951" s="34">
        <f>IFERROR(IF(AND(O951&gt;0,P951&gt;0,Q951&gt;0),(O951*P951*Q951)/6000,""),"")</f>
        <v/>
      </c>
      <c r="S951" s="34">
        <f>IFERROR(IF(AND(N951&gt;0,R951&gt;0),MAX(N951,R951),IF(N951&gt;0,N951,IF(R951&gt;0,R951,""))),"")</f>
        <v/>
      </c>
      <c r="T951" s="36" t="n"/>
      <c r="U951" s="38" t="inlineStr">
        <is>
          <t>FALTA</t>
        </is>
      </c>
      <c r="V951" s="36" t="n">
        <v>59</v>
      </c>
      <c r="W951" s="39" t="n">
        <v>0.3</v>
      </c>
      <c r="X951" s="41">
        <f>IFERROR(V951+T951,"")</f>
        <v/>
      </c>
      <c r="Y951" s="41">
        <f>IFERROR(IF(W951&lt;1,X951/(1-W951),""),"")</f>
        <v/>
      </c>
      <c r="Z951" s="43">
        <f>'01_CONFIG_GLOBAL'!$C$14</f>
        <v/>
      </c>
      <c r="AA951" s="41">
        <f>IFERROR(Y951*Z951,"")</f>
        <v/>
      </c>
      <c r="AB951" s="41">
        <f>IFERROR(IF(Z951&lt;1,Y951/(1-Z951),""),"")</f>
        <v/>
      </c>
      <c r="AC951" s="23" t="n"/>
      <c r="AD951" s="36" t="n"/>
      <c r="AE951" s="23" t="n"/>
      <c r="AF951" s="36" t="n"/>
      <c r="AG951" s="23" t="n"/>
      <c r="AH951" s="36" t="n"/>
      <c r="AI951" s="41">
        <f>IFERROR(AVERAGE(AD951,AF951,AH951),"")</f>
        <v/>
      </c>
      <c r="AJ951" s="29">
        <f>IFERROR(IF(AI951="","sem dados",IF(AB951&lt;AI951*0.95,"abaixo",IF(AB951&gt;AI951*1.05,"acima","em linha"))),"")</f>
        <v/>
      </c>
      <c r="AK951" s="23" t="inlineStr">
        <is>
          <t>não</t>
        </is>
      </c>
      <c r="AL951" s="23" t="n"/>
      <c r="AM951" s="23" t="n"/>
      <c r="AN951" s="23" t="n"/>
      <c r="AO951" s="44">
        <f>A951</f>
        <v/>
      </c>
      <c r="AP951" s="44">
        <f>D951</f>
        <v/>
      </c>
    </row>
    <row r="952" hidden="1" ht="15.75" customHeight="1" s="93">
      <c r="A952" s="23" t="inlineStr">
        <is>
          <t>5.0210.L019030.0</t>
        </is>
      </c>
      <c r="B952" s="23" t="inlineStr">
        <is>
          <t>L01903</t>
        </is>
      </c>
      <c r="C952" s="29">
        <f>IFERROR(LOWER(SUBSTITUTE(SUBSTITUTE(SUBSTITUTE(SUBSTITUTE(D952," ","-"),"/","-"),".",""),",","")),"")</f>
        <v/>
      </c>
      <c r="D952" s="23" t="inlineStr">
        <is>
          <t>BOD 22,5 E.C33.S111.G7 ( TAPON )</t>
        </is>
      </c>
      <c r="E952" s="23" t="inlineStr">
        <is>
          <t>Bombas Hidráulicas</t>
        </is>
      </c>
      <c r="F952" s="23" t="inlineStr">
        <is>
          <t>SOHIPREN</t>
        </is>
      </c>
      <c r="G952" s="23" t="n"/>
      <c r="H952" s="23" t="inlineStr">
        <is>
          <t>draft</t>
        </is>
      </c>
      <c r="I952" s="23" t="inlineStr">
        <is>
          <t>TOYOTA</t>
        </is>
      </c>
      <c r="J952" s="23" t="inlineStr">
        <is>
          <t>7FG25</t>
        </is>
      </c>
      <c r="K952" s="23" t="inlineStr">
        <is>
          <t>PRINCIPAL</t>
        </is>
      </c>
      <c r="L952" s="23" t="inlineStr">
        <is>
          <t>671102332071/671103333071/12101027022</t>
        </is>
      </c>
      <c r="M952" s="31" t="n"/>
      <c r="N952" s="31" t="n"/>
      <c r="O952" s="31" t="n"/>
      <c r="P952" s="31" t="n"/>
      <c r="Q952" s="31" t="n"/>
      <c r="R952" s="34">
        <f>IFERROR(IF(AND(O952&gt;0,P952&gt;0,Q952&gt;0),(O952*P952*Q952)/6000,""),"")</f>
        <v/>
      </c>
      <c r="S952" s="34">
        <f>IFERROR(IF(AND(N952&gt;0,R952&gt;0),MAX(N952,R952),IF(N952&gt;0,N952,IF(R952&gt;0,R952,""))),"")</f>
        <v/>
      </c>
      <c r="T952" s="36" t="n"/>
      <c r="U952" s="38" t="inlineStr">
        <is>
          <t>FALTA</t>
        </is>
      </c>
      <c r="V952" s="36" t="n">
        <v>517</v>
      </c>
      <c r="W952" s="39" t="n">
        <v>0.3</v>
      </c>
      <c r="X952" s="41">
        <f>IFERROR(V952+T952,"")</f>
        <v/>
      </c>
      <c r="Y952" s="41">
        <f>IFERROR(IF(W952&lt;1,X952/(1-W952),""),"")</f>
        <v/>
      </c>
      <c r="Z952" s="43">
        <f>'01_CONFIG_GLOBAL'!$C$14</f>
        <v/>
      </c>
      <c r="AA952" s="41">
        <f>IFERROR(Y952*Z952,"")</f>
        <v/>
      </c>
      <c r="AB952" s="41">
        <f>IFERROR(IF(Z952&lt;1,Y952/(1-Z952),""),"")</f>
        <v/>
      </c>
      <c r="AC952" s="23" t="n"/>
      <c r="AD952" s="36" t="n"/>
      <c r="AE952" s="23" t="n"/>
      <c r="AF952" s="36" t="n"/>
      <c r="AG952" s="23" t="n"/>
      <c r="AH952" s="36" t="n"/>
      <c r="AI952" s="41">
        <f>IFERROR(AVERAGE(AD952,AF952,AH952),"")</f>
        <v/>
      </c>
      <c r="AJ952" s="29">
        <f>IFERROR(IF(AI952="","sem dados",IF(AB952&lt;AI952*0.95,"abaixo",IF(AB952&gt;AI952*1.05,"acima","em linha"))),"")</f>
        <v/>
      </c>
      <c r="AK952" s="23" t="inlineStr">
        <is>
          <t>não</t>
        </is>
      </c>
      <c r="AL952" s="23" t="n"/>
      <c r="AM952" s="23" t="n"/>
      <c r="AN952" s="23" t="n"/>
      <c r="AO952" s="44">
        <f>A952</f>
        <v/>
      </c>
      <c r="AP952" s="44">
        <f>D952</f>
        <v/>
      </c>
    </row>
    <row r="953" hidden="1" ht="15.75" customHeight="1" s="93">
      <c r="A953" s="23" t="inlineStr">
        <is>
          <t>5.0210.L025662.0</t>
        </is>
      </c>
      <c r="B953" s="23" t="inlineStr">
        <is>
          <t>L025662</t>
        </is>
      </c>
      <c r="C953" s="29">
        <f>IFERROR(LOWER(SUBSTITUTE(SUBSTITUTE(SUBSTITUTE(SUBSTITUTE(D953," ","-"),"/","-"),".",""),",","")),"")</f>
        <v/>
      </c>
      <c r="D953" s="23" t="inlineStr">
        <is>
          <t>BOD 22,5 E18.C33.G.G7</t>
        </is>
      </c>
      <c r="E953" s="23" t="inlineStr">
        <is>
          <t>Bombas Hidráulicas</t>
        </is>
      </c>
      <c r="F953" s="23" t="inlineStr">
        <is>
          <t>SOHIPREN</t>
        </is>
      </c>
      <c r="G953" s="23" t="n"/>
      <c r="H953" s="23" t="inlineStr">
        <is>
          <t>draft</t>
        </is>
      </c>
      <c r="I953" s="23" t="inlineStr">
        <is>
          <t>TOYOTA</t>
        </is>
      </c>
      <c r="J953" s="23" t="inlineStr">
        <is>
          <t>EMPILHADEIRA</t>
        </is>
      </c>
      <c r="K953" s="23" t="inlineStr">
        <is>
          <t>PRINCIPAL</t>
        </is>
      </c>
      <c r="L953" s="23" t="inlineStr">
        <is>
          <t>671202665071</t>
        </is>
      </c>
      <c r="M953" s="31" t="n"/>
      <c r="N953" s="31" t="n"/>
      <c r="O953" s="31" t="n"/>
      <c r="P953" s="31" t="n"/>
      <c r="Q953" s="31" t="n"/>
      <c r="R953" s="34">
        <f>IFERROR(IF(AND(O953&gt;0,P953&gt;0,Q953&gt;0),(O953*P953*Q953)/6000,""),"")</f>
        <v/>
      </c>
      <c r="S953" s="34">
        <f>IFERROR(IF(AND(N953&gt;0,R953&gt;0),MAX(N953,R953),IF(N953&gt;0,N953,IF(R953&gt;0,R953,""))),"")</f>
        <v/>
      </c>
      <c r="T953" s="36" t="n"/>
      <c r="U953" s="38" t="inlineStr">
        <is>
          <t>FALTA</t>
        </is>
      </c>
      <c r="V953" s="36" t="n">
        <v>931.7</v>
      </c>
      <c r="W953" s="39" t="n">
        <v>0.3</v>
      </c>
      <c r="X953" s="41">
        <f>IFERROR(V953+T953,"")</f>
        <v/>
      </c>
      <c r="Y953" s="41">
        <f>IFERROR(IF(W953&lt;1,X953/(1-W953),""),"")</f>
        <v/>
      </c>
      <c r="Z953" s="43">
        <f>'01_CONFIG_GLOBAL'!$C$14</f>
        <v/>
      </c>
      <c r="AA953" s="41">
        <f>IFERROR(Y953*Z953,"")</f>
        <v/>
      </c>
      <c r="AB953" s="41">
        <f>IFERROR(IF(Z953&lt;1,Y953/(1-Z953),""),"")</f>
        <v/>
      </c>
      <c r="AC953" s="23" t="n"/>
      <c r="AD953" s="36" t="n"/>
      <c r="AE953" s="23" t="n"/>
      <c r="AF953" s="36" t="n"/>
      <c r="AG953" s="23" t="n"/>
      <c r="AH953" s="36" t="n"/>
      <c r="AI953" s="41">
        <f>IFERROR(AVERAGE(AD953,AF953,AH953),"")</f>
        <v/>
      </c>
      <c r="AJ953" s="29">
        <f>IFERROR(IF(AI953="","sem dados",IF(AB953&lt;AI953*0.95,"abaixo",IF(AB953&gt;AI953*1.05,"acima","em linha"))),"")</f>
        <v/>
      </c>
      <c r="AK953" s="23" t="inlineStr">
        <is>
          <t>não</t>
        </is>
      </c>
      <c r="AL953" s="23" t="n"/>
      <c r="AM953" s="23" t="n"/>
      <c r="AN953" s="23" t="n"/>
      <c r="AO953" s="44">
        <f>A953</f>
        <v/>
      </c>
      <c r="AP953" s="44">
        <f>D953</f>
        <v/>
      </c>
    </row>
    <row r="954" hidden="1" ht="15.75" customHeight="1" s="93">
      <c r="A954" s="23" t="inlineStr">
        <is>
          <t>5.0210.0546534.0</t>
        </is>
      </c>
      <c r="B954" s="23" t="inlineStr">
        <is>
          <t>546534</t>
        </is>
      </c>
      <c r="C954" s="29">
        <f>IFERROR(LOWER(SUBSTITUTE(SUBSTITUTE(SUBSTITUTE(SUBSTITUTE(D954," ","-"),"/","-"),".",""),",","")),"")</f>
        <v/>
      </c>
      <c r="D954" s="23" t="inlineStr">
        <is>
          <t>BOD 22,5 E.C33.G.G7</t>
        </is>
      </c>
      <c r="E954" s="23" t="inlineStr">
        <is>
          <t>Bombas Hidráulicas</t>
        </is>
      </c>
      <c r="F954" s="23" t="inlineStr">
        <is>
          <t>SOHIPREN</t>
        </is>
      </c>
      <c r="G954" s="23" t="n"/>
      <c r="H954" s="23" t="inlineStr">
        <is>
          <t>draft</t>
        </is>
      </c>
      <c r="I954" s="23" t="inlineStr">
        <is>
          <t>TOYOTA</t>
        </is>
      </c>
      <c r="J954" s="23" t="inlineStr">
        <is>
          <t>EMPILHADEIRA</t>
        </is>
      </c>
      <c r="K954" s="23" t="inlineStr">
        <is>
          <t>PRINCIPAL</t>
        </is>
      </c>
      <c r="L954" s="23" t="inlineStr">
        <is>
          <t>671202665071/12101027092</t>
        </is>
      </c>
      <c r="M954" s="31" t="n"/>
      <c r="N954" s="31" t="n"/>
      <c r="O954" s="31" t="n"/>
      <c r="P954" s="31" t="n"/>
      <c r="Q954" s="31" t="n"/>
      <c r="R954" s="34">
        <f>IFERROR(IF(AND(O954&gt;0,P954&gt;0,Q954&gt;0),(O954*P954*Q954)/6000,""),"")</f>
        <v/>
      </c>
      <c r="S954" s="34">
        <f>IFERROR(IF(AND(N954&gt;0,R954&gt;0),MAX(N954,R954),IF(N954&gt;0,N954,IF(R954&gt;0,R954,""))),"")</f>
        <v/>
      </c>
      <c r="T954" s="36" t="n"/>
      <c r="U954" s="38" t="inlineStr">
        <is>
          <t>FALTA</t>
        </is>
      </c>
      <c r="V954" s="36" t="n">
        <v>595</v>
      </c>
      <c r="W954" s="39" t="n">
        <v>0.3</v>
      </c>
      <c r="X954" s="41">
        <f>IFERROR(V954+T954,"")</f>
        <v/>
      </c>
      <c r="Y954" s="41">
        <f>IFERROR(IF(W954&lt;1,X954/(1-W954),""),"")</f>
        <v/>
      </c>
      <c r="Z954" s="43">
        <f>'01_CONFIG_GLOBAL'!$C$14</f>
        <v/>
      </c>
      <c r="AA954" s="41">
        <f>IFERROR(Y954*Z954,"")</f>
        <v/>
      </c>
      <c r="AB954" s="41">
        <f>IFERROR(IF(Z954&lt;1,Y954/(1-Z954),""),"")</f>
        <v/>
      </c>
      <c r="AC954" s="23" t="n"/>
      <c r="AD954" s="36" t="n"/>
      <c r="AE954" s="23" t="n"/>
      <c r="AF954" s="36" t="n"/>
      <c r="AG954" s="23" t="n"/>
      <c r="AH954" s="36" t="n"/>
      <c r="AI954" s="41">
        <f>IFERROR(AVERAGE(AD954,AF954,AH954),"")</f>
        <v/>
      </c>
      <c r="AJ954" s="29">
        <f>IFERROR(IF(AI954="","sem dados",IF(AB954&lt;AI954*0.95,"abaixo",IF(AB954&gt;AI954*1.05,"acima","em linha"))),"")</f>
        <v/>
      </c>
      <c r="AK954" s="23" t="inlineStr">
        <is>
          <t>não</t>
        </is>
      </c>
      <c r="AL954" s="23" t="n"/>
      <c r="AM954" s="23" t="n"/>
      <c r="AN954" s="23" t="n"/>
      <c r="AO954" s="44">
        <f>A954</f>
        <v/>
      </c>
      <c r="AP954" s="44">
        <f>D954</f>
        <v/>
      </c>
    </row>
    <row r="955" hidden="1" ht="15.75" customHeight="1" s="93">
      <c r="A955" s="23" t="inlineStr">
        <is>
          <t>5.0205.0542422.0</t>
        </is>
      </c>
      <c r="B955" s="23" t="inlineStr">
        <is>
          <t>542422</t>
        </is>
      </c>
      <c r="C955" s="29">
        <f>IFERROR(LOWER(SUBSTITUTE(SUBSTITUTE(SUBSTITUTE(SUBSTITUTE(D955," ","-"),"/","-"),".",""),",","")),"")</f>
        <v/>
      </c>
      <c r="D955" s="23" t="inlineStr">
        <is>
          <t>BOD 8 E.C.C1.L</t>
        </is>
      </c>
      <c r="E955" s="23" t="inlineStr">
        <is>
          <t>Bombas Hidráulicas</t>
        </is>
      </c>
      <c r="F955" s="23" t="inlineStr">
        <is>
          <t>SOHIPREN</t>
        </is>
      </c>
      <c r="G955" s="23" t="n"/>
      <c r="H955" s="23" t="inlineStr">
        <is>
          <t>draft</t>
        </is>
      </c>
      <c r="I955" s="23" t="inlineStr">
        <is>
          <t>TOYOTA</t>
        </is>
      </c>
      <c r="J955" s="23" t="inlineStr">
        <is>
          <t>EMPILHADEIRA</t>
        </is>
      </c>
      <c r="K955" s="23" t="inlineStr">
        <is>
          <t>PRINCIPAL</t>
        </is>
      </c>
      <c r="L955" s="23" t="inlineStr">
        <is>
          <t>671101150140</t>
        </is>
      </c>
      <c r="M955" s="31" t="n"/>
      <c r="N955" s="31" t="n"/>
      <c r="O955" s="31" t="n"/>
      <c r="P955" s="31" t="n"/>
      <c r="Q955" s="31" t="n"/>
      <c r="R955" s="34">
        <f>IFERROR(IF(AND(O955&gt;0,P955&gt;0,Q955&gt;0),(O955*P955*Q955)/6000,""),"")</f>
        <v/>
      </c>
      <c r="S955" s="34">
        <f>IFERROR(IF(AND(N955&gt;0,R955&gt;0),MAX(N955,R955),IF(N955&gt;0,N955,IF(R955&gt;0,R955,""))),"")</f>
        <v/>
      </c>
      <c r="T955" s="36" t="n"/>
      <c r="U955" s="38" t="inlineStr">
        <is>
          <t>FALTA</t>
        </is>
      </c>
      <c r="V955" s="36" t="n">
        <v>820</v>
      </c>
      <c r="W955" s="39" t="n">
        <v>0.3</v>
      </c>
      <c r="X955" s="41">
        <f>IFERROR(V955+T955,"")</f>
        <v/>
      </c>
      <c r="Y955" s="41">
        <f>IFERROR(IF(W955&lt;1,X955/(1-W955),""),"")</f>
        <v/>
      </c>
      <c r="Z955" s="43">
        <f>'01_CONFIG_GLOBAL'!$C$14</f>
        <v/>
      </c>
      <c r="AA955" s="41">
        <f>IFERROR(Y955*Z955,"")</f>
        <v/>
      </c>
      <c r="AB955" s="41">
        <f>IFERROR(IF(Z955&lt;1,Y955/(1-Z955),""),"")</f>
        <v/>
      </c>
      <c r="AC955" s="23" t="n"/>
      <c r="AD955" s="36" t="n"/>
      <c r="AE955" s="23" t="n"/>
      <c r="AF955" s="36" t="n"/>
      <c r="AG955" s="23" t="n"/>
      <c r="AH955" s="36" t="n"/>
      <c r="AI955" s="41">
        <f>IFERROR(AVERAGE(AD955,AF955,AH955),"")</f>
        <v/>
      </c>
      <c r="AJ955" s="29">
        <f>IFERROR(IF(AI955="","sem dados",IF(AB955&lt;AI955*0.95,"abaixo",IF(AB955&gt;AI955*1.05,"acima","em linha"))),"")</f>
        <v/>
      </c>
      <c r="AK955" s="23" t="inlineStr">
        <is>
          <t>não</t>
        </is>
      </c>
      <c r="AL955" s="23" t="n"/>
      <c r="AM955" s="23" t="n"/>
      <c r="AN955" s="23" t="n"/>
      <c r="AO955" s="44">
        <f>A955</f>
        <v/>
      </c>
      <c r="AP955" s="44">
        <f>D955</f>
        <v/>
      </c>
    </row>
    <row r="956" hidden="1" ht="15.75" customHeight="1" s="93">
      <c r="A956" s="23" t="inlineStr">
        <is>
          <t>5.0205.0542464.0</t>
        </is>
      </c>
      <c r="B956" s="23" t="inlineStr">
        <is>
          <t>542464</t>
        </is>
      </c>
      <c r="C956" s="29">
        <f>IFERROR(LOWER(SUBSTITUTE(SUBSTITUTE(SUBSTITUTE(SUBSTITUTE(D956," ","-"),"/","-"),".",""),",","")),"")</f>
        <v/>
      </c>
      <c r="D956" s="23" t="inlineStr">
        <is>
          <t>BOD 8 E18.C.C1.L</t>
        </is>
      </c>
      <c r="E956" s="23" t="inlineStr">
        <is>
          <t>Bombas Hidráulicas</t>
        </is>
      </c>
      <c r="F956" s="23" t="inlineStr">
        <is>
          <t>SOHIPREN</t>
        </is>
      </c>
      <c r="G956" s="23" t="n"/>
      <c r="H956" s="23" t="inlineStr">
        <is>
          <t>draft</t>
        </is>
      </c>
      <c r="I956" s="23" t="inlineStr">
        <is>
          <t>TUROLLA</t>
        </is>
      </c>
      <c r="J956" s="23" t="n"/>
      <c r="K956" s="23" t="n"/>
      <c r="L956" s="23" t="inlineStr">
        <is>
          <t>111.20.348.00-1112034800</t>
        </is>
      </c>
      <c r="M956" s="31" t="n"/>
      <c r="N956" s="31" t="n"/>
      <c r="O956" s="31" t="n"/>
      <c r="P956" s="31" t="n"/>
      <c r="Q956" s="31" t="n"/>
      <c r="R956" s="34">
        <f>IFERROR(IF(AND(O956&gt;0,P956&gt;0,Q956&gt;0),(O956*P956*Q956)/6000,""),"")</f>
        <v/>
      </c>
      <c r="S956" s="34">
        <f>IFERROR(IF(AND(N956&gt;0,R956&gt;0),MAX(N956,R956),IF(N956&gt;0,N956,IF(R956&gt;0,R956,""))),"")</f>
        <v/>
      </c>
      <c r="T956" s="36" t="n"/>
      <c r="U956" s="38" t="inlineStr">
        <is>
          <t>FALTA</t>
        </is>
      </c>
      <c r="V956" s="36" t="n">
        <v>605</v>
      </c>
      <c r="W956" s="39" t="n">
        <v>0.3</v>
      </c>
      <c r="X956" s="41">
        <f>IFERROR(V956+T956,"")</f>
        <v/>
      </c>
      <c r="Y956" s="41">
        <f>IFERROR(IF(W956&lt;1,X956/(1-W956),""),"")</f>
        <v/>
      </c>
      <c r="Z956" s="43">
        <f>'01_CONFIG_GLOBAL'!$C$14</f>
        <v/>
      </c>
      <c r="AA956" s="41">
        <f>IFERROR(Y956*Z956,"")</f>
        <v/>
      </c>
      <c r="AB956" s="41">
        <f>IFERROR(IF(Z956&lt;1,Y956/(1-Z956),""),"")</f>
        <v/>
      </c>
      <c r="AC956" s="23" t="n"/>
      <c r="AD956" s="36" t="n"/>
      <c r="AE956" s="23" t="n"/>
      <c r="AF956" s="36" t="n"/>
      <c r="AG956" s="23" t="n"/>
      <c r="AH956" s="36" t="n"/>
      <c r="AI956" s="41">
        <f>IFERROR(AVERAGE(AD956,AF956,AH956),"")</f>
        <v/>
      </c>
      <c r="AJ956" s="29">
        <f>IFERROR(IF(AI956="","sem dados",IF(AB956&lt;AI956*0.95,"abaixo",IF(AB956&gt;AI956*1.05,"acima","em linha"))),"")</f>
        <v/>
      </c>
      <c r="AK956" s="23" t="inlineStr">
        <is>
          <t>não</t>
        </is>
      </c>
      <c r="AL956" s="23" t="n"/>
      <c r="AM956" s="23" t="n"/>
      <c r="AN956" s="23" t="n"/>
      <c r="AO956" s="44">
        <f>A956</f>
        <v/>
      </c>
      <c r="AP956" s="44">
        <f>D956</f>
        <v/>
      </c>
    </row>
    <row r="957" hidden="1" ht="15.75" customHeight="1" s="93">
      <c r="A957" s="23" t="inlineStr">
        <is>
          <t>5.1621.0700052.1</t>
        </is>
      </c>
      <c r="B957" s="23" t="inlineStr">
        <is>
          <t>700052</t>
        </is>
      </c>
      <c r="C957" s="29">
        <f>IFERROR(LOWER(SUBSTITUTE(SUBSTITUTE(SUBSTITUTE(SUBSTITUTE(D957," ","-"),"/","-"),".",""),",","")),"")</f>
        <v/>
      </c>
      <c r="D957" s="23" t="inlineStr">
        <is>
          <t>MLT 250 E13.BX.PX (1 1/16" UNF - 127 mm)</t>
        </is>
      </c>
      <c r="E957" s="23" t="n"/>
      <c r="F957" s="23" t="inlineStr">
        <is>
          <t>SOHIPREN</t>
        </is>
      </c>
      <c r="G957" s="23" t="n"/>
      <c r="H957" s="23" t="inlineStr">
        <is>
          <t>draft</t>
        </is>
      </c>
      <c r="I957" s="23" t="inlineStr">
        <is>
          <t>UCA MÁQUINAS AGRICOLAS</t>
        </is>
      </c>
      <c r="J957" s="23" t="inlineStr">
        <is>
          <t>IMPLEMENTO</t>
        </is>
      </c>
      <c r="K957" s="23" t="inlineStr">
        <is>
          <t>MOTOR FUSO</t>
        </is>
      </c>
      <c r="L957" s="23" t="inlineStr">
        <is>
          <t>3020077</t>
        </is>
      </c>
      <c r="M957" s="31" t="n"/>
      <c r="N957" s="31" t="n"/>
      <c r="O957" s="31" t="n"/>
      <c r="P957" s="31" t="n"/>
      <c r="Q957" s="31" t="n"/>
      <c r="R957" s="34">
        <f>IFERROR(IF(AND(O957&gt;0,P957&gt;0,Q957&gt;0),(O957*P957*Q957)/6000,""),"")</f>
        <v/>
      </c>
      <c r="S957" s="34">
        <f>IFERROR(IF(AND(N957&gt;0,R957&gt;0),MAX(N957,R957),IF(N957&gt;0,N957,IF(R957&gt;0,R957,""))),"")</f>
        <v/>
      </c>
      <c r="T957" s="36" t="n"/>
      <c r="U957" s="38" t="inlineStr">
        <is>
          <t>FALTA</t>
        </is>
      </c>
      <c r="V957" s="36" t="n">
        <v>3093</v>
      </c>
      <c r="W957" s="39" t="n">
        <v>0.3</v>
      </c>
      <c r="X957" s="41">
        <f>IFERROR(V957+T957,"")</f>
        <v/>
      </c>
      <c r="Y957" s="41">
        <f>IFERROR(IF(W957&lt;1,X957/(1-W957),""),"")</f>
        <v/>
      </c>
      <c r="Z957" s="43">
        <f>'01_CONFIG_GLOBAL'!$C$14</f>
        <v/>
      </c>
      <c r="AA957" s="41">
        <f>IFERROR(Y957*Z957,"")</f>
        <v/>
      </c>
      <c r="AB957" s="41">
        <f>IFERROR(IF(Z957&lt;1,Y957/(1-Z957),""),"")</f>
        <v/>
      </c>
      <c r="AC957" s="23" t="n"/>
      <c r="AD957" s="36" t="n"/>
      <c r="AE957" s="23" t="n"/>
      <c r="AF957" s="36" t="n"/>
      <c r="AG957" s="23" t="n"/>
      <c r="AH957" s="36" t="n"/>
      <c r="AI957" s="41">
        <f>IFERROR(AVERAGE(AD957,AF957,AH957),"")</f>
        <v/>
      </c>
      <c r="AJ957" s="29">
        <f>IFERROR(IF(AI957="","sem dados",IF(AB957&lt;AI957*0.95,"abaixo",IF(AB957&gt;AI957*1.05,"acima","em linha"))),"")</f>
        <v/>
      </c>
      <c r="AK957" s="23" t="inlineStr">
        <is>
          <t>não</t>
        </is>
      </c>
      <c r="AL957" s="23" t="n"/>
      <c r="AM957" s="23" t="n"/>
      <c r="AN957" s="23" t="n"/>
      <c r="AO957" s="44">
        <f>A957</f>
        <v/>
      </c>
      <c r="AP957" s="44">
        <f>D957</f>
        <v/>
      </c>
    </row>
    <row r="958" hidden="1" ht="15.75" customHeight="1" s="93">
      <c r="A958" s="23" t="inlineStr">
        <is>
          <t>6.0460.L082495.0</t>
        </is>
      </c>
      <c r="B958" s="23" t="inlineStr">
        <is>
          <t>L082495</t>
        </is>
      </c>
      <c r="C958" s="29">
        <f>IFERROR(LOWER(SUBSTITUTE(SUBSTITUTE(SUBSTITUTE(SUBSTITUTE(D958," ","-"),"/","-"),".",""),",","")),"")</f>
        <v/>
      </c>
      <c r="D958" s="23" t="inlineStr">
        <is>
          <t>BLSHP-00061</t>
        </is>
      </c>
      <c r="E958" s="23" t="n"/>
      <c r="F958" s="23" t="inlineStr">
        <is>
          <t>SOHIPREN</t>
        </is>
      </c>
      <c r="G958" s="23" t="n"/>
      <c r="H958" s="23" t="inlineStr">
        <is>
          <t>draft</t>
        </is>
      </c>
      <c r="I958" s="23" t="inlineStr">
        <is>
          <t>UCA MÁQUINAS AGRICOLAS</t>
        </is>
      </c>
      <c r="J958" s="23" t="inlineStr">
        <is>
          <t>IMPLEMENTO</t>
        </is>
      </c>
      <c r="K958" s="23" t="inlineStr">
        <is>
          <t>BLOCO DE DESGARDA</t>
        </is>
      </c>
      <c r="L958" s="23" t="n"/>
      <c r="M958" s="31" t="n"/>
      <c r="N958" s="31" t="n"/>
      <c r="O958" s="31" t="n"/>
      <c r="P958" s="31" t="n"/>
      <c r="Q958" s="31" t="n"/>
      <c r="R958" s="34">
        <f>IFERROR(IF(AND(O958&gt;0,P958&gt;0,Q958&gt;0),(O958*P958*Q958)/6000,""),"")</f>
        <v/>
      </c>
      <c r="S958" s="34">
        <f>IFERROR(IF(AND(N958&gt;0,R958&gt;0),MAX(N958,R958),IF(N958&gt;0,N958,IF(R958&gt;0,R958,""))),"")</f>
        <v/>
      </c>
      <c r="T958" s="36" t="n"/>
      <c r="U958" s="38" t="inlineStr">
        <is>
          <t>FALTA</t>
        </is>
      </c>
      <c r="V958" s="36" t="n">
        <v>4250</v>
      </c>
      <c r="W958" s="39" t="n">
        <v>0.3</v>
      </c>
      <c r="X958" s="41">
        <f>IFERROR(V958+T958,"")</f>
        <v/>
      </c>
      <c r="Y958" s="41">
        <f>IFERROR(IF(W958&lt;1,X958/(1-W958),""),"")</f>
        <v/>
      </c>
      <c r="Z958" s="43">
        <f>'01_CONFIG_GLOBAL'!$C$14</f>
        <v/>
      </c>
      <c r="AA958" s="41">
        <f>IFERROR(Y958*Z958,"")</f>
        <v/>
      </c>
      <c r="AB958" s="41">
        <f>IFERROR(IF(Z958&lt;1,Y958/(1-Z958),""),"")</f>
        <v/>
      </c>
      <c r="AC958" s="23" t="n"/>
      <c r="AD958" s="36" t="n"/>
      <c r="AE958" s="23" t="n"/>
      <c r="AF958" s="36" t="n"/>
      <c r="AG958" s="23" t="n"/>
      <c r="AH958" s="36" t="n"/>
      <c r="AI958" s="41">
        <f>IFERROR(AVERAGE(AD958,AF958,AH958),"")</f>
        <v/>
      </c>
      <c r="AJ958" s="29">
        <f>IFERROR(IF(AI958="","sem dados",IF(AB958&lt;AI958*0.95,"abaixo",IF(AB958&gt;AI958*1.05,"acima","em linha"))),"")</f>
        <v/>
      </c>
      <c r="AK958" s="23" t="inlineStr">
        <is>
          <t>não</t>
        </is>
      </c>
      <c r="AL958" s="23" t="n"/>
      <c r="AM958" s="23" t="n"/>
      <c r="AN958" s="23" t="n"/>
      <c r="AO958" s="44">
        <f>A958</f>
        <v/>
      </c>
      <c r="AP958" s="44">
        <f>D958</f>
        <v/>
      </c>
    </row>
    <row r="959" hidden="1" ht="15.75" customHeight="1" s="93">
      <c r="A959" s="23" t="inlineStr">
        <is>
          <t>6.0460.L082006.0</t>
        </is>
      </c>
      <c r="B959" s="23" t="inlineStr">
        <is>
          <t>L082006</t>
        </is>
      </c>
      <c r="C959" s="29">
        <f>IFERROR(LOWER(SUBSTITUTE(SUBSTITUTE(SUBSTITUTE(SUBSTITUTE(D959," ","-"),"/","-"),".",""),",","")),"")</f>
        <v/>
      </c>
      <c r="D959" s="23" t="inlineStr">
        <is>
          <t>BLSHP-00033</t>
        </is>
      </c>
      <c r="E959" s="23" t="n"/>
      <c r="F959" s="23" t="inlineStr">
        <is>
          <t>SOHIPREN</t>
        </is>
      </c>
      <c r="G959" s="23" t="n"/>
      <c r="H959" s="23" t="inlineStr">
        <is>
          <t>draft</t>
        </is>
      </c>
      <c r="I959" s="23" t="inlineStr">
        <is>
          <t>UCA MÁQUINAS AGRICOLAS</t>
        </is>
      </c>
      <c r="J959" s="23" t="inlineStr">
        <is>
          <t>IMPLEMENTO</t>
        </is>
      </c>
      <c r="K959" s="23" t="inlineStr">
        <is>
          <t>BLOCO DIVISOR</t>
        </is>
      </c>
      <c r="L959" s="23" t="inlineStr">
        <is>
          <t>3020450</t>
        </is>
      </c>
      <c r="M959" s="31" t="n"/>
      <c r="N959" s="31" t="n"/>
      <c r="O959" s="31" t="n"/>
      <c r="P959" s="31" t="n"/>
      <c r="Q959" s="31" t="n"/>
      <c r="R959" s="34">
        <f>IFERROR(IF(AND(O959&gt;0,P959&gt;0,Q959&gt;0),(O959*P959*Q959)/6000,""),"")</f>
        <v/>
      </c>
      <c r="S959" s="34">
        <f>IFERROR(IF(AND(N959&gt;0,R959&gt;0),MAX(N959,R959),IF(N959&gt;0,N959,IF(R959&gt;0,R959,""))),"")</f>
        <v/>
      </c>
      <c r="T959" s="36" t="n"/>
      <c r="U959" s="38" t="inlineStr">
        <is>
          <t>FALTA</t>
        </is>
      </c>
      <c r="V959" s="36" t="n">
        <v>2490</v>
      </c>
      <c r="W959" s="39" t="n">
        <v>0.3</v>
      </c>
      <c r="X959" s="41">
        <f>IFERROR(V959+T959,"")</f>
        <v/>
      </c>
      <c r="Y959" s="41">
        <f>IFERROR(IF(W959&lt;1,X959/(1-W959),""),"")</f>
        <v/>
      </c>
      <c r="Z959" s="43">
        <f>'01_CONFIG_GLOBAL'!$C$14</f>
        <v/>
      </c>
      <c r="AA959" s="41">
        <f>IFERROR(Y959*Z959,"")</f>
        <v/>
      </c>
      <c r="AB959" s="41">
        <f>IFERROR(IF(Z959&lt;1,Y959/(1-Z959),""),"")</f>
        <v/>
      </c>
      <c r="AC959" s="23" t="n"/>
      <c r="AD959" s="36" t="n"/>
      <c r="AE959" s="23" t="n"/>
      <c r="AF959" s="36" t="n"/>
      <c r="AG959" s="23" t="n"/>
      <c r="AH959" s="36" t="n"/>
      <c r="AI959" s="41">
        <f>IFERROR(AVERAGE(AD959,AF959,AH959),"")</f>
        <v/>
      </c>
      <c r="AJ959" s="29">
        <f>IFERROR(IF(AI959="","sem dados",IF(AB959&lt;AI959*0.95,"abaixo",IF(AB959&gt;AI959*1.05,"acima","em linha"))),"")</f>
        <v/>
      </c>
      <c r="AK959" s="23" t="inlineStr">
        <is>
          <t>não</t>
        </is>
      </c>
      <c r="AL959" s="23" t="n"/>
      <c r="AM959" s="23" t="n"/>
      <c r="AN959" s="23" t="n"/>
      <c r="AO959" s="44">
        <f>A959</f>
        <v/>
      </c>
      <c r="AP959" s="44">
        <f>D959</f>
        <v/>
      </c>
    </row>
    <row r="960" hidden="1" ht="15.75" customHeight="1" s="93">
      <c r="A960" s="23" t="inlineStr">
        <is>
          <t>5.1301.L026944.0</t>
        </is>
      </c>
      <c r="B960" s="23" t="inlineStr">
        <is>
          <t>L026944</t>
        </is>
      </c>
      <c r="C960" s="29">
        <f>IFERROR(LOWER(SUBSTITUTE(SUBSTITUTE(SUBSTITUTE(SUBSTITUTE(D960," ","-"),"/","-"),".",""),",","")),"")</f>
        <v/>
      </c>
      <c r="D960" s="23" t="inlineStr">
        <is>
          <t>BOMBA PISTOES L2F160</t>
        </is>
      </c>
      <c r="E960" s="23" t="inlineStr">
        <is>
          <t>Bombas Hidráulicas</t>
        </is>
      </c>
      <c r="F960" s="23" t="inlineStr">
        <is>
          <t>SOHIPREN</t>
        </is>
      </c>
      <c r="G960" s="23" t="n"/>
      <c r="H960" s="23" t="inlineStr">
        <is>
          <t>draft</t>
        </is>
      </c>
      <c r="I960" s="23" t="inlineStr">
        <is>
          <t>UCA MÁQUINAS AGRICOLAS</t>
        </is>
      </c>
      <c r="J960" s="23" t="inlineStr">
        <is>
          <t>IMPLEMENTO</t>
        </is>
      </c>
      <c r="K960" s="23" t="inlineStr">
        <is>
          <t>PRINCIPAL</t>
        </is>
      </c>
      <c r="L960" s="23" t="inlineStr">
        <is>
          <t>3020072</t>
        </is>
      </c>
      <c r="M960" s="31" t="n"/>
      <c r="N960" s="31" t="n"/>
      <c r="O960" s="31" t="n"/>
      <c r="P960" s="31" t="n"/>
      <c r="Q960" s="31" t="n"/>
      <c r="R960" s="34">
        <f>IFERROR(IF(AND(O960&gt;0,P960&gt;0,Q960&gt;0),(O960*P960*Q960)/6000,""),"")</f>
        <v/>
      </c>
      <c r="S960" s="34">
        <f>IFERROR(IF(AND(N960&gt;0,R960&gt;0),MAX(N960,R960),IF(N960&gt;0,N960,IF(R960&gt;0,R960,""))),"")</f>
        <v/>
      </c>
      <c r="T960" s="36" t="n"/>
      <c r="U960" s="38" t="inlineStr">
        <is>
          <t>FALTA</t>
        </is>
      </c>
      <c r="V960" s="36" t="n">
        <v>1750</v>
      </c>
      <c r="W960" s="39" t="n">
        <v>0.3</v>
      </c>
      <c r="X960" s="41">
        <f>IFERROR(V960+T960,"")</f>
        <v/>
      </c>
      <c r="Y960" s="41">
        <f>IFERROR(IF(W960&lt;1,X960/(1-W960),""),"")</f>
        <v/>
      </c>
      <c r="Z960" s="43">
        <f>'01_CONFIG_GLOBAL'!$C$14</f>
        <v/>
      </c>
      <c r="AA960" s="41">
        <f>IFERROR(Y960*Z960,"")</f>
        <v/>
      </c>
      <c r="AB960" s="41">
        <f>IFERROR(IF(Z960&lt;1,Y960/(1-Z960),""),"")</f>
        <v/>
      </c>
      <c r="AC960" s="23" t="n"/>
      <c r="AD960" s="36" t="n"/>
      <c r="AE960" s="23" t="n"/>
      <c r="AF960" s="36" t="n"/>
      <c r="AG960" s="23" t="n"/>
      <c r="AH960" s="36" t="n"/>
      <c r="AI960" s="41">
        <f>IFERROR(AVERAGE(AD960,AF960,AH960),"")</f>
        <v/>
      </c>
      <c r="AJ960" s="29">
        <f>IFERROR(IF(AI960="","sem dados",IF(AB960&lt;AI960*0.95,"abaixo",IF(AB960&gt;AI960*1.05,"acima","em linha"))),"")</f>
        <v/>
      </c>
      <c r="AK960" s="23" t="inlineStr">
        <is>
          <t>não</t>
        </is>
      </c>
      <c r="AL960" s="23" t="n"/>
      <c r="AM960" s="23" t="n"/>
      <c r="AN960" s="23" t="n"/>
      <c r="AO960" s="44">
        <f>A960</f>
        <v/>
      </c>
      <c r="AP960" s="44">
        <f>D960</f>
        <v/>
      </c>
    </row>
    <row r="961" hidden="1" ht="15.75" customHeight="1" s="93">
      <c r="A961" s="23" t="inlineStr">
        <is>
          <t>5.0206.0543208.0</t>
        </is>
      </c>
      <c r="B961" s="23" t="inlineStr">
        <is>
          <t>543208</t>
        </is>
      </c>
      <c r="C961" s="29">
        <f>IFERROR(LOWER(SUBSTITUTE(SUBSTITUTE(SUBSTITUTE(SUBSTITUTE(D961," ","-"),"/","-"),".",""),",","")),"")</f>
        <v/>
      </c>
      <c r="D961" s="23" t="inlineStr">
        <is>
          <t>BOMBA HIDRÁULICA - APLICAÇÃO 11 E1.P.B4.L</t>
        </is>
      </c>
      <c r="E961" s="23" t="inlineStr">
        <is>
          <t>Bombas Hidráulicas</t>
        </is>
      </c>
      <c r="F961" s="23" t="inlineStr">
        <is>
          <t>SOHIPREN</t>
        </is>
      </c>
      <c r="G961" s="23" t="n"/>
      <c r="H961" s="23" t="inlineStr">
        <is>
          <t>draft</t>
        </is>
      </c>
      <c r="I961" s="23" t="inlineStr">
        <is>
          <t>VALMET - VALTRA</t>
        </is>
      </c>
      <c r="J961" s="23" t="inlineStr">
        <is>
          <t>TRATOR DE PNEUS</t>
        </is>
      </c>
      <c r="K961" s="23" t="inlineStr">
        <is>
          <t>PRINCIPAL</t>
        </is>
      </c>
      <c r="L961" s="23" t="inlineStr">
        <is>
          <t>157490-4</t>
        </is>
      </c>
      <c r="M961" s="31" t="n"/>
      <c r="N961" s="31" t="n"/>
      <c r="O961" s="31" t="n"/>
      <c r="P961" s="31" t="n"/>
      <c r="Q961" s="31" t="n"/>
      <c r="R961" s="34">
        <f>IFERROR(IF(AND(O961&gt;0,P961&gt;0,Q961&gt;0),(O961*P961*Q961)/6000,""),"")</f>
        <v/>
      </c>
      <c r="S961" s="34">
        <f>IFERROR(IF(AND(N961&gt;0,R961&gt;0),MAX(N961,R961),IF(N961&gt;0,N961,IF(R961&gt;0,R961,""))),"")</f>
        <v/>
      </c>
      <c r="T961" s="36" t="n"/>
      <c r="U961" s="38" t="inlineStr">
        <is>
          <t>FALTA</t>
        </is>
      </c>
      <c r="V961" s="36" t="n">
        <v>517</v>
      </c>
      <c r="W961" s="39" t="n">
        <v>0.3</v>
      </c>
      <c r="X961" s="41">
        <f>IFERROR(V961+T961,"")</f>
        <v/>
      </c>
      <c r="Y961" s="41">
        <f>IFERROR(IF(W961&lt;1,X961/(1-W961),""),"")</f>
        <v/>
      </c>
      <c r="Z961" s="43">
        <f>'01_CONFIG_GLOBAL'!$C$14</f>
        <v/>
      </c>
      <c r="AA961" s="41">
        <f>IFERROR(Y961*Z961,"")</f>
        <v/>
      </c>
      <c r="AB961" s="41">
        <f>IFERROR(IF(Z961&lt;1,Y961/(1-Z961),""),"")</f>
        <v/>
      </c>
      <c r="AC961" s="23" t="n"/>
      <c r="AD961" s="36" t="n"/>
      <c r="AE961" s="23" t="n"/>
      <c r="AF961" s="36" t="n"/>
      <c r="AG961" s="23" t="n"/>
      <c r="AH961" s="36" t="n"/>
      <c r="AI961" s="41">
        <f>IFERROR(AVERAGE(AD961,AF961,AH961),"")</f>
        <v/>
      </c>
      <c r="AJ961" s="29">
        <f>IFERROR(IF(AI961="","sem dados",IF(AB961&lt;AI961*0.95,"abaixo",IF(AB961&gt;AI961*1.05,"acima","em linha"))),"")</f>
        <v/>
      </c>
      <c r="AK961" s="23" t="inlineStr">
        <is>
          <t>não</t>
        </is>
      </c>
      <c r="AL961" s="23" t="n"/>
      <c r="AM961" s="23" t="n"/>
      <c r="AN961" s="23" t="n"/>
      <c r="AO961" s="44">
        <f>A961</f>
        <v/>
      </c>
      <c r="AP961" s="44">
        <f>D961</f>
        <v/>
      </c>
    </row>
    <row r="962" hidden="1" ht="15.75" customHeight="1" s="93">
      <c r="A962" s="23" t="inlineStr">
        <is>
          <t>5.0220.0548951.0</t>
        </is>
      </c>
      <c r="B962" s="23" t="inlineStr">
        <is>
          <t>548951</t>
        </is>
      </c>
      <c r="C962" s="29">
        <f>IFERROR(LOWER(SUBSTITUTE(SUBSTITUTE(SUBSTITUTE(SUBSTITUTE(D962," ","-"),"/","-"),".",""),",","")),"")</f>
        <v/>
      </c>
      <c r="D962" s="23" t="inlineStr">
        <is>
          <t>BOMBA HIDRÁULICA - APLICAÇÃO 22,5 E2.B8.B2/16 B2.L (CPO TRASERO INVERTIDO)</t>
        </is>
      </c>
      <c r="E962" s="23" t="inlineStr">
        <is>
          <t>Bombas Hidráulicas</t>
        </is>
      </c>
      <c r="F962" s="23" t="inlineStr">
        <is>
          <t>SOHIPREN</t>
        </is>
      </c>
      <c r="G962" s="23" t="n"/>
      <c r="H962" s="23" t="inlineStr">
        <is>
          <t>draft</t>
        </is>
      </c>
      <c r="I962" s="23" t="inlineStr">
        <is>
          <t>VALTRA</t>
        </is>
      </c>
      <c r="J962" s="23" t="inlineStr">
        <is>
          <t>TRATOR</t>
        </is>
      </c>
      <c r="K962" s="23" t="n"/>
      <c r="L962" s="23" t="inlineStr">
        <is>
          <t>836640234-8134100-9510080758</t>
        </is>
      </c>
      <c r="M962" s="31" t="n"/>
      <c r="N962" s="31" t="n"/>
      <c r="O962" s="31" t="n"/>
      <c r="P962" s="31" t="n"/>
      <c r="Q962" s="31" t="n"/>
      <c r="R962" s="34">
        <f>IFERROR(IF(AND(O962&gt;0,P962&gt;0,Q962&gt;0),(O962*P962*Q962)/6000,""),"")</f>
        <v/>
      </c>
      <c r="S962" s="34">
        <f>IFERROR(IF(AND(N962&gt;0,R962&gt;0),MAX(N962,R962),IF(N962&gt;0,N962,IF(R962&gt;0,R962,""))),"")</f>
        <v/>
      </c>
      <c r="T962" s="36" t="n"/>
      <c r="U962" s="38" t="inlineStr">
        <is>
          <t>FALTA</t>
        </is>
      </c>
      <c r="V962" s="36" t="n">
        <v>946.34</v>
      </c>
      <c r="W962" s="39" t="n">
        <v>0.3</v>
      </c>
      <c r="X962" s="41">
        <f>IFERROR(V962+T962,"")</f>
        <v/>
      </c>
      <c r="Y962" s="41">
        <f>IFERROR(IF(W962&lt;1,X962/(1-W962),""),"")</f>
        <v/>
      </c>
      <c r="Z962" s="43">
        <f>'01_CONFIG_GLOBAL'!$C$14</f>
        <v/>
      </c>
      <c r="AA962" s="41">
        <f>IFERROR(Y962*Z962,"")</f>
        <v/>
      </c>
      <c r="AB962" s="41">
        <f>IFERROR(IF(Z962&lt;1,Y962/(1-Z962),""),"")</f>
        <v/>
      </c>
      <c r="AC962" s="23" t="n"/>
      <c r="AD962" s="36" t="n"/>
      <c r="AE962" s="23" t="n"/>
      <c r="AF962" s="36" t="n"/>
      <c r="AG962" s="23" t="n"/>
      <c r="AH962" s="36" t="n"/>
      <c r="AI962" s="41">
        <f>IFERROR(AVERAGE(AD962,AF962,AH962),"")</f>
        <v/>
      </c>
      <c r="AJ962" s="29">
        <f>IFERROR(IF(AI962="","sem dados",IF(AB962&lt;AI962*0.95,"abaixo",IF(AB962&gt;AI962*1.05,"acima","em linha"))),"")</f>
        <v/>
      </c>
      <c r="AK962" s="23" t="inlineStr">
        <is>
          <t>não</t>
        </is>
      </c>
      <c r="AL962" s="23" t="n"/>
      <c r="AM962" s="23" t="n"/>
      <c r="AN962" s="23" t="n"/>
      <c r="AO962" s="44">
        <f>A962</f>
        <v/>
      </c>
      <c r="AP962" s="44">
        <f>D962</f>
        <v/>
      </c>
    </row>
    <row r="963" hidden="1" ht="15.75" customHeight="1" s="93">
      <c r="A963" s="23" t="inlineStr">
        <is>
          <t>5.0237.L012620.0</t>
        </is>
      </c>
      <c r="B963" s="23" t="inlineStr">
        <is>
          <t>L01262</t>
        </is>
      </c>
      <c r="C963" s="29">
        <f>IFERROR(LOWER(SUBSTITUTE(SUBSTITUTE(SUBSTITUTE(SUBSTITUTE(D963," ","-"),"/","-"),".",""),",","")),"")</f>
        <v/>
      </c>
      <c r="D963" s="23" t="inlineStr">
        <is>
          <t>KIT.BO.16.A.A42 (MONTAGEM CPO INVERTIDO)</t>
        </is>
      </c>
      <c r="E963" s="23" t="n"/>
      <c r="F963" s="23" t="inlineStr">
        <is>
          <t>SOHIPREN</t>
        </is>
      </c>
      <c r="G963" s="23" t="n"/>
      <c r="H963" s="23" t="inlineStr">
        <is>
          <t>draft</t>
        </is>
      </c>
      <c r="I963" s="23" t="inlineStr">
        <is>
          <t>VALTRA</t>
        </is>
      </c>
      <c r="J963" s="23" t="inlineStr">
        <is>
          <t>TRATOR VALTRA</t>
        </is>
      </c>
      <c r="K963" s="23" t="inlineStr">
        <is>
          <t>KIT DIANTEIRO</t>
        </is>
      </c>
      <c r="L963" s="23" t="n"/>
      <c r="M963" s="31" t="n"/>
      <c r="N963" s="31" t="n"/>
      <c r="O963" s="31" t="n"/>
      <c r="P963" s="31" t="n"/>
      <c r="Q963" s="31" t="n"/>
      <c r="R963" s="34">
        <f>IFERROR(IF(AND(O963&gt;0,P963&gt;0,Q963&gt;0),(O963*P963*Q963)/6000,""),"")</f>
        <v/>
      </c>
      <c r="S963" s="34">
        <f>IFERROR(IF(AND(N963&gt;0,R963&gt;0),MAX(N963,R963),IF(N963&gt;0,N963,IF(R963&gt;0,R963,""))),"")</f>
        <v/>
      </c>
      <c r="T963" s="36" t="n"/>
      <c r="U963" s="38" t="inlineStr">
        <is>
          <t>FALTA</t>
        </is>
      </c>
      <c r="V963" s="36" t="n">
        <v>440</v>
      </c>
      <c r="W963" s="39" t="n">
        <v>0.3</v>
      </c>
      <c r="X963" s="41">
        <f>IFERROR(V963+T963,"")</f>
        <v/>
      </c>
      <c r="Y963" s="41">
        <f>IFERROR(IF(W963&lt;1,X963/(1-W963),""),"")</f>
        <v/>
      </c>
      <c r="Z963" s="43">
        <f>'01_CONFIG_GLOBAL'!$C$14</f>
        <v/>
      </c>
      <c r="AA963" s="41">
        <f>IFERROR(Y963*Z963,"")</f>
        <v/>
      </c>
      <c r="AB963" s="41">
        <f>IFERROR(IF(Z963&lt;1,Y963/(1-Z963),""),"")</f>
        <v/>
      </c>
      <c r="AC963" s="23" t="n"/>
      <c r="AD963" s="36" t="n"/>
      <c r="AE963" s="23" t="n"/>
      <c r="AF963" s="36" t="n"/>
      <c r="AG963" s="23" t="n"/>
      <c r="AH963" s="36" t="n"/>
      <c r="AI963" s="41">
        <f>IFERROR(AVERAGE(AD963,AF963,AH963),"")</f>
        <v/>
      </c>
      <c r="AJ963" s="29">
        <f>IFERROR(IF(AI963="","sem dados",IF(AB963&lt;AI963*0.95,"abaixo",IF(AB963&gt;AI963*1.05,"acima","em linha"))),"")</f>
        <v/>
      </c>
      <c r="AK963" s="23" t="inlineStr">
        <is>
          <t>não</t>
        </is>
      </c>
      <c r="AL963" s="23" t="n"/>
      <c r="AM963" s="23" t="n"/>
      <c r="AN963" s="23" t="n"/>
      <c r="AO963" s="44">
        <f>A963</f>
        <v/>
      </c>
      <c r="AP963" s="44">
        <f>D963</f>
        <v/>
      </c>
    </row>
    <row r="964" hidden="1" ht="15.75" customHeight="1" s="93">
      <c r="A964" s="23" t="inlineStr">
        <is>
          <t>5.0239.0547604.0</t>
        </is>
      </c>
      <c r="B964" s="23" t="inlineStr">
        <is>
          <t>547604</t>
        </is>
      </c>
      <c r="C964" s="29">
        <f>IFERROR(LOWER(SUBSTITUTE(SUBSTITUTE(SUBSTITUTE(SUBSTITUTE(D964," ","-"),"/","-"),".",""),",","")),"")</f>
        <v/>
      </c>
      <c r="D964" s="23" t="inlineStr">
        <is>
          <t>KIT.BO.22,5.A.A</t>
        </is>
      </c>
      <c r="E964" s="23" t="n"/>
      <c r="F964" s="23" t="inlineStr">
        <is>
          <t>SOHIPREN</t>
        </is>
      </c>
      <c r="G964" s="23" t="n"/>
      <c r="H964" s="23" t="inlineStr">
        <is>
          <t>draft</t>
        </is>
      </c>
      <c r="I964" s="23" t="inlineStr">
        <is>
          <t>VALTRA</t>
        </is>
      </c>
      <c r="J964" s="23" t="inlineStr">
        <is>
          <t>TRATOR VALTRA</t>
        </is>
      </c>
      <c r="K964" s="23" t="inlineStr">
        <is>
          <t>KIT TRASEIRO</t>
        </is>
      </c>
      <c r="L964" s="23" t="n"/>
      <c r="M964" s="31" t="n"/>
      <c r="N964" s="31" t="n"/>
      <c r="O964" s="31" t="n"/>
      <c r="P964" s="31" t="n"/>
      <c r="Q964" s="31" t="n"/>
      <c r="R964" s="34">
        <f>IFERROR(IF(AND(O964&gt;0,P964&gt;0,Q964&gt;0),(O964*P964*Q964)/6000,""),"")</f>
        <v/>
      </c>
      <c r="S964" s="34">
        <f>IFERROR(IF(AND(N964&gt;0,R964&gt;0),MAX(N964,R964),IF(N964&gt;0,N964,IF(R964&gt;0,R964,""))),"")</f>
        <v/>
      </c>
      <c r="T964" s="36" t="n"/>
      <c r="U964" s="38" t="inlineStr">
        <is>
          <t>FALTA</t>
        </is>
      </c>
      <c r="V964" s="36" t="n">
        <v>468</v>
      </c>
      <c r="W964" s="39" t="n">
        <v>0.3</v>
      </c>
      <c r="X964" s="41">
        <f>IFERROR(V964+T964,"")</f>
        <v/>
      </c>
      <c r="Y964" s="41">
        <f>IFERROR(IF(W964&lt;1,X964/(1-W964),""),"")</f>
        <v/>
      </c>
      <c r="Z964" s="43">
        <f>'01_CONFIG_GLOBAL'!$C$14</f>
        <v/>
      </c>
      <c r="AA964" s="41">
        <f>IFERROR(Y964*Z964,"")</f>
        <v/>
      </c>
      <c r="AB964" s="41">
        <f>IFERROR(IF(Z964&lt;1,Y964/(1-Z964),""),"")</f>
        <v/>
      </c>
      <c r="AC964" s="23" t="n"/>
      <c r="AD964" s="36" t="n"/>
      <c r="AE964" s="23" t="n"/>
      <c r="AF964" s="36" t="n"/>
      <c r="AG964" s="23" t="n"/>
      <c r="AH964" s="36" t="n"/>
      <c r="AI964" s="41">
        <f>IFERROR(AVERAGE(AD964,AF964,AH964),"")</f>
        <v/>
      </c>
      <c r="AJ964" s="29">
        <f>IFERROR(IF(AI964="","sem dados",IF(AB964&lt;AI964*0.95,"abaixo",IF(AB964&gt;AI964*1.05,"acima","em linha"))),"")</f>
        <v/>
      </c>
      <c r="AK964" s="23" t="inlineStr">
        <is>
          <t>não</t>
        </is>
      </c>
      <c r="AL964" s="23" t="n"/>
      <c r="AM964" s="23" t="n"/>
      <c r="AN964" s="23" t="n"/>
      <c r="AO964" s="44">
        <f>A964</f>
        <v/>
      </c>
      <c r="AP964" s="44">
        <f>D964</f>
        <v/>
      </c>
    </row>
    <row r="965" hidden="1" ht="15.75" customHeight="1" s="93">
      <c r="A965" s="23" t="inlineStr">
        <is>
          <t>5.0237.0547502.0</t>
        </is>
      </c>
      <c r="B965" s="23" t="inlineStr">
        <is>
          <t>547502</t>
        </is>
      </c>
      <c r="C965" s="29">
        <f>IFERROR(LOWER(SUBSTITUTE(SUBSTITUTE(SUBSTITUTE(SUBSTITUTE(D965," ","-"),"/","-"),".",""),",","")),"")</f>
        <v/>
      </c>
      <c r="D965" s="23" t="inlineStr">
        <is>
          <t>KIT.BO.16.E5.B2</t>
        </is>
      </c>
      <c r="E965" s="23" t="n"/>
      <c r="F965" s="23" t="inlineStr">
        <is>
          <t>SOHIPREN</t>
        </is>
      </c>
      <c r="G965" s="23" t="n"/>
      <c r="H965" s="23" t="inlineStr">
        <is>
          <t>draft</t>
        </is>
      </c>
      <c r="I965" s="23" t="inlineStr">
        <is>
          <t>VALTRA</t>
        </is>
      </c>
      <c r="J965" s="23" t="inlineStr">
        <is>
          <t>TRATOR VALTRA</t>
        </is>
      </c>
      <c r="K965" s="23" t="inlineStr">
        <is>
          <t>KIT DIANTEIRO</t>
        </is>
      </c>
      <c r="L965" s="23" t="n"/>
      <c r="M965" s="31" t="n"/>
      <c r="N965" s="31" t="n"/>
      <c r="O965" s="31" t="n"/>
      <c r="P965" s="31" t="n"/>
      <c r="Q965" s="31" t="n"/>
      <c r="R965" s="34">
        <f>IFERROR(IF(AND(O965&gt;0,P965&gt;0,Q965&gt;0),(O965*P965*Q965)/6000,""),"")</f>
        <v/>
      </c>
      <c r="S965" s="34">
        <f>IFERROR(IF(AND(N965&gt;0,R965&gt;0),MAX(N965,R965),IF(N965&gt;0,N965,IF(R965&gt;0,R965,""))),"")</f>
        <v/>
      </c>
      <c r="T965" s="36" t="n"/>
      <c r="U965" s="38" t="inlineStr">
        <is>
          <t>FALTA</t>
        </is>
      </c>
      <c r="V965" s="36" t="n">
        <v>320.46</v>
      </c>
      <c r="W965" s="39" t="n">
        <v>0.3</v>
      </c>
      <c r="X965" s="41">
        <f>IFERROR(V965+T965,"")</f>
        <v/>
      </c>
      <c r="Y965" s="41">
        <f>IFERROR(IF(W965&lt;1,X965/(1-W965),""),"")</f>
        <v/>
      </c>
      <c r="Z965" s="43">
        <f>'01_CONFIG_GLOBAL'!$C$14</f>
        <v/>
      </c>
      <c r="AA965" s="41">
        <f>IFERROR(Y965*Z965,"")</f>
        <v/>
      </c>
      <c r="AB965" s="41">
        <f>IFERROR(IF(Z965&lt;1,Y965/(1-Z965),""),"")</f>
        <v/>
      </c>
      <c r="AC965" s="23" t="n"/>
      <c r="AD965" s="36" t="n"/>
      <c r="AE965" s="23" t="n"/>
      <c r="AF965" s="36" t="n"/>
      <c r="AG965" s="23" t="n"/>
      <c r="AH965" s="36" t="n"/>
      <c r="AI965" s="41">
        <f>IFERROR(AVERAGE(AD965,AF965,AH965),"")</f>
        <v/>
      </c>
      <c r="AJ965" s="29">
        <f>IFERROR(IF(AI965="","sem dados",IF(AB965&lt;AI965*0.95,"abaixo",IF(AB965&gt;AI965*1.05,"acima","em linha"))),"")</f>
        <v/>
      </c>
      <c r="AK965" s="23" t="inlineStr">
        <is>
          <t>não</t>
        </is>
      </c>
      <c r="AL965" s="23" t="n"/>
      <c r="AM965" s="23" t="n"/>
      <c r="AN965" s="23" t="n"/>
      <c r="AO965" s="44">
        <f>A965</f>
        <v/>
      </c>
      <c r="AP965" s="44">
        <f>D965</f>
        <v/>
      </c>
    </row>
    <row r="966" hidden="1" ht="15.75" customHeight="1" s="93">
      <c r="A966" s="23" t="inlineStr">
        <is>
          <t>5.0237.0547503.0</t>
        </is>
      </c>
      <c r="B966" s="23" t="inlineStr">
        <is>
          <t>547503</t>
        </is>
      </c>
      <c r="C966" s="29">
        <f>IFERROR(LOWER(SUBSTITUTE(SUBSTITUTE(SUBSTITUTE(SUBSTITUTE(D966," ","-"),"/","-"),".",""),",","")),"")</f>
        <v/>
      </c>
      <c r="D966" s="23" t="inlineStr">
        <is>
          <t>KIT.BO.16.A.B2</t>
        </is>
      </c>
      <c r="E966" s="23" t="n"/>
      <c r="F966" s="23" t="inlineStr">
        <is>
          <t>SOHIPREN</t>
        </is>
      </c>
      <c r="G966" s="23" t="n"/>
      <c r="H966" s="23" t="inlineStr">
        <is>
          <t>draft</t>
        </is>
      </c>
      <c r="I966" s="23" t="inlineStr">
        <is>
          <t>VALTRA</t>
        </is>
      </c>
      <c r="J966" s="23" t="inlineStr">
        <is>
          <t>TRATOR VALTRA</t>
        </is>
      </c>
      <c r="K966" s="23" t="inlineStr">
        <is>
          <t>KIT TRASEIRO</t>
        </is>
      </c>
      <c r="L966" s="23" t="n"/>
      <c r="M966" s="31" t="n"/>
      <c r="N966" s="31" t="n"/>
      <c r="O966" s="31" t="n"/>
      <c r="P966" s="31" t="n"/>
      <c r="Q966" s="31" t="n"/>
      <c r="R966" s="34">
        <f>IFERROR(IF(AND(O966&gt;0,P966&gt;0,Q966&gt;0),(O966*P966*Q966)/6000,""),"")</f>
        <v/>
      </c>
      <c r="S966" s="34">
        <f>IFERROR(IF(AND(N966&gt;0,R966&gt;0),MAX(N966,R966),IF(N966&gt;0,N966,IF(R966&gt;0,R966,""))),"")</f>
        <v/>
      </c>
      <c r="T966" s="36" t="n"/>
      <c r="U966" s="38" t="inlineStr">
        <is>
          <t>FALTA</t>
        </is>
      </c>
      <c r="V966" s="36" t="n">
        <v>468</v>
      </c>
      <c r="W966" s="39" t="n">
        <v>0.3</v>
      </c>
      <c r="X966" s="41">
        <f>IFERROR(V966+T966,"")</f>
        <v/>
      </c>
      <c r="Y966" s="41">
        <f>IFERROR(IF(W966&lt;1,X966/(1-W966),""),"")</f>
        <v/>
      </c>
      <c r="Z966" s="43">
        <f>'01_CONFIG_GLOBAL'!$C$14</f>
        <v/>
      </c>
      <c r="AA966" s="41">
        <f>IFERROR(Y966*Z966,"")</f>
        <v/>
      </c>
      <c r="AB966" s="41">
        <f>IFERROR(IF(Z966&lt;1,Y966/(1-Z966),""),"")</f>
        <v/>
      </c>
      <c r="AC966" s="23" t="n"/>
      <c r="AD966" s="36" t="n"/>
      <c r="AE966" s="23" t="n"/>
      <c r="AF966" s="36" t="n"/>
      <c r="AG966" s="23" t="n"/>
      <c r="AH966" s="36" t="n"/>
      <c r="AI966" s="41">
        <f>IFERROR(AVERAGE(AD966,AF966,AH966),"")</f>
        <v/>
      </c>
      <c r="AJ966" s="29">
        <f>IFERROR(IF(AI966="","sem dados",IF(AB966&lt;AI966*0.95,"abaixo",IF(AB966&gt;AI966*1.05,"acima","em linha"))),"")</f>
        <v/>
      </c>
      <c r="AK966" s="23" t="inlineStr">
        <is>
          <t>não</t>
        </is>
      </c>
      <c r="AL966" s="23" t="n"/>
      <c r="AM966" s="23" t="n"/>
      <c r="AN966" s="23" t="n"/>
      <c r="AO966" s="44">
        <f>A966</f>
        <v/>
      </c>
      <c r="AP966" s="44">
        <f>D966</f>
        <v/>
      </c>
    </row>
    <row r="967" hidden="1" ht="15.75" customHeight="1" s="93">
      <c r="A967" s="23" t="inlineStr">
        <is>
          <t>5.0237.0547504.0</t>
        </is>
      </c>
      <c r="B967" s="23" t="inlineStr">
        <is>
          <t>547504</t>
        </is>
      </c>
      <c r="C967" s="29">
        <f>IFERROR(LOWER(SUBSTITUTE(SUBSTITUTE(SUBSTITUTE(SUBSTITUTE(D967," ","-"),"/","-"),".",""),",","")),"")</f>
        <v/>
      </c>
      <c r="D967" s="23" t="inlineStr">
        <is>
          <t>KIT.BO.16.A.A42</t>
        </is>
      </c>
      <c r="E967" s="23" t="n"/>
      <c r="F967" s="23" t="inlineStr">
        <is>
          <t>SOHIPREN</t>
        </is>
      </c>
      <c r="G967" s="23" t="n"/>
      <c r="H967" s="23" t="inlineStr">
        <is>
          <t>draft</t>
        </is>
      </c>
      <c r="I967" s="23" t="inlineStr">
        <is>
          <t>VALTRA</t>
        </is>
      </c>
      <c r="J967" s="23" t="inlineStr">
        <is>
          <t>TRATOR VALTRA</t>
        </is>
      </c>
      <c r="K967" s="23" t="inlineStr">
        <is>
          <t>KIT DIANTEIRO</t>
        </is>
      </c>
      <c r="L967" s="23" t="n"/>
      <c r="M967" s="31" t="n"/>
      <c r="N967" s="31" t="n"/>
      <c r="O967" s="31" t="n"/>
      <c r="P967" s="31" t="n"/>
      <c r="Q967" s="31" t="n"/>
      <c r="R967" s="34">
        <f>IFERROR(IF(AND(O967&gt;0,P967&gt;0,Q967&gt;0),(O967*P967*Q967)/6000,""),"")</f>
        <v/>
      </c>
      <c r="S967" s="34">
        <f>IFERROR(IF(AND(N967&gt;0,R967&gt;0),MAX(N967,R967),IF(N967&gt;0,N967,IF(R967&gt;0,R967,""))),"")</f>
        <v/>
      </c>
      <c r="T967" s="36" t="n"/>
      <c r="U967" s="38" t="inlineStr">
        <is>
          <t>FALTA</t>
        </is>
      </c>
      <c r="V967" s="36" t="n">
        <v>468</v>
      </c>
      <c r="W967" s="39" t="n">
        <v>0.3</v>
      </c>
      <c r="X967" s="41">
        <f>IFERROR(V967+T967,"")</f>
        <v/>
      </c>
      <c r="Y967" s="41">
        <f>IFERROR(IF(W967&lt;1,X967/(1-W967),""),"")</f>
        <v/>
      </c>
      <c r="Z967" s="43">
        <f>'01_CONFIG_GLOBAL'!$C$14</f>
        <v/>
      </c>
      <c r="AA967" s="41">
        <f>IFERROR(Y967*Z967,"")</f>
        <v/>
      </c>
      <c r="AB967" s="41">
        <f>IFERROR(IF(Z967&lt;1,Y967/(1-Z967),""),"")</f>
        <v/>
      </c>
      <c r="AC967" s="23" t="n"/>
      <c r="AD967" s="36" t="n"/>
      <c r="AE967" s="23" t="n"/>
      <c r="AF967" s="36" t="n"/>
      <c r="AG967" s="23" t="n"/>
      <c r="AH967" s="36" t="n"/>
      <c r="AI967" s="41">
        <f>IFERROR(AVERAGE(AD967,AF967,AH967),"")</f>
        <v/>
      </c>
      <c r="AJ967" s="29">
        <f>IFERROR(IF(AI967="","sem dados",IF(AB967&lt;AI967*0.95,"abaixo",IF(AB967&gt;AI967*1.05,"acima","em linha"))),"")</f>
        <v/>
      </c>
      <c r="AK967" s="23" t="inlineStr">
        <is>
          <t>não</t>
        </is>
      </c>
      <c r="AL967" s="23" t="n"/>
      <c r="AM967" s="23" t="n"/>
      <c r="AN967" s="23" t="n"/>
      <c r="AO967" s="44">
        <f>A967</f>
        <v/>
      </c>
      <c r="AP967" s="44">
        <f>D967</f>
        <v/>
      </c>
    </row>
    <row r="968" hidden="1" ht="15.75" customHeight="1" s="93">
      <c r="A968" s="23" t="inlineStr">
        <is>
          <t>5.0237.0547505.0</t>
        </is>
      </c>
      <c r="B968" s="23" t="inlineStr">
        <is>
          <t>547505</t>
        </is>
      </c>
      <c r="C968" s="29">
        <f>IFERROR(LOWER(SUBSTITUTE(SUBSTITUTE(SUBSTITUTE(SUBSTITUTE(D968," ","-"),"/","-"),".",""),",","")),"")</f>
        <v/>
      </c>
      <c r="D968" s="23" t="inlineStr">
        <is>
          <t>KIT.BO.16.E5.A42</t>
        </is>
      </c>
      <c r="E968" s="23" t="n"/>
      <c r="F968" s="23" t="inlineStr">
        <is>
          <t>SOHIPREN</t>
        </is>
      </c>
      <c r="G968" s="23" t="n"/>
      <c r="H968" s="23" t="inlineStr">
        <is>
          <t>draft</t>
        </is>
      </c>
      <c r="I968" s="23" t="inlineStr">
        <is>
          <t>VALTRA</t>
        </is>
      </c>
      <c r="J968" s="23" t="inlineStr">
        <is>
          <t>TRATOR VALTRA</t>
        </is>
      </c>
      <c r="K968" s="23" t="inlineStr">
        <is>
          <t>KIT DIANTEIRO</t>
        </is>
      </c>
      <c r="L968" s="23" t="n"/>
      <c r="M968" s="31" t="n"/>
      <c r="N968" s="31" t="n"/>
      <c r="O968" s="31" t="n"/>
      <c r="P968" s="31" t="n"/>
      <c r="Q968" s="31" t="n"/>
      <c r="R968" s="34">
        <f>IFERROR(IF(AND(O968&gt;0,P968&gt;0,Q968&gt;0),(O968*P968*Q968)/6000,""),"")</f>
        <v/>
      </c>
      <c r="S968" s="34">
        <f>IFERROR(IF(AND(N968&gt;0,R968&gt;0),MAX(N968,R968),IF(N968&gt;0,N968,IF(R968&gt;0,R968,""))),"")</f>
        <v/>
      </c>
      <c r="T968" s="36" t="n"/>
      <c r="U968" s="38" t="inlineStr">
        <is>
          <t>FALTA</t>
        </is>
      </c>
      <c r="V968" s="36" t="n">
        <v>468</v>
      </c>
      <c r="W968" s="39" t="n">
        <v>0.3</v>
      </c>
      <c r="X968" s="41">
        <f>IFERROR(V968+T968,"")</f>
        <v/>
      </c>
      <c r="Y968" s="41">
        <f>IFERROR(IF(W968&lt;1,X968/(1-W968),""),"")</f>
        <v/>
      </c>
      <c r="Z968" s="43">
        <f>'01_CONFIG_GLOBAL'!$C$14</f>
        <v/>
      </c>
      <c r="AA968" s="41">
        <f>IFERROR(Y968*Z968,"")</f>
        <v/>
      </c>
      <c r="AB968" s="41">
        <f>IFERROR(IF(Z968&lt;1,Y968/(1-Z968),""),"")</f>
        <v/>
      </c>
      <c r="AC968" s="23" t="n"/>
      <c r="AD968" s="36" t="n"/>
      <c r="AE968" s="23" t="n"/>
      <c r="AF968" s="36" t="n"/>
      <c r="AG968" s="23" t="n"/>
      <c r="AH968" s="36" t="n"/>
      <c r="AI968" s="41">
        <f>IFERROR(AVERAGE(AD968,AF968,AH968),"")</f>
        <v/>
      </c>
      <c r="AJ968" s="29">
        <f>IFERROR(IF(AI968="","sem dados",IF(AB968&lt;AI968*0.95,"abaixo",IF(AB968&gt;AI968*1.05,"acima","em linha"))),"")</f>
        <v/>
      </c>
      <c r="AK968" s="23" t="inlineStr">
        <is>
          <t>não</t>
        </is>
      </c>
      <c r="AL968" s="23" t="n"/>
      <c r="AM968" s="23" t="n"/>
      <c r="AN968" s="23" t="n"/>
      <c r="AO968" s="44">
        <f>A968</f>
        <v/>
      </c>
      <c r="AP968" s="44">
        <f>D968</f>
        <v/>
      </c>
    </row>
    <row r="969" hidden="1" ht="15.75" customHeight="1" s="93">
      <c r="A969" s="23" t="inlineStr">
        <is>
          <t>5.0235.0547403.0</t>
        </is>
      </c>
      <c r="B969" s="23" t="inlineStr">
        <is>
          <t>547403</t>
        </is>
      </c>
      <c r="C969" s="29">
        <f>IFERROR(LOWER(SUBSTITUTE(SUBSTITUTE(SUBSTITUTE(SUBSTITUTE(D969," ","-"),"/","-"),".",""),",","")),"")</f>
        <v/>
      </c>
      <c r="D969" s="23" t="inlineStr">
        <is>
          <t>KIT.BO.11.E1.B2</t>
        </is>
      </c>
      <c r="E969" s="23" t="n"/>
      <c r="F969" s="23" t="inlineStr">
        <is>
          <t>SOHIPREN</t>
        </is>
      </c>
      <c r="G969" s="23" t="n"/>
      <c r="H969" s="23" t="inlineStr">
        <is>
          <t>draft</t>
        </is>
      </c>
      <c r="I969" s="23" t="inlineStr">
        <is>
          <t>VALTRA</t>
        </is>
      </c>
      <c r="J969" s="23" t="inlineStr">
        <is>
          <t>TRATOR VALTRA</t>
        </is>
      </c>
      <c r="K969" s="23" t="n"/>
      <c r="L969" s="23" t="n"/>
      <c r="M969" s="31" t="n"/>
      <c r="N969" s="31" t="n"/>
      <c r="O969" s="31" t="n"/>
      <c r="P969" s="31" t="n"/>
      <c r="Q969" s="31" t="n"/>
      <c r="R969" s="34">
        <f>IFERROR(IF(AND(O969&gt;0,P969&gt;0,Q969&gt;0),(O969*P969*Q969)/6000,""),"")</f>
        <v/>
      </c>
      <c r="S969" s="34">
        <f>IFERROR(IF(AND(N969&gt;0,R969&gt;0),MAX(N969,R969),IF(N969&gt;0,N969,IF(R969&gt;0,R969,""))),"")</f>
        <v/>
      </c>
      <c r="T969" s="36" t="n"/>
      <c r="U969" s="38" t="inlineStr">
        <is>
          <t>FALTA</t>
        </is>
      </c>
      <c r="V969" s="36" t="n">
        <v>545</v>
      </c>
      <c r="W969" s="39" t="n">
        <v>0.3</v>
      </c>
      <c r="X969" s="41">
        <f>IFERROR(V969+T969,"")</f>
        <v/>
      </c>
      <c r="Y969" s="41">
        <f>IFERROR(IF(W969&lt;1,X969/(1-W969),""),"")</f>
        <v/>
      </c>
      <c r="Z969" s="43">
        <f>'01_CONFIG_GLOBAL'!$C$14</f>
        <v/>
      </c>
      <c r="AA969" s="41">
        <f>IFERROR(Y969*Z969,"")</f>
        <v/>
      </c>
      <c r="AB969" s="41">
        <f>IFERROR(IF(Z969&lt;1,Y969/(1-Z969),""),"")</f>
        <v/>
      </c>
      <c r="AC969" s="23" t="n"/>
      <c r="AD969" s="36" t="n"/>
      <c r="AE969" s="23" t="n"/>
      <c r="AF969" s="36" t="n"/>
      <c r="AG969" s="23" t="n"/>
      <c r="AH969" s="36" t="n"/>
      <c r="AI969" s="41">
        <f>IFERROR(AVERAGE(AD969,AF969,AH969),"")</f>
        <v/>
      </c>
      <c r="AJ969" s="29">
        <f>IFERROR(IF(AI969="","sem dados",IF(AB969&lt;AI969*0.95,"abaixo",IF(AB969&gt;AI969*1.05,"acima","em linha"))),"")</f>
        <v/>
      </c>
      <c r="AK969" s="23" t="inlineStr">
        <is>
          <t>não</t>
        </is>
      </c>
      <c r="AL969" s="23" t="n"/>
      <c r="AM969" s="23" t="n"/>
      <c r="AN969" s="23" t="n"/>
      <c r="AO969" s="44">
        <f>A969</f>
        <v/>
      </c>
      <c r="AP969" s="44">
        <f>D969</f>
        <v/>
      </c>
    </row>
    <row r="970" hidden="1" ht="15.75" customHeight="1" s="93">
      <c r="A970" s="23" t="inlineStr">
        <is>
          <t>5.0235.0547404.0</t>
        </is>
      </c>
      <c r="B970" s="23" t="inlineStr">
        <is>
          <t>547404</t>
        </is>
      </c>
      <c r="C970" s="29">
        <f>IFERROR(LOWER(SUBSTITUTE(SUBSTITUTE(SUBSTITUTE(SUBSTITUTE(D970," ","-"),"/","-"),".",""),",","")),"")</f>
        <v/>
      </c>
      <c r="D970" s="23" t="inlineStr">
        <is>
          <t>KIT.BO.11.B13.A4</t>
        </is>
      </c>
      <c r="E970" s="23" t="n"/>
      <c r="F970" s="23" t="inlineStr">
        <is>
          <t>SOHIPREN</t>
        </is>
      </c>
      <c r="G970" s="23" t="n"/>
      <c r="H970" s="23" t="inlineStr">
        <is>
          <t>draft</t>
        </is>
      </c>
      <c r="I970" s="23" t="inlineStr">
        <is>
          <t>VALTRA</t>
        </is>
      </c>
      <c r="J970" s="23" t="inlineStr">
        <is>
          <t>TRATOR VALTRA</t>
        </is>
      </c>
      <c r="K970" s="23" t="n"/>
      <c r="L970" s="23" t="n"/>
      <c r="M970" s="31" t="n"/>
      <c r="N970" s="31" t="n"/>
      <c r="O970" s="31" t="n"/>
      <c r="P970" s="31" t="n"/>
      <c r="Q970" s="31" t="n"/>
      <c r="R970" s="34">
        <f>IFERROR(IF(AND(O970&gt;0,P970&gt;0,Q970&gt;0),(O970*P970*Q970)/6000,""),"")</f>
        <v/>
      </c>
      <c r="S970" s="34">
        <f>IFERROR(IF(AND(N970&gt;0,R970&gt;0),MAX(N970,R970),IF(N970&gt;0,N970,IF(R970&gt;0,R970,""))),"")</f>
        <v/>
      </c>
      <c r="T970" s="36" t="n"/>
      <c r="U970" s="38" t="inlineStr">
        <is>
          <t>FALTA</t>
        </is>
      </c>
      <c r="V970" s="36" t="n">
        <v>468</v>
      </c>
      <c r="W970" s="39" t="n">
        <v>0.3</v>
      </c>
      <c r="X970" s="41">
        <f>IFERROR(V970+T970,"")</f>
        <v/>
      </c>
      <c r="Y970" s="41">
        <f>IFERROR(IF(W970&lt;1,X970/(1-W970),""),"")</f>
        <v/>
      </c>
      <c r="Z970" s="43">
        <f>'01_CONFIG_GLOBAL'!$C$14</f>
        <v/>
      </c>
      <c r="AA970" s="41">
        <f>IFERROR(Y970*Z970,"")</f>
        <v/>
      </c>
      <c r="AB970" s="41">
        <f>IFERROR(IF(Z970&lt;1,Y970/(1-Z970),""),"")</f>
        <v/>
      </c>
      <c r="AC970" s="23" t="n"/>
      <c r="AD970" s="36" t="n"/>
      <c r="AE970" s="23" t="n"/>
      <c r="AF970" s="36" t="n"/>
      <c r="AG970" s="23" t="n"/>
      <c r="AH970" s="36" t="n"/>
      <c r="AI970" s="41">
        <f>IFERROR(AVERAGE(AD970,AF970,AH970),"")</f>
        <v/>
      </c>
      <c r="AJ970" s="29">
        <f>IFERROR(IF(AI970="","sem dados",IF(AB970&lt;AI970*0.95,"abaixo",IF(AB970&gt;AI970*1.05,"acima","em linha"))),"")</f>
        <v/>
      </c>
      <c r="AK970" s="23" t="inlineStr">
        <is>
          <t>não</t>
        </is>
      </c>
      <c r="AL970" s="23" t="n"/>
      <c r="AM970" s="23" t="n"/>
      <c r="AN970" s="23" t="n"/>
      <c r="AO970" s="44">
        <f>A970</f>
        <v/>
      </c>
      <c r="AP970" s="44">
        <f>D970</f>
        <v/>
      </c>
    </row>
    <row r="971" hidden="1" ht="15.75" customHeight="1" s="93">
      <c r="A971" s="23" t="inlineStr">
        <is>
          <t>5.0235.0547405.0</t>
        </is>
      </c>
      <c r="B971" s="23" t="inlineStr">
        <is>
          <t>547405</t>
        </is>
      </c>
      <c r="C971" s="29">
        <f>IFERROR(LOWER(SUBSTITUTE(SUBSTITUTE(SUBSTITUTE(SUBSTITUTE(D971," ","-"),"/","-"),".",""),",","")),"")</f>
        <v/>
      </c>
      <c r="D971" s="23" t="inlineStr">
        <is>
          <t>KIT.BO.11.E5.B2</t>
        </is>
      </c>
      <c r="E971" s="23" t="n"/>
      <c r="F971" s="23" t="inlineStr">
        <is>
          <t>SOHIPREN</t>
        </is>
      </c>
      <c r="G971" s="23" t="n"/>
      <c r="H971" s="23" t="inlineStr">
        <is>
          <t>draft</t>
        </is>
      </c>
      <c r="I971" s="23" t="inlineStr">
        <is>
          <t>VALTRA</t>
        </is>
      </c>
      <c r="J971" s="23" t="inlineStr">
        <is>
          <t>TRATOR VALTRA</t>
        </is>
      </c>
      <c r="K971" s="23" t="inlineStr">
        <is>
          <t>KIT DIANTEIRO</t>
        </is>
      </c>
      <c r="L971" s="23" t="n"/>
      <c r="M971" s="31" t="n"/>
      <c r="N971" s="31" t="n"/>
      <c r="O971" s="31" t="n"/>
      <c r="P971" s="31" t="n"/>
      <c r="Q971" s="31" t="n"/>
      <c r="R971" s="34">
        <f>IFERROR(IF(AND(O971&gt;0,P971&gt;0,Q971&gt;0),(O971*P971*Q971)/6000,""),"")</f>
        <v/>
      </c>
      <c r="S971" s="34">
        <f>IFERROR(IF(AND(N971&gt;0,R971&gt;0),MAX(N971,R971),IF(N971&gt;0,N971,IF(R971&gt;0,R971,""))),"")</f>
        <v/>
      </c>
      <c r="T971" s="36" t="n"/>
      <c r="U971" s="38" t="inlineStr">
        <is>
          <t>FALTA</t>
        </is>
      </c>
      <c r="V971" s="36" t="n">
        <v>468</v>
      </c>
      <c r="W971" s="39" t="n">
        <v>0.3</v>
      </c>
      <c r="X971" s="41">
        <f>IFERROR(V971+T971,"")</f>
        <v/>
      </c>
      <c r="Y971" s="41">
        <f>IFERROR(IF(W971&lt;1,X971/(1-W971),""),"")</f>
        <v/>
      </c>
      <c r="Z971" s="43">
        <f>'01_CONFIG_GLOBAL'!$C$14</f>
        <v/>
      </c>
      <c r="AA971" s="41">
        <f>IFERROR(Y971*Z971,"")</f>
        <v/>
      </c>
      <c r="AB971" s="41">
        <f>IFERROR(IF(Z971&lt;1,Y971/(1-Z971),""),"")</f>
        <v/>
      </c>
      <c r="AC971" s="23" t="n"/>
      <c r="AD971" s="36" t="n"/>
      <c r="AE971" s="23" t="n"/>
      <c r="AF971" s="36" t="n"/>
      <c r="AG971" s="23" t="n"/>
      <c r="AH971" s="36" t="n"/>
      <c r="AI971" s="41">
        <f>IFERROR(AVERAGE(AD971,AF971,AH971),"")</f>
        <v/>
      </c>
      <c r="AJ971" s="29">
        <f>IFERROR(IF(AI971="","sem dados",IF(AB971&lt;AI971*0.95,"abaixo",IF(AB971&gt;AI971*1.05,"acima","em linha"))),"")</f>
        <v/>
      </c>
      <c r="AK971" s="23" t="inlineStr">
        <is>
          <t>não</t>
        </is>
      </c>
      <c r="AL971" s="23" t="n"/>
      <c r="AM971" s="23" t="n"/>
      <c r="AN971" s="23" t="n"/>
      <c r="AO971" s="44">
        <f>A971</f>
        <v/>
      </c>
      <c r="AP971" s="44">
        <f>D971</f>
        <v/>
      </c>
    </row>
    <row r="972" hidden="1" ht="15.75" customHeight="1" s="93">
      <c r="A972" s="23" t="inlineStr">
        <is>
          <t>5.0235.0547406.0</t>
        </is>
      </c>
      <c r="B972" s="23" t="inlineStr">
        <is>
          <t>547406</t>
        </is>
      </c>
      <c r="C972" s="29">
        <f>IFERROR(LOWER(SUBSTITUTE(SUBSTITUTE(SUBSTITUTE(SUBSTITUTE(D972," ","-"),"/","-"),".",""),",","")),"")</f>
        <v/>
      </c>
      <c r="D972" s="23" t="inlineStr">
        <is>
          <t>KIT.BO.11.A.B2</t>
        </is>
      </c>
      <c r="E972" s="23" t="n"/>
      <c r="F972" s="23" t="inlineStr">
        <is>
          <t>SOHIPREN</t>
        </is>
      </c>
      <c r="G972" s="23" t="n"/>
      <c r="H972" s="23" t="inlineStr">
        <is>
          <t>draft</t>
        </is>
      </c>
      <c r="I972" s="23" t="inlineStr">
        <is>
          <t>VALTRA</t>
        </is>
      </c>
      <c r="J972" s="23" t="inlineStr">
        <is>
          <t>TRATOR VALTRA</t>
        </is>
      </c>
      <c r="K972" s="23" t="inlineStr">
        <is>
          <t>KIT TRASEIRO</t>
        </is>
      </c>
      <c r="L972" s="23" t="n"/>
      <c r="M972" s="31" t="n"/>
      <c r="N972" s="31" t="n"/>
      <c r="O972" s="31" t="n"/>
      <c r="P972" s="31" t="n"/>
      <c r="Q972" s="31" t="n"/>
      <c r="R972" s="34">
        <f>IFERROR(IF(AND(O972&gt;0,P972&gt;0,Q972&gt;0),(O972*P972*Q972)/6000,""),"")</f>
        <v/>
      </c>
      <c r="S972" s="34">
        <f>IFERROR(IF(AND(N972&gt;0,R972&gt;0),MAX(N972,R972),IF(N972&gt;0,N972,IF(R972&gt;0,R972,""))),"")</f>
        <v/>
      </c>
      <c r="T972" s="36" t="n"/>
      <c r="U972" s="38" t="inlineStr">
        <is>
          <t>FALTA</t>
        </is>
      </c>
      <c r="V972" s="36" t="n">
        <v>468</v>
      </c>
      <c r="W972" s="39" t="n">
        <v>0.3</v>
      </c>
      <c r="X972" s="41">
        <f>IFERROR(V972+T972,"")</f>
        <v/>
      </c>
      <c r="Y972" s="41">
        <f>IFERROR(IF(W972&lt;1,X972/(1-W972),""),"")</f>
        <v/>
      </c>
      <c r="Z972" s="43">
        <f>'01_CONFIG_GLOBAL'!$C$14</f>
        <v/>
      </c>
      <c r="AA972" s="41">
        <f>IFERROR(Y972*Z972,"")</f>
        <v/>
      </c>
      <c r="AB972" s="41">
        <f>IFERROR(IF(Z972&lt;1,Y972/(1-Z972),""),"")</f>
        <v/>
      </c>
      <c r="AC972" s="23" t="n"/>
      <c r="AD972" s="36" t="n"/>
      <c r="AE972" s="23" t="n"/>
      <c r="AF972" s="36" t="n"/>
      <c r="AG972" s="23" t="n"/>
      <c r="AH972" s="36" t="n"/>
      <c r="AI972" s="41">
        <f>IFERROR(AVERAGE(AD972,AF972,AH972),"")</f>
        <v/>
      </c>
      <c r="AJ972" s="29">
        <f>IFERROR(IF(AI972="","sem dados",IF(AB972&lt;AI972*0.95,"abaixo",IF(AB972&gt;AI972*1.05,"acima","em linha"))),"")</f>
        <v/>
      </c>
      <c r="AK972" s="23" t="inlineStr">
        <is>
          <t>não</t>
        </is>
      </c>
      <c r="AL972" s="23" t="n"/>
      <c r="AM972" s="23" t="n"/>
      <c r="AN972" s="23" t="n"/>
      <c r="AO972" s="44">
        <f>A972</f>
        <v/>
      </c>
      <c r="AP972" s="44">
        <f>D972</f>
        <v/>
      </c>
    </row>
    <row r="973" hidden="1" ht="15.75" customHeight="1" s="93">
      <c r="A973" s="23" t="inlineStr">
        <is>
          <t>5.0220.0548841.0</t>
        </is>
      </c>
      <c r="B973" s="23" t="inlineStr">
        <is>
          <t>548841</t>
        </is>
      </c>
      <c r="C973" s="29">
        <f>IFERROR(LOWER(SUBSTITUTE(SUBSTITUTE(SUBSTITUTE(SUBSTITUTE(D973," ","-"),"/","-"),".",""),",","")),"")</f>
        <v/>
      </c>
      <c r="D973" s="23" t="inlineStr">
        <is>
          <t>BOMBA HIDRÁULICA - APLICAÇÃO 22,5 E2.B8.B2/11 B2.L</t>
        </is>
      </c>
      <c r="E973" s="23" t="inlineStr">
        <is>
          <t>Bombas Hidráulicas</t>
        </is>
      </c>
      <c r="F973" s="23" t="inlineStr">
        <is>
          <t>SOHIPREN</t>
        </is>
      </c>
      <c r="G973" s="23" t="n"/>
      <c r="H973" s="23" t="inlineStr">
        <is>
          <t>draft</t>
        </is>
      </c>
      <c r="I973" s="23" t="inlineStr">
        <is>
          <t>VALTRA - VALMET</t>
        </is>
      </c>
      <c r="J973" s="23" t="inlineStr">
        <is>
          <t>TRATOR</t>
        </is>
      </c>
      <c r="K973" s="23" t="inlineStr">
        <is>
          <t>PRINCIPAL</t>
        </is>
      </c>
      <c r="L973" s="23" t="inlineStr">
        <is>
          <t>82022500  / 9510080759</t>
        </is>
      </c>
      <c r="M973" s="31" t="n"/>
      <c r="N973" s="31" t="n"/>
      <c r="O973" s="31" t="n"/>
      <c r="P973" s="31" t="n"/>
      <c r="Q973" s="31" t="n"/>
      <c r="R973" s="34">
        <f>IFERROR(IF(AND(O973&gt;0,P973&gt;0,Q973&gt;0),(O973*P973*Q973)/6000,""),"")</f>
        <v/>
      </c>
      <c r="S973" s="34">
        <f>IFERROR(IF(AND(N973&gt;0,R973&gt;0),MAX(N973,R973),IF(N973&gt;0,N973,IF(R973&gt;0,R973,""))),"")</f>
        <v/>
      </c>
      <c r="T973" s="36" t="n"/>
      <c r="U973" s="38" t="inlineStr">
        <is>
          <t>FALTA</t>
        </is>
      </c>
      <c r="V973" s="36" t="n">
        <v>1420</v>
      </c>
      <c r="W973" s="39" t="n">
        <v>0.3</v>
      </c>
      <c r="X973" s="41">
        <f>IFERROR(V973+T973,"")</f>
        <v/>
      </c>
      <c r="Y973" s="41">
        <f>IFERROR(IF(W973&lt;1,X973/(1-W973),""),"")</f>
        <v/>
      </c>
      <c r="Z973" s="43">
        <f>'01_CONFIG_GLOBAL'!$C$14</f>
        <v/>
      </c>
      <c r="AA973" s="41">
        <f>IFERROR(Y973*Z973,"")</f>
        <v/>
      </c>
      <c r="AB973" s="41">
        <f>IFERROR(IF(Z973&lt;1,Y973/(1-Z973),""),"")</f>
        <v/>
      </c>
      <c r="AC973" s="23" t="n"/>
      <c r="AD973" s="36" t="n"/>
      <c r="AE973" s="23" t="n"/>
      <c r="AF973" s="36" t="n"/>
      <c r="AG973" s="23" t="n"/>
      <c r="AH973" s="36" t="n"/>
      <c r="AI973" s="41">
        <f>IFERROR(AVERAGE(AD973,AF973,AH973),"")</f>
        <v/>
      </c>
      <c r="AJ973" s="29">
        <f>IFERROR(IF(AI973="","sem dados",IF(AB973&lt;AI973*0.95,"abaixo",IF(AB973&gt;AI973*1.05,"acima","em linha"))),"")</f>
        <v/>
      </c>
      <c r="AK973" s="23" t="inlineStr">
        <is>
          <t>não</t>
        </is>
      </c>
      <c r="AL973" s="23" t="n"/>
      <c r="AM973" s="23" t="n"/>
      <c r="AN973" s="23" t="n"/>
      <c r="AO973" s="44">
        <f>A973</f>
        <v/>
      </c>
      <c r="AP973" s="44">
        <f>D973</f>
        <v/>
      </c>
    </row>
    <row r="974" hidden="1" ht="15.75" customHeight="1" s="93">
      <c r="A974" s="23" t="inlineStr">
        <is>
          <t>5.0220.0548821.0</t>
        </is>
      </c>
      <c r="B974" s="23" t="inlineStr">
        <is>
          <t>548821</t>
        </is>
      </c>
      <c r="C974" s="29">
        <f>IFERROR(LOWER(SUBSTITUTE(SUBSTITUTE(SUBSTITUTE(SUBSTITUTE(D974," ","-"),"/","-"),".",""),",","")),"")</f>
        <v/>
      </c>
      <c r="D974" s="23" t="inlineStr">
        <is>
          <t>BOD 22,5 E21.C9.A/14 A.L (PLACA H15)</t>
        </is>
      </c>
      <c r="E974" s="23" t="inlineStr">
        <is>
          <t>Bombas Hidráulicas</t>
        </is>
      </c>
      <c r="F974" s="23" t="inlineStr">
        <is>
          <t>SOHIPREN</t>
        </is>
      </c>
      <c r="G974" s="23" t="n"/>
      <c r="H974" s="23" t="inlineStr">
        <is>
          <t>draft</t>
        </is>
      </c>
      <c r="I974" s="23" t="inlineStr">
        <is>
          <t>VALTRA - VALMET</t>
        </is>
      </c>
      <c r="J974" s="23" t="inlineStr">
        <is>
          <t>TRATOR</t>
        </is>
      </c>
      <c r="K974" s="23" t="inlineStr">
        <is>
          <t>PRINCIPAL</t>
        </is>
      </c>
      <c r="L974" s="23" t="inlineStr">
        <is>
          <t>81131300-9510080755</t>
        </is>
      </c>
      <c r="M974" s="31" t="n"/>
      <c r="N974" s="31" t="n"/>
      <c r="O974" s="31" t="n"/>
      <c r="P974" s="31" t="n"/>
      <c r="Q974" s="31" t="n"/>
      <c r="R974" s="34">
        <f>IFERROR(IF(AND(O974&gt;0,P974&gt;0,Q974&gt;0),(O974*P974*Q974)/6000,""),"")</f>
        <v/>
      </c>
      <c r="S974" s="34">
        <f>IFERROR(IF(AND(N974&gt;0,R974&gt;0),MAX(N974,R974),IF(N974&gt;0,N974,IF(R974&gt;0,R974,""))),"")</f>
        <v/>
      </c>
      <c r="T974" s="36" t="n"/>
      <c r="U974" s="38" t="inlineStr">
        <is>
          <t>FALTA</t>
        </is>
      </c>
      <c r="V974" s="36" t="n">
        <v>1330</v>
      </c>
      <c r="W974" s="39" t="n">
        <v>0.3</v>
      </c>
      <c r="X974" s="41">
        <f>IFERROR(V974+T974,"")</f>
        <v/>
      </c>
      <c r="Y974" s="41">
        <f>IFERROR(IF(W974&lt;1,X974/(1-W974),""),"")</f>
        <v/>
      </c>
      <c r="Z974" s="43">
        <f>'01_CONFIG_GLOBAL'!$C$14</f>
        <v/>
      </c>
      <c r="AA974" s="41">
        <f>IFERROR(Y974*Z974,"")</f>
        <v/>
      </c>
      <c r="AB974" s="41">
        <f>IFERROR(IF(Z974&lt;1,Y974/(1-Z974),""),"")</f>
        <v/>
      </c>
      <c r="AC974" s="23" t="n"/>
      <c r="AD974" s="36" t="n"/>
      <c r="AE974" s="23" t="n"/>
      <c r="AF974" s="36" t="n"/>
      <c r="AG974" s="23" t="n"/>
      <c r="AH974" s="36" t="n"/>
      <c r="AI974" s="41">
        <f>IFERROR(AVERAGE(AD974,AF974,AH974),"")</f>
        <v/>
      </c>
      <c r="AJ974" s="29">
        <f>IFERROR(IF(AI974="","sem dados",IF(AB974&lt;AI974*0.95,"abaixo",IF(AB974&gt;AI974*1.05,"acima","em linha"))),"")</f>
        <v/>
      </c>
      <c r="AK974" s="23" t="inlineStr">
        <is>
          <t>não</t>
        </is>
      </c>
      <c r="AL974" s="23" t="n"/>
      <c r="AM974" s="23" t="n"/>
      <c r="AN974" s="23" t="n"/>
      <c r="AO974" s="44">
        <f>A974</f>
        <v/>
      </c>
      <c r="AP974" s="44">
        <f>D974</f>
        <v/>
      </c>
    </row>
    <row r="975" ht="15.75" customHeight="1" s="93">
      <c r="A975" s="23" t="inlineStr">
        <is>
          <t>5.0220.L025598.0</t>
        </is>
      </c>
      <c r="B975" s="23" t="inlineStr">
        <is>
          <t>L025598</t>
        </is>
      </c>
      <c r="C975" s="29">
        <f>IFERROR(LOWER(SUBSTITUTE(SUBSTITUTE(SUBSTITUTE(SUBSTITUTE(D975," ","-"),"/","-"),".",""),",","")),"")</f>
        <v/>
      </c>
      <c r="D975" s="50" t="inlineStr">
        <is>
          <t>Bomba Hidráulica 26 Principal - Trator Valtra-Valmet (E2.B8.B110/16)</t>
        </is>
      </c>
      <c r="E975" s="50" t="inlineStr">
        <is>
          <t>Bombas Hidráulicas</t>
        </is>
      </c>
      <c r="F975" s="23" t="inlineStr">
        <is>
          <t>SOHIPREN</t>
        </is>
      </c>
      <c r="G975" s="23" t="n"/>
      <c r="H975" s="23" t="inlineStr">
        <is>
          <t>active</t>
        </is>
      </c>
      <c r="I975" s="23" t="inlineStr">
        <is>
          <t>VALTRA - VALMET</t>
        </is>
      </c>
      <c r="J975" s="23" t="inlineStr">
        <is>
          <t>TRATOR</t>
        </is>
      </c>
      <c r="K975" s="23" t="inlineStr">
        <is>
          <t>PRINCIPAL</t>
        </is>
      </c>
      <c r="L975" s="23" t="inlineStr">
        <is>
          <t>85422700 / R979010478</t>
        </is>
      </c>
      <c r="M975" s="31" t="n"/>
      <c r="N975" s="31" t="n">
        <v>12.3</v>
      </c>
      <c r="O975" s="31" t="n">
        <v>30</v>
      </c>
      <c r="P975" s="31" t="n">
        <v>12.5</v>
      </c>
      <c r="Q975" s="31" t="n">
        <v>12.5</v>
      </c>
      <c r="R975" s="34">
        <f>IFERROR(IF(AND(O975&gt;0,P975&gt;0,Q975&gt;0),(O975*P975*Q975)/6000,""),"")</f>
        <v/>
      </c>
      <c r="S975" s="34">
        <f>IFERROR(IF(AND(N975&gt;0,R975&gt;0),MAX(N975,R975),IF(N975&gt;0,N975,IF(R975&gt;0,R975,""))),"")</f>
        <v/>
      </c>
      <c r="T975" s="36" t="n">
        <v>100</v>
      </c>
      <c r="U975" s="23" t="inlineStr">
        <is>
          <t>fornecedor</t>
        </is>
      </c>
      <c r="V975" s="36" t="n">
        <v>1228.25</v>
      </c>
      <c r="W975" s="39" t="n">
        <v>0.2</v>
      </c>
      <c r="X975" s="41">
        <f>IFERROR(V975+T975,"")</f>
        <v/>
      </c>
      <c r="Y975" s="41">
        <f>IFERROR(IF(W975&lt;1,X975/(1-W975),""),"")</f>
        <v/>
      </c>
      <c r="Z975" s="43">
        <f>'01_CONFIG_GLOBAL'!$C$14</f>
        <v/>
      </c>
      <c r="AA975" s="41">
        <f>IFERROR(Y975*Z975,"")</f>
        <v/>
      </c>
      <c r="AB975" s="41">
        <f>IFERROR(IF(Z975&lt;1,Y975/(1-Z975),""),"")</f>
        <v/>
      </c>
      <c r="AC975" s="23" t="n"/>
      <c r="AD975" s="36" t="n"/>
      <c r="AE975" s="23" t="n"/>
      <c r="AF975" s="36" t="n"/>
      <c r="AG975" s="23" t="n"/>
      <c r="AH975" s="36" t="n"/>
      <c r="AI975" s="41">
        <f>IFERROR(AVERAGE(AD975,AF975,AH975),"")</f>
        <v/>
      </c>
      <c r="AJ975" s="29">
        <f>IFERROR(IF(AI975="","sem dados",IF(AB975&lt;AI975*0.95,"abaixo",IF(AB975&gt;AI975*1.05,"acima","em linha"))),"")</f>
        <v/>
      </c>
      <c r="AK975" s="23" t="inlineStr">
        <is>
          <t>sim</t>
        </is>
      </c>
      <c r="AL975" s="23" t="n"/>
      <c r="AM975" s="23" t="n"/>
      <c r="AN975" s="23" t="n"/>
      <c r="AO975" s="44">
        <f>A975</f>
        <v/>
      </c>
      <c r="AP975" s="44">
        <f>D975</f>
        <v/>
      </c>
      <c r="AQ975" s="28" t="inlineStr">
        <is>
          <t>bomba_generica.png (genérica)</t>
        </is>
      </c>
    </row>
    <row r="976" hidden="1" ht="15.75" customHeight="1" s="93">
      <c r="A976" s="23" t="inlineStr">
        <is>
          <t>5.0220.L027026.0</t>
        </is>
      </c>
      <c r="B976" s="23" t="n"/>
      <c r="C976" s="29">
        <f>IFERROR(LOWER(SUBSTITUTE(SUBSTITUTE(SUBSTITUTE(SUBSTITUTE(D976," ","-"),"/","-"),".",""),",","")),"")</f>
        <v/>
      </c>
      <c r="D976" s="23" t="inlineStr">
        <is>
          <t>(NAO USAR)</t>
        </is>
      </c>
      <c r="E976" s="23" t="n"/>
      <c r="F976" s="23" t="inlineStr">
        <is>
          <t>SOHIPREN</t>
        </is>
      </c>
      <c r="G976" s="23" t="n"/>
      <c r="H976" s="23" t="inlineStr">
        <is>
          <t>draft</t>
        </is>
      </c>
      <c r="I976" s="23" t="inlineStr">
        <is>
          <t>VALTRA - VALMET</t>
        </is>
      </c>
      <c r="J976" s="23" t="inlineStr">
        <is>
          <t>TRATOR</t>
        </is>
      </c>
      <c r="K976" s="23" t="inlineStr">
        <is>
          <t>PRINCIPAL</t>
        </is>
      </c>
      <c r="L976" s="23" t="inlineStr">
        <is>
          <t>836659742-836640234-9510080758</t>
        </is>
      </c>
      <c r="M976" s="31" t="n"/>
      <c r="N976" s="31" t="n"/>
      <c r="O976" s="31" t="n"/>
      <c r="P976" s="31" t="n"/>
      <c r="Q976" s="31" t="n"/>
      <c r="R976" s="34">
        <f>IFERROR(IF(AND(O976&gt;0,P976&gt;0,Q976&gt;0),(O976*P976*Q976)/6000,""),"")</f>
        <v/>
      </c>
      <c r="S976" s="34">
        <f>IFERROR(IF(AND(N976&gt;0,R976&gt;0),MAX(N976,R976),IF(N976&gt;0,N976,IF(R976&gt;0,R976,""))),"")</f>
        <v/>
      </c>
      <c r="T976" s="36" t="n"/>
      <c r="U976" s="38" t="inlineStr">
        <is>
          <t>FALTA</t>
        </is>
      </c>
      <c r="V976" s="36" t="n">
        <v>1100</v>
      </c>
      <c r="W976" s="39" t="n">
        <v>0.3</v>
      </c>
      <c r="X976" s="41">
        <f>IFERROR(V976+T976,"")</f>
        <v/>
      </c>
      <c r="Y976" s="41">
        <f>IFERROR(IF(W976&lt;1,X976/(1-W976),""),"")</f>
        <v/>
      </c>
      <c r="Z976" s="43">
        <f>'01_CONFIG_GLOBAL'!$C$14</f>
        <v/>
      </c>
      <c r="AA976" s="41">
        <f>IFERROR(Y976*Z976,"")</f>
        <v/>
      </c>
      <c r="AB976" s="41">
        <f>IFERROR(IF(Z976&lt;1,Y976/(1-Z976),""),"")</f>
        <v/>
      </c>
      <c r="AC976" s="23" t="n"/>
      <c r="AD976" s="36" t="n"/>
      <c r="AE976" s="23" t="n"/>
      <c r="AF976" s="36" t="n"/>
      <c r="AG976" s="23" t="n"/>
      <c r="AH976" s="36" t="n"/>
      <c r="AI976" s="41">
        <f>IFERROR(AVERAGE(AD976,AF976,AH976),"")</f>
        <v/>
      </c>
      <c r="AJ976" s="29">
        <f>IFERROR(IF(AI976="","sem dados",IF(AB976&lt;AI976*0.95,"abaixo",IF(AB976&gt;AI976*1.05,"acima","em linha"))),"")</f>
        <v/>
      </c>
      <c r="AK976" s="23" t="inlineStr">
        <is>
          <t>não</t>
        </is>
      </c>
      <c r="AL976" s="23" t="n"/>
      <c r="AM976" s="23" t="n"/>
      <c r="AN976" s="23" t="n"/>
      <c r="AO976" s="44">
        <f>A976</f>
        <v/>
      </c>
      <c r="AP976" s="44">
        <f>D976</f>
        <v/>
      </c>
    </row>
    <row r="977" hidden="1" ht="15.75" customHeight="1" s="93">
      <c r="A977" s="23" t="inlineStr">
        <is>
          <t>5.0220.0547204.0</t>
        </is>
      </c>
      <c r="B977" s="23" t="inlineStr">
        <is>
          <t>547204</t>
        </is>
      </c>
      <c r="C977" s="29">
        <f>IFERROR(LOWER(SUBSTITUTE(SUBSTITUTE(SUBSTITUTE(SUBSTITUTE(D977," ","-"),"/","-"),".",""),",","")),"")</f>
        <v/>
      </c>
      <c r="D977" s="23" t="inlineStr">
        <is>
          <t>BOMBA HIDRÁULICA - APLICAÇÃO 16 E5.P.B5/16 B4.L (PLACA H15)</t>
        </is>
      </c>
      <c r="E977" s="23" t="inlineStr">
        <is>
          <t>Bombas Hidráulicas</t>
        </is>
      </c>
      <c r="F977" s="23" t="inlineStr">
        <is>
          <t>SOHIPREN</t>
        </is>
      </c>
      <c r="G977" s="23" t="n"/>
      <c r="H977" s="23" t="inlineStr">
        <is>
          <t>draft</t>
        </is>
      </c>
      <c r="I977" s="23" t="inlineStr">
        <is>
          <t>VALTRA - VALMET</t>
        </is>
      </c>
      <c r="J977" s="23" t="inlineStr">
        <is>
          <t>TRATOR DE PNEUS</t>
        </is>
      </c>
      <c r="K977" s="23" t="inlineStr">
        <is>
          <t>PRINCIPAL</t>
        </is>
      </c>
      <c r="L977" s="23" t="inlineStr">
        <is>
          <t>191850-7</t>
        </is>
      </c>
      <c r="M977" s="31" t="n"/>
      <c r="N977" s="31" t="n"/>
      <c r="O977" s="31" t="n"/>
      <c r="P977" s="31" t="n"/>
      <c r="Q977" s="31" t="n"/>
      <c r="R977" s="34">
        <f>IFERROR(IF(AND(O977&gt;0,P977&gt;0,Q977&gt;0),(O977*P977*Q977)/6000,""),"")</f>
        <v/>
      </c>
      <c r="S977" s="34">
        <f>IFERROR(IF(AND(N977&gt;0,R977&gt;0),MAX(N977,R977),IF(N977&gt;0,N977,IF(R977&gt;0,R977,""))),"")</f>
        <v/>
      </c>
      <c r="T977" s="36" t="n"/>
      <c r="U977" s="38" t="inlineStr">
        <is>
          <t>FALTA</t>
        </is>
      </c>
      <c r="V977" s="36" t="n">
        <v>1222</v>
      </c>
      <c r="W977" s="39" t="n">
        <v>0.3</v>
      </c>
      <c r="X977" s="41">
        <f>IFERROR(V977+T977,"")</f>
        <v/>
      </c>
      <c r="Y977" s="41">
        <f>IFERROR(IF(W977&lt;1,X977/(1-W977),""),"")</f>
        <v/>
      </c>
      <c r="Z977" s="43">
        <f>'01_CONFIG_GLOBAL'!$C$14</f>
        <v/>
      </c>
      <c r="AA977" s="41">
        <f>IFERROR(Y977*Z977,"")</f>
        <v/>
      </c>
      <c r="AB977" s="41">
        <f>IFERROR(IF(Z977&lt;1,Y977/(1-Z977),""),"")</f>
        <v/>
      </c>
      <c r="AC977" s="23" t="n"/>
      <c r="AD977" s="36" t="n"/>
      <c r="AE977" s="23" t="n"/>
      <c r="AF977" s="36" t="n"/>
      <c r="AG977" s="23" t="n"/>
      <c r="AH977" s="36" t="n"/>
      <c r="AI977" s="41">
        <f>IFERROR(AVERAGE(AD977,AF977,AH977),"")</f>
        <v/>
      </c>
      <c r="AJ977" s="29">
        <f>IFERROR(IF(AI977="","sem dados",IF(AB977&lt;AI977*0.95,"abaixo",IF(AB977&gt;AI977*1.05,"acima","em linha"))),"")</f>
        <v/>
      </c>
      <c r="AK977" s="23" t="inlineStr">
        <is>
          <t>não</t>
        </is>
      </c>
      <c r="AL977" s="23" t="n"/>
      <c r="AM977" s="23" t="n"/>
      <c r="AN977" s="23" t="n"/>
      <c r="AO977" s="44">
        <f>A977</f>
        <v/>
      </c>
      <c r="AP977" s="44">
        <f>D977</f>
        <v/>
      </c>
    </row>
    <row r="978" hidden="1" ht="15.75" customHeight="1" s="93">
      <c r="A978" s="23" t="inlineStr">
        <is>
          <t>5.0220.0547217.0</t>
        </is>
      </c>
      <c r="B978" s="23" t="inlineStr">
        <is>
          <t>547217</t>
        </is>
      </c>
      <c r="C978" s="29">
        <f>IFERROR(LOWER(SUBSTITUTE(SUBSTITUTE(SUBSTITUTE(SUBSTITUTE(D978," ","-"),"/","-"),".",""),",","")),"")</f>
        <v/>
      </c>
      <c r="D978" s="23" t="inlineStr">
        <is>
          <t>BOD 22,5 E5.C9.A2/11 A42.L1</t>
        </is>
      </c>
      <c r="E978" s="23" t="inlineStr">
        <is>
          <t>Bombas Hidráulicas</t>
        </is>
      </c>
      <c r="F978" s="23" t="inlineStr">
        <is>
          <t>SOHIPREN</t>
        </is>
      </c>
      <c r="G978" s="23" t="n"/>
      <c r="H978" s="23" t="inlineStr">
        <is>
          <t>draft</t>
        </is>
      </c>
      <c r="I978" s="23" t="inlineStr">
        <is>
          <t>VALTRA - VALMET</t>
        </is>
      </c>
      <c r="J978" s="23" t="inlineStr">
        <is>
          <t>TRATOR</t>
        </is>
      </c>
      <c r="K978" s="23" t="inlineStr">
        <is>
          <t>PRINCIPAL</t>
        </is>
      </c>
      <c r="L978" s="23" t="inlineStr">
        <is>
          <t>80514700/9510080753</t>
        </is>
      </c>
      <c r="M978" s="31" t="n"/>
      <c r="N978" s="31" t="n"/>
      <c r="O978" s="31" t="n"/>
      <c r="P978" s="31" t="n"/>
      <c r="Q978" s="31" t="n"/>
      <c r="R978" s="34">
        <f>IFERROR(IF(AND(O978&gt;0,P978&gt;0,Q978&gt;0),(O978*P978*Q978)/6000,""),"")</f>
        <v/>
      </c>
      <c r="S978" s="34">
        <f>IFERROR(IF(AND(N978&gt;0,R978&gt;0),MAX(N978,R978),IF(N978&gt;0,N978,IF(R978&gt;0,R978,""))),"")</f>
        <v/>
      </c>
      <c r="T978" s="36" t="n"/>
      <c r="U978" s="38" t="inlineStr">
        <is>
          <t>FALTA</t>
        </is>
      </c>
      <c r="V978" s="36" t="n">
        <v>1775</v>
      </c>
      <c r="W978" s="39" t="n">
        <v>0.3</v>
      </c>
      <c r="X978" s="41">
        <f>IFERROR(V978+T978,"")</f>
        <v/>
      </c>
      <c r="Y978" s="41">
        <f>IFERROR(IF(W978&lt;1,X978/(1-W978),""),"")</f>
        <v/>
      </c>
      <c r="Z978" s="43">
        <f>'01_CONFIG_GLOBAL'!$C$14</f>
        <v/>
      </c>
      <c r="AA978" s="41">
        <f>IFERROR(Y978*Z978,"")</f>
        <v/>
      </c>
      <c r="AB978" s="41">
        <f>IFERROR(IF(Z978&lt;1,Y978/(1-Z978),""),"")</f>
        <v/>
      </c>
      <c r="AC978" s="23" t="n"/>
      <c r="AD978" s="36" t="n"/>
      <c r="AE978" s="23" t="n"/>
      <c r="AF978" s="36" t="n"/>
      <c r="AG978" s="23" t="n"/>
      <c r="AH978" s="36" t="n"/>
      <c r="AI978" s="41">
        <f>IFERROR(AVERAGE(AD978,AF978,AH978),"")</f>
        <v/>
      </c>
      <c r="AJ978" s="29">
        <f>IFERROR(IF(AI978="","sem dados",IF(AB978&lt;AI978*0.95,"abaixo",IF(AB978&gt;AI978*1.05,"acima","em linha"))),"")</f>
        <v/>
      </c>
      <c r="AK978" s="23" t="inlineStr">
        <is>
          <t>não</t>
        </is>
      </c>
      <c r="AL978" s="23" t="n"/>
      <c r="AM978" s="23" t="n"/>
      <c r="AN978" s="23" t="n"/>
      <c r="AO978" s="44">
        <f>A978</f>
        <v/>
      </c>
      <c r="AP978" s="44">
        <f>D978</f>
        <v/>
      </c>
    </row>
    <row r="979" hidden="1" ht="15.75" customHeight="1" s="93">
      <c r="A979" s="23" t="inlineStr">
        <is>
          <t>5.0220.0547225.0</t>
        </is>
      </c>
      <c r="B979" s="23" t="inlineStr">
        <is>
          <t>547225</t>
        </is>
      </c>
      <c r="C979" s="29">
        <f>IFERROR(LOWER(SUBSTITUTE(SUBSTITUTE(SUBSTITUTE(SUBSTITUTE(D979," ","-"),"/","-"),".",""),",","")),"")</f>
        <v/>
      </c>
      <c r="D979" s="23" t="inlineStr">
        <is>
          <t>BOMBA HIDRÁULICA - APLICAÇÃO 22,5 E2.P3.B2/16 B2.L  (CPO TRASERO INVERTIDO)</t>
        </is>
      </c>
      <c r="E979" s="23" t="inlineStr">
        <is>
          <t>Bombas Hidráulicas</t>
        </is>
      </c>
      <c r="F979" s="23" t="inlineStr">
        <is>
          <t>SOHIPREN</t>
        </is>
      </c>
      <c r="G979" s="23" t="n"/>
      <c r="H979" s="23" t="inlineStr">
        <is>
          <t>draft</t>
        </is>
      </c>
      <c r="I979" s="23" t="inlineStr">
        <is>
          <t>VALTRA - VALMET</t>
        </is>
      </c>
      <c r="J979" s="23" t="inlineStr">
        <is>
          <t>TRATOR DE PNEUS</t>
        </is>
      </c>
      <c r="K979" s="23" t="inlineStr">
        <is>
          <t>DIRECAO E LEVANTE</t>
        </is>
      </c>
      <c r="L979" s="23" t="inlineStr">
        <is>
          <t>836640-234</t>
        </is>
      </c>
      <c r="M979" s="31" t="n"/>
      <c r="N979" s="31" t="n"/>
      <c r="O979" s="31" t="n"/>
      <c r="P979" s="31" t="n"/>
      <c r="Q979" s="31" t="n"/>
      <c r="R979" s="34">
        <f>IFERROR(IF(AND(O979&gt;0,P979&gt;0,Q979&gt;0),(O979*P979*Q979)/6000,""),"")</f>
        <v/>
      </c>
      <c r="S979" s="34">
        <f>IFERROR(IF(AND(N979&gt;0,R979&gt;0),MAX(N979,R979),IF(N979&gt;0,N979,IF(R979&gt;0,R979,""))),"")</f>
        <v/>
      </c>
      <c r="T979" s="36" t="n"/>
      <c r="U979" s="38" t="inlineStr">
        <is>
          <t>FALTA</t>
        </is>
      </c>
      <c r="V979" s="36" t="n">
        <v>1615</v>
      </c>
      <c r="W979" s="39" t="n">
        <v>0.3</v>
      </c>
      <c r="X979" s="41">
        <f>IFERROR(V979+T979,"")</f>
        <v/>
      </c>
      <c r="Y979" s="41">
        <f>IFERROR(IF(W979&lt;1,X979/(1-W979),""),"")</f>
        <v/>
      </c>
      <c r="Z979" s="43">
        <f>'01_CONFIG_GLOBAL'!$C$14</f>
        <v/>
      </c>
      <c r="AA979" s="41">
        <f>IFERROR(Y979*Z979,"")</f>
        <v/>
      </c>
      <c r="AB979" s="41">
        <f>IFERROR(IF(Z979&lt;1,Y979/(1-Z979),""),"")</f>
        <v/>
      </c>
      <c r="AC979" s="23" t="n"/>
      <c r="AD979" s="36" t="n"/>
      <c r="AE979" s="23" t="n"/>
      <c r="AF979" s="36" t="n"/>
      <c r="AG979" s="23" t="n"/>
      <c r="AH979" s="36" t="n"/>
      <c r="AI979" s="41">
        <f>IFERROR(AVERAGE(AD979,AF979,AH979),"")</f>
        <v/>
      </c>
      <c r="AJ979" s="29">
        <f>IFERROR(IF(AI979="","sem dados",IF(AB979&lt;AI979*0.95,"abaixo",IF(AB979&gt;AI979*1.05,"acima","em linha"))),"")</f>
        <v/>
      </c>
      <c r="AK979" s="23" t="inlineStr">
        <is>
          <t>não</t>
        </is>
      </c>
      <c r="AL979" s="23" t="n"/>
      <c r="AM979" s="23" t="n"/>
      <c r="AN979" s="23" t="n"/>
      <c r="AO979" s="44">
        <f>A979</f>
        <v/>
      </c>
      <c r="AP979" s="44">
        <f>D979</f>
        <v/>
      </c>
    </row>
    <row r="980" ht="15.75" customHeight="1" s="93">
      <c r="A980" s="23" t="inlineStr">
        <is>
          <t>5.0220.0547206.0</t>
        </is>
      </c>
      <c r="B980" s="23" t="inlineStr">
        <is>
          <t>547206</t>
        </is>
      </c>
      <c r="C980" s="29">
        <f>IFERROR(LOWER(SUBSTITUTE(SUBSTITUTE(SUBSTITUTE(SUBSTITUTE(D980," ","-"),"/","-"),".",""),",","")),"")</f>
        <v/>
      </c>
      <c r="D980" s="50" t="inlineStr">
        <is>
          <t>Bomba Hidráulica Principal Valtra-Valmet 118ES/128/138/148</t>
        </is>
      </c>
      <c r="E980" s="50" t="inlineStr">
        <is>
          <t>Bombas Hidráulicas</t>
        </is>
      </c>
      <c r="F980" s="23" t="inlineStr">
        <is>
          <t>SOHIPREN</t>
        </is>
      </c>
      <c r="G980" s="23" t="n"/>
      <c r="H980" s="23" t="inlineStr">
        <is>
          <t>active</t>
        </is>
      </c>
      <c r="I980" s="23" t="inlineStr">
        <is>
          <t>VALTRA - VALMET</t>
        </is>
      </c>
      <c r="J980" s="23" t="inlineStr">
        <is>
          <t>TRATOR DE PNEUS</t>
        </is>
      </c>
      <c r="K980" s="23" t="inlineStr">
        <is>
          <t>PRINCIPAL E DIREÇÃO</t>
        </is>
      </c>
      <c r="L980" s="23" t="inlineStr">
        <is>
          <t>802066-10</t>
        </is>
      </c>
      <c r="M980" s="31" t="n"/>
      <c r="N980" s="31" t="n">
        <v>7</v>
      </c>
      <c r="O980" s="31" t="n">
        <v>30</v>
      </c>
      <c r="P980" s="31" t="n">
        <v>12.5</v>
      </c>
      <c r="Q980" s="31" t="n">
        <v>12.5</v>
      </c>
      <c r="R980" s="34">
        <f>IFERROR(IF(AND(O980&gt;0,P980&gt;0,Q980&gt;0),(O980*P980*Q980)/6000,""),"")</f>
        <v/>
      </c>
      <c r="S980" s="34">
        <f>IFERROR(IF(AND(N980&gt;0,R980&gt;0),MAX(N980,R980),IF(N980&gt;0,N980,IF(R980&gt;0,R980,""))),"")</f>
        <v/>
      </c>
      <c r="T980" s="36" t="n">
        <v>100</v>
      </c>
      <c r="U980" s="23" t="inlineStr">
        <is>
          <t>fornecedor</t>
        </is>
      </c>
      <c r="V980" s="36" t="n">
        <v>1130.5</v>
      </c>
      <c r="W980" s="39" t="n">
        <v>0.2</v>
      </c>
      <c r="X980" s="41">
        <f>IFERROR(V980+T980,"")</f>
        <v/>
      </c>
      <c r="Y980" s="41">
        <f>IFERROR(IF(W980&lt;1,X980/(1-W980),""),"")</f>
        <v/>
      </c>
      <c r="Z980" s="43">
        <f>'01_CONFIG_GLOBAL'!$C$14</f>
        <v/>
      </c>
      <c r="AA980" s="41">
        <f>IFERROR(Y980*Z980,"")</f>
        <v/>
      </c>
      <c r="AB980" s="41">
        <f>IFERROR(IF(Z980&lt;1,Y980/(1-Z980),""),"")</f>
        <v/>
      </c>
      <c r="AC980" s="23" t="n"/>
      <c r="AD980" s="36" t="n"/>
      <c r="AE980" s="23" t="n"/>
      <c r="AF980" s="36" t="n"/>
      <c r="AG980" s="23" t="n"/>
      <c r="AH980" s="36" t="n"/>
      <c r="AI980" s="41">
        <f>IFERROR(AVERAGE(AD980,AF980,AH980),"")</f>
        <v/>
      </c>
      <c r="AJ980" s="29">
        <f>IFERROR(IF(AI980="","sem dados",IF(AB980&lt;AI980*0.95,"abaixo",IF(AB980&gt;AI980*1.05,"acima","em linha"))),"")</f>
        <v/>
      </c>
      <c r="AK980" s="23" t="inlineStr">
        <is>
          <t>sim</t>
        </is>
      </c>
      <c r="AL980" s="23" t="n"/>
      <c r="AM980" s="23" t="n"/>
      <c r="AN980" s="23" t="inlineStr">
        <is>
          <t>Fotos: assets/livenza_5.0220.0547206-CT_REV._0_p1.png</t>
        </is>
      </c>
      <c r="AO980" s="44">
        <f>A980</f>
        <v/>
      </c>
      <c r="AP980" s="44">
        <f>D980</f>
        <v/>
      </c>
      <c r="AQ980" s="28" t="inlineStr">
        <is>
          <t>0975_547206_Livenza_5_0220_0547206-CT_0_att87_p1_foto_3d_ecommerce.png | 0975_547206_Livenza_5_0220_0547206-CT_0_att87_p1_desenho_tec.png | livenza_5.0220.0547201-CT_REV._0_p1.png</t>
        </is>
      </c>
    </row>
    <row r="981" ht="15.75" customHeight="1" s="93">
      <c r="A981" s="80" t="inlineStr">
        <is>
          <t>12l13016026</t>
        </is>
      </c>
      <c r="B981" s="80" t="inlineStr">
        <is>
          <t>Ye03895</t>
        </is>
      </c>
      <c r="C981" s="81" t="n"/>
      <c r="D981" s="82" t="n"/>
      <c r="E981" s="82" t="n"/>
      <c r="F981" s="80" t="n"/>
      <c r="G981" s="80" t="n"/>
      <c r="H981" s="80" t="n"/>
      <c r="I981" s="80" t="n"/>
      <c r="J981" s="80" t="n"/>
      <c r="K981" s="80" t="n"/>
      <c r="L981" s="80" t="n"/>
      <c r="M981" s="83" t="inlineStr">
        <is>
          <t>60 dias</t>
        </is>
      </c>
      <c r="N981" s="83" t="n"/>
      <c r="O981" s="83" t="n"/>
      <c r="P981" s="83" t="n"/>
      <c r="Q981" s="83" t="n"/>
      <c r="R981" s="84" t="n"/>
      <c r="S981" s="84">
        <f>IFERROR(IF(AND(N981&gt;0,R981&gt;0),MAX(N981,R981),IF(N981&gt;0,N981,IF(R981&gt;0,R981,""))),"")</f>
        <v/>
      </c>
      <c r="T981" s="85" t="n">
        <v>100</v>
      </c>
      <c r="U981" s="80" t="inlineStr">
        <is>
          <t>fornecedor</t>
        </is>
      </c>
      <c r="V981" s="85" t="n">
        <v>2299</v>
      </c>
      <c r="W981" s="86" t="n">
        <v>0.2</v>
      </c>
      <c r="X981" s="53">
        <f>IFERROR(V981+T981,"")</f>
        <v/>
      </c>
      <c r="Y981" s="53">
        <f>IFERROR(IF(W981&lt;1,X981/(1-W981),""),"")</f>
        <v/>
      </c>
      <c r="Z981" s="87">
        <f>'01_CONFIG_GLOBAL'!$C$14</f>
        <v/>
      </c>
      <c r="AA981" s="53">
        <f>IFERROR(Y981*Z981,"")</f>
        <v/>
      </c>
      <c r="AB981" s="53">
        <f>IFERROR(IF(Z981&lt;1,Y981/(1-Z981),""),"")</f>
        <v/>
      </c>
      <c r="AC981" s="80" t="n"/>
      <c r="AD981" s="85" t="n"/>
      <c r="AE981" s="80" t="n"/>
      <c r="AF981" s="85" t="n"/>
      <c r="AG981" s="80" t="n"/>
      <c r="AH981" s="85" t="n"/>
      <c r="AI981" s="53" t="n"/>
      <c r="AJ981" s="81" t="n"/>
      <c r="AK981" s="80" t="n"/>
      <c r="AL981" s="23" t="n"/>
      <c r="AM981" s="23" t="n"/>
      <c r="AN981" s="23" t="n"/>
      <c r="AO981" s="44" t="n"/>
      <c r="AP981" s="44" t="n"/>
    </row>
    <row r="982" hidden="1" ht="15.75" customHeight="1" s="93">
      <c r="A982" s="23" t="inlineStr">
        <is>
          <t>5.0220.0547208.0</t>
        </is>
      </c>
      <c r="B982" s="23" t="inlineStr">
        <is>
          <t>547208</t>
        </is>
      </c>
      <c r="C982" s="29">
        <f>IFERROR(LOWER(SUBSTITUTE(SUBSTITUTE(SUBSTITUTE(SUBSTITUTE(D982," ","-"),"/","-"),".",""),",","")),"")</f>
        <v/>
      </c>
      <c r="D982" s="23" t="inlineStr">
        <is>
          <t>BOMBA HIDRÁULICA - APLICAÇÃO 11 E5.P.A42/22,5 A2.L1</t>
        </is>
      </c>
      <c r="E982" s="23" t="inlineStr">
        <is>
          <t>Bombas Hidráulicas</t>
        </is>
      </c>
      <c r="F982" s="23" t="inlineStr">
        <is>
          <t>SOHIPREN</t>
        </is>
      </c>
      <c r="G982" s="23" t="n"/>
      <c r="H982" s="23" t="inlineStr">
        <is>
          <t>draft</t>
        </is>
      </c>
      <c r="I982" s="23" t="inlineStr">
        <is>
          <t>VALTRA - VALMET</t>
        </is>
      </c>
      <c r="J982" s="23" t="inlineStr">
        <is>
          <t>TRATOR</t>
        </is>
      </c>
      <c r="K982" s="23" t="inlineStr">
        <is>
          <t>PRINCIPAL</t>
        </is>
      </c>
      <c r="L982" s="23" t="inlineStr">
        <is>
          <t>8016610012</t>
        </is>
      </c>
      <c r="M982" s="31" t="n"/>
      <c r="N982" s="31" t="n"/>
      <c r="O982" s="31" t="n"/>
      <c r="P982" s="31" t="n"/>
      <c r="Q982" s="31" t="n"/>
      <c r="R982" s="34">
        <f>IFERROR(IF(AND(O982&gt;0,P982&gt;0,Q982&gt;0),(O982*P982*Q982)/6000,""),"")</f>
        <v/>
      </c>
      <c r="S982" s="34">
        <f>IFERROR(IF(AND(N982&gt;0,R982&gt;0),MAX(N982,R982),IF(N982&gt;0,N982,IF(R982&gt;0,R982,""))),"")</f>
        <v/>
      </c>
      <c r="T982" s="36" t="n"/>
      <c r="U982" s="38" t="inlineStr">
        <is>
          <t>FALTA</t>
        </is>
      </c>
      <c r="V982" s="36" t="n">
        <v>1210</v>
      </c>
      <c r="W982" s="39" t="n">
        <v>0.3</v>
      </c>
      <c r="X982" s="41">
        <f>IFERROR(V982+T982,"")</f>
        <v/>
      </c>
      <c r="Y982" s="41">
        <f>IFERROR(IF(W982&lt;1,X982/(1-W982),""),"")</f>
        <v/>
      </c>
      <c r="Z982" s="43">
        <f>'01_CONFIG_GLOBAL'!$C$14</f>
        <v/>
      </c>
      <c r="AA982" s="41">
        <f>IFERROR(Y982*Z982,"")</f>
        <v/>
      </c>
      <c r="AB982" s="41">
        <f>IFERROR(IF(Z982&lt;1,Y982/(1-Z982),""),"")</f>
        <v/>
      </c>
      <c r="AC982" s="23" t="n"/>
      <c r="AD982" s="36" t="n"/>
      <c r="AE982" s="23" t="n"/>
      <c r="AF982" s="36" t="n"/>
      <c r="AG982" s="23" t="n"/>
      <c r="AH982" s="36" t="n"/>
      <c r="AI982" s="41">
        <f>IFERROR(AVERAGE(AD982,AF982,AH982),"")</f>
        <v/>
      </c>
      <c r="AJ982" s="29">
        <f>IFERROR(IF(AI982="","sem dados",IF(AB982&lt;AI982*0.95,"abaixo",IF(AB982&gt;AI982*1.05,"acima","em linha"))),"")</f>
        <v/>
      </c>
      <c r="AK982" s="23" t="inlineStr">
        <is>
          <t>não</t>
        </is>
      </c>
      <c r="AL982" s="23" t="n"/>
      <c r="AM982" s="23" t="n"/>
      <c r="AN982" s="23" t="n"/>
      <c r="AO982" s="44">
        <f>A982</f>
        <v/>
      </c>
      <c r="AP982" s="44">
        <f>D982</f>
        <v/>
      </c>
    </row>
    <row r="983" hidden="1" ht="15.75" customHeight="1" s="93">
      <c r="A983" s="23" t="inlineStr">
        <is>
          <t>5.0220.0547209.0</t>
        </is>
      </c>
      <c r="B983" s="23" t="inlineStr">
        <is>
          <t>547209</t>
        </is>
      </c>
      <c r="C983" s="29">
        <f>IFERROR(LOWER(SUBSTITUTE(SUBSTITUTE(SUBSTITUTE(SUBSTITUTE(D983," ","-"),"/","-"),".",""),",","")),"")</f>
        <v/>
      </c>
      <c r="D983" s="23" t="inlineStr">
        <is>
          <t>BOMBA HIDRÁULICA - APLICAÇÃO 16 E5.P.A42/22,5 A2.L1</t>
        </is>
      </c>
      <c r="E983" s="23" t="inlineStr">
        <is>
          <t>Bombas Hidráulicas</t>
        </is>
      </c>
      <c r="F983" s="23" t="inlineStr">
        <is>
          <t>SOHIPREN</t>
        </is>
      </c>
      <c r="G983" s="23" t="n"/>
      <c r="H983" s="23" t="inlineStr">
        <is>
          <t>draft</t>
        </is>
      </c>
      <c r="I983" s="23" t="inlineStr">
        <is>
          <t>VALTRA - VALMET</t>
        </is>
      </c>
      <c r="J983" s="23" t="inlineStr">
        <is>
          <t>TRATOR</t>
        </is>
      </c>
      <c r="K983" s="23" t="inlineStr">
        <is>
          <t>PRINCIPAL</t>
        </is>
      </c>
      <c r="L983" s="23" t="inlineStr">
        <is>
          <t>8020660012</t>
        </is>
      </c>
      <c r="M983" s="31" t="n"/>
      <c r="N983" s="31" t="n"/>
      <c r="O983" s="31" t="n"/>
      <c r="P983" s="31" t="n"/>
      <c r="Q983" s="31" t="n"/>
      <c r="R983" s="34">
        <f>IFERROR(IF(AND(O983&gt;0,P983&gt;0,Q983&gt;0),(O983*P983*Q983)/6000,""),"")</f>
        <v/>
      </c>
      <c r="S983" s="34">
        <f>IFERROR(IF(AND(N983&gt;0,R983&gt;0),MAX(N983,R983),IF(N983&gt;0,N983,IF(R983&gt;0,R983,""))),"")</f>
        <v/>
      </c>
      <c r="T983" s="36" t="n"/>
      <c r="U983" s="38" t="inlineStr">
        <is>
          <t>FALTA</t>
        </is>
      </c>
      <c r="V983" s="36" t="n">
        <v>1330</v>
      </c>
      <c r="W983" s="39" t="n">
        <v>0.3</v>
      </c>
      <c r="X983" s="41">
        <f>IFERROR(V983+T983,"")</f>
        <v/>
      </c>
      <c r="Y983" s="41">
        <f>IFERROR(IF(W983&lt;1,X983/(1-W983),""),"")</f>
        <v/>
      </c>
      <c r="Z983" s="43">
        <f>'01_CONFIG_GLOBAL'!$C$14</f>
        <v/>
      </c>
      <c r="AA983" s="41">
        <f>IFERROR(Y983*Z983,"")</f>
        <v/>
      </c>
      <c r="AB983" s="41">
        <f>IFERROR(IF(Z983&lt;1,Y983/(1-Z983),""),"")</f>
        <v/>
      </c>
      <c r="AC983" s="23" t="n"/>
      <c r="AD983" s="36" t="n"/>
      <c r="AE983" s="23" t="n"/>
      <c r="AF983" s="36" t="n"/>
      <c r="AG983" s="23" t="n"/>
      <c r="AH983" s="36" t="n"/>
      <c r="AI983" s="41">
        <f>IFERROR(AVERAGE(AD983,AF983,AH983),"")</f>
        <v/>
      </c>
      <c r="AJ983" s="29">
        <f>IFERROR(IF(AI983="","sem dados",IF(AB983&lt;AI983*0.95,"abaixo",IF(AB983&gt;AI983*1.05,"acima","em linha"))),"")</f>
        <v/>
      </c>
      <c r="AK983" s="23" t="inlineStr">
        <is>
          <t>não</t>
        </is>
      </c>
      <c r="AL983" s="23" t="n"/>
      <c r="AM983" s="23" t="n"/>
      <c r="AN983" s="23" t="n"/>
      <c r="AO983" s="44">
        <f>A983</f>
        <v/>
      </c>
      <c r="AP983" s="44">
        <f>D983</f>
        <v/>
      </c>
    </row>
    <row r="984" hidden="1" ht="15.75" customHeight="1" s="93">
      <c r="A984" s="23" t="inlineStr">
        <is>
          <t>5.0206.0543267.0</t>
        </is>
      </c>
      <c r="B984" s="23" t="inlineStr">
        <is>
          <t>543267</t>
        </is>
      </c>
      <c r="C984" s="29">
        <f>IFERROR(LOWER(SUBSTITUTE(SUBSTITUTE(SUBSTITUTE(SUBSTITUTE(D984," ","-"),"/","-"),".",""),",","")),"")</f>
        <v/>
      </c>
      <c r="D984" s="23" t="inlineStr">
        <is>
          <t>BOMBA HIDRÁULICA - APLICAÇÃO 11 C2.B6.A4.L</t>
        </is>
      </c>
      <c r="E984" s="23" t="inlineStr">
        <is>
          <t>Bombas Hidráulicas</t>
        </is>
      </c>
      <c r="F984" s="23" t="inlineStr">
        <is>
          <t>SOHIPREN</t>
        </is>
      </c>
      <c r="G984" s="23" t="n"/>
      <c r="H984" s="23" t="inlineStr">
        <is>
          <t>draft</t>
        </is>
      </c>
      <c r="I984" s="23" t="inlineStr">
        <is>
          <t>VALTRA - VALMET</t>
        </is>
      </c>
      <c r="J984" s="23" t="inlineStr">
        <is>
          <t>TRATOR DE PNEUS</t>
        </is>
      </c>
      <c r="K984" s="23" t="inlineStr">
        <is>
          <t>PRINCIPAL</t>
        </is>
      </c>
      <c r="L984" s="23" t="inlineStr">
        <is>
          <t>151470</t>
        </is>
      </c>
      <c r="M984" s="31" t="n"/>
      <c r="N984" s="31" t="n"/>
      <c r="O984" s="31" t="n"/>
      <c r="P984" s="31" t="n"/>
      <c r="Q984" s="31" t="n"/>
      <c r="R984" s="34">
        <f>IFERROR(IF(AND(O984&gt;0,P984&gt;0,Q984&gt;0),(O984*P984*Q984)/6000,""),"")</f>
        <v/>
      </c>
      <c r="S984" s="34">
        <f>IFERROR(IF(AND(N984&gt;0,R984&gt;0),MAX(N984,R984),IF(N984&gt;0,N984,IF(R984&gt;0,R984,""))),"")</f>
        <v/>
      </c>
      <c r="T984" s="36" t="n"/>
      <c r="U984" s="38" t="inlineStr">
        <is>
          <t>FALTA</t>
        </is>
      </c>
      <c r="V984" s="36" t="n">
        <v>517</v>
      </c>
      <c r="W984" s="39" t="n">
        <v>0.3</v>
      </c>
      <c r="X984" s="41">
        <f>IFERROR(V984+T984,"")</f>
        <v/>
      </c>
      <c r="Y984" s="41">
        <f>IFERROR(IF(W984&lt;1,X984/(1-W984),""),"")</f>
        <v/>
      </c>
      <c r="Z984" s="43">
        <f>'01_CONFIG_GLOBAL'!$C$14</f>
        <v/>
      </c>
      <c r="AA984" s="41">
        <f>IFERROR(Y984*Z984,"")</f>
        <v/>
      </c>
      <c r="AB984" s="41">
        <f>IFERROR(IF(Z984&lt;1,Y984/(1-Z984),""),"")</f>
        <v/>
      </c>
      <c r="AC984" s="23" t="n"/>
      <c r="AD984" s="36" t="n"/>
      <c r="AE984" s="23" t="n"/>
      <c r="AF984" s="36" t="n"/>
      <c r="AG984" s="23" t="n"/>
      <c r="AH984" s="36" t="n"/>
      <c r="AI984" s="41">
        <f>IFERROR(AVERAGE(AD984,AF984,AH984),"")</f>
        <v/>
      </c>
      <c r="AJ984" s="29">
        <f>IFERROR(IF(AI984="","sem dados",IF(AB984&lt;AI984*0.95,"abaixo",IF(AB984&gt;AI984*1.05,"acima","em linha"))),"")</f>
        <v/>
      </c>
      <c r="AK984" s="23" t="inlineStr">
        <is>
          <t>não</t>
        </is>
      </c>
      <c r="AL984" s="23" t="n"/>
      <c r="AM984" s="23" t="n"/>
      <c r="AN984" s="23" t="n"/>
      <c r="AO984" s="44">
        <f>A984</f>
        <v/>
      </c>
      <c r="AP984" s="44">
        <f>D984</f>
        <v/>
      </c>
    </row>
    <row r="985" hidden="1" ht="15.75" customHeight="1" s="93">
      <c r="A985" s="23" t="inlineStr">
        <is>
          <t>5.0206.0543207.0</t>
        </is>
      </c>
      <c r="B985" s="23" t="inlineStr">
        <is>
          <t>543207</t>
        </is>
      </c>
      <c r="C985" s="29">
        <f>IFERROR(LOWER(SUBSTITUTE(SUBSTITUTE(SUBSTITUTE(SUBSTITUTE(D985," ","-"),"/","-"),".",""),",","")),"")</f>
        <v/>
      </c>
      <c r="D985" s="23" t="inlineStr">
        <is>
          <t>BOMBA HIDRÁULICA - APLICAÇÃO 11 B13.B6.A4.L</t>
        </is>
      </c>
      <c r="E985" s="23" t="inlineStr">
        <is>
          <t>Bombas Hidráulicas</t>
        </is>
      </c>
      <c r="F985" s="23" t="inlineStr">
        <is>
          <t>SOHIPREN</t>
        </is>
      </c>
      <c r="G985" s="23" t="n"/>
      <c r="H985" s="23" t="inlineStr">
        <is>
          <t>draft</t>
        </is>
      </c>
      <c r="I985" s="23" t="inlineStr">
        <is>
          <t>VALTRA - VALMET</t>
        </is>
      </c>
      <c r="J985" s="23" t="inlineStr">
        <is>
          <t>TRATOR</t>
        </is>
      </c>
      <c r="K985" s="23" t="inlineStr">
        <is>
          <t>PRINCIPAL</t>
        </is>
      </c>
      <c r="L985" s="23" t="inlineStr">
        <is>
          <t>80457100</t>
        </is>
      </c>
      <c r="M985" s="31" t="n"/>
      <c r="N985" s="31" t="n"/>
      <c r="O985" s="31" t="n"/>
      <c r="P985" s="31" t="n"/>
      <c r="Q985" s="31" t="n"/>
      <c r="R985" s="34">
        <f>IFERROR(IF(AND(O985&gt;0,P985&gt;0,Q985&gt;0),(O985*P985*Q985)/6000,""),"")</f>
        <v/>
      </c>
      <c r="S985" s="34">
        <f>IFERROR(IF(AND(N985&gt;0,R985&gt;0),MAX(N985,R985),IF(N985&gt;0,N985,IF(R985&gt;0,R985,""))),"")</f>
        <v/>
      </c>
      <c r="T985" s="36" t="n"/>
      <c r="U985" s="38" t="inlineStr">
        <is>
          <t>FALTA</t>
        </is>
      </c>
      <c r="V985" s="36" t="n">
        <v>950</v>
      </c>
      <c r="W985" s="39" t="n">
        <v>0.3</v>
      </c>
      <c r="X985" s="41">
        <f>IFERROR(V985+T985,"")</f>
        <v/>
      </c>
      <c r="Y985" s="41">
        <f>IFERROR(IF(W985&lt;1,X985/(1-W985),""),"")</f>
        <v/>
      </c>
      <c r="Z985" s="43">
        <f>'01_CONFIG_GLOBAL'!$C$14</f>
        <v/>
      </c>
      <c r="AA985" s="41">
        <f>IFERROR(Y985*Z985,"")</f>
        <v/>
      </c>
      <c r="AB985" s="41">
        <f>IFERROR(IF(Z985&lt;1,Y985/(1-Z985),""),"")</f>
        <v/>
      </c>
      <c r="AC985" s="23" t="n"/>
      <c r="AD985" s="36" t="n"/>
      <c r="AE985" s="23" t="n"/>
      <c r="AF985" s="36" t="n"/>
      <c r="AG985" s="23" t="n"/>
      <c r="AH985" s="36" t="n"/>
      <c r="AI985" s="41">
        <f>IFERROR(AVERAGE(AD985,AF985,AH985),"")</f>
        <v/>
      </c>
      <c r="AJ985" s="29">
        <f>IFERROR(IF(AI985="","sem dados",IF(AB985&lt;AI985*0.95,"abaixo",IF(AB985&gt;AI985*1.05,"acima","em linha"))),"")</f>
        <v/>
      </c>
      <c r="AK985" s="23" t="inlineStr">
        <is>
          <t>não</t>
        </is>
      </c>
      <c r="AL985" s="23" t="n"/>
      <c r="AM985" s="23" t="n"/>
      <c r="AN985" s="23" t="n"/>
      <c r="AO985" s="44">
        <f>A985</f>
        <v/>
      </c>
      <c r="AP985" s="44">
        <f>D985</f>
        <v/>
      </c>
    </row>
    <row r="986" hidden="1" ht="15.75" customHeight="1" s="93">
      <c r="A986" s="23" t="inlineStr">
        <is>
          <t>5.0208.0544870.0</t>
        </is>
      </c>
      <c r="B986" s="23" t="inlineStr">
        <is>
          <t>544870</t>
        </is>
      </c>
      <c r="C986" s="29">
        <f>IFERROR(LOWER(SUBSTITUTE(SUBSTITUTE(SUBSTITUTE(SUBSTITUTE(D986," ","-"),"/","-"),".",""),",","")),"")</f>
        <v/>
      </c>
      <c r="D986" s="23" t="inlineStr">
        <is>
          <t>BOMBA HIDRÁULICA - APLICAÇÃO 16 E2.B8.B4.L</t>
        </is>
      </c>
      <c r="E986" s="23" t="inlineStr">
        <is>
          <t>Bombas Hidráulicas</t>
        </is>
      </c>
      <c r="F986" s="23" t="inlineStr">
        <is>
          <t>SOHIPREN</t>
        </is>
      </c>
      <c r="G986" s="23" t="n"/>
      <c r="H986" s="23" t="inlineStr">
        <is>
          <t>draft</t>
        </is>
      </c>
      <c r="I986" s="23" t="inlineStr">
        <is>
          <t>VALTRA - VALMET</t>
        </is>
      </c>
      <c r="J986" s="23" t="inlineStr">
        <is>
          <t>TRATOR</t>
        </is>
      </c>
      <c r="K986" s="23" t="inlineStr">
        <is>
          <t>PRINCIPAL</t>
        </is>
      </c>
      <c r="L986" s="23" t="inlineStr">
        <is>
          <t>82065100</t>
        </is>
      </c>
      <c r="M986" s="31" t="n"/>
      <c r="N986" s="31" t="n"/>
      <c r="O986" s="31" t="n"/>
      <c r="P986" s="31" t="n"/>
      <c r="Q986" s="31" t="n"/>
      <c r="R986" s="34">
        <f>IFERROR(IF(AND(O986&gt;0,P986&gt;0,Q986&gt;0),(O986*P986*Q986)/6000,""),"")</f>
        <v/>
      </c>
      <c r="S986" s="34">
        <f>IFERROR(IF(AND(N986&gt;0,R986&gt;0),MAX(N986,R986),IF(N986&gt;0,N986,IF(R986&gt;0,R986,""))),"")</f>
        <v/>
      </c>
      <c r="T986" s="36" t="n"/>
      <c r="U986" s="38" t="inlineStr">
        <is>
          <t>FALTA</t>
        </is>
      </c>
      <c r="V986" s="36" t="n">
        <v>605</v>
      </c>
      <c r="W986" s="39" t="n">
        <v>0.3</v>
      </c>
      <c r="X986" s="41">
        <f>IFERROR(V986+T986,"")</f>
        <v/>
      </c>
      <c r="Y986" s="41">
        <f>IFERROR(IF(W986&lt;1,X986/(1-W986),""),"")</f>
        <v/>
      </c>
      <c r="Z986" s="43">
        <f>'01_CONFIG_GLOBAL'!$C$14</f>
        <v/>
      </c>
      <c r="AA986" s="41">
        <f>IFERROR(Y986*Z986,"")</f>
        <v/>
      </c>
      <c r="AB986" s="41">
        <f>IFERROR(IF(Z986&lt;1,Y986/(1-Z986),""),"")</f>
        <v/>
      </c>
      <c r="AC986" s="23" t="n"/>
      <c r="AD986" s="36" t="n"/>
      <c r="AE986" s="23" t="n"/>
      <c r="AF986" s="36" t="n"/>
      <c r="AG986" s="23" t="n"/>
      <c r="AH986" s="36" t="n"/>
      <c r="AI986" s="41">
        <f>IFERROR(AVERAGE(AD986,AF986,AH986),"")</f>
        <v/>
      </c>
      <c r="AJ986" s="29">
        <f>IFERROR(IF(AI986="","sem dados",IF(AB986&lt;AI986*0.95,"abaixo",IF(AB986&gt;AI986*1.05,"acima","em linha"))),"")</f>
        <v/>
      </c>
      <c r="AK986" s="23" t="inlineStr">
        <is>
          <t>não</t>
        </is>
      </c>
      <c r="AL986" s="23" t="n"/>
      <c r="AM986" s="23" t="n"/>
      <c r="AN986" s="23" t="n"/>
      <c r="AO986" s="44">
        <f>A986</f>
        <v/>
      </c>
      <c r="AP986" s="44">
        <f>D986</f>
        <v/>
      </c>
    </row>
    <row r="987" hidden="1" ht="15.75" customHeight="1" s="93">
      <c r="A987" s="23" t="inlineStr">
        <is>
          <t>5.0208.0544824.0</t>
        </is>
      </c>
      <c r="B987" s="23" t="inlineStr">
        <is>
          <t>544824</t>
        </is>
      </c>
      <c r="C987" s="29">
        <f>IFERROR(LOWER(SUBSTITUTE(SUBSTITUTE(SUBSTITUTE(SUBSTITUTE(D987," ","-"),"/","-"),".",""),",","")),"")</f>
        <v/>
      </c>
      <c r="D987" s="23" t="inlineStr">
        <is>
          <t>BOMBA HIDRÁULICA - APLICAÇÃO 16 B.B.C.T  -70 BAR</t>
        </is>
      </c>
      <c r="E987" s="23" t="inlineStr">
        <is>
          <t>Bombas Hidráulicas</t>
        </is>
      </c>
      <c r="F987" s="23" t="inlineStr">
        <is>
          <t>SOHIPREN</t>
        </is>
      </c>
      <c r="G987" s="23" t="n"/>
      <c r="H987" s="23" t="inlineStr">
        <is>
          <t>draft</t>
        </is>
      </c>
      <c r="I987" s="23" t="inlineStr">
        <is>
          <t>VASSALLI</t>
        </is>
      </c>
      <c r="J987" s="23" t="inlineStr">
        <is>
          <t>TRATOR</t>
        </is>
      </c>
      <c r="K987" s="23" t="inlineStr">
        <is>
          <t>PRINCIPAL</t>
        </is>
      </c>
      <c r="L987" s="23" t="n"/>
      <c r="M987" s="31" t="n"/>
      <c r="N987" s="31" t="n"/>
      <c r="O987" s="31" t="n"/>
      <c r="P987" s="31" t="n"/>
      <c r="Q987" s="31" t="n"/>
      <c r="R987" s="34">
        <f>IFERROR(IF(AND(O987&gt;0,P987&gt;0,Q987&gt;0),(O987*P987*Q987)/6000,""),"")</f>
        <v/>
      </c>
      <c r="S987" s="34">
        <f>IFERROR(IF(AND(N987&gt;0,R987&gt;0),MAX(N987,R987),IF(N987&gt;0,N987,IF(R987&gt;0,R987,""))),"")</f>
        <v/>
      </c>
      <c r="T987" s="36" t="n"/>
      <c r="U987" s="38" t="inlineStr">
        <is>
          <t>FALTA</t>
        </is>
      </c>
      <c r="V987" s="36" t="n">
        <v>1197</v>
      </c>
      <c r="W987" s="39" t="n">
        <v>0.3</v>
      </c>
      <c r="X987" s="41">
        <f>IFERROR(V987+T987,"")</f>
        <v/>
      </c>
      <c r="Y987" s="41">
        <f>IFERROR(IF(W987&lt;1,X987/(1-W987),""),"")</f>
        <v/>
      </c>
      <c r="Z987" s="43">
        <f>'01_CONFIG_GLOBAL'!$C$14</f>
        <v/>
      </c>
      <c r="AA987" s="41">
        <f>IFERROR(Y987*Z987,"")</f>
        <v/>
      </c>
      <c r="AB987" s="41">
        <f>IFERROR(IF(Z987&lt;1,Y987/(1-Z987),""),"")</f>
        <v/>
      </c>
      <c r="AC987" s="23" t="n"/>
      <c r="AD987" s="36" t="n"/>
      <c r="AE987" s="23" t="n"/>
      <c r="AF987" s="36" t="n"/>
      <c r="AG987" s="23" t="n"/>
      <c r="AH987" s="36" t="n"/>
      <c r="AI987" s="41">
        <f>IFERROR(AVERAGE(AD987,AF987,AH987),"")</f>
        <v/>
      </c>
      <c r="AJ987" s="29">
        <f>IFERROR(IF(AI987="","sem dados",IF(AB987&lt;AI987*0.95,"abaixo",IF(AB987&gt;AI987*1.05,"acima","em linha"))),"")</f>
        <v/>
      </c>
      <c r="AK987" s="23" t="inlineStr">
        <is>
          <t>não</t>
        </is>
      </c>
      <c r="AL987" s="23" t="n"/>
      <c r="AM987" s="23" t="n"/>
      <c r="AN987" s="23" t="n"/>
      <c r="AO987" s="44">
        <f>A987</f>
        <v/>
      </c>
      <c r="AP987" s="44">
        <f>D987</f>
        <v/>
      </c>
    </row>
    <row r="988" hidden="1" ht="15.75" customHeight="1" s="93">
      <c r="A988" s="23" t="inlineStr">
        <is>
          <t>5.0502.0501501.0</t>
        </is>
      </c>
      <c r="B988" s="23" t="inlineStr">
        <is>
          <t>501501</t>
        </is>
      </c>
      <c r="C988" s="29">
        <f>IFERROR(LOWER(SUBSTITUTE(SUBSTITUTE(SUBSTITUTE(SUBSTITUTE(D988," ","-"),"/","-"),".",""),",","")),"")</f>
        <v/>
      </c>
      <c r="D988" s="23" t="inlineStr">
        <is>
          <t>MC1 26 401.1.11.84.78  12-100 BAR</t>
        </is>
      </c>
      <c r="E988" s="23" t="n"/>
      <c r="F988" s="23" t="inlineStr">
        <is>
          <t>SOHIPREN</t>
        </is>
      </c>
      <c r="G988" s="23" t="n"/>
      <c r="H988" s="23" t="inlineStr">
        <is>
          <t>draft</t>
        </is>
      </c>
      <c r="I988" s="23" t="inlineStr">
        <is>
          <t>VASSALLI</t>
        </is>
      </c>
      <c r="J988" s="23" t="inlineStr">
        <is>
          <t>COLHEDEIRA</t>
        </is>
      </c>
      <c r="K988" s="23" t="inlineStr">
        <is>
          <t>PRINCIPAL</t>
        </is>
      </c>
      <c r="L988" s="23" t="n"/>
      <c r="M988" s="31" t="n"/>
      <c r="N988" s="31" t="n"/>
      <c r="O988" s="31" t="n"/>
      <c r="P988" s="31" t="n"/>
      <c r="Q988" s="31" t="n"/>
      <c r="R988" s="34">
        <f>IFERROR(IF(AND(O988&gt;0,P988&gt;0,Q988&gt;0),(O988*P988*Q988)/6000,""),"")</f>
        <v/>
      </c>
      <c r="S988" s="34">
        <f>IFERROR(IF(AND(N988&gt;0,R988&gt;0),MAX(N988,R988),IF(N988&gt;0,N988,IF(R988&gt;0,R988,""))),"")</f>
        <v/>
      </c>
      <c r="T988" s="36" t="n"/>
      <c r="U988" s="38" t="inlineStr">
        <is>
          <t>FALTA</t>
        </is>
      </c>
      <c r="V988" s="36" t="n">
        <v>1045</v>
      </c>
      <c r="W988" s="39" t="n">
        <v>0.3</v>
      </c>
      <c r="X988" s="41">
        <f>IFERROR(V988+T988,"")</f>
        <v/>
      </c>
      <c r="Y988" s="41">
        <f>IFERROR(IF(W988&lt;1,X988/(1-W988),""),"")</f>
        <v/>
      </c>
      <c r="Z988" s="43">
        <f>'01_CONFIG_GLOBAL'!$C$14</f>
        <v/>
      </c>
      <c r="AA988" s="41">
        <f>IFERROR(Y988*Z988,"")</f>
        <v/>
      </c>
      <c r="AB988" s="41">
        <f>IFERROR(IF(Z988&lt;1,Y988/(1-Z988),""),"")</f>
        <v/>
      </c>
      <c r="AC988" s="23" t="n"/>
      <c r="AD988" s="36" t="n"/>
      <c r="AE988" s="23" t="n"/>
      <c r="AF988" s="36" t="n"/>
      <c r="AG988" s="23" t="n"/>
      <c r="AH988" s="36" t="n"/>
      <c r="AI988" s="41">
        <f>IFERROR(AVERAGE(AD988,AF988,AH988),"")</f>
        <v/>
      </c>
      <c r="AJ988" s="29">
        <f>IFERROR(IF(AI988="","sem dados",IF(AB988&lt;AI988*0.95,"abaixo",IF(AB988&gt;AI988*1.05,"acima","em linha"))),"")</f>
        <v/>
      </c>
      <c r="AK988" s="23" t="inlineStr">
        <is>
          <t>não</t>
        </is>
      </c>
      <c r="AL988" s="23" t="n"/>
      <c r="AM988" s="23" t="n"/>
      <c r="AN988" s="23" t="n"/>
      <c r="AO988" s="44">
        <f>A988</f>
        <v/>
      </c>
      <c r="AP988" s="44">
        <f>D988</f>
        <v/>
      </c>
    </row>
    <row r="989" hidden="1" ht="15.75" customHeight="1" s="93">
      <c r="A989" s="23" t="inlineStr">
        <is>
          <t>5.0502.0501502.0</t>
        </is>
      </c>
      <c r="B989" s="23" t="inlineStr">
        <is>
          <t>501502</t>
        </is>
      </c>
      <c r="C989" s="29">
        <f>IFERROR(LOWER(SUBSTITUTE(SUBSTITUTE(SUBSTITUTE(SUBSTITUTE(D989," ","-"),"/","-"),".",""),",","")),"")</f>
        <v/>
      </c>
      <c r="D989" s="23" t="inlineStr">
        <is>
          <t>MC1 26 401.2.11.84.78  12-100 BAR</t>
        </is>
      </c>
      <c r="E989" s="23" t="n"/>
      <c r="F989" s="23" t="inlineStr">
        <is>
          <t>SOHIPREN</t>
        </is>
      </c>
      <c r="G989" s="23" t="n"/>
      <c r="H989" s="23" t="inlineStr">
        <is>
          <t>draft</t>
        </is>
      </c>
      <c r="I989" s="23" t="inlineStr">
        <is>
          <t>VASSALLI</t>
        </is>
      </c>
      <c r="J989" s="23" t="inlineStr">
        <is>
          <t>TRATOR</t>
        </is>
      </c>
      <c r="K989" s="23" t="inlineStr">
        <is>
          <t>PRINCIPAL</t>
        </is>
      </c>
      <c r="L989" s="23" t="n"/>
      <c r="M989" s="31" t="n"/>
      <c r="N989" s="31" t="n"/>
      <c r="O989" s="31" t="n"/>
      <c r="P989" s="31" t="n"/>
      <c r="Q989" s="31" t="n"/>
      <c r="R989" s="34">
        <f>IFERROR(IF(AND(O989&gt;0,P989&gt;0,Q989&gt;0),(O989*P989*Q989)/6000,""),"")</f>
        <v/>
      </c>
      <c r="S989" s="34">
        <f>IFERROR(IF(AND(N989&gt;0,R989&gt;0),MAX(N989,R989),IF(N989&gt;0,N989,IF(R989&gt;0,R989,""))),"")</f>
        <v/>
      </c>
      <c r="T989" s="36" t="n"/>
      <c r="U989" s="38" t="inlineStr">
        <is>
          <t>FALTA</t>
        </is>
      </c>
      <c r="V989" s="36" t="n">
        <v>1045</v>
      </c>
      <c r="W989" s="39" t="n">
        <v>0.3</v>
      </c>
      <c r="X989" s="41">
        <f>IFERROR(V989+T989,"")</f>
        <v/>
      </c>
      <c r="Y989" s="41">
        <f>IFERROR(IF(W989&lt;1,X989/(1-W989),""),"")</f>
        <v/>
      </c>
      <c r="Z989" s="43">
        <f>'01_CONFIG_GLOBAL'!$C$14</f>
        <v/>
      </c>
      <c r="AA989" s="41">
        <f>IFERROR(Y989*Z989,"")</f>
        <v/>
      </c>
      <c r="AB989" s="41">
        <f>IFERROR(IF(Z989&lt;1,Y989/(1-Z989),""),"")</f>
        <v/>
      </c>
      <c r="AC989" s="23" t="n"/>
      <c r="AD989" s="36" t="n"/>
      <c r="AE989" s="23" t="n"/>
      <c r="AF989" s="36" t="n"/>
      <c r="AG989" s="23" t="n"/>
      <c r="AH989" s="36" t="n"/>
      <c r="AI989" s="41">
        <f>IFERROR(AVERAGE(AD989,AF989,AH989),"")</f>
        <v/>
      </c>
      <c r="AJ989" s="29">
        <f>IFERROR(IF(AI989="","sem dados",IF(AB989&lt;AI989*0.95,"abaixo",IF(AB989&gt;AI989*1.05,"acima","em linha"))),"")</f>
        <v/>
      </c>
      <c r="AK989" s="23" t="inlineStr">
        <is>
          <t>não</t>
        </is>
      </c>
      <c r="AL989" s="23" t="n"/>
      <c r="AM989" s="23" t="n"/>
      <c r="AN989" s="23" t="n"/>
      <c r="AO989" s="44">
        <f>A989</f>
        <v/>
      </c>
      <c r="AP989" s="44">
        <f>D989</f>
        <v/>
      </c>
    </row>
    <row r="990" hidden="1" ht="15.75" customHeight="1" s="93">
      <c r="A990" s="23" t="inlineStr">
        <is>
          <t>0.2207.L082277.1</t>
        </is>
      </c>
      <c r="B990" s="23" t="inlineStr">
        <is>
          <t>L082277.</t>
        </is>
      </c>
      <c r="C990" s="29">
        <f>IFERROR(LOWER(SUBSTITUTE(SUBSTITUTE(SUBSTITUTE(SUBSTITUTE(D990," ","-"),"/","-"),".",""),",","")),"")</f>
        <v/>
      </c>
      <c r="D990" s="23" t="inlineStr">
        <is>
          <t>FILTRO DE RETORNO 200 LTS 1 1/4 BSP 10 MICR</t>
        </is>
      </c>
      <c r="E990" s="23" t="n"/>
      <c r="F990" s="23" t="inlineStr">
        <is>
          <t>SOHIPREN</t>
        </is>
      </c>
      <c r="G990" s="23" t="n"/>
      <c r="H990" s="23" t="inlineStr">
        <is>
          <t>draft</t>
        </is>
      </c>
      <c r="I990" s="23" t="inlineStr">
        <is>
          <t>VISTA</t>
        </is>
      </c>
      <c r="J990" s="23" t="inlineStr">
        <is>
          <t>FILTRO DE RETORNO</t>
        </is>
      </c>
      <c r="K990" s="23" t="inlineStr">
        <is>
          <t>FILTRO DE RETORNO</t>
        </is>
      </c>
      <c r="L990" s="23" t="n"/>
      <c r="M990" s="31" t="n"/>
      <c r="N990" s="31" t="n"/>
      <c r="O990" s="31" t="n"/>
      <c r="P990" s="31" t="n"/>
      <c r="Q990" s="31" t="n"/>
      <c r="R990" s="34">
        <f>IFERROR(IF(AND(O990&gt;0,P990&gt;0,Q990&gt;0),(O990*P990*Q990)/6000,""),"")</f>
        <v/>
      </c>
      <c r="S990" s="34">
        <f>IFERROR(IF(AND(N990&gt;0,R990&gt;0),MAX(N990,R990),IF(N990&gt;0,N990,IF(R990&gt;0,R990,""))),"")</f>
        <v/>
      </c>
      <c r="T990" s="36" t="n"/>
      <c r="U990" s="38" t="inlineStr">
        <is>
          <t>FALTA</t>
        </is>
      </c>
      <c r="V990" s="36" t="n">
        <v>263</v>
      </c>
      <c r="W990" s="39" t="n">
        <v>0.3</v>
      </c>
      <c r="X990" s="41">
        <f>IFERROR(V990+T990,"")</f>
        <v/>
      </c>
      <c r="Y990" s="41">
        <f>IFERROR(IF(W990&lt;1,X990/(1-W990),""),"")</f>
        <v/>
      </c>
      <c r="Z990" s="43">
        <f>'01_CONFIG_GLOBAL'!$C$14</f>
        <v/>
      </c>
      <c r="AA990" s="41">
        <f>IFERROR(Y990*Z990,"")</f>
        <v/>
      </c>
      <c r="AB990" s="41">
        <f>IFERROR(IF(Z990&lt;1,Y990/(1-Z990),""),"")</f>
        <v/>
      </c>
      <c r="AC990" s="23" t="n"/>
      <c r="AD990" s="36" t="n"/>
      <c r="AE990" s="23" t="n"/>
      <c r="AF990" s="36" t="n"/>
      <c r="AG990" s="23" t="n"/>
      <c r="AH990" s="36" t="n"/>
      <c r="AI990" s="41">
        <f>IFERROR(AVERAGE(AD990,AF990,AH990),"")</f>
        <v/>
      </c>
      <c r="AJ990" s="29">
        <f>IFERROR(IF(AI990="","sem dados",IF(AB990&lt;AI990*0.95,"abaixo",IF(AB990&gt;AI990*1.05,"acima","em linha"))),"")</f>
        <v/>
      </c>
      <c r="AK990" s="23" t="inlineStr">
        <is>
          <t>não</t>
        </is>
      </c>
      <c r="AL990" s="23" t="n"/>
      <c r="AM990" s="23" t="n"/>
      <c r="AN990" s="23" t="n"/>
      <c r="AO990" s="44">
        <f>A990</f>
        <v/>
      </c>
      <c r="AP990" s="44">
        <f>D990</f>
        <v/>
      </c>
    </row>
    <row r="991" hidden="1" ht="15.75" customHeight="1" s="93">
      <c r="A991" s="23" t="inlineStr">
        <is>
          <t>5.0209.L025751.0</t>
        </is>
      </c>
      <c r="B991" s="23" t="inlineStr">
        <is>
          <t>L025751</t>
        </is>
      </c>
      <c r="C991" s="29">
        <f>IFERROR(LOWER(SUBSTITUTE(SUBSTITUTE(SUBSTITUTE(SUBSTITUTE(D991," ","-"),"/","-"),".",""),",","")),"")</f>
        <v/>
      </c>
      <c r="D991" s="23" t="inlineStr">
        <is>
          <t>BOD 19 E18.C.C104.G100</t>
        </is>
      </c>
      <c r="E991" s="23" t="inlineStr">
        <is>
          <t>Bombas Hidráulicas</t>
        </is>
      </c>
      <c r="F991" s="23" t="inlineStr">
        <is>
          <t>SOHIPREN</t>
        </is>
      </c>
      <c r="G991" s="23" t="n"/>
      <c r="H991" s="23" t="inlineStr">
        <is>
          <t>draft</t>
        </is>
      </c>
      <c r="I991" s="23" t="inlineStr">
        <is>
          <t>VOLVO</t>
        </is>
      </c>
      <c r="J991" s="23" t="inlineStr">
        <is>
          <t>PÁ CARREGADEIRA</t>
        </is>
      </c>
      <c r="K991" s="23" t="n"/>
      <c r="L991" s="23" t="inlineStr">
        <is>
          <t>11704660</t>
        </is>
      </c>
      <c r="M991" s="31" t="n"/>
      <c r="N991" s="31" t="n"/>
      <c r="O991" s="31" t="n"/>
      <c r="P991" s="31" t="n"/>
      <c r="Q991" s="31" t="n"/>
      <c r="R991" s="34">
        <f>IFERROR(IF(AND(O991&gt;0,P991&gt;0,Q991&gt;0),(O991*P991*Q991)/6000,""),"")</f>
        <v/>
      </c>
      <c r="S991" s="34">
        <f>IFERROR(IF(AND(N991&gt;0,R991&gt;0),MAX(N991,R991),IF(N991&gt;0,N991,IF(R991&gt;0,R991,""))),"")</f>
        <v/>
      </c>
      <c r="T991" s="36" t="n"/>
      <c r="U991" s="38" t="inlineStr">
        <is>
          <t>FALTA</t>
        </is>
      </c>
      <c r="V991" s="36" t="n">
        <v>458.66</v>
      </c>
      <c r="W991" s="39" t="n">
        <v>0.3</v>
      </c>
      <c r="X991" s="41">
        <f>IFERROR(V991+T991,"")</f>
        <v/>
      </c>
      <c r="Y991" s="41">
        <f>IFERROR(IF(W991&lt;1,X991/(1-W991),""),"")</f>
        <v/>
      </c>
      <c r="Z991" s="43">
        <f>'01_CONFIG_GLOBAL'!$C$14</f>
        <v/>
      </c>
      <c r="AA991" s="41">
        <f>IFERROR(Y991*Z991,"")</f>
        <v/>
      </c>
      <c r="AB991" s="41">
        <f>IFERROR(IF(Z991&lt;1,Y991/(1-Z991),""),"")</f>
        <v/>
      </c>
      <c r="AC991" s="23" t="n"/>
      <c r="AD991" s="36" t="n"/>
      <c r="AE991" s="23" t="n"/>
      <c r="AF991" s="36" t="n"/>
      <c r="AG991" s="23" t="n"/>
      <c r="AH991" s="36" t="n"/>
      <c r="AI991" s="41">
        <f>IFERROR(AVERAGE(AD991,AF991,AH991),"")</f>
        <v/>
      </c>
      <c r="AJ991" s="29">
        <f>IFERROR(IF(AI991="","sem dados",IF(AB991&lt;AI991*0.95,"abaixo",IF(AB991&gt;AI991*1.05,"acima","em linha"))),"")</f>
        <v/>
      </c>
      <c r="AK991" s="23" t="inlineStr">
        <is>
          <t>não</t>
        </is>
      </c>
      <c r="AL991" s="23" t="n"/>
      <c r="AM991" s="23" t="n"/>
      <c r="AN991" s="23" t="n"/>
      <c r="AO991" s="44">
        <f>A991</f>
        <v/>
      </c>
      <c r="AP991" s="44">
        <f>D991</f>
        <v/>
      </c>
    </row>
    <row r="992" hidden="1" ht="15.75" customHeight="1" s="93">
      <c r="A992" s="23" t="inlineStr">
        <is>
          <t>5.0209.L025752.0</t>
        </is>
      </c>
      <c r="B992" s="23" t="inlineStr">
        <is>
          <t>L025752</t>
        </is>
      </c>
      <c r="C992" s="29">
        <f>IFERROR(LOWER(SUBSTITUTE(SUBSTITUTE(SUBSTITUTE(SUBSTITUTE(D992," ","-"),"/","-"),".",""),",","")),"")</f>
        <v/>
      </c>
      <c r="D992" s="23" t="inlineStr">
        <is>
          <t>BOMBA HIDRÁULICA - APLICAÇÃO 19 E18.C.C104.G100</t>
        </is>
      </c>
      <c r="E992" s="23" t="inlineStr">
        <is>
          <t>Bombas Hidráulicas</t>
        </is>
      </c>
      <c r="F992" s="23" t="inlineStr">
        <is>
          <t>SOHIPREN</t>
        </is>
      </c>
      <c r="G992" s="23" t="n"/>
      <c r="H992" s="23" t="inlineStr">
        <is>
          <t>draft</t>
        </is>
      </c>
      <c r="I992" s="23" t="inlineStr">
        <is>
          <t>VOLVO</t>
        </is>
      </c>
      <c r="J992" s="23" t="inlineStr">
        <is>
          <t>PÁ CARREGADEIRA</t>
        </is>
      </c>
      <c r="K992" s="23" t="n"/>
      <c r="L992" s="23" t="inlineStr">
        <is>
          <t>11704660</t>
        </is>
      </c>
      <c r="M992" s="31" t="n"/>
      <c r="N992" s="31" t="n"/>
      <c r="O992" s="31" t="n"/>
      <c r="P992" s="31" t="n"/>
      <c r="Q992" s="31" t="n"/>
      <c r="R992" s="34">
        <f>IFERROR(IF(AND(O992&gt;0,P992&gt;0,Q992&gt;0),(O992*P992*Q992)/6000,""),"")</f>
        <v/>
      </c>
      <c r="S992" s="34">
        <f>IFERROR(IF(AND(N992&gt;0,R992&gt;0),MAX(N992,R992),IF(N992&gt;0,N992,IF(R992&gt;0,R992,""))),"")</f>
        <v/>
      </c>
      <c r="T992" s="36" t="n"/>
      <c r="U992" s="38" t="inlineStr">
        <is>
          <t>FALTA</t>
        </is>
      </c>
      <c r="V992" s="36" t="n">
        <v>665</v>
      </c>
      <c r="W992" s="39" t="n">
        <v>0.3</v>
      </c>
      <c r="X992" s="41">
        <f>IFERROR(V992+T992,"")</f>
        <v/>
      </c>
      <c r="Y992" s="41">
        <f>IFERROR(IF(W992&lt;1,X992/(1-W992),""),"")</f>
        <v/>
      </c>
      <c r="Z992" s="43">
        <f>'01_CONFIG_GLOBAL'!$C$14</f>
        <v/>
      </c>
      <c r="AA992" s="41">
        <f>IFERROR(Y992*Z992,"")</f>
        <v/>
      </c>
      <c r="AB992" s="41">
        <f>IFERROR(IF(Z992&lt;1,Y992/(1-Z992),""),"")</f>
        <v/>
      </c>
      <c r="AC992" s="23" t="n"/>
      <c r="AD992" s="36" t="n"/>
      <c r="AE992" s="23" t="n"/>
      <c r="AF992" s="36" t="n"/>
      <c r="AG992" s="23" t="n"/>
      <c r="AH992" s="36" t="n"/>
      <c r="AI992" s="41">
        <f>IFERROR(AVERAGE(AD992,AF992,AH992),"")</f>
        <v/>
      </c>
      <c r="AJ992" s="29">
        <f>IFERROR(IF(AI992="","sem dados",IF(AB992&lt;AI992*0.95,"abaixo",IF(AB992&gt;AI992*1.05,"acima","em linha"))),"")</f>
        <v/>
      </c>
      <c r="AK992" s="23" t="inlineStr">
        <is>
          <t>não</t>
        </is>
      </c>
      <c r="AL992" s="23" t="n"/>
      <c r="AM992" s="23" t="n"/>
      <c r="AN992" s="23" t="n"/>
      <c r="AO992" s="44">
        <f>A992</f>
        <v/>
      </c>
      <c r="AP992" s="44">
        <f>D992</f>
        <v/>
      </c>
    </row>
    <row r="993" hidden="1" ht="15.75" customHeight="1" s="93">
      <c r="A993" s="23" t="inlineStr">
        <is>
          <t>5.0210.L026291.0</t>
        </is>
      </c>
      <c r="B993" s="23" t="inlineStr">
        <is>
          <t>L026291</t>
        </is>
      </c>
      <c r="C993" s="29">
        <f>IFERROR(LOWER(SUBSTITUTE(SUBSTITUTE(SUBSTITUTE(SUBSTITUTE(D993," ","-"),"/","-"),".",""),",","")),"")</f>
        <v/>
      </c>
      <c r="D993" s="23" t="inlineStr">
        <is>
          <t>BOD 22,5 E18.C.C21.L</t>
        </is>
      </c>
      <c r="E993" s="23" t="inlineStr">
        <is>
          <t>Bombas Hidráulicas</t>
        </is>
      </c>
      <c r="F993" s="23" t="inlineStr">
        <is>
          <t>SOHIPREN</t>
        </is>
      </c>
      <c r="G993" s="23" t="n"/>
      <c r="H993" s="23" t="inlineStr">
        <is>
          <t>draft</t>
        </is>
      </c>
      <c r="I993" s="23" t="inlineStr">
        <is>
          <t>XCMG</t>
        </is>
      </c>
      <c r="J993" s="23" t="inlineStr">
        <is>
          <t>MOTONIVELADORA</t>
        </is>
      </c>
      <c r="K993" s="23" t="inlineStr">
        <is>
          <t>LAMINA E FREIO</t>
        </is>
      </c>
      <c r="L993" s="23" t="inlineStr">
        <is>
          <t>XCMG</t>
        </is>
      </c>
      <c r="M993" s="31" t="n"/>
      <c r="N993" s="31" t="n"/>
      <c r="O993" s="31" t="n"/>
      <c r="P993" s="31" t="n"/>
      <c r="Q993" s="31" t="n"/>
      <c r="R993" s="34">
        <f>IFERROR(IF(AND(O993&gt;0,P993&gt;0,Q993&gt;0),(O993*P993*Q993)/6000,""),"")</f>
        <v/>
      </c>
      <c r="S993" s="34">
        <f>IFERROR(IF(AND(N993&gt;0,R993&gt;0),MAX(N993,R993),IF(N993&gt;0,N993,IF(R993&gt;0,R993,""))),"")</f>
        <v/>
      </c>
      <c r="T993" s="36" t="n"/>
      <c r="U993" s="38" t="inlineStr">
        <is>
          <t>FALTA</t>
        </is>
      </c>
      <c r="V993" s="36" t="n">
        <v>925</v>
      </c>
      <c r="W993" s="39" t="n">
        <v>0.3</v>
      </c>
      <c r="X993" s="41">
        <f>IFERROR(V993+T993,"")</f>
        <v/>
      </c>
      <c r="Y993" s="41">
        <f>IFERROR(IF(W993&lt;1,X993/(1-W993),""),"")</f>
        <v/>
      </c>
      <c r="Z993" s="43">
        <f>'01_CONFIG_GLOBAL'!$C$14</f>
        <v/>
      </c>
      <c r="AA993" s="41">
        <f>IFERROR(Y993*Z993,"")</f>
        <v/>
      </c>
      <c r="AB993" s="41">
        <f>IFERROR(IF(Z993&lt;1,Y993/(1-Z993),""),"")</f>
        <v/>
      </c>
      <c r="AC993" s="23" t="n"/>
      <c r="AD993" s="36" t="n"/>
      <c r="AE993" s="23" t="n"/>
      <c r="AF993" s="36" t="n"/>
      <c r="AG993" s="23" t="n"/>
      <c r="AH993" s="36" t="n"/>
      <c r="AI993" s="41">
        <f>IFERROR(AVERAGE(AD993,AF993,AH993),"")</f>
        <v/>
      </c>
      <c r="AJ993" s="29">
        <f>IFERROR(IF(AI993="","sem dados",IF(AB993&lt;AI993*0.95,"abaixo",IF(AB993&gt;AI993*1.05,"acima","em linha"))),"")</f>
        <v/>
      </c>
      <c r="AK993" s="23" t="inlineStr">
        <is>
          <t>não</t>
        </is>
      </c>
      <c r="AL993" s="23" t="n"/>
      <c r="AM993" s="23" t="n"/>
      <c r="AN993" s="23" t="n"/>
      <c r="AO993" s="44">
        <f>A993</f>
        <v/>
      </c>
      <c r="AP993" s="44">
        <f>D993</f>
        <v/>
      </c>
    </row>
    <row r="994" hidden="1" ht="15.75" customHeight="1" s="93">
      <c r="A994" s="23" t="inlineStr">
        <is>
          <t>5.0520.L026298.0</t>
        </is>
      </c>
      <c r="B994" s="23" t="inlineStr">
        <is>
          <t>L026298</t>
        </is>
      </c>
      <c r="C994" s="29">
        <f>IFERROR(LOWER(SUBSTITUTE(SUBSTITUTE(SUBSTITUTE(SUBSTITUTE(D994," ","-"),"/","-"),".",""),",","")),"")</f>
        <v/>
      </c>
      <c r="D994" s="23" t="inlineStr">
        <is>
          <t>MC1 26 201.2.21.314/26.314.61</t>
        </is>
      </c>
      <c r="E994" s="23" t="n"/>
      <c r="F994" s="23" t="inlineStr">
        <is>
          <t>SOHIPREN</t>
        </is>
      </c>
      <c r="G994" s="23" t="n"/>
      <c r="H994" s="23" t="inlineStr">
        <is>
          <t>draft</t>
        </is>
      </c>
      <c r="I994" s="23" t="inlineStr">
        <is>
          <t>XCMG</t>
        </is>
      </c>
      <c r="J994" s="23" t="inlineStr">
        <is>
          <t>MOTONIVELADORA</t>
        </is>
      </c>
      <c r="K994" s="23" t="inlineStr">
        <is>
          <t>PRNCIPAL</t>
        </is>
      </c>
      <c r="L994" s="23" t="inlineStr">
        <is>
          <t>P124G30085BL54/101000146</t>
        </is>
      </c>
      <c r="M994" s="31" t="n"/>
      <c r="N994" s="31" t="n"/>
      <c r="O994" s="31" t="n"/>
      <c r="P994" s="31" t="n"/>
      <c r="Q994" s="31" t="n"/>
      <c r="R994" s="34">
        <f>IFERROR(IF(AND(O994&gt;0,P994&gt;0,Q994&gt;0),(O994*P994*Q994)/6000,""),"")</f>
        <v/>
      </c>
      <c r="S994" s="34">
        <f>IFERROR(IF(AND(N994&gt;0,R994&gt;0),MAX(N994,R994),IF(N994&gt;0,N994,IF(R994&gt;0,R994,""))),"")</f>
        <v/>
      </c>
      <c r="T994" s="36" t="n"/>
      <c r="U994" s="38" t="inlineStr">
        <is>
          <t>FALTA</t>
        </is>
      </c>
      <c r="V994" s="36" t="n">
        <v>1870</v>
      </c>
      <c r="W994" s="39" t="n">
        <v>0.3</v>
      </c>
      <c r="X994" s="41">
        <f>IFERROR(V994+T994,"")</f>
        <v/>
      </c>
      <c r="Y994" s="41">
        <f>IFERROR(IF(W994&lt;1,X994/(1-W994),""),"")</f>
        <v/>
      </c>
      <c r="Z994" s="43">
        <f>'01_CONFIG_GLOBAL'!$C$14</f>
        <v/>
      </c>
      <c r="AA994" s="41">
        <f>IFERROR(Y994*Z994,"")</f>
        <v/>
      </c>
      <c r="AB994" s="41">
        <f>IFERROR(IF(Z994&lt;1,Y994/(1-Z994),""),"")</f>
        <v/>
      </c>
      <c r="AC994" s="23" t="n"/>
      <c r="AD994" s="36" t="n"/>
      <c r="AE994" s="23" t="n"/>
      <c r="AF994" s="36" t="n"/>
      <c r="AG994" s="23" t="n"/>
      <c r="AH994" s="36" t="n"/>
      <c r="AI994" s="41">
        <f>IFERROR(AVERAGE(AD994,AF994,AH994),"")</f>
        <v/>
      </c>
      <c r="AJ994" s="29">
        <f>IFERROR(IF(AI994="","sem dados",IF(AB994&lt;AI994*0.95,"abaixo",IF(AB994&gt;AI994*1.05,"acima","em linha"))),"")</f>
        <v/>
      </c>
      <c r="AK994" s="23" t="inlineStr">
        <is>
          <t>não</t>
        </is>
      </c>
      <c r="AL994" s="23" t="n"/>
      <c r="AM994" s="23" t="n"/>
      <c r="AN994" s="23" t="n"/>
      <c r="AO994" s="44">
        <f>A994</f>
        <v/>
      </c>
      <c r="AP994" s="44">
        <f>D994</f>
        <v/>
      </c>
    </row>
    <row r="995" hidden="1" ht="15.75" customHeight="1" s="93">
      <c r="A995" s="23" t="inlineStr">
        <is>
          <t>5.0403.0575020.0</t>
        </is>
      </c>
      <c r="B995" s="23" t="inlineStr">
        <is>
          <t>575020</t>
        </is>
      </c>
      <c r="C995" s="29">
        <f>IFERROR(LOWER(SUBSTITUTE(SUBSTITUTE(SUBSTITUTE(SUBSTITUTE(D995," ","-"),"/","-"),".",""),",","")),"")</f>
        <v/>
      </c>
      <c r="D995" s="23" t="inlineStr">
        <is>
          <t>BNI 28 E5.C.F5.L</t>
        </is>
      </c>
      <c r="E995" s="23" t="n"/>
      <c r="F995" s="23" t="inlineStr">
        <is>
          <t>SOHIPREN</t>
        </is>
      </c>
      <c r="G995" s="23" t="n"/>
      <c r="H995" s="23" t="inlineStr">
        <is>
          <t>draft</t>
        </is>
      </c>
      <c r="I995" s="23" t="inlineStr">
        <is>
          <t>YALE</t>
        </is>
      </c>
      <c r="J995" s="23" t="inlineStr">
        <is>
          <t>EMPILHADEIRA</t>
        </is>
      </c>
      <c r="K995" s="23" t="inlineStr">
        <is>
          <t>PRINCIPAL</t>
        </is>
      </c>
      <c r="L995" s="23" t="inlineStr">
        <is>
          <t>9100246-30/12111027176</t>
        </is>
      </c>
      <c r="M995" s="31" t="n"/>
      <c r="N995" s="31" t="n"/>
      <c r="O995" s="31" t="n"/>
      <c r="P995" s="31" t="n"/>
      <c r="Q995" s="31" t="n"/>
      <c r="R995" s="34">
        <f>IFERROR(IF(AND(O995&gt;0,P995&gt;0,Q995&gt;0),(O995*P995*Q995)/6000,""),"")</f>
        <v/>
      </c>
      <c r="S995" s="34">
        <f>IFERROR(IF(AND(N995&gt;0,R995&gt;0),MAX(N995,R995),IF(N995&gt;0,N995,IF(R995&gt;0,R995,""))),"")</f>
        <v/>
      </c>
      <c r="T995" s="36" t="n"/>
      <c r="U995" s="38" t="inlineStr">
        <is>
          <t>FALTA</t>
        </is>
      </c>
      <c r="V995" s="36" t="n">
        <v>658.85</v>
      </c>
      <c r="W995" s="39" t="n">
        <v>0.3</v>
      </c>
      <c r="X995" s="41">
        <f>IFERROR(V995+T995,"")</f>
        <v/>
      </c>
      <c r="Y995" s="41">
        <f>IFERROR(IF(W995&lt;1,X995/(1-W995),""),"")</f>
        <v/>
      </c>
      <c r="Z995" s="43">
        <f>'01_CONFIG_GLOBAL'!$C$14</f>
        <v/>
      </c>
      <c r="AA995" s="41">
        <f>IFERROR(Y995*Z995,"")</f>
        <v/>
      </c>
      <c r="AB995" s="41">
        <f>IFERROR(IF(Z995&lt;1,Y995/(1-Z995),""),"")</f>
        <v/>
      </c>
      <c r="AC995" s="23" t="n"/>
      <c r="AD995" s="36" t="n"/>
      <c r="AE995" s="23" t="n"/>
      <c r="AF995" s="36" t="n"/>
      <c r="AG995" s="23" t="n"/>
      <c r="AH995" s="36" t="n"/>
      <c r="AI995" s="41">
        <f>IFERROR(AVERAGE(AD995,AF995,AH995),"")</f>
        <v/>
      </c>
      <c r="AJ995" s="29">
        <f>IFERROR(IF(AI995="","sem dados",IF(AB995&lt;AI995*0.95,"abaixo",IF(AB995&gt;AI995*1.05,"acima","em linha"))),"")</f>
        <v/>
      </c>
      <c r="AK995" s="23" t="inlineStr">
        <is>
          <t>não</t>
        </is>
      </c>
      <c r="AL995" s="23" t="n"/>
      <c r="AM995" s="23" t="n"/>
      <c r="AN995" s="23" t="n"/>
      <c r="AO995" s="44">
        <f>A995</f>
        <v/>
      </c>
      <c r="AP995" s="44">
        <f>D995</f>
        <v/>
      </c>
    </row>
    <row r="996" hidden="1" ht="15.75" customHeight="1" s="93">
      <c r="A996" s="23" t="inlineStr">
        <is>
          <t>5.0504.0503086.0</t>
        </is>
      </c>
      <c r="B996" s="23" t="inlineStr">
        <is>
          <t>503086</t>
        </is>
      </c>
      <c r="C996" s="29">
        <f>IFERROR(LOWER(SUBSTITUTE(SUBSTITUTE(SUBSTITUTE(SUBSTITUTE(D996," ","-"),"/","-"),".",""),",","")),"")</f>
        <v/>
      </c>
      <c r="D996" s="23" t="inlineStr">
        <is>
          <t>MC1 40 204.1.31.74.61</t>
        </is>
      </c>
      <c r="E996" s="23" t="n"/>
      <c r="F996" s="23" t="inlineStr">
        <is>
          <t>SOHIPREN</t>
        </is>
      </c>
      <c r="G996" s="23" t="n"/>
      <c r="H996" s="23" t="inlineStr">
        <is>
          <t>draft</t>
        </is>
      </c>
      <c r="I996" s="23" t="inlineStr">
        <is>
          <t>YALE</t>
        </is>
      </c>
      <c r="J996" s="23" t="inlineStr">
        <is>
          <t>EMPILHADEIRA</t>
        </is>
      </c>
      <c r="K996" s="23" t="inlineStr">
        <is>
          <t>PRINCIPAL</t>
        </is>
      </c>
      <c r="L996" s="23" t="inlineStr">
        <is>
          <t>7112010</t>
        </is>
      </c>
      <c r="M996" s="31" t="n"/>
      <c r="N996" s="31" t="n"/>
      <c r="O996" s="31" t="n"/>
      <c r="P996" s="31" t="n"/>
      <c r="Q996" s="31" t="n"/>
      <c r="R996" s="34">
        <f>IFERROR(IF(AND(O996&gt;0,P996&gt;0,Q996&gt;0),(O996*P996*Q996)/6000,""),"")</f>
        <v/>
      </c>
      <c r="S996" s="34">
        <f>IFERROR(IF(AND(N996&gt;0,R996&gt;0),MAX(N996,R996),IF(N996&gt;0,N996,IF(R996&gt;0,R996,""))),"")</f>
        <v/>
      </c>
      <c r="T996" s="36" t="n"/>
      <c r="U996" s="38" t="inlineStr">
        <is>
          <t>FALTA</t>
        </is>
      </c>
      <c r="V996" s="36" t="n">
        <v>1150</v>
      </c>
      <c r="W996" s="39" t="n">
        <v>0.3</v>
      </c>
      <c r="X996" s="41">
        <f>IFERROR(V996+T996,"")</f>
        <v/>
      </c>
      <c r="Y996" s="41">
        <f>IFERROR(IF(W996&lt;1,X996/(1-W996),""),"")</f>
        <v/>
      </c>
      <c r="Z996" s="43">
        <f>'01_CONFIG_GLOBAL'!$C$14</f>
        <v/>
      </c>
      <c r="AA996" s="41">
        <f>IFERROR(Y996*Z996,"")</f>
        <v/>
      </c>
      <c r="AB996" s="41">
        <f>IFERROR(IF(Z996&lt;1,Y996/(1-Z996),""),"")</f>
        <v/>
      </c>
      <c r="AC996" s="23" t="n"/>
      <c r="AD996" s="36" t="n"/>
      <c r="AE996" s="23" t="n"/>
      <c r="AF996" s="36" t="n"/>
      <c r="AG996" s="23" t="n"/>
      <c r="AH996" s="36" t="n"/>
      <c r="AI996" s="41">
        <f>IFERROR(AVERAGE(AD996,AF996,AH996),"")</f>
        <v/>
      </c>
      <c r="AJ996" s="29">
        <f>IFERROR(IF(AI996="","sem dados",IF(AB996&lt;AI996*0.95,"abaixo",IF(AB996&gt;AI996*1.05,"acima","em linha"))),"")</f>
        <v/>
      </c>
      <c r="AK996" s="23" t="inlineStr">
        <is>
          <t>não</t>
        </is>
      </c>
      <c r="AL996" s="23" t="n"/>
      <c r="AM996" s="23" t="n"/>
      <c r="AN996" s="23" t="n"/>
      <c r="AO996" s="44">
        <f>A996</f>
        <v/>
      </c>
      <c r="AP996" s="44">
        <f>D996</f>
        <v/>
      </c>
    </row>
    <row r="997" hidden="1" ht="15.75" customHeight="1" s="93">
      <c r="A997" s="23" t="inlineStr">
        <is>
          <t>5.0205.0542408.0</t>
        </is>
      </c>
      <c r="B997" s="23" t="inlineStr">
        <is>
          <t>542408</t>
        </is>
      </c>
      <c r="C997" s="29">
        <f>IFERROR(LOWER(SUBSTITUTE(SUBSTITUTE(SUBSTITUTE(SUBSTITUTE(D997," ","-"),"/","-"),".",""),",","")),"")</f>
        <v/>
      </c>
      <c r="D997" s="23" t="inlineStr">
        <is>
          <t>BOD 8 B1.B12.A.L</t>
        </is>
      </c>
      <c r="E997" s="23" t="inlineStr">
        <is>
          <t>Bombas Hidráulicas</t>
        </is>
      </c>
      <c r="F997" s="23" t="inlineStr">
        <is>
          <t>SOHIPREN</t>
        </is>
      </c>
      <c r="G997" s="23" t="n"/>
      <c r="H997" s="23" t="inlineStr">
        <is>
          <t>draft</t>
        </is>
      </c>
      <c r="I997" s="23" t="inlineStr">
        <is>
          <t>YALE-MADAL</t>
        </is>
      </c>
      <c r="J997" s="23" t="inlineStr">
        <is>
          <t>EMPILHADEIRA</t>
        </is>
      </c>
      <c r="K997" s="23" t="inlineStr">
        <is>
          <t>EMBREAGEM</t>
        </is>
      </c>
      <c r="L997" s="23" t="inlineStr">
        <is>
          <t>7112005</t>
        </is>
      </c>
      <c r="M997" s="31" t="n"/>
      <c r="N997" s="31" t="n"/>
      <c r="O997" s="31" t="n"/>
      <c r="P997" s="31" t="n"/>
      <c r="Q997" s="31" t="n"/>
      <c r="R997" s="34">
        <f>IFERROR(IF(AND(O997&gt;0,P997&gt;0,Q997&gt;0),(O997*P997*Q997)/6000,""),"")</f>
        <v/>
      </c>
      <c r="S997" s="34">
        <f>IFERROR(IF(AND(N997&gt;0,R997&gt;0),MAX(N997,R997),IF(N997&gt;0,N997,IF(R997&gt;0,R997,""))),"")</f>
        <v/>
      </c>
      <c r="T997" s="36" t="n"/>
      <c r="U997" s="38" t="inlineStr">
        <is>
          <t>FALTA</t>
        </is>
      </c>
      <c r="V997" s="36" t="n">
        <v>665</v>
      </c>
      <c r="W997" s="39" t="n">
        <v>0.3</v>
      </c>
      <c r="X997" s="41">
        <f>IFERROR(V997+T997,"")</f>
        <v/>
      </c>
      <c r="Y997" s="41">
        <f>IFERROR(IF(W997&lt;1,X997/(1-W997),""),"")</f>
        <v/>
      </c>
      <c r="Z997" s="43">
        <f>'01_CONFIG_GLOBAL'!$C$14</f>
        <v/>
      </c>
      <c r="AA997" s="41">
        <f>IFERROR(Y997*Z997,"")</f>
        <v/>
      </c>
      <c r="AB997" s="41">
        <f>IFERROR(IF(Z997&lt;1,Y997/(1-Z997),""),"")</f>
        <v/>
      </c>
      <c r="AC997" s="23" t="n"/>
      <c r="AD997" s="36" t="n"/>
      <c r="AE997" s="23" t="n"/>
      <c r="AF997" s="36" t="n"/>
      <c r="AG997" s="23" t="n"/>
      <c r="AH997" s="36" t="n"/>
      <c r="AI997" s="41">
        <f>IFERROR(AVERAGE(AD997,AF997,AH997),"")</f>
        <v/>
      </c>
      <c r="AJ997" s="29">
        <f>IFERROR(IF(AI997="","sem dados",IF(AB997&lt;AI997*0.95,"abaixo",IF(AB997&gt;AI997*1.05,"acima","em linha"))),"")</f>
        <v/>
      </c>
      <c r="AK997" s="23" t="inlineStr">
        <is>
          <t>não</t>
        </is>
      </c>
      <c r="AL997" s="23" t="n"/>
      <c r="AM997" s="23" t="n"/>
      <c r="AN997" s="23" t="n"/>
      <c r="AO997" s="44">
        <f>A997</f>
        <v/>
      </c>
      <c r="AP997" s="44">
        <f>D997</f>
        <v/>
      </c>
    </row>
    <row r="998" hidden="1" ht="15.75" customHeight="1" s="93">
      <c r="A998" s="23" t="inlineStr">
        <is>
          <t>5.0208.0544825.0</t>
        </is>
      </c>
      <c r="B998" s="23" t="inlineStr">
        <is>
          <t>544825</t>
        </is>
      </c>
      <c r="C998" s="29">
        <f>IFERROR(LOWER(SUBSTITUTE(SUBSTITUTE(SUBSTITUTE(SUBSTITUTE(D998," ","-"),"/","-"),".",""),",","")),"")</f>
        <v/>
      </c>
      <c r="D998" s="23" t="inlineStr">
        <is>
          <t>BOMBA HIDRÁULICA - APLICAÇÃO 16 E11.B16.A1.D5 9 (SIN VLP - DOBLE RETEN)</t>
        </is>
      </c>
      <c r="E998" s="23" t="inlineStr">
        <is>
          <t>Bombas Hidráulicas</t>
        </is>
      </c>
      <c r="F998" s="23" t="inlineStr">
        <is>
          <t>SOHIPREN</t>
        </is>
      </c>
      <c r="G998" s="23" t="n"/>
      <c r="H998" s="23" t="inlineStr">
        <is>
          <t>draft</t>
        </is>
      </c>
      <c r="I998" s="23" t="inlineStr">
        <is>
          <t>YANMAR</t>
        </is>
      </c>
      <c r="J998" s="23" t="inlineStr">
        <is>
          <t>TRATOR</t>
        </is>
      </c>
      <c r="K998" s="23" t="inlineStr">
        <is>
          <t>PRINCIPAL</t>
        </is>
      </c>
      <c r="L998" s="23" t="inlineStr">
        <is>
          <t>GLOBAL</t>
        </is>
      </c>
      <c r="M998" s="31" t="n"/>
      <c r="N998" s="31" t="n"/>
      <c r="O998" s="31" t="n"/>
      <c r="P998" s="31" t="n"/>
      <c r="Q998" s="31" t="n"/>
      <c r="R998" s="34">
        <f>IFERROR(IF(AND(O998&gt;0,P998&gt;0,Q998&gt;0),(O998*P998*Q998)/6000,""),"")</f>
        <v/>
      </c>
      <c r="S998" s="34">
        <f>IFERROR(IF(AND(N998&gt;0,R998&gt;0),MAX(N998,R998),IF(N998&gt;0,N998,IF(R998&gt;0,R998,""))),"")</f>
        <v/>
      </c>
      <c r="T998" s="36" t="n"/>
      <c r="U998" s="38" t="inlineStr">
        <is>
          <t>FALTA</t>
        </is>
      </c>
      <c r="V998" s="36" t="n">
        <v>1197</v>
      </c>
      <c r="W998" s="39" t="n">
        <v>0.3</v>
      </c>
      <c r="X998" s="41">
        <f>IFERROR(V998+T998,"")</f>
        <v/>
      </c>
      <c r="Y998" s="41">
        <f>IFERROR(IF(W998&lt;1,X998/(1-W998),""),"")</f>
        <v/>
      </c>
      <c r="Z998" s="43">
        <f>'01_CONFIG_GLOBAL'!$C$14</f>
        <v/>
      </c>
      <c r="AA998" s="41">
        <f>IFERROR(Y998*Z998,"")</f>
        <v/>
      </c>
      <c r="AB998" s="41">
        <f>IFERROR(IF(Z998&lt;1,Y998/(1-Z998),""),"")</f>
        <v/>
      </c>
      <c r="AC998" s="23" t="n"/>
      <c r="AD998" s="36" t="n"/>
      <c r="AE998" s="23" t="n"/>
      <c r="AF998" s="36" t="n"/>
      <c r="AG998" s="23" t="n"/>
      <c r="AH998" s="36" t="n"/>
      <c r="AI998" s="41">
        <f>IFERROR(AVERAGE(AD998,AF998,AH998),"")</f>
        <v/>
      </c>
      <c r="AJ998" s="29">
        <f>IFERROR(IF(AI998="","sem dados",IF(AB998&lt;AI998*0.95,"abaixo",IF(AB998&gt;AI998*1.05,"acima","em linha"))),"")</f>
        <v/>
      </c>
      <c r="AK998" s="23" t="inlineStr">
        <is>
          <t>não</t>
        </is>
      </c>
      <c r="AL998" s="23" t="n"/>
      <c r="AM998" s="23" t="n"/>
      <c r="AN998" s="23" t="n"/>
      <c r="AO998" s="44">
        <f>A998</f>
        <v/>
      </c>
      <c r="AP998" s="44">
        <f>D998</f>
        <v/>
      </c>
    </row>
    <row r="999" hidden="1" ht="15.75" customHeight="1" s="93">
      <c r="A999" s="23" t="inlineStr">
        <is>
          <t>5.0208.0544867.0</t>
        </is>
      </c>
      <c r="B999" s="23" t="inlineStr">
        <is>
          <t>544867</t>
        </is>
      </c>
      <c r="C999" s="29">
        <f>IFERROR(LOWER(SUBSTITUTE(SUBSTITUTE(SUBSTITUTE(SUBSTITUTE(D999," ","-"),"/","-"),".",""),",","")),"")</f>
        <v/>
      </c>
      <c r="D999" s="23" t="inlineStr">
        <is>
          <t>BOMBA HIDRÁULICA - APLICAÇÃO 16 B1.B12.A14.D5  9-90+10 BAR</t>
        </is>
      </c>
      <c r="E999" s="23" t="inlineStr">
        <is>
          <t>Bombas Hidráulicas</t>
        </is>
      </c>
      <c r="F999" s="23" t="inlineStr">
        <is>
          <t>SOHIPREN</t>
        </is>
      </c>
      <c r="G999" s="23" t="n"/>
      <c r="H999" s="23" t="inlineStr">
        <is>
          <t>draft</t>
        </is>
      </c>
      <c r="I999" s="23" t="inlineStr">
        <is>
          <t>YANMAR</t>
        </is>
      </c>
      <c r="J999" s="23" t="inlineStr">
        <is>
          <t>EMPILHADEIRA</t>
        </is>
      </c>
      <c r="K999" s="23" t="n"/>
      <c r="L999" s="23" t="inlineStr">
        <is>
          <t>9510080639</t>
        </is>
      </c>
      <c r="M999" s="31" t="n"/>
      <c r="N999" s="31" t="n"/>
      <c r="O999" s="31" t="n"/>
      <c r="P999" s="31" t="n"/>
      <c r="Q999" s="31" t="n"/>
      <c r="R999" s="34">
        <f>IFERROR(IF(AND(O999&gt;0,P999&gt;0,Q999&gt;0),(O999*P999*Q999)/6000,""),"")</f>
        <v/>
      </c>
      <c r="S999" s="34">
        <f>IFERROR(IF(AND(N999&gt;0,R999&gt;0),MAX(N999,R999),IF(N999&gt;0,N999,IF(R999&gt;0,R999,""))),"")</f>
        <v/>
      </c>
      <c r="T999" s="36" t="n"/>
      <c r="U999" s="38" t="inlineStr">
        <is>
          <t>FALTA</t>
        </is>
      </c>
      <c r="V999" s="36" t="n">
        <v>566.5</v>
      </c>
      <c r="W999" s="39" t="n">
        <v>0.3</v>
      </c>
      <c r="X999" s="41">
        <f>IFERROR(V999+T999,"")</f>
        <v/>
      </c>
      <c r="Y999" s="41">
        <f>IFERROR(IF(W999&lt;1,X999/(1-W999),""),"")</f>
        <v/>
      </c>
      <c r="Z999" s="43">
        <f>'01_CONFIG_GLOBAL'!$C$14</f>
        <v/>
      </c>
      <c r="AA999" s="41">
        <f>IFERROR(Y999*Z999,"")</f>
        <v/>
      </c>
      <c r="AB999" s="41">
        <f>IFERROR(IF(Z999&lt;1,Y999/(1-Z999),""),"")</f>
        <v/>
      </c>
      <c r="AC999" s="23" t="n"/>
      <c r="AD999" s="36" t="n"/>
      <c r="AE999" s="23" t="n"/>
      <c r="AF999" s="36" t="n"/>
      <c r="AG999" s="23" t="n"/>
      <c r="AH999" s="36" t="n"/>
      <c r="AI999" s="41">
        <f>IFERROR(AVERAGE(AD999,AF999,AH999),"")</f>
        <v/>
      </c>
      <c r="AJ999" s="29">
        <f>IFERROR(IF(AI999="","sem dados",IF(AB999&lt;AI999*0.95,"abaixo",IF(AB999&gt;AI999*1.05,"acima","em linha"))),"")</f>
        <v/>
      </c>
      <c r="AK999" s="23" t="inlineStr">
        <is>
          <t>não</t>
        </is>
      </c>
      <c r="AL999" s="23" t="n"/>
      <c r="AM999" s="23" t="n"/>
      <c r="AN999" s="23" t="n"/>
      <c r="AO999" s="44">
        <f>A999</f>
        <v/>
      </c>
      <c r="AP999" s="44">
        <f>D999</f>
        <v/>
      </c>
    </row>
    <row r="1000" hidden="1" ht="15.75" customHeight="1" s="93">
      <c r="A1000" s="23" t="inlineStr">
        <is>
          <t>5.0505.0504002.0</t>
        </is>
      </c>
      <c r="B1000" s="23" t="inlineStr">
        <is>
          <t>504002</t>
        </is>
      </c>
      <c r="C1000" s="29">
        <f>IFERROR(LOWER(SUBSTITUTE(SUBSTITUTE(SUBSTITUTE(SUBSTITUTE(D1000," ","-"),"/","-"),".",""),",","")),"")</f>
        <v/>
      </c>
      <c r="D1000" s="23" t="inlineStr">
        <is>
          <t>MC1 50 202.1.33.98.61</t>
        </is>
      </c>
      <c r="E1000" s="23" t="n"/>
      <c r="F1000" s="23" t="inlineStr">
        <is>
          <t>SOHIPREN</t>
        </is>
      </c>
      <c r="G1000" s="23" t="n"/>
      <c r="H1000" s="23" t="inlineStr">
        <is>
          <t>draft</t>
        </is>
      </c>
      <c r="I1000" s="23" t="inlineStr">
        <is>
          <t>ZANELLO</t>
        </is>
      </c>
      <c r="J1000" s="23" t="inlineStr">
        <is>
          <t>TRATOR</t>
        </is>
      </c>
      <c r="K1000" s="23" t="inlineStr">
        <is>
          <t>PRINCIPAL</t>
        </is>
      </c>
      <c r="L1000" s="23" t="n"/>
      <c r="M1000" s="31" t="n"/>
      <c r="N1000" s="31" t="n"/>
      <c r="O1000" s="31" t="n"/>
      <c r="P1000" s="31" t="n"/>
      <c r="Q1000" s="31" t="n"/>
      <c r="R1000" s="34">
        <f>IFERROR(IF(AND(O1000&gt;0,P1000&gt;0,Q1000&gt;0),(O1000*P1000*Q1000)/6000,""),"")</f>
        <v/>
      </c>
      <c r="S1000" s="34">
        <f>IFERROR(IF(AND(N1000&gt;0,R1000&gt;0),MAX(N1000,R1000),IF(N1000&gt;0,N1000,IF(R1000&gt;0,R1000,""))),"")</f>
        <v/>
      </c>
      <c r="T1000" s="36" t="n"/>
      <c r="U1000" s="38" t="inlineStr">
        <is>
          <t>FALTA</t>
        </is>
      </c>
      <c r="V1000" s="36" t="n">
        <v>7786.35</v>
      </c>
      <c r="W1000" s="39" t="n">
        <v>0.3</v>
      </c>
      <c r="X1000" s="41">
        <f>IFERROR(V1000+T1000,"")</f>
        <v/>
      </c>
      <c r="Y1000" s="41">
        <f>IFERROR(IF(W1000&lt;1,X1000/(1-W1000),""),"")</f>
        <v/>
      </c>
      <c r="Z1000" s="43">
        <f>'01_CONFIG_GLOBAL'!$C$14</f>
        <v/>
      </c>
      <c r="AA1000" s="41">
        <f>IFERROR(Y1000*Z1000,"")</f>
        <v/>
      </c>
      <c r="AB1000" s="41">
        <f>IFERROR(IF(Z1000&lt;1,Y1000/(1-Z1000),""),"")</f>
        <v/>
      </c>
      <c r="AC1000" s="23" t="n"/>
      <c r="AD1000" s="36" t="n"/>
      <c r="AE1000" s="23" t="n"/>
      <c r="AF1000" s="36" t="n"/>
      <c r="AG1000" s="23" t="n"/>
      <c r="AH1000" s="36" t="n"/>
      <c r="AI1000" s="41">
        <f>IFERROR(AVERAGE(AD1000,AF1000,AH1000),"")</f>
        <v/>
      </c>
      <c r="AJ1000" s="29">
        <f>IFERROR(IF(AI1000="","sem dados",IF(AB1000&lt;AI1000*0.95,"abaixo",IF(AB1000&gt;AI1000*1.05,"acima","em linha"))),"")</f>
        <v/>
      </c>
      <c r="AK1000" s="23" t="inlineStr">
        <is>
          <t>não</t>
        </is>
      </c>
      <c r="AL1000" s="23" t="n"/>
      <c r="AM1000" s="23" t="n"/>
      <c r="AN1000" s="23" t="n"/>
      <c r="AO1000" s="44">
        <f>A1000</f>
        <v/>
      </c>
      <c r="AP1000" s="44">
        <f>D1000</f>
        <v/>
      </c>
    </row>
    <row r="1001" hidden="1" ht="15.75" customHeight="1" s="93">
      <c r="A1001" s="23" t="inlineStr">
        <is>
          <t>5.0206.0543238.0</t>
        </is>
      </c>
      <c r="B1001" s="23" t="inlineStr">
        <is>
          <t>543238</t>
        </is>
      </c>
      <c r="C1001" s="29">
        <f>IFERROR(LOWER(SUBSTITUTE(SUBSTITUTE(SUBSTITUTE(SUBSTITUTE(D1001," ","-"),"/","-"),".",""),",","")),"")</f>
        <v/>
      </c>
      <c r="D1001" s="23" t="inlineStr">
        <is>
          <t>BOD 11 E.B.C7.T  -5 BAR</t>
        </is>
      </c>
      <c r="E1001" s="23" t="inlineStr">
        <is>
          <t>Bombas Hidráulicas</t>
        </is>
      </c>
      <c r="F1001" s="23" t="inlineStr">
        <is>
          <t>SOHIPREN</t>
        </is>
      </c>
      <c r="G1001" s="23" t="n"/>
      <c r="H1001" s="23" t="inlineStr">
        <is>
          <t>draft</t>
        </is>
      </c>
      <c r="I1001" s="23" t="inlineStr">
        <is>
          <t>ZANELLO</t>
        </is>
      </c>
      <c r="J1001" s="23" t="inlineStr">
        <is>
          <t>TRATOR</t>
        </is>
      </c>
      <c r="K1001" s="23" t="inlineStr">
        <is>
          <t>LUBRIFICAÇÃO</t>
        </is>
      </c>
      <c r="L1001" s="23" t="n"/>
      <c r="M1001" s="31" t="n"/>
      <c r="N1001" s="31" t="n"/>
      <c r="O1001" s="31" t="n"/>
      <c r="P1001" s="31" t="n"/>
      <c r="Q1001" s="31" t="n"/>
      <c r="R1001" s="34">
        <f>IFERROR(IF(AND(O1001&gt;0,P1001&gt;0,Q1001&gt;0),(O1001*P1001*Q1001)/6000,""),"")</f>
        <v/>
      </c>
      <c r="S1001" s="34">
        <f>IFERROR(IF(AND(N1001&gt;0,R1001&gt;0),MAX(N1001,R1001),IF(N1001&gt;0,N1001,IF(R1001&gt;0,R1001,""))),"")</f>
        <v/>
      </c>
      <c r="T1001" s="36" t="n"/>
      <c r="U1001" s="38" t="inlineStr">
        <is>
          <t>FALTA</t>
        </is>
      </c>
      <c r="V1001" s="36" t="n">
        <v>605</v>
      </c>
      <c r="W1001" s="39" t="n">
        <v>0.3</v>
      </c>
      <c r="X1001" s="41">
        <f>IFERROR(V1001+T1001,"")</f>
        <v/>
      </c>
      <c r="Y1001" s="41">
        <f>IFERROR(IF(W1001&lt;1,X1001/(1-W1001),""),"")</f>
        <v/>
      </c>
      <c r="Z1001" s="43">
        <f>'01_CONFIG_GLOBAL'!$C$14</f>
        <v/>
      </c>
      <c r="AA1001" s="41">
        <f>IFERROR(Y1001*Z1001,"")</f>
        <v/>
      </c>
      <c r="AB1001" s="41">
        <f>IFERROR(IF(Z1001&lt;1,Y1001/(1-Z1001),""),"")</f>
        <v/>
      </c>
      <c r="AC1001" s="23" t="n"/>
      <c r="AD1001" s="36" t="n"/>
      <c r="AE1001" s="23" t="n"/>
      <c r="AF1001" s="36" t="n"/>
      <c r="AG1001" s="23" t="n"/>
      <c r="AH1001" s="36" t="n"/>
      <c r="AI1001" s="41">
        <f>IFERROR(AVERAGE(AD1001,AF1001,AH1001),"")</f>
        <v/>
      </c>
      <c r="AJ1001" s="29">
        <f>IFERROR(IF(AI1001="","sem dados",IF(AB1001&lt;AI1001*0.95,"abaixo",IF(AB1001&gt;AI1001*1.05,"acima","em linha"))),"")</f>
        <v/>
      </c>
      <c r="AK1001" s="23" t="inlineStr">
        <is>
          <t>não</t>
        </is>
      </c>
      <c r="AL1001" s="23" t="n"/>
      <c r="AM1001" s="23" t="n"/>
      <c r="AN1001" s="23" t="n"/>
      <c r="AO1001" s="44">
        <f>A1001</f>
        <v/>
      </c>
      <c r="AP1001" s="44">
        <f>D1001</f>
        <v/>
      </c>
    </row>
    <row r="1002" hidden="1" ht="15.75" customHeight="1" s="93">
      <c r="A1002" s="23" t="inlineStr">
        <is>
          <t>5.0206.0543235.0</t>
        </is>
      </c>
      <c r="B1002" s="23" t="inlineStr">
        <is>
          <t>543235</t>
        </is>
      </c>
      <c r="C1002" s="29">
        <f>IFERROR(LOWER(SUBSTITUTE(SUBSTITUTE(SUBSTITUTE(SUBSTITUTE(D1002," ","-"),"/","-"),".",""),",","")),"")</f>
        <v/>
      </c>
      <c r="D1002" s="23" t="inlineStr">
        <is>
          <t>BOD 11 B.B.C7.T  -5 BAR</t>
        </is>
      </c>
      <c r="E1002" s="23" t="inlineStr">
        <is>
          <t>Bombas Hidráulicas</t>
        </is>
      </c>
      <c r="F1002" s="23" t="inlineStr">
        <is>
          <t>SOHIPREN</t>
        </is>
      </c>
      <c r="G1002" s="23" t="n"/>
      <c r="H1002" s="23" t="inlineStr">
        <is>
          <t>draft</t>
        </is>
      </c>
      <c r="I1002" s="23" t="inlineStr">
        <is>
          <t>ZANELLO</t>
        </is>
      </c>
      <c r="J1002" s="23" t="inlineStr">
        <is>
          <t>TRATOR</t>
        </is>
      </c>
      <c r="K1002" s="23" t="inlineStr">
        <is>
          <t>LUBRIFICAÇÃO</t>
        </is>
      </c>
      <c r="L1002" s="23" t="n"/>
      <c r="M1002" s="31" t="n"/>
      <c r="N1002" s="31" t="n"/>
      <c r="O1002" s="31" t="n"/>
      <c r="P1002" s="31" t="n"/>
      <c r="Q1002" s="31" t="n"/>
      <c r="R1002" s="34">
        <f>IFERROR(IF(AND(O1002&gt;0,P1002&gt;0,Q1002&gt;0),(O1002*P1002*Q1002)/6000,""),"")</f>
        <v/>
      </c>
      <c r="S1002" s="34">
        <f>IFERROR(IF(AND(N1002&gt;0,R1002&gt;0),MAX(N1002,R1002),IF(N1002&gt;0,N1002,IF(R1002&gt;0,R1002,""))),"")</f>
        <v/>
      </c>
      <c r="T1002" s="36" t="n"/>
      <c r="U1002" s="38" t="inlineStr">
        <is>
          <t>FALTA</t>
        </is>
      </c>
      <c r="V1002" s="36" t="n">
        <v>605</v>
      </c>
      <c r="W1002" s="39" t="n">
        <v>0.3</v>
      </c>
      <c r="X1002" s="41">
        <f>IFERROR(V1002+T1002,"")</f>
        <v/>
      </c>
      <c r="Y1002" s="41">
        <f>IFERROR(IF(W1002&lt;1,X1002/(1-W1002),""),"")</f>
        <v/>
      </c>
      <c r="Z1002" s="43">
        <f>'01_CONFIG_GLOBAL'!$C$14</f>
        <v/>
      </c>
      <c r="AA1002" s="41">
        <f>IFERROR(Y1002*Z1002,"")</f>
        <v/>
      </c>
      <c r="AB1002" s="41">
        <f>IFERROR(IF(Z1002&lt;1,Y1002/(1-Z1002),""),"")</f>
        <v/>
      </c>
      <c r="AC1002" s="23" t="n"/>
      <c r="AD1002" s="36" t="n"/>
      <c r="AE1002" s="23" t="n"/>
      <c r="AF1002" s="36" t="n"/>
      <c r="AG1002" s="23" t="n"/>
      <c r="AH1002" s="36" t="n"/>
      <c r="AI1002" s="41">
        <f>IFERROR(AVERAGE(AD1002,AF1002,AH1002),"")</f>
        <v/>
      </c>
      <c r="AJ1002" s="29">
        <f>IFERROR(IF(AI1002="","sem dados",IF(AB1002&lt;AI1002*0.95,"abaixo",IF(AB1002&gt;AI1002*1.05,"acima","em linha"))),"")</f>
        <v/>
      </c>
      <c r="AK1002" s="23" t="inlineStr">
        <is>
          <t>não</t>
        </is>
      </c>
      <c r="AL1002" s="23" t="n"/>
      <c r="AM1002" s="23" t="n"/>
      <c r="AN1002" s="23" t="n"/>
      <c r="AO1002" s="44">
        <f>A1002</f>
        <v/>
      </c>
      <c r="AP1002" s="44">
        <f>D1002</f>
        <v/>
      </c>
    </row>
    <row r="1003" hidden="1" ht="15.75" customHeight="1" s="93">
      <c r="A1003" s="23" t="inlineStr">
        <is>
          <t>5.0206.0543234.0</t>
        </is>
      </c>
      <c r="B1003" s="23" t="inlineStr">
        <is>
          <t>543234</t>
        </is>
      </c>
      <c r="C1003" s="29">
        <f>IFERROR(LOWER(SUBSTITUTE(SUBSTITUTE(SUBSTITUTE(SUBSTITUTE(D1003," ","-"),"/","-"),".",""),",","")),"")</f>
        <v/>
      </c>
      <c r="D1003" s="23" t="inlineStr">
        <is>
          <t>BOD 11 C3.C2.G.G1</t>
        </is>
      </c>
      <c r="E1003" s="23" t="inlineStr">
        <is>
          <t>Bombas Hidráulicas</t>
        </is>
      </c>
      <c r="F1003" s="23" t="inlineStr">
        <is>
          <t>SOHIPREN</t>
        </is>
      </c>
      <c r="G1003" s="23" t="n"/>
      <c r="H1003" s="23" t="inlineStr">
        <is>
          <t>draft</t>
        </is>
      </c>
      <c r="I1003" s="23" t="inlineStr">
        <is>
          <t>ZANELLO</t>
        </is>
      </c>
      <c r="J1003" s="23" t="inlineStr">
        <is>
          <t>TRATOR</t>
        </is>
      </c>
      <c r="K1003" s="23" t="inlineStr">
        <is>
          <t>PRINCIPAL</t>
        </is>
      </c>
      <c r="L1003" s="23" t="n"/>
      <c r="M1003" s="31" t="n"/>
      <c r="N1003" s="31" t="n"/>
      <c r="O1003" s="31" t="n"/>
      <c r="P1003" s="31" t="n"/>
      <c r="Q1003" s="31" t="n"/>
      <c r="R1003" s="34">
        <f>IFERROR(IF(AND(O1003&gt;0,P1003&gt;0,Q1003&gt;0),(O1003*P1003*Q1003)/6000,""),"")</f>
        <v/>
      </c>
      <c r="S1003" s="34">
        <f>IFERROR(IF(AND(N1003&gt;0,R1003&gt;0),MAX(N1003,R1003),IF(N1003&gt;0,N1003,IF(R1003&gt;0,R1003,""))),"")</f>
        <v/>
      </c>
      <c r="T1003" s="36" t="n"/>
      <c r="U1003" s="38" t="inlineStr">
        <is>
          <t>FALTA</t>
        </is>
      </c>
      <c r="V1003" s="36" t="n">
        <v>605</v>
      </c>
      <c r="W1003" s="39" t="n">
        <v>0.3</v>
      </c>
      <c r="X1003" s="41">
        <f>IFERROR(V1003+T1003,"")</f>
        <v/>
      </c>
      <c r="Y1003" s="41">
        <f>IFERROR(IF(W1003&lt;1,X1003/(1-W1003),""),"")</f>
        <v/>
      </c>
      <c r="Z1003" s="43">
        <f>'01_CONFIG_GLOBAL'!$C$14</f>
        <v/>
      </c>
      <c r="AA1003" s="41">
        <f>IFERROR(Y1003*Z1003,"")</f>
        <v/>
      </c>
      <c r="AB1003" s="41">
        <f>IFERROR(IF(Z1003&lt;1,Y1003/(1-Z1003),""),"")</f>
        <v/>
      </c>
      <c r="AC1003" s="23" t="n"/>
      <c r="AD1003" s="36" t="n"/>
      <c r="AE1003" s="23" t="n"/>
      <c r="AF1003" s="36" t="n"/>
      <c r="AG1003" s="23" t="n"/>
      <c r="AH1003" s="36" t="n"/>
      <c r="AI1003" s="41">
        <f>IFERROR(AVERAGE(AD1003,AF1003,AH1003),"")</f>
        <v/>
      </c>
      <c r="AJ1003" s="29">
        <f>IFERROR(IF(AI1003="","sem dados",IF(AB1003&lt;AI1003*0.95,"abaixo",IF(AB1003&gt;AI1003*1.05,"acima","em linha"))),"")</f>
        <v/>
      </c>
      <c r="AK1003" s="23" t="inlineStr">
        <is>
          <t>não</t>
        </is>
      </c>
      <c r="AL1003" s="23" t="n"/>
      <c r="AM1003" s="23" t="n"/>
      <c r="AN1003" s="23" t="n"/>
      <c r="AO1003" s="44">
        <f>A1003</f>
        <v/>
      </c>
      <c r="AP1003" s="44">
        <f>D1003</f>
        <v/>
      </c>
    </row>
    <row r="1004" hidden="1" ht="15.75" customHeight="1" s="93">
      <c r="A1004" s="23" t="inlineStr">
        <is>
          <t>5.0207.0544014.0</t>
        </is>
      </c>
      <c r="B1004" s="23" t="inlineStr">
        <is>
          <t>544014</t>
        </is>
      </c>
      <c r="C1004" s="29">
        <f>IFERROR(LOWER(SUBSTITUTE(SUBSTITUTE(SUBSTITUTE(SUBSTITUTE(D1004," ","-"),"/","-"),".",""),",","")),"")</f>
        <v/>
      </c>
      <c r="D1004" s="23" t="inlineStr">
        <is>
          <t>BOMBA HIDRÁULICA - APLICAÇÃO 14 B.B14.B12.L</t>
        </is>
      </c>
      <c r="E1004" s="23" t="inlineStr">
        <is>
          <t>Bombas Hidráulicas</t>
        </is>
      </c>
      <c r="F1004" s="23" t="inlineStr">
        <is>
          <t>SOHIPREN</t>
        </is>
      </c>
      <c r="G1004" s="23" t="n"/>
      <c r="H1004" s="23" t="inlineStr">
        <is>
          <t>draft</t>
        </is>
      </c>
      <c r="I1004" s="23" t="inlineStr">
        <is>
          <t>ZANELLO</t>
        </is>
      </c>
      <c r="J1004" s="23" t="inlineStr">
        <is>
          <t>TRATOR</t>
        </is>
      </c>
      <c r="K1004" s="23" t="inlineStr">
        <is>
          <t>PRINCIPAL</t>
        </is>
      </c>
      <c r="L1004" s="23" t="n"/>
      <c r="M1004" s="31" t="n"/>
      <c r="N1004" s="31" t="n"/>
      <c r="O1004" s="31" t="n"/>
      <c r="P1004" s="31" t="n"/>
      <c r="Q1004" s="31" t="n"/>
      <c r="R1004" s="34">
        <f>IFERROR(IF(AND(O1004&gt;0,P1004&gt;0,Q1004&gt;0),(O1004*P1004*Q1004)/6000,""),"")</f>
        <v/>
      </c>
      <c r="S1004" s="34">
        <f>IFERROR(IF(AND(N1004&gt;0,R1004&gt;0),MAX(N1004,R1004),IF(N1004&gt;0,N1004,IF(R1004&gt;0,R1004,""))),"")</f>
        <v/>
      </c>
      <c r="T1004" s="36" t="n"/>
      <c r="U1004" s="38" t="inlineStr">
        <is>
          <t>FALTA</t>
        </is>
      </c>
      <c r="V1004" s="36" t="n">
        <v>665</v>
      </c>
      <c r="W1004" s="39" t="n">
        <v>0.3</v>
      </c>
      <c r="X1004" s="41">
        <f>IFERROR(V1004+T1004,"")</f>
        <v/>
      </c>
      <c r="Y1004" s="41">
        <f>IFERROR(IF(W1004&lt;1,X1004/(1-W1004),""),"")</f>
        <v/>
      </c>
      <c r="Z1004" s="43">
        <f>'01_CONFIG_GLOBAL'!$C$14</f>
        <v/>
      </c>
      <c r="AA1004" s="41">
        <f>IFERROR(Y1004*Z1004,"")</f>
        <v/>
      </c>
      <c r="AB1004" s="41">
        <f>IFERROR(IF(Z1004&lt;1,Y1004/(1-Z1004),""),"")</f>
        <v/>
      </c>
      <c r="AC1004" s="23" t="n"/>
      <c r="AD1004" s="36" t="n"/>
      <c r="AE1004" s="23" t="n"/>
      <c r="AF1004" s="36" t="n"/>
      <c r="AG1004" s="23" t="n"/>
      <c r="AH1004" s="36" t="n"/>
      <c r="AI1004" s="41">
        <f>IFERROR(AVERAGE(AD1004,AF1004,AH1004),"")</f>
        <v/>
      </c>
      <c r="AJ1004" s="29">
        <f>IFERROR(IF(AI1004="","sem dados",IF(AB1004&lt;AI1004*0.95,"abaixo",IF(AB1004&gt;AI1004*1.05,"acima","em linha"))),"")</f>
        <v/>
      </c>
      <c r="AK1004" s="23" t="inlineStr">
        <is>
          <t>não</t>
        </is>
      </c>
      <c r="AL1004" s="23" t="n"/>
      <c r="AM1004" s="23" t="n"/>
      <c r="AN1004" s="23" t="n"/>
      <c r="AO1004" s="44">
        <f>A1004</f>
        <v/>
      </c>
      <c r="AP1004" s="44">
        <f>D1004</f>
        <v/>
      </c>
    </row>
    <row r="1005" hidden="1" ht="15.75" customHeight="1" s="93">
      <c r="A1005" s="23" t="inlineStr">
        <is>
          <t>5.0207.0544008.0</t>
        </is>
      </c>
      <c r="B1005" s="23" t="inlineStr">
        <is>
          <t>544008</t>
        </is>
      </c>
      <c r="C1005" s="29">
        <f>IFERROR(LOWER(SUBSTITUTE(SUBSTITUTE(SUBSTITUTE(SUBSTITUTE(D1005," ","-"),"/","-"),".",""),",","")),"")</f>
        <v/>
      </c>
      <c r="D1005" s="23" t="inlineStr">
        <is>
          <t>BOMBA HIDRÁULICA - APLICAÇÃO 14 C5.C.A1.C5  9-80 BAR (DEPOSITO)</t>
        </is>
      </c>
      <c r="E1005" s="23" t="inlineStr">
        <is>
          <t>Bombas Hidráulicas</t>
        </is>
      </c>
      <c r="F1005" s="23" t="inlineStr">
        <is>
          <t>SOHIPREN</t>
        </is>
      </c>
      <c r="G1005" s="23" t="n"/>
      <c r="H1005" s="23" t="inlineStr">
        <is>
          <t>draft</t>
        </is>
      </c>
      <c r="I1005" s="23" t="inlineStr">
        <is>
          <t>ZANELLO</t>
        </is>
      </c>
      <c r="J1005" s="23" t="inlineStr">
        <is>
          <t>TRATOR</t>
        </is>
      </c>
      <c r="K1005" s="23" t="inlineStr">
        <is>
          <t>PRINCIPAL</t>
        </is>
      </c>
      <c r="L1005" s="23" t="n"/>
      <c r="M1005" s="31" t="n"/>
      <c r="N1005" s="31" t="n"/>
      <c r="O1005" s="31" t="n"/>
      <c r="P1005" s="31" t="n"/>
      <c r="Q1005" s="31" t="n"/>
      <c r="R1005" s="34">
        <f>IFERROR(IF(AND(O1005&gt;0,P1005&gt;0,Q1005&gt;0),(O1005*P1005*Q1005)/6000,""),"")</f>
        <v/>
      </c>
      <c r="S1005" s="34">
        <f>IFERROR(IF(AND(N1005&gt;0,R1005&gt;0),MAX(N1005,R1005),IF(N1005&gt;0,N1005,IF(R1005&gt;0,R1005,""))),"")</f>
        <v/>
      </c>
      <c r="T1005" s="36" t="n"/>
      <c r="U1005" s="38" t="inlineStr">
        <is>
          <t>FALTA</t>
        </is>
      </c>
      <c r="V1005" s="36" t="n">
        <v>665</v>
      </c>
      <c r="W1005" s="39" t="n">
        <v>0.3</v>
      </c>
      <c r="X1005" s="41">
        <f>IFERROR(V1005+T1005,"")</f>
        <v/>
      </c>
      <c r="Y1005" s="41">
        <f>IFERROR(IF(W1005&lt;1,X1005/(1-W1005),""),"")</f>
        <v/>
      </c>
      <c r="Z1005" s="43">
        <f>'01_CONFIG_GLOBAL'!$C$14</f>
        <v/>
      </c>
      <c r="AA1005" s="41">
        <f>IFERROR(Y1005*Z1005,"")</f>
        <v/>
      </c>
      <c r="AB1005" s="41">
        <f>IFERROR(IF(Z1005&lt;1,Y1005/(1-Z1005),""),"")</f>
        <v/>
      </c>
      <c r="AC1005" s="23" t="n"/>
      <c r="AD1005" s="36" t="n"/>
      <c r="AE1005" s="23" t="n"/>
      <c r="AF1005" s="36" t="n"/>
      <c r="AG1005" s="23" t="n"/>
      <c r="AH1005" s="36" t="n"/>
      <c r="AI1005" s="41">
        <f>IFERROR(AVERAGE(AD1005,AF1005,AH1005),"")</f>
        <v/>
      </c>
      <c r="AJ1005" s="29">
        <f>IFERROR(IF(AI1005="","sem dados",IF(AB1005&lt;AI1005*0.95,"abaixo",IF(AB1005&gt;AI1005*1.05,"acima","em linha"))),"")</f>
        <v/>
      </c>
      <c r="AK1005" s="23" t="inlineStr">
        <is>
          <t>não</t>
        </is>
      </c>
      <c r="AL1005" s="23" t="n"/>
      <c r="AM1005" s="23" t="n"/>
      <c r="AN1005" s="23" t="n"/>
      <c r="AO1005" s="44">
        <f>A1005</f>
        <v/>
      </c>
      <c r="AP1005" s="44">
        <f>D1005</f>
        <v/>
      </c>
    </row>
    <row r="1006" hidden="1" ht="15.75" customHeight="1" s="93">
      <c r="A1006" s="23" t="inlineStr">
        <is>
          <t>5.0503.0502526.0</t>
        </is>
      </c>
      <c r="B1006" s="23" t="inlineStr">
        <is>
          <t>502526</t>
        </is>
      </c>
      <c r="C1006" s="29">
        <f>IFERROR(LOWER(SUBSTITUTE(SUBSTITUTE(SUBSTITUTE(SUBSTITUTE(D1006," ","-"),"/","-"),".",""),",","")),"")</f>
        <v/>
      </c>
      <c r="D1006" s="23" t="inlineStr">
        <is>
          <t>MC1 32 201.2.21.86.63</t>
        </is>
      </c>
      <c r="E1006" s="23" t="n"/>
      <c r="F1006" s="23" t="inlineStr">
        <is>
          <t>SOHIPREN</t>
        </is>
      </c>
      <c r="G1006" s="23" t="n"/>
      <c r="H1006" s="23" t="inlineStr">
        <is>
          <t>draft</t>
        </is>
      </c>
      <c r="I1006" s="23" t="inlineStr">
        <is>
          <t>ZANELLO</t>
        </is>
      </c>
      <c r="J1006" s="23" t="inlineStr">
        <is>
          <t>TRATOR</t>
        </is>
      </c>
      <c r="K1006" s="23" t="inlineStr">
        <is>
          <t>PRINCIPAL</t>
        </is>
      </c>
      <c r="L1006" s="23" t="n"/>
      <c r="M1006" s="31" t="n"/>
      <c r="N1006" s="31" t="n"/>
      <c r="O1006" s="31" t="n"/>
      <c r="P1006" s="31" t="n"/>
      <c r="Q1006" s="31" t="n"/>
      <c r="R1006" s="34">
        <f>IFERROR(IF(AND(O1006&gt;0,P1006&gt;0,Q1006&gt;0),(O1006*P1006*Q1006)/6000,""),"")</f>
        <v/>
      </c>
      <c r="S1006" s="34">
        <f>IFERROR(IF(AND(N1006&gt;0,R1006&gt;0),MAX(N1006,R1006),IF(N1006&gt;0,N1006,IF(R1006&gt;0,R1006,""))),"")</f>
        <v/>
      </c>
      <c r="T1006" s="36" t="n"/>
      <c r="U1006" s="38" t="inlineStr">
        <is>
          <t>FALTA</t>
        </is>
      </c>
      <c r="V1006" s="36" t="n">
        <v>979</v>
      </c>
      <c r="W1006" s="39" t="n">
        <v>0.3</v>
      </c>
      <c r="X1006" s="41">
        <f>IFERROR(V1006+T1006,"")</f>
        <v/>
      </c>
      <c r="Y1006" s="41">
        <f>IFERROR(IF(W1006&lt;1,X1006/(1-W1006),""),"")</f>
        <v/>
      </c>
      <c r="Z1006" s="43">
        <f>'01_CONFIG_GLOBAL'!$C$14</f>
        <v/>
      </c>
      <c r="AA1006" s="41">
        <f>IFERROR(Y1006*Z1006,"")</f>
        <v/>
      </c>
      <c r="AB1006" s="41">
        <f>IFERROR(IF(Z1006&lt;1,Y1006/(1-Z1006),""),"")</f>
        <v/>
      </c>
      <c r="AC1006" s="23" t="n"/>
      <c r="AD1006" s="36" t="n"/>
      <c r="AE1006" s="23" t="n"/>
      <c r="AF1006" s="36" t="n"/>
      <c r="AG1006" s="23" t="n"/>
      <c r="AH1006" s="36" t="n"/>
      <c r="AI1006" s="41">
        <f>IFERROR(AVERAGE(AD1006,AF1006,AH1006),"")</f>
        <v/>
      </c>
      <c r="AJ1006" s="29">
        <f>IFERROR(IF(AI1006="","sem dados",IF(AB1006&lt;AI1006*0.95,"abaixo",IF(AB1006&gt;AI1006*1.05,"acima","em linha"))),"")</f>
        <v/>
      </c>
      <c r="AK1006" s="23" t="inlineStr">
        <is>
          <t>não</t>
        </is>
      </c>
      <c r="AL1006" s="23" t="n"/>
      <c r="AM1006" s="23" t="n"/>
      <c r="AN1006" s="23" t="n"/>
      <c r="AO1006" s="44">
        <f>A1006</f>
        <v/>
      </c>
      <c r="AP1006" s="44">
        <f>D1006</f>
        <v/>
      </c>
    </row>
    <row r="1007" hidden="1" ht="15.75" customHeight="1" s="93">
      <c r="A1007" s="23" t="inlineStr">
        <is>
          <t>5.0504.0503037.0</t>
        </is>
      </c>
      <c r="B1007" s="23" t="inlineStr">
        <is>
          <t>503037</t>
        </is>
      </c>
      <c r="C1007" s="29">
        <f>IFERROR(LOWER(SUBSTITUTE(SUBSTITUTE(SUBSTITUTE(SUBSTITUTE(D1007," ","-"),"/","-"),".",""),",","")),"")</f>
        <v/>
      </c>
      <c r="D1007" s="23" t="inlineStr">
        <is>
          <t>MC1 40 201.2.21.83.61</t>
        </is>
      </c>
      <c r="E1007" s="23" t="n"/>
      <c r="F1007" s="23" t="inlineStr">
        <is>
          <t>SOHIPREN</t>
        </is>
      </c>
      <c r="G1007" s="23" t="n"/>
      <c r="H1007" s="23" t="inlineStr">
        <is>
          <t>draft</t>
        </is>
      </c>
      <c r="I1007" s="23" t="inlineStr">
        <is>
          <t>ZANELLO</t>
        </is>
      </c>
      <c r="J1007" s="23" t="inlineStr">
        <is>
          <t>TRATOR</t>
        </is>
      </c>
      <c r="K1007" s="23" t="inlineStr">
        <is>
          <t>PRINCIPAL</t>
        </is>
      </c>
      <c r="L1007" s="23" t="n"/>
      <c r="M1007" s="31" t="n"/>
      <c r="N1007" s="31" t="n"/>
      <c r="O1007" s="31" t="n"/>
      <c r="P1007" s="31" t="n"/>
      <c r="Q1007" s="31" t="n"/>
      <c r="R1007" s="34">
        <f>IFERROR(IF(AND(O1007&gt;0,P1007&gt;0,Q1007&gt;0),(O1007*P1007*Q1007)/6000,""),"")</f>
        <v/>
      </c>
      <c r="S1007" s="34">
        <f>IFERROR(IF(AND(N1007&gt;0,R1007&gt;0),MAX(N1007,R1007),IF(N1007&gt;0,N1007,IF(R1007&gt;0,R1007,""))),"")</f>
        <v/>
      </c>
      <c r="T1007" s="36" t="n"/>
      <c r="U1007" s="38" t="inlineStr">
        <is>
          <t>FALTA</t>
        </is>
      </c>
      <c r="V1007" s="36" t="n">
        <v>907.5</v>
      </c>
      <c r="W1007" s="39" t="n">
        <v>0.3</v>
      </c>
      <c r="X1007" s="41">
        <f>IFERROR(V1007+T1007,"")</f>
        <v/>
      </c>
      <c r="Y1007" s="41">
        <f>IFERROR(IF(W1007&lt;1,X1007/(1-W1007),""),"")</f>
        <v/>
      </c>
      <c r="Z1007" s="43">
        <f>'01_CONFIG_GLOBAL'!$C$14</f>
        <v/>
      </c>
      <c r="AA1007" s="41">
        <f>IFERROR(Y1007*Z1007,"")</f>
        <v/>
      </c>
      <c r="AB1007" s="41">
        <f>IFERROR(IF(Z1007&lt;1,Y1007/(1-Z1007),""),"")</f>
        <v/>
      </c>
      <c r="AC1007" s="23" t="n"/>
      <c r="AD1007" s="36" t="n"/>
      <c r="AE1007" s="23" t="n"/>
      <c r="AF1007" s="36" t="n"/>
      <c r="AG1007" s="23" t="n"/>
      <c r="AH1007" s="36" t="n"/>
      <c r="AI1007" s="41">
        <f>IFERROR(AVERAGE(AD1007,AF1007,AH1007),"")</f>
        <v/>
      </c>
      <c r="AJ1007" s="29">
        <f>IFERROR(IF(AI1007="","sem dados",IF(AB1007&lt;AI1007*0.95,"abaixo",IF(AB1007&gt;AI1007*1.05,"acima","em linha"))),"")</f>
        <v/>
      </c>
      <c r="AK1007" s="23" t="inlineStr">
        <is>
          <t>não</t>
        </is>
      </c>
      <c r="AL1007" s="23" t="n"/>
      <c r="AM1007" s="23" t="n"/>
      <c r="AN1007" s="23" t="n"/>
      <c r="AO1007" s="44">
        <f>A1007</f>
        <v/>
      </c>
      <c r="AP1007" s="44">
        <f>D1007</f>
        <v/>
      </c>
    </row>
    <row r="1008" hidden="1" ht="15.75" customHeight="1" s="93">
      <c r="A1008" s="23" t="inlineStr">
        <is>
          <t>5.0504.0503020.0</t>
        </is>
      </c>
      <c r="B1008" s="23" t="inlineStr">
        <is>
          <t>503020</t>
        </is>
      </c>
      <c r="C1008" s="29">
        <f>IFERROR(LOWER(SUBSTITUTE(SUBSTITUTE(SUBSTITUTE(SUBSTITUTE(D1008," ","-"),"/","-"),".",""),",","")),"")</f>
        <v/>
      </c>
      <c r="D1008" s="23" t="inlineStr">
        <is>
          <t>MC1 40 201.2.32.81.61</t>
        </is>
      </c>
      <c r="E1008" s="23" t="n"/>
      <c r="F1008" s="23" t="inlineStr">
        <is>
          <t>SOHIPREN</t>
        </is>
      </c>
      <c r="G1008" s="23" t="n"/>
      <c r="H1008" s="23" t="inlineStr">
        <is>
          <t>draft</t>
        </is>
      </c>
      <c r="I1008" s="23" t="inlineStr">
        <is>
          <t>ZANELLO</t>
        </is>
      </c>
      <c r="J1008" s="23" t="inlineStr">
        <is>
          <t>TRATOR</t>
        </is>
      </c>
      <c r="K1008" s="23" t="inlineStr">
        <is>
          <t>PRINCIPAL</t>
        </is>
      </c>
      <c r="L1008" s="23" t="n"/>
      <c r="M1008" s="31" t="n"/>
      <c r="N1008" s="31" t="n"/>
      <c r="O1008" s="31" t="n"/>
      <c r="P1008" s="31" t="n"/>
      <c r="Q1008" s="31" t="n"/>
      <c r="R1008" s="34">
        <f>IFERROR(IF(AND(O1008&gt;0,P1008&gt;0,Q1008&gt;0),(O1008*P1008*Q1008)/6000,""),"")</f>
        <v/>
      </c>
      <c r="S1008" s="34">
        <f>IFERROR(IF(AND(N1008&gt;0,R1008&gt;0),MAX(N1008,R1008),IF(N1008&gt;0,N1008,IF(R1008&gt;0,R1008,""))),"")</f>
        <v/>
      </c>
      <c r="T1008" s="36" t="n"/>
      <c r="U1008" s="38" t="inlineStr">
        <is>
          <t>FALTA</t>
        </is>
      </c>
      <c r="V1008" s="36" t="n">
        <v>935</v>
      </c>
      <c r="W1008" s="39" t="n">
        <v>0.3</v>
      </c>
      <c r="X1008" s="41">
        <f>IFERROR(V1008+T1008,"")</f>
        <v/>
      </c>
      <c r="Y1008" s="41">
        <f>IFERROR(IF(W1008&lt;1,X1008/(1-W1008),""),"")</f>
        <v/>
      </c>
      <c r="Z1008" s="43">
        <f>'01_CONFIG_GLOBAL'!$C$14</f>
        <v/>
      </c>
      <c r="AA1008" s="41">
        <f>IFERROR(Y1008*Z1008,"")</f>
        <v/>
      </c>
      <c r="AB1008" s="41">
        <f>IFERROR(IF(Z1008&lt;1,Y1008/(1-Z1008),""),"")</f>
        <v/>
      </c>
      <c r="AC1008" s="23" t="n"/>
      <c r="AD1008" s="36" t="n"/>
      <c r="AE1008" s="23" t="n"/>
      <c r="AF1008" s="36" t="n"/>
      <c r="AG1008" s="23" t="n"/>
      <c r="AH1008" s="36" t="n"/>
      <c r="AI1008" s="41">
        <f>IFERROR(AVERAGE(AD1008,AF1008,AH1008),"")</f>
        <v/>
      </c>
      <c r="AJ1008" s="29">
        <f>IFERROR(IF(AI1008="","sem dados",IF(AB1008&lt;AI1008*0.95,"abaixo",IF(AB1008&gt;AI1008*1.05,"acima","em linha"))),"")</f>
        <v/>
      </c>
      <c r="AK1008" s="23" t="inlineStr">
        <is>
          <t>não</t>
        </is>
      </c>
      <c r="AL1008" s="23" t="n"/>
      <c r="AM1008" s="23" t="n"/>
      <c r="AN1008" s="23" t="n"/>
      <c r="AO1008" s="44">
        <f>A1008</f>
        <v/>
      </c>
      <c r="AP1008" s="44">
        <f>D1008</f>
        <v/>
      </c>
    </row>
    <row r="1009" hidden="1" ht="15.75" customHeight="1" s="93">
      <c r="A1009" s="23" t="inlineStr">
        <is>
          <t>5.0504.0503512.0</t>
        </is>
      </c>
      <c r="B1009" s="23" t="inlineStr">
        <is>
          <t>503512</t>
        </is>
      </c>
      <c r="C1009" s="29">
        <f>IFERROR(LOWER(SUBSTITUTE(SUBSTITUTE(SUBSTITUTE(SUBSTITUTE(D1009," ","-"),"/","-"),".",""),",","")),"")</f>
        <v/>
      </c>
      <c r="D1009" s="23" t="inlineStr">
        <is>
          <t>MC1 40 201.2.21.89.69</t>
        </is>
      </c>
      <c r="E1009" s="23" t="n"/>
      <c r="F1009" s="23" t="inlineStr">
        <is>
          <t>SOHIPREN</t>
        </is>
      </c>
      <c r="G1009" s="23" t="n"/>
      <c r="H1009" s="23" t="inlineStr">
        <is>
          <t>draft</t>
        </is>
      </c>
      <c r="I1009" s="23" t="inlineStr">
        <is>
          <t>ZANELLO</t>
        </is>
      </c>
      <c r="J1009" s="23" t="inlineStr">
        <is>
          <t>TRATOR</t>
        </is>
      </c>
      <c r="K1009" s="23" t="inlineStr">
        <is>
          <t>PRINCIPAL</t>
        </is>
      </c>
      <c r="L1009" s="23" t="n"/>
      <c r="M1009" s="31" t="n"/>
      <c r="N1009" s="31" t="n"/>
      <c r="O1009" s="31" t="n"/>
      <c r="P1009" s="31" t="n"/>
      <c r="Q1009" s="31" t="n"/>
      <c r="R1009" s="34">
        <f>IFERROR(IF(AND(O1009&gt;0,P1009&gt;0,Q1009&gt;0),(O1009*P1009*Q1009)/6000,""),"")</f>
        <v/>
      </c>
      <c r="S1009" s="34">
        <f>IFERROR(IF(AND(N1009&gt;0,R1009&gt;0),MAX(N1009,R1009),IF(N1009&gt;0,N1009,IF(R1009&gt;0,R1009,""))),"")</f>
        <v/>
      </c>
      <c r="T1009" s="36" t="n"/>
      <c r="U1009" s="38" t="inlineStr">
        <is>
          <t>FALTA</t>
        </is>
      </c>
      <c r="V1009" s="36" t="n">
        <v>874.5</v>
      </c>
      <c r="W1009" s="39" t="n">
        <v>0.3</v>
      </c>
      <c r="X1009" s="41">
        <f>IFERROR(V1009+T1009,"")</f>
        <v/>
      </c>
      <c r="Y1009" s="41">
        <f>IFERROR(IF(W1009&lt;1,X1009/(1-W1009),""),"")</f>
        <v/>
      </c>
      <c r="Z1009" s="43">
        <f>'01_CONFIG_GLOBAL'!$C$14</f>
        <v/>
      </c>
      <c r="AA1009" s="41">
        <f>IFERROR(Y1009*Z1009,"")</f>
        <v/>
      </c>
      <c r="AB1009" s="41">
        <f>IFERROR(IF(Z1009&lt;1,Y1009/(1-Z1009),""),"")</f>
        <v/>
      </c>
      <c r="AC1009" s="23" t="n"/>
      <c r="AD1009" s="36" t="n"/>
      <c r="AE1009" s="23" t="n"/>
      <c r="AF1009" s="36" t="n"/>
      <c r="AG1009" s="23" t="n"/>
      <c r="AH1009" s="36" t="n"/>
      <c r="AI1009" s="41">
        <f>IFERROR(AVERAGE(AD1009,AF1009,AH1009),"")</f>
        <v/>
      </c>
      <c r="AJ1009" s="29">
        <f>IFERROR(IF(AI1009="","sem dados",IF(AB1009&lt;AI1009*0.95,"abaixo",IF(AB1009&gt;AI1009*1.05,"acima","em linha"))),"")</f>
        <v/>
      </c>
      <c r="AK1009" s="23" t="inlineStr">
        <is>
          <t>não</t>
        </is>
      </c>
      <c r="AL1009" s="23" t="n"/>
      <c r="AM1009" s="23" t="n"/>
      <c r="AN1009" s="23" t="n"/>
      <c r="AO1009" s="44">
        <f>A1009</f>
        <v/>
      </c>
      <c r="AP1009" s="44">
        <f>D1009</f>
        <v/>
      </c>
    </row>
    <row r="1010" hidden="1" ht="15.75" customHeight="1" s="93">
      <c r="A1010" s="23" t="inlineStr">
        <is>
          <t>5.0504.0503502.0</t>
        </is>
      </c>
      <c r="B1010" s="23" t="inlineStr">
        <is>
          <t>503502</t>
        </is>
      </c>
      <c r="C1010" s="29">
        <f>IFERROR(LOWER(SUBSTITUTE(SUBSTITUTE(SUBSTITUTE(SUBSTITUTE(D1010," ","-"),"/","-"),".",""),",","")),"")</f>
        <v/>
      </c>
      <c r="D1010" s="23" t="inlineStr">
        <is>
          <t>MC1 40 401.1.11.85.78  25-100 BAR</t>
        </is>
      </c>
      <c r="E1010" s="23" t="n"/>
      <c r="F1010" s="23" t="inlineStr">
        <is>
          <t>SOHIPREN</t>
        </is>
      </c>
      <c r="G1010" s="23" t="n"/>
      <c r="H1010" s="23" t="inlineStr">
        <is>
          <t>draft</t>
        </is>
      </c>
      <c r="I1010" s="23" t="inlineStr">
        <is>
          <t>ZANELLO</t>
        </is>
      </c>
      <c r="J1010" s="23" t="inlineStr">
        <is>
          <t>TRATOR</t>
        </is>
      </c>
      <c r="K1010" s="23" t="inlineStr">
        <is>
          <t>PRINCIPAL</t>
        </is>
      </c>
      <c r="L1010" s="23" t="n"/>
      <c r="M1010" s="31" t="n"/>
      <c r="N1010" s="31" t="n"/>
      <c r="O1010" s="31" t="n"/>
      <c r="P1010" s="31" t="n"/>
      <c r="Q1010" s="31" t="n"/>
      <c r="R1010" s="34">
        <f>IFERROR(IF(AND(O1010&gt;0,P1010&gt;0,Q1010&gt;0),(O1010*P1010*Q1010)/6000,""),"")</f>
        <v/>
      </c>
      <c r="S1010" s="34">
        <f>IFERROR(IF(AND(N1010&gt;0,R1010&gt;0),MAX(N1010,R1010),IF(N1010&gt;0,N1010,IF(R1010&gt;0,R1010,""))),"")</f>
        <v/>
      </c>
      <c r="T1010" s="36" t="n"/>
      <c r="U1010" s="38" t="inlineStr">
        <is>
          <t>FALTA</t>
        </is>
      </c>
      <c r="V1010" s="36" t="n">
        <v>874.5</v>
      </c>
      <c r="W1010" s="39" t="n">
        <v>0.3</v>
      </c>
      <c r="X1010" s="41">
        <f>IFERROR(V1010+T1010,"")</f>
        <v/>
      </c>
      <c r="Y1010" s="41">
        <f>IFERROR(IF(W1010&lt;1,X1010/(1-W1010),""),"")</f>
        <v/>
      </c>
      <c r="Z1010" s="43">
        <f>'01_CONFIG_GLOBAL'!$C$14</f>
        <v/>
      </c>
      <c r="AA1010" s="41">
        <f>IFERROR(Y1010*Z1010,"")</f>
        <v/>
      </c>
      <c r="AB1010" s="41">
        <f>IFERROR(IF(Z1010&lt;1,Y1010/(1-Z1010),""),"")</f>
        <v/>
      </c>
      <c r="AC1010" s="23" t="n"/>
      <c r="AD1010" s="36" t="n"/>
      <c r="AE1010" s="23" t="n"/>
      <c r="AF1010" s="36" t="n"/>
      <c r="AG1010" s="23" t="n"/>
      <c r="AH1010" s="36" t="n"/>
      <c r="AI1010" s="41">
        <f>IFERROR(AVERAGE(AD1010,AF1010,AH1010),"")</f>
        <v/>
      </c>
      <c r="AJ1010" s="29">
        <f>IFERROR(IF(AI1010="","sem dados",IF(AB1010&lt;AI1010*0.95,"abaixo",IF(AB1010&gt;AI1010*1.05,"acima","em linha"))),"")</f>
        <v/>
      </c>
      <c r="AK1010" s="23" t="inlineStr">
        <is>
          <t>não</t>
        </is>
      </c>
      <c r="AL1010" s="23" t="n"/>
      <c r="AM1010" s="23" t="n"/>
      <c r="AN1010" s="23" t="n"/>
      <c r="AO1010" s="44">
        <f>A1010</f>
        <v/>
      </c>
      <c r="AP1010" s="44">
        <f>D1010</f>
        <v/>
      </c>
    </row>
    <row r="1011" hidden="1" ht="15.75" customHeight="1" s="93">
      <c r="A1011" s="23" t="inlineStr">
        <is>
          <t>5.0504.0503505.0</t>
        </is>
      </c>
      <c r="B1011" s="23" t="inlineStr">
        <is>
          <t>503505</t>
        </is>
      </c>
      <c r="C1011" s="29">
        <f>IFERROR(LOWER(SUBSTITUTE(SUBSTITUTE(SUBSTITUTE(SUBSTITUTE(D1011," ","-"),"/","-"),".",""),",","")),"")</f>
        <v/>
      </c>
      <c r="D1011" s="23" t="inlineStr">
        <is>
          <t>MC1 40 201.2.21.89.79  25-100 BAR</t>
        </is>
      </c>
      <c r="E1011" s="23" t="n"/>
      <c r="F1011" s="23" t="inlineStr">
        <is>
          <t>SOHIPREN</t>
        </is>
      </c>
      <c r="G1011" s="23" t="n"/>
      <c r="H1011" s="23" t="inlineStr">
        <is>
          <t>draft</t>
        </is>
      </c>
      <c r="I1011" s="23" t="inlineStr">
        <is>
          <t>ZANELLO</t>
        </is>
      </c>
      <c r="J1011" s="23" t="inlineStr">
        <is>
          <t>TRATOR</t>
        </is>
      </c>
      <c r="K1011" s="23" t="inlineStr">
        <is>
          <t>PRINCIPAL</t>
        </is>
      </c>
      <c r="L1011" s="23" t="n"/>
      <c r="M1011" s="31" t="n"/>
      <c r="N1011" s="31" t="n"/>
      <c r="O1011" s="31" t="n"/>
      <c r="P1011" s="31" t="n"/>
      <c r="Q1011" s="31" t="n"/>
      <c r="R1011" s="34">
        <f>IFERROR(IF(AND(O1011&gt;0,P1011&gt;0,Q1011&gt;0),(O1011*P1011*Q1011)/6000,""),"")</f>
        <v/>
      </c>
      <c r="S1011" s="34">
        <f>IFERROR(IF(AND(N1011&gt;0,R1011&gt;0),MAX(N1011,R1011),IF(N1011&gt;0,N1011,IF(R1011&gt;0,R1011,""))),"")</f>
        <v/>
      </c>
      <c r="T1011" s="36" t="n"/>
      <c r="U1011" s="38" t="inlineStr">
        <is>
          <t>FALTA</t>
        </is>
      </c>
      <c r="V1011" s="36" t="n">
        <v>874.5</v>
      </c>
      <c r="W1011" s="39" t="n">
        <v>0.3</v>
      </c>
      <c r="X1011" s="41">
        <f>IFERROR(V1011+T1011,"")</f>
        <v/>
      </c>
      <c r="Y1011" s="41">
        <f>IFERROR(IF(W1011&lt;1,X1011/(1-W1011),""),"")</f>
        <v/>
      </c>
      <c r="Z1011" s="43">
        <f>'01_CONFIG_GLOBAL'!$C$14</f>
        <v/>
      </c>
      <c r="AA1011" s="41">
        <f>IFERROR(Y1011*Z1011,"")</f>
        <v/>
      </c>
      <c r="AB1011" s="41">
        <f>IFERROR(IF(Z1011&lt;1,Y1011/(1-Z1011),""),"")</f>
        <v/>
      </c>
      <c r="AC1011" s="23" t="n"/>
      <c r="AD1011" s="36" t="n"/>
      <c r="AE1011" s="23" t="n"/>
      <c r="AF1011" s="36" t="n"/>
      <c r="AG1011" s="23" t="n"/>
      <c r="AH1011" s="36" t="n"/>
      <c r="AI1011" s="41">
        <f>IFERROR(AVERAGE(AD1011,AF1011,AH1011),"")</f>
        <v/>
      </c>
      <c r="AJ1011" s="29">
        <f>IFERROR(IF(AI1011="","sem dados",IF(AB1011&lt;AI1011*0.95,"abaixo",IF(AB1011&gt;AI1011*1.05,"acima","em linha"))),"")</f>
        <v/>
      </c>
      <c r="AK1011" s="23" t="inlineStr">
        <is>
          <t>não</t>
        </is>
      </c>
      <c r="AL1011" s="23" t="n"/>
      <c r="AM1011" s="23" t="n"/>
      <c r="AN1011" s="23" t="n"/>
      <c r="AO1011" s="44">
        <f>A1011</f>
        <v/>
      </c>
      <c r="AP1011" s="44">
        <f>D1011</f>
        <v/>
      </c>
    </row>
    <row r="1012" ht="15.75" customHeight="1" s="93">
      <c r="A1012" s="88" t="n"/>
      <c r="B1012" s="88" t="inlineStr">
        <is>
          <t>L060169</t>
        </is>
      </c>
      <c r="C1012" s="88" t="n"/>
      <c r="D1012" s="88" t="n"/>
      <c r="E1012" s="88" t="n"/>
      <c r="F1012" s="88" t="n"/>
      <c r="G1012" s="88" t="n"/>
      <c r="H1012" s="88" t="n"/>
      <c r="I1012" s="88" t="n"/>
      <c r="J1012" s="88" t="n"/>
      <c r="K1012" s="88" t="n"/>
      <c r="L1012" s="88" t="n"/>
      <c r="M1012" s="83" t="n"/>
      <c r="N1012" s="83" t="inlineStr">
        <is>
          <t>2.35</t>
        </is>
      </c>
      <c r="O1012" s="83" t="n">
        <v>30</v>
      </c>
      <c r="P1012" s="83" t="n">
        <v>15</v>
      </c>
      <c r="Q1012" s="83" t="n">
        <v>15</v>
      </c>
      <c r="R1012" s="84">
        <f>IFERROR(IF(AND(O1012&gt;0,P1012&gt;0,Q1012&gt;0),(O1012*P1012*Q1012)/6000,""),"")</f>
        <v/>
      </c>
      <c r="S1012" s="84">
        <f>IFERROR(IF(AND(N1012&gt;0,R1012&gt;0),MAX(N1012,R1012),IF(N1012&gt;0,N1012,IF(R1012&gt;0,R1012,""))),"")</f>
        <v/>
      </c>
      <c r="T1012" s="85" t="n">
        <v>100</v>
      </c>
      <c r="U1012" s="80" t="inlineStr">
        <is>
          <t>fornecedor</t>
        </is>
      </c>
      <c r="V1012" s="85" t="n">
        <v>497.57</v>
      </c>
      <c r="W1012" s="86" t="n">
        <v>0.2</v>
      </c>
      <c r="X1012" s="53">
        <f>IFERROR(V1012+T1012,"")</f>
        <v/>
      </c>
      <c r="Y1012" s="53">
        <f>IFERROR(IF(W1012&lt;1,X1012/(1-W1012),""),"")</f>
        <v/>
      </c>
      <c r="Z1012" s="87">
        <f>'01_CONFIG_GLOBAL'!$C$14</f>
        <v/>
      </c>
      <c r="AA1012" s="53">
        <f>IFERROR(Y1012*Z1012,"")</f>
        <v/>
      </c>
      <c r="AB1012" s="53">
        <f>IFERROR(IF(Z1012&lt;1,Y1012/(1-Z1012),""),"")</f>
        <v/>
      </c>
      <c r="AC1012" s="88" t="n"/>
      <c r="AD1012" s="89" t="n"/>
      <c r="AE1012" s="88" t="n"/>
      <c r="AF1012" s="89" t="n"/>
      <c r="AG1012" s="88" t="n"/>
      <c r="AH1012" s="89" t="n"/>
      <c r="AI1012" s="89" t="n"/>
      <c r="AJ1012" s="88" t="n"/>
      <c r="AK1012" s="80" t="n"/>
      <c r="AL1012" s="88" t="n"/>
      <c r="AM1012" s="88" t="n"/>
      <c r="AN1012" s="88" t="n"/>
      <c r="AO1012" s="90" t="n"/>
      <c r="AP1012" s="88" t="n"/>
    </row>
    <row r="1013" ht="15.75" customHeight="1" s="93">
      <c r="A1013" s="88" t="n"/>
      <c r="B1013" s="91" t="n">
        <v>615001</v>
      </c>
      <c r="C1013" s="88" t="n"/>
      <c r="D1013" s="88" t="n"/>
      <c r="E1013" s="88" t="n"/>
      <c r="F1013" s="88" t="n"/>
      <c r="G1013" s="88" t="n"/>
      <c r="H1013" s="88" t="n"/>
      <c r="I1013" s="88" t="n"/>
      <c r="J1013" s="88" t="n"/>
      <c r="K1013" s="88" t="n"/>
      <c r="L1013" s="88" t="n"/>
      <c r="M1013" s="83" t="inlineStr">
        <is>
          <t xml:space="preserve">7 dias </t>
        </is>
      </c>
      <c r="N1013" s="83" t="n"/>
      <c r="O1013" s="83" t="n"/>
      <c r="P1013" s="83" t="n"/>
      <c r="Q1013" s="83" t="n"/>
      <c r="R1013" s="84">
        <f>IFERROR(IF(AND(O1013&gt;0,P1013&gt;0,Q1013&gt;0),(O1013*P1013*Q1013)/6000,""),"")</f>
        <v/>
      </c>
      <c r="S1013" s="84">
        <f>IFERROR(IF(AND(N1013&gt;0,R1013&gt;0),MAX(N1013,R1013),IF(N1013&gt;0,N1013,IF(R1013&gt;0,R1013,""))),"")</f>
        <v/>
      </c>
      <c r="T1013" s="85" t="n">
        <v>100</v>
      </c>
      <c r="U1013" s="80" t="inlineStr">
        <is>
          <t>fornecedor</t>
        </is>
      </c>
      <c r="V1013" s="85" t="n">
        <v>1072.5</v>
      </c>
      <c r="W1013" s="86" t="n">
        <v>0.2</v>
      </c>
      <c r="X1013" s="53">
        <f>IFERROR(V1013+T1013,"")</f>
        <v/>
      </c>
      <c r="Y1013" s="53">
        <f>IFERROR(IF(W1013&lt;1,X1013/(1-W1013),""),"")</f>
        <v/>
      </c>
      <c r="Z1013" s="87">
        <f>'01_CONFIG_GLOBAL'!$C$14</f>
        <v/>
      </c>
      <c r="AA1013" s="53">
        <f>IFERROR(Y1013*Z1013,"")</f>
        <v/>
      </c>
      <c r="AB1013" s="53">
        <f>IFERROR(IF(Z1013&lt;1,Y1013/(1-Z1013),""),"")</f>
        <v/>
      </c>
      <c r="AC1013" s="88" t="n"/>
      <c r="AD1013" s="89" t="n"/>
      <c r="AE1013" s="88" t="n"/>
      <c r="AF1013" s="89" t="n"/>
      <c r="AG1013" s="88" t="n"/>
      <c r="AH1013" s="89" t="n"/>
      <c r="AI1013" s="89" t="n"/>
      <c r="AJ1013" s="88" t="n"/>
      <c r="AK1013" s="92" t="n"/>
      <c r="AL1013" s="88" t="n"/>
      <c r="AM1013" s="88" t="n"/>
      <c r="AN1013" s="88" t="n"/>
      <c r="AO1013" s="90" t="n"/>
      <c r="AP1013" s="88" t="n"/>
    </row>
  </sheetData>
  <autoFilter ref="$A$5:$AP$1013">
    <filterColumn colId="7" hiddenButton="0" showButton="1">
      <filters blank="1">
        <filter val="active"/>
      </filters>
    </filterColumn>
  </autoFilter>
  <mergeCells count="8">
    <mergeCell ref="A4:H4"/>
    <mergeCell ref="N4:U4"/>
    <mergeCell ref="AC4:AJ4"/>
    <mergeCell ref="AK4:AN4"/>
    <mergeCell ref="I4:L4"/>
    <mergeCell ref="V4:AB4"/>
    <mergeCell ref="AO4:AP4"/>
    <mergeCell ref="A1:AN1"/>
  </mergeCells>
  <conditionalFormatting sqref="U6:U1013">
    <cfRule type="cellIs" priority="1" operator="equal" dxfId="0">
      <formula>"FALTA"</formula>
    </cfRule>
  </conditionalFormatting>
  <conditionalFormatting sqref="AJ6:AJ1013">
    <cfRule type="cellIs" priority="2" operator="equal" dxfId="1">
      <formula>"abaixo"</formula>
    </cfRule>
    <cfRule type="cellIs" priority="3" operator="equal" dxfId="2">
      <formula>"acima"</formula>
    </cfRule>
  </conditionalFormatting>
  <conditionalFormatting sqref="AK6:AK1013">
    <cfRule type="cellIs" priority="4" operator="equal" dxfId="2">
      <formula>"divergente"</formula>
    </cfRule>
  </conditionalFormatting>
  <conditionalFormatting sqref="A6:L1011 M6:AB1013 AC6:AP1011">
    <cfRule type="expression" priority="5" dxfId="3">
      <formula>AND($A6&lt;&gt;"",ISEVEN(ROW()))</formula>
    </cfRule>
    <cfRule type="expression" priority="6" dxfId="4">
      <formula>AND($A6&lt;&gt;"",$V6="")</formula>
    </cfRule>
    <cfRule type="expression" priority="7" dxfId="5">
      <formula>AND($A6&lt;&gt;"",$AK6="não")</formula>
    </cfRule>
  </conditionalFormatting>
  <dataValidations count="5">
    <dataValidation sqref="E6:E1013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1013" showDropDown="0" showInputMessage="0" showErrorMessage="0" allowBlank="1" type="list">
      <formula1>"active,draft,archived"</formula1>
    </dataValidation>
    <dataValidation sqref="U6:U1013" showDropDown="0" showInputMessage="0" showErrorMessage="0" allowBlank="1" type="list">
      <formula1>"fornecedor,medido,pesquisado,FALTA"</formula1>
    </dataValidation>
    <dataValidation sqref="F6:F1013" showDropDown="0" showInputMessage="0" showErrorMessage="0" allowBlank="1" type="list">
      <formula1>"SOHIPREN,AGRAL,GRECO,AGCO,ADG,LIVENZA"</formula1>
    </dataValidation>
    <dataValidation sqref="AK6:AK1013" showDropDown="0" showInputMessage="0" showErrorMessage="0" allowBlank="1" type="list">
      <formula1>"sim,não,divergente"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20" customWidth="1" style="93" min="1" max="1"/>
    <col width="14" customWidth="1" style="93" min="2" max="2"/>
    <col width="22" customWidth="1" style="93" min="3" max="3"/>
    <col width="50" customWidth="1" style="93" min="4" max="4"/>
    <col width="22" customWidth="1" style="93" min="5" max="5"/>
    <col width="14" customWidth="1" style="93" min="6" max="6"/>
    <col width="28" customWidth="1" style="93" min="7" max="7"/>
    <col width="10" customWidth="1" style="93" min="8" max="8"/>
    <col width="18" customWidth="1" style="93" min="9" max="9"/>
    <col width="24" customWidth="1" style="93" min="10" max="10"/>
    <col width="81.29000000000001" customWidth="1" style="93" min="11" max="11"/>
    <col width="22" customWidth="1" style="93" min="12" max="12"/>
    <col hidden="1" width="22" customWidth="1" style="93" min="13" max="13"/>
    <col width="10" customWidth="1" style="93" min="14" max="16"/>
    <col width="14" customWidth="1" style="93" min="17" max="17"/>
    <col width="12" customWidth="1" style="93" min="18" max="18"/>
    <col width="11" customWidth="1" style="93" min="19" max="19"/>
    <col width="14" customWidth="1" style="93" min="20" max="21"/>
    <col width="16" customWidth="1" style="93" min="22" max="22"/>
    <col width="15.29" customWidth="1" style="93" min="23" max="23"/>
    <col width="18" customWidth="1" style="93" min="24" max="24"/>
    <col width="14" customWidth="1" style="93" min="25" max="26"/>
    <col width="16" customWidth="1" style="93" min="27" max="27"/>
    <col width="14" customWidth="1" style="93" min="28" max="28"/>
    <col width="16" customWidth="1" style="93" min="29" max="29"/>
    <col width="12" customWidth="1" style="93" min="30" max="30"/>
    <col width="14" customWidth="1" style="93" min="31" max="31"/>
    <col width="18" customWidth="1" style="93" min="32" max="37"/>
    <col width="20" customWidth="1" style="93" min="38" max="38"/>
    <col width="14" customWidth="1" style="93" min="39" max="39"/>
    <col width="18" customWidth="1" style="93" min="40" max="40"/>
    <col width="16" customWidth="1" style="93" min="41" max="41"/>
    <col width="18" customWidth="1" style="93" min="42" max="42"/>
    <col width="114.14" customWidth="1" style="93" min="43" max="43"/>
    <col width="248.43" customWidth="1" style="93" min="44" max="44"/>
  </cols>
  <sheetData>
    <row r="1" ht="30" customHeight="1" s="93">
      <c r="A1" s="5" t="inlineStr">
        <is>
          <t>APP — Agro Peças Padrão | Master 05_AGCO</t>
        </is>
      </c>
    </row>
    <row r="2">
      <c r="A2" s="8" t="inlineStr">
        <is>
          <t>Total de SKUs:</t>
        </is>
      </c>
      <c r="B2" s="12">
        <f>COUNTA(A6:A99997)</f>
        <v/>
      </c>
      <c r="C2" s="1" t="n"/>
      <c r="D2" s="8" t="inlineStr">
        <is>
          <t>Faltando embalagem:</t>
        </is>
      </c>
      <c r="E2" s="13">
        <f>COUNTIF(X6:X99997,"FALTA")</f>
        <v/>
      </c>
      <c r="F2" s="1" t="n"/>
      <c r="G2" s="8" t="inlineStr">
        <is>
          <t>Cadastrados Shopify:</t>
        </is>
      </c>
      <c r="H2" s="12">
        <f>COUNTIF(AN6:AN99997,"sim")</f>
        <v/>
      </c>
      <c r="I2" s="1" t="n"/>
      <c r="J2" s="8" t="inlineStr">
        <is>
          <t>Divergentes:</t>
        </is>
      </c>
      <c r="K2" s="17">
        <f>COUNTIF(AN6:AN99997,"divergente")</f>
        <v/>
      </c>
      <c r="L2" s="1" t="n"/>
      <c r="M2" s="1" t="n"/>
      <c r="N2" s="18" t="n"/>
      <c r="O2" s="18" t="n"/>
      <c r="P2" s="18" t="n"/>
      <c r="Q2" s="1" t="n"/>
      <c r="R2" s="18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8" t="n"/>
      <c r="O3" s="18" t="n"/>
      <c r="P3" s="18" t="n"/>
      <c r="Q3" s="1" t="n"/>
      <c r="R3" s="18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</row>
    <row r="4" ht="21.75" customHeight="1" s="93">
      <c r="A4" s="20" t="inlineStr">
        <is>
          <t>IDENTIFICAÇÃO</t>
        </is>
      </c>
      <c r="B4" s="102" t="n"/>
      <c r="C4" s="102" t="n"/>
      <c r="D4" s="102" t="n"/>
      <c r="E4" s="102" t="n"/>
      <c r="F4" s="102" t="n"/>
      <c r="G4" s="102" t="n"/>
      <c r="H4" s="102" t="n"/>
      <c r="I4" s="20" t="inlineStr">
        <is>
          <t>APLICAÇÃO TÉCNICA</t>
        </is>
      </c>
      <c r="J4" s="102" t="n"/>
      <c r="K4" s="102" t="n"/>
      <c r="L4" s="102" t="n"/>
      <c r="M4" s="22" t="n"/>
      <c r="N4" s="24" t="n"/>
      <c r="O4" s="24" t="n"/>
      <c r="P4" s="20" t="inlineStr">
        <is>
          <t>LOGÍSTICA E EMBALAGEM</t>
        </is>
      </c>
      <c r="Q4" s="102" t="n"/>
      <c r="R4" s="102" t="n"/>
      <c r="S4" s="102" t="n"/>
      <c r="T4" s="102" t="n"/>
      <c r="U4" s="102" t="n"/>
      <c r="V4" s="102" t="n"/>
      <c r="W4" s="102" t="n"/>
      <c r="X4" s="102" t="n"/>
      <c r="Y4" s="20" t="inlineStr">
        <is>
          <t>CUSTO E PRECIFICAÇÃO</t>
        </is>
      </c>
      <c r="Z4" s="102" t="n"/>
      <c r="AA4" s="102" t="n"/>
      <c r="AB4" s="102" t="n"/>
      <c r="AC4" s="102" t="n"/>
      <c r="AD4" s="102" t="n"/>
      <c r="AE4" s="102" t="n"/>
      <c r="AF4" s="20" t="inlineStr">
        <is>
          <t>PESQUISA DE MERCADO</t>
        </is>
      </c>
      <c r="AG4" s="102" t="n"/>
      <c r="AH4" s="102" t="n"/>
      <c r="AI4" s="102" t="n"/>
      <c r="AJ4" s="102" t="n"/>
      <c r="AK4" s="102" t="n"/>
      <c r="AL4" s="102" t="n"/>
      <c r="AM4" s="102" t="n"/>
      <c r="AN4" s="20" t="inlineStr">
        <is>
          <t>WORKFLOW</t>
        </is>
      </c>
      <c r="AO4" s="102" t="n"/>
      <c r="AP4" s="102" t="n"/>
      <c r="AQ4" s="102" t="n"/>
      <c r="AR4" s="102" t="n"/>
    </row>
    <row r="5" ht="33.75" customHeight="1" s="93">
      <c r="A5" s="25" t="inlineStr">
        <is>
          <t>SKU / Código</t>
        </is>
      </c>
      <c r="B5" s="25" t="inlineStr">
        <is>
          <t>Part Number</t>
        </is>
      </c>
      <c r="C5" s="25" t="inlineStr">
        <is>
          <t>Handle (Shopify)</t>
        </is>
      </c>
      <c r="D5" s="25" t="inlineStr">
        <is>
          <t>Title (PT-BR)</t>
        </is>
      </c>
      <c r="E5" s="25" t="inlineStr">
        <is>
          <t>Product Type</t>
        </is>
      </c>
      <c r="F5" s="25" t="inlineStr">
        <is>
          <t>Vendor (Fabricante)</t>
        </is>
      </c>
      <c r="G5" s="25" t="inlineStr">
        <is>
          <t>Tags (vírgula)</t>
        </is>
      </c>
      <c r="H5" s="25" t="inlineStr">
        <is>
          <t>Status</t>
        </is>
      </c>
      <c r="I5" s="25" t="inlineStr">
        <is>
          <t>Montadora compatível</t>
        </is>
      </c>
      <c r="J5" s="25" t="inlineStr">
        <is>
          <t>Equipamento / Modelo</t>
        </is>
      </c>
      <c r="K5" s="25" t="inlineStr">
        <is>
          <t>Função / Aplicação</t>
        </is>
      </c>
      <c r="L5" s="25" t="inlineStr">
        <is>
          <t>Códigos cruzados</t>
        </is>
      </c>
      <c r="M5" s="25" t="inlineStr">
        <is>
          <t xml:space="preserve">NCM </t>
        </is>
      </c>
      <c r="N5" s="25" t="inlineStr">
        <is>
          <t>Qtde KIT</t>
        </is>
      </c>
      <c r="O5" s="25" t="inlineStr">
        <is>
          <t>Lead Time</t>
        </is>
      </c>
      <c r="P5" s="25" t="inlineStr">
        <is>
          <t>Peso (kg)</t>
        </is>
      </c>
      <c r="Q5" s="25" t="inlineStr">
        <is>
          <t>Comprimento (cm)</t>
        </is>
      </c>
      <c r="R5" s="25" t="inlineStr">
        <is>
          <t>Largura (cm)</t>
        </is>
      </c>
      <c r="S5" s="25" t="inlineStr">
        <is>
          <t>Altura (cm)</t>
        </is>
      </c>
      <c r="T5" s="25" t="inlineStr">
        <is>
          <t>Peso cubado (kg) KIT</t>
        </is>
      </c>
      <c r="U5" s="25" t="inlineStr">
        <is>
          <t>Peso cubado (kg)</t>
        </is>
      </c>
      <c r="V5" s="25" t="inlineStr">
        <is>
          <t>Peso considerado (kg)</t>
        </is>
      </c>
      <c r="W5" s="25" t="inlineStr">
        <is>
          <t>Frete fábrica → eCom ()</t>
        </is>
      </c>
      <c r="X5" s="25" t="inlineStr">
        <is>
          <t>Origem do dado embalagem</t>
        </is>
      </c>
      <c r="Y5" s="25" t="inlineStr">
        <is>
          <t>Custo unitário ()</t>
        </is>
      </c>
      <c r="Z5" s="25" t="inlineStr">
        <is>
          <t>% Margem de lucro</t>
        </is>
      </c>
      <c r="AA5" s="25" t="inlineStr">
        <is>
          <t>Custo + frete inbound ()</t>
        </is>
      </c>
      <c r="AB5" s="25" t="inlineStr">
        <is>
          <t>Preço c/ margem ()</t>
        </is>
      </c>
      <c r="AC5" s="25" t="inlineStr">
        <is>
          <t>Taxa Mercado Pago (%)</t>
        </is>
      </c>
      <c r="AD5" s="25" t="inlineStr">
        <is>
          <t>Taxa MP ()</t>
        </is>
      </c>
      <c r="AE5" s="25" t="inlineStr">
        <is>
          <t>Preço final site ()</t>
        </is>
      </c>
      <c r="AF5" s="25" t="inlineStr">
        <is>
          <t>Concorrente 1 — Nome</t>
        </is>
      </c>
      <c r="AG5" s="25" t="inlineStr">
        <is>
          <t>Concorrente 1 — Preço ()</t>
        </is>
      </c>
      <c r="AH5" s="25" t="inlineStr">
        <is>
          <t>Concorrente 2 — Nome</t>
        </is>
      </c>
      <c r="AI5" s="25" t="inlineStr">
        <is>
          <t>Concorrente 2 — Preço ()</t>
        </is>
      </c>
      <c r="AJ5" s="25" t="inlineStr">
        <is>
          <t>Concorrente 3 — Nome</t>
        </is>
      </c>
      <c r="AK5" s="25" t="inlineStr">
        <is>
          <t>Concorrente 3 — Preço ()</t>
        </is>
      </c>
      <c r="AL5" s="25" t="inlineStr">
        <is>
          <t>Preço médio concorrência ()</t>
        </is>
      </c>
      <c r="AM5" s="25" t="inlineStr">
        <is>
          <t>Posicionamento</t>
        </is>
      </c>
      <c r="AN5" s="25" t="inlineStr">
        <is>
          <t>Cadastrado Shopify?</t>
        </is>
      </c>
      <c r="AO5" s="25" t="inlineStr">
        <is>
          <t>Última atualização</t>
        </is>
      </c>
      <c r="AP5" s="25" t="inlineStr">
        <is>
          <t>Operador responsável</t>
        </is>
      </c>
      <c r="AQ5" s="27" t="inlineStr">
        <is>
          <t>Instruções</t>
        </is>
      </c>
      <c r="AR5" s="25" t="inlineStr">
        <is>
          <t>Observações</t>
        </is>
      </c>
      <c r="AS5" s="25" t="inlineStr">
        <is>
          <t>SKU Shopify (derivado)</t>
        </is>
      </c>
      <c r="AT5" s="25" t="inlineStr">
        <is>
          <t>Título Shopify (derivado)</t>
        </is>
      </c>
      <c r="AU5" s="28" t="inlineStr">
        <is>
          <t>Imagens site (assets)</t>
        </is>
      </c>
    </row>
    <row r="6">
      <c r="A6" s="23" t="inlineStr">
        <is>
          <t>ACX3266690</t>
        </is>
      </c>
      <c r="B6" s="23" t="inlineStr">
        <is>
          <t>ACX3266690</t>
        </is>
      </c>
      <c r="C6" s="29">
        <f>IFERROR(LOWER(SUBSTITUTE(SUBSTITUTE(SUBSTITUTE(SUBSTITUTE(D6," ","-"),"/","-"),".",""),",","")),"")</f>
        <v/>
      </c>
      <c r="D6" s="23" t="inlineStr">
        <is>
          <t>Suporte do Dosador - AGCO ACX3266690 | Plantadeira Momentum</t>
        </is>
      </c>
      <c r="E6" s="23" t="inlineStr">
        <is>
          <t>Peças Plásticas Injetadas</t>
        </is>
      </c>
      <c r="F6" s="23" t="inlineStr">
        <is>
          <t>APP</t>
        </is>
      </c>
      <c r="G6" s="23" t="n"/>
      <c r="H6" s="23" t="inlineStr">
        <is>
          <t>active</t>
        </is>
      </c>
      <c r="I6" s="23" t="inlineStr">
        <is>
          <t>AGCO</t>
        </is>
      </c>
      <c r="J6" s="23" t="inlineStr">
        <is>
          <t>PLANTADEIRA</t>
        </is>
      </c>
      <c r="K6" s="23">
        <f>LOWER(CONCATENATE(E6," ",J6," ",D6))</f>
        <v/>
      </c>
      <c r="L6" s="23" t="n"/>
      <c r="M6" s="30" t="n">
        <v>84329000</v>
      </c>
      <c r="N6" s="30" t="n">
        <v>1</v>
      </c>
      <c r="O6" s="30" t="n">
        <v>5</v>
      </c>
      <c r="P6" s="30" t="n">
        <v>0.36</v>
      </c>
      <c r="Q6" s="30" t="n">
        <v>12</v>
      </c>
      <c r="R6" s="30" t="n">
        <v>3</v>
      </c>
      <c r="S6" s="32" t="n">
        <v>6</v>
      </c>
      <c r="T6" s="35">
        <f>IFERROR(IF(AND(Q6&gt;0,R6&gt;0,S6&gt;0),(Q6*R6*S6)/6000,""),"")</f>
        <v/>
      </c>
      <c r="U6" s="34">
        <f>IFERROR(IF(AND(Q6&gt;0,R6&gt;0,S6&gt;0),(Q6*R6*S6)/6000,""),"")</f>
        <v/>
      </c>
      <c r="V6" s="34">
        <f>IFERROR(IF(AND(P6&gt;0,U6&gt;0),MAX(P6,U6),IF(P6&gt;0,P6,IF(U6&gt;0,U6,""))),"")</f>
        <v/>
      </c>
      <c r="W6" s="40" t="n">
        <v>16.75</v>
      </c>
      <c r="X6" s="38" t="inlineStr">
        <is>
          <t>fornecedor</t>
        </is>
      </c>
      <c r="Y6" s="36" t="n">
        <v>100.96</v>
      </c>
      <c r="Z6" s="39" t="n">
        <v>0.2</v>
      </c>
      <c r="AA6" s="41">
        <f>IFERROR(Y6+W6,"")</f>
        <v/>
      </c>
      <c r="AB6" s="41">
        <f>IFERROR(IF(Z6&lt;1,AA6/(1-Z6),""),"")</f>
        <v/>
      </c>
      <c r="AC6" s="43">
        <f>'01_CONFIG_GLOBAL'!$C$14</f>
        <v/>
      </c>
      <c r="AD6" s="41">
        <f>IFERROR(AB6*AC6,"")</f>
        <v/>
      </c>
      <c r="AE6" s="41">
        <f>IFERROR(IF(AC6&lt;1,AB6/(1-AC6),""),"")</f>
        <v/>
      </c>
      <c r="AF6" s="23" t="n"/>
      <c r="AG6" s="36" t="n"/>
      <c r="AH6" s="23" t="n"/>
      <c r="AI6" s="36" t="n"/>
      <c r="AJ6" s="23" t="n"/>
      <c r="AK6" s="36" t="n"/>
      <c r="AL6" s="41">
        <f>IFERROR(AVERAGE(AG6,AI6,AK6),"")</f>
        <v/>
      </c>
      <c r="AM6" s="29">
        <f>IFERROR(IF(AL6="","sem dados",IF(AE6&lt;AL6*0.95,"abaixo",IF(AE6&gt;AL6*1.05,"acima","em linha"))),"")</f>
        <v/>
      </c>
      <c r="AN6" s="23" t="inlineStr">
        <is>
          <t>sim</t>
        </is>
      </c>
      <c r="AO6" s="23" t="n"/>
      <c r="AP6" s="23" t="n"/>
      <c r="AQ6" s="23" t="n"/>
      <c r="AR6" s="23" t="inlineStr">
        <is>
          <t>Fotos: assets/agco_ACX3266690_ecommerce_1.png; assets/agco_ACX3266690_ecommerce_2.png; assets/agco_ACX3266690_ecommerce_3.png</t>
        </is>
      </c>
      <c r="AS6" s="44">
        <f>IF(AND(N6&lt;&gt;"",N6&gt;1),A6&amp;"-KIT"&amp;N6,A6)</f>
        <v/>
      </c>
      <c r="AT6" s="44">
        <f>IF(AND(N6&lt;&gt;"",N6&gt;1),D6&amp;" — Kit "&amp;N6&amp;" unidades",D6)</f>
        <v/>
      </c>
      <c r="AU6" s="28" t="inlineStr">
        <is>
          <t>agco_ACX3266690_ecommerce_1.png | agco_ACX3266690_ecommerce_2.png | agco_ACX3266690_ecommerce_3.png</t>
        </is>
      </c>
    </row>
    <row r="7">
      <c r="A7" s="23" t="inlineStr">
        <is>
          <t>ACW0551840</t>
        </is>
      </c>
      <c r="B7" s="23" t="inlineStr">
        <is>
          <t>ACW0551840</t>
        </is>
      </c>
      <c r="C7" s="29">
        <f>IFERROR(LOWER(SUBSTITUTE(SUBSTITUTE(SUBSTITUTE(SUBSTITUTE(D7," ","-"),"/","-"),".",""),",","")),"")</f>
        <v/>
      </c>
      <c r="D7" s="23" t="inlineStr">
        <is>
          <t>Condutor de Sementes para Sensor - AGCO ACW0551840</t>
        </is>
      </c>
      <c r="E7" s="23" t="inlineStr">
        <is>
          <t>Peças Plásticas Injetadas</t>
        </is>
      </c>
      <c r="F7" s="23" t="inlineStr">
        <is>
          <t>APP</t>
        </is>
      </c>
      <c r="G7" s="23" t="n"/>
      <c r="H7" s="23" t="inlineStr">
        <is>
          <t>active</t>
        </is>
      </c>
      <c r="I7" s="23" t="inlineStr">
        <is>
          <t>AGCO</t>
        </is>
      </c>
      <c r="J7" s="23" t="inlineStr">
        <is>
          <t>PLANTADEIRA</t>
        </is>
      </c>
      <c r="K7" s="23">
        <f>LOWER(CONCATENATE(E7," ",J7," ",D7))</f>
        <v/>
      </c>
      <c r="L7" s="23" t="n"/>
      <c r="M7" s="30" t="n">
        <v>84329000</v>
      </c>
      <c r="N7" s="30" t="n">
        <v>1</v>
      </c>
      <c r="O7" s="30" t="n">
        <v>5</v>
      </c>
      <c r="P7" s="30" t="n">
        <v>0.35</v>
      </c>
      <c r="Q7" s="30" t="n">
        <v>50</v>
      </c>
      <c r="R7" s="30" t="n">
        <v>7</v>
      </c>
      <c r="S7" s="32" t="n">
        <v>4.5</v>
      </c>
      <c r="T7" s="35">
        <f>IFERROR(IF(AND(Q7&gt;0,R7&gt;0,S7&gt;0),(Q7*R7*S7)/6000,""),"")</f>
        <v/>
      </c>
      <c r="U7" s="34">
        <f>IFERROR(IF(AND(Q7&gt;0,R7&gt;0,S7&gt;0),(Q7*R7*S7)/6000,""),"")</f>
        <v/>
      </c>
      <c r="V7" s="34">
        <f>IFERROR(IF(AND(P7&gt;0,U7&gt;0),MAX(P7,U7),IF(P7&gt;0,P7,IF(U7&gt;0,U7,""))),"")</f>
        <v/>
      </c>
      <c r="W7" s="40" t="n">
        <v>2.21</v>
      </c>
      <c r="X7" s="38" t="inlineStr">
        <is>
          <t>fornecedor</t>
        </is>
      </c>
      <c r="Y7" s="36" t="n">
        <v>9.15</v>
      </c>
      <c r="Z7" s="39" t="n">
        <v>0.2</v>
      </c>
      <c r="AA7" s="41">
        <f>IFERROR(Y7+W7,"")</f>
        <v/>
      </c>
      <c r="AB7" s="41">
        <f>IFERROR(IF(Z7&lt;1,AA7/(1-Z7),""),"")</f>
        <v/>
      </c>
      <c r="AC7" s="43">
        <f>'01_CONFIG_GLOBAL'!$C$14</f>
        <v/>
      </c>
      <c r="AD7" s="41">
        <f>IFERROR(AB7*AC7,"")</f>
        <v/>
      </c>
      <c r="AE7" s="41">
        <f>IFERROR(IF(AC7&lt;1,AB7/(1-AC7),""),"")</f>
        <v/>
      </c>
      <c r="AF7" s="23" t="n"/>
      <c r="AG7" s="36" t="n"/>
      <c r="AH7" s="23" t="n"/>
      <c r="AI7" s="36" t="n"/>
      <c r="AJ7" s="23" t="n"/>
      <c r="AK7" s="36" t="n"/>
      <c r="AL7" s="41">
        <f>IFERROR(AVERAGE(AG7,AI7,AK7),"")</f>
        <v/>
      </c>
      <c r="AM7" s="29">
        <f>IFERROR(IF(AL7="","sem dados",IF(AE7&lt;AL7*0.95,"abaixo",IF(AE7&gt;AL7*1.05,"acima","em linha"))),"")</f>
        <v/>
      </c>
      <c r="AN7" s="23" t="inlineStr">
        <is>
          <t>sim</t>
        </is>
      </c>
      <c r="AO7" s="23" t="n"/>
      <c r="AP7" s="23" t="n"/>
      <c r="AQ7" s="23" t="n"/>
      <c r="AR7" s="23" t="inlineStr">
        <is>
          <t>Fotos: assets/agco_ACW0551840_ecommerce_1.png; assets/agco_ACW0551840_ecommerce_2.png | CORRIGIDO 21/07: peso 3,5kg impossível p/ conduto plástico — estimado 0,35kg (verificar balança)</t>
        </is>
      </c>
      <c r="AS7" s="44">
        <f>IF(AND(N7&lt;&gt;"",N7&gt;1),A7&amp;"-KIT"&amp;N7,A7)</f>
        <v/>
      </c>
      <c r="AT7" s="44">
        <f>IF(AND(N7&lt;&gt;"",N7&gt;1),D7&amp;" — Kit "&amp;N7&amp;" unidades",D7)</f>
        <v/>
      </c>
      <c r="AU7" s="28" t="inlineStr">
        <is>
          <t>agco_ACW0551840_ecommerce_1.png | agco_ACW0551840_ecommerce_2.png</t>
        </is>
      </c>
    </row>
    <row r="8">
      <c r="A8" s="23" t="inlineStr">
        <is>
          <t>ACW0551840</t>
        </is>
      </c>
      <c r="B8" s="23" t="inlineStr">
        <is>
          <t>ACW0551840</t>
        </is>
      </c>
      <c r="C8" s="29">
        <f>IFERROR(LOWER(SUBSTITUTE(SUBSTITUTE(SUBSTITUTE(SUBSTITUTE(D8," ","-"),"/","-"),".",""),",","")),"")</f>
        <v/>
      </c>
      <c r="D8" s="23" t="inlineStr">
        <is>
          <t>Condutor de Sementes para Sensor - Kit 25 Unidades - AGCO ACW0551840</t>
        </is>
      </c>
      <c r="E8" s="23" t="inlineStr">
        <is>
          <t>Peças Plásticas Injetadas</t>
        </is>
      </c>
      <c r="F8" s="23" t="inlineStr">
        <is>
          <t>APP</t>
        </is>
      </c>
      <c r="G8" s="23" t="n"/>
      <c r="H8" s="23" t="inlineStr">
        <is>
          <t>active</t>
        </is>
      </c>
      <c r="I8" s="23" t="inlineStr">
        <is>
          <t>AGCO</t>
        </is>
      </c>
      <c r="J8" s="23" t="inlineStr">
        <is>
          <t>PLANTADEIRA</t>
        </is>
      </c>
      <c r="K8" s="23">
        <f>LOWER(CONCATENATE(E8," ",J8," ",D8))</f>
        <v/>
      </c>
      <c r="L8" s="23" t="n"/>
      <c r="M8" s="30" t="n">
        <v>84329000</v>
      </c>
      <c r="N8" s="30" t="n">
        <v>25</v>
      </c>
      <c r="O8" s="30" t="n">
        <v>5</v>
      </c>
      <c r="P8" s="30">
        <f>P7*N8</f>
        <v/>
      </c>
      <c r="Q8" s="30" t="n">
        <v>50</v>
      </c>
      <c r="R8" s="30" t="n">
        <v>25</v>
      </c>
      <c r="S8" s="32" t="n">
        <v>50</v>
      </c>
      <c r="T8" s="35">
        <f>IFERROR(IF(AND(Q8&gt;0,R8&gt;0,S8&gt;0),(Q8*R8*S8)/6000,""),"")</f>
        <v/>
      </c>
      <c r="U8" s="34">
        <f>IFERROR(IF(AND(Q8&gt;0,R8&gt;0,S8&gt;0),(Q8*R8*S8)/6000,""),"")</f>
        <v/>
      </c>
      <c r="V8" s="34">
        <f>IFERROR(IF(AND(P8&gt;0,U8&gt;0),MAX(P8,U8),IF(P8&gt;0,P8,IF(U8&gt;0,U8,""))),"")</f>
        <v/>
      </c>
      <c r="W8" s="40" t="n">
        <v>55.23</v>
      </c>
      <c r="X8" s="38" t="inlineStr">
        <is>
          <t>fornecedor</t>
        </is>
      </c>
      <c r="Y8" s="36" t="n">
        <v>228.75</v>
      </c>
      <c r="Z8" s="39" t="n">
        <v>0.2</v>
      </c>
      <c r="AA8" s="41">
        <f>IFERROR(Y8+W8,"")</f>
        <v/>
      </c>
      <c r="AB8" s="41">
        <f>IFERROR(IF(Z8&lt;1,AA8/(1-Z8),""),"")</f>
        <v/>
      </c>
      <c r="AC8" s="43">
        <f>'01_CONFIG_GLOBAL'!$C$14</f>
        <v/>
      </c>
      <c r="AD8" s="41">
        <f>IFERROR(AB8*AC8,"")</f>
        <v/>
      </c>
      <c r="AE8" s="41">
        <f>IFERROR(IF(AC8&lt;1,AB8/(1-AC8),""),"")</f>
        <v/>
      </c>
      <c r="AF8" s="23" t="n"/>
      <c r="AG8" s="36" t="n"/>
      <c r="AH8" s="23" t="n"/>
      <c r="AI8" s="36" t="n"/>
      <c r="AJ8" s="23" t="n"/>
      <c r="AK8" s="36" t="n"/>
      <c r="AL8" s="41" t="n"/>
      <c r="AM8" s="29">
        <f>IFERROR(IF(AL8="","sem dados",IF(AE8&lt;AL8*0.95,"abaixo",IF(AE8&gt;AL8*1.05,"acima","em linha"))),"")</f>
        <v/>
      </c>
      <c r="AN8" s="23" t="inlineStr">
        <is>
          <t>sim</t>
        </is>
      </c>
      <c r="AO8" s="23" t="n"/>
      <c r="AP8" s="23" t="n"/>
      <c r="AQ8" s="23" t="n"/>
      <c r="AR8" s="23" t="inlineStr">
        <is>
          <t>peso kit recalculado após correção do peso unitário</t>
        </is>
      </c>
      <c r="AS8" s="44">
        <f>IF(AND(N8&lt;&gt;"",N8&gt;1),A8&amp;"-KIT"&amp;N8,A8)</f>
        <v/>
      </c>
      <c r="AT8" s="44">
        <f>IF(AND(N8&lt;&gt;"",N8&gt;1),D8&amp;" — Kit "&amp;N8&amp;" unidades",D8)</f>
        <v/>
      </c>
      <c r="AU8" s="28" t="inlineStr">
        <is>
          <t>agco_ACW0551840_ecommerce_1.png | agco_ACW0551840_ecommerce_2.png</t>
        </is>
      </c>
    </row>
    <row r="9">
      <c r="A9" s="23" t="inlineStr">
        <is>
          <t>ACX2865730</t>
        </is>
      </c>
      <c r="B9" s="23" t="inlineStr">
        <is>
          <t>ACX2865730</t>
        </is>
      </c>
      <c r="C9" s="29">
        <f>IFERROR(LOWER(SUBSTITUTE(SUBSTITUTE(SUBSTITUTE(SUBSTITUTE(D9," ","-"),"/","-"),".",""),",","")),"")</f>
        <v/>
      </c>
      <c r="D9" s="23" t="inlineStr">
        <is>
          <t>Tampa do Módulo SRM - Kit 60 Unidades - AGCO ACX2865730</t>
        </is>
      </c>
      <c r="E9" s="23" t="inlineStr">
        <is>
          <t>Peças Plásticas Injetadas</t>
        </is>
      </c>
      <c r="F9" s="23" t="inlineStr">
        <is>
          <t>APP</t>
        </is>
      </c>
      <c r="G9" s="23" t="n"/>
      <c r="H9" s="23" t="inlineStr">
        <is>
          <t>active</t>
        </is>
      </c>
      <c r="I9" s="23" t="inlineStr">
        <is>
          <t>AGCO</t>
        </is>
      </c>
      <c r="J9" s="23" t="inlineStr">
        <is>
          <t>PLANTADEIRA</t>
        </is>
      </c>
      <c r="K9" s="23">
        <f>LOWER(CONCATENATE(E9," ",J9," ",D9))</f>
        <v/>
      </c>
      <c r="L9" s="23" t="n"/>
      <c r="M9" s="30" t="n">
        <v>84329000</v>
      </c>
      <c r="N9" s="30" t="n">
        <v>60</v>
      </c>
      <c r="O9" s="30" t="n">
        <v>5</v>
      </c>
      <c r="P9" s="30" t="n">
        <v>22.4</v>
      </c>
      <c r="Q9" s="30" t="n">
        <v>35</v>
      </c>
      <c r="R9" s="30" t="n">
        <v>43</v>
      </c>
      <c r="S9" s="32" t="n">
        <v>50</v>
      </c>
      <c r="T9" s="35">
        <f>IFERROR(IF(AND(Q9&gt;0,R9&gt;0,S9&gt;0),(Q9*R9*S9)/6000,""),"")</f>
        <v/>
      </c>
      <c r="U9" s="34">
        <f>IFERROR(IF(AND(Q9&gt;0,R9&gt;0,S9&gt;0),(Q9*R9*S9)/6000,""),"")</f>
        <v/>
      </c>
      <c r="V9" s="34">
        <f>IFERROR(IF(AND(P9&gt;0,U9&gt;0),MAX(P9,U9),IF(P9&gt;0,P9,IF(U9&gt;0,U9,""))),"")</f>
        <v/>
      </c>
      <c r="W9" s="40" t="n">
        <v>105.71</v>
      </c>
      <c r="X9" s="38" t="inlineStr">
        <is>
          <t>fornecedor</t>
        </is>
      </c>
      <c r="Y9" s="36">
        <f>10.02*N9</f>
        <v/>
      </c>
      <c r="Z9" s="39" t="n">
        <v>0.2</v>
      </c>
      <c r="AA9" s="41">
        <f>IFERROR(Y9+W9,"")</f>
        <v/>
      </c>
      <c r="AB9" s="41">
        <f>IFERROR(IF(Z9&lt;1,AA9/(1-Z9),""),"")</f>
        <v/>
      </c>
      <c r="AC9" s="43">
        <f>'01_CONFIG_GLOBAL'!$C$14</f>
        <v/>
      </c>
      <c r="AD9" s="41">
        <f>IFERROR(AB9*AC9,"")</f>
        <v/>
      </c>
      <c r="AE9" s="41">
        <f>IFERROR(IF(AC9&lt;1,AB9/(1-AC9),""),"")</f>
        <v/>
      </c>
      <c r="AF9" s="23" t="n"/>
      <c r="AG9" s="36" t="n"/>
      <c r="AH9" s="23" t="n"/>
      <c r="AI9" s="36" t="n"/>
      <c r="AJ9" s="23" t="n"/>
      <c r="AK9" s="36" t="n"/>
      <c r="AL9" s="41">
        <f>IFERROR(AVERAGE(AG9,AI9,AK9),"")</f>
        <v/>
      </c>
      <c r="AM9" s="29">
        <f>IFERROR(IF(AL9="","sem dados",IF(AE9&lt;AL9*0.95,"abaixo",IF(AE9&gt;AL9*1.05,"acima","em linha"))),"")</f>
        <v/>
      </c>
      <c r="AN9" s="23" t="inlineStr">
        <is>
          <t>sim</t>
        </is>
      </c>
      <c r="AO9" s="23" t="n"/>
      <c r="AP9" s="23" t="n"/>
      <c r="AQ9" s="23" t="n"/>
      <c r="AR9" s="23" t="n"/>
      <c r="AS9" s="44">
        <f>IF(AND(N9&lt;&gt;"",N9&gt;1),A9&amp;"-KIT"&amp;N9,A9)</f>
        <v/>
      </c>
      <c r="AT9" s="44">
        <f>IF(AND(N9&lt;&gt;"",N9&gt;1),D9&amp;" — Kit "&amp;N9&amp;" unidades",D9)</f>
        <v/>
      </c>
      <c r="AU9" s="28" t="inlineStr">
        <is>
          <t>SEM IMAGEM</t>
        </is>
      </c>
    </row>
    <row r="10">
      <c r="A10" s="23" t="inlineStr">
        <is>
          <t>ACX3454710</t>
        </is>
      </c>
      <c r="B10" s="23" t="inlineStr">
        <is>
          <t>ACX3454710</t>
        </is>
      </c>
      <c r="C10" s="29">
        <f>IFERROR(LOWER(SUBSTITUTE(SUBSTITUTE(SUBSTITUTE(SUBSTITUTE(D10," ","-"),"/","-"),".",""),",","")),"")</f>
        <v/>
      </c>
      <c r="D10" s="23" t="inlineStr">
        <is>
          <t>Conjunto Montado Reservatório de Sementes Mecânico - AGCO ACX3454710</t>
        </is>
      </c>
      <c r="E10" s="23" t="inlineStr">
        <is>
          <t>Peças Plásticas Injetadas</t>
        </is>
      </c>
      <c r="F10" s="23" t="inlineStr">
        <is>
          <t>APP</t>
        </is>
      </c>
      <c r="G10" s="23" t="n"/>
      <c r="H10" s="23" t="inlineStr">
        <is>
          <t>draft</t>
        </is>
      </c>
      <c r="I10" s="23" t="inlineStr">
        <is>
          <t>AGCO</t>
        </is>
      </c>
      <c r="J10" s="23" t="inlineStr">
        <is>
          <t>PLANTADEIRA</t>
        </is>
      </c>
      <c r="K10" s="23">
        <f>LOWER(CONCATENATE(E10," ",J10," ",D10))</f>
        <v/>
      </c>
      <c r="L10" s="23" t="n"/>
      <c r="M10" s="30" t="n">
        <v>84329000</v>
      </c>
      <c r="N10" s="30" t="n">
        <v>25</v>
      </c>
      <c r="O10" s="30" t="n">
        <v>5</v>
      </c>
      <c r="P10" s="30" t="n">
        <v>32.5</v>
      </c>
      <c r="Q10" s="30" t="n">
        <v>100</v>
      </c>
      <c r="R10" s="30" t="n">
        <v>120</v>
      </c>
      <c r="S10" s="32" t="n">
        <v>72</v>
      </c>
      <c r="T10" s="35">
        <f>IFERROR(IF(AND(Q10&gt;0,R10&gt;0,S10&gt;0),(Q10*R10*S10)/6000,""),"")</f>
        <v/>
      </c>
      <c r="U10" s="34">
        <f>IFERROR(IF(AND(Q10&gt;0,R10&gt;0,S10&gt;0),(Q10*R10*S10)/6000,""),"")</f>
        <v/>
      </c>
      <c r="V10" s="34">
        <f>IFERROR(IF(AND(P10&gt;0,U10&gt;0),MAX(P10,U10),IF(P10&gt;0,P10,IF(U10&gt;0,U10,""))),"")</f>
        <v/>
      </c>
      <c r="W10" s="40" t="n">
        <v>1609.15</v>
      </c>
      <c r="X10" s="38" t="inlineStr">
        <is>
          <t>fornecedor</t>
        </is>
      </c>
      <c r="Y10" s="36">
        <f>Y11*N10</f>
        <v/>
      </c>
      <c r="Z10" s="39" t="n">
        <v>0.2</v>
      </c>
      <c r="AA10" s="41">
        <f>IFERROR(Y10+W10,"")</f>
        <v/>
      </c>
      <c r="AB10" s="41">
        <f>IFERROR(IF(Z10&lt;1,AA10/(1-Z10),""),"")</f>
        <v/>
      </c>
      <c r="AC10" s="43">
        <f>'01_CONFIG_GLOBAL'!$C$14</f>
        <v/>
      </c>
      <c r="AD10" s="41">
        <f>IFERROR(AB10*AC10,"")</f>
        <v/>
      </c>
      <c r="AE10" s="41">
        <f>IFERROR(IF(AC10&lt;1,AB10/(1-AC10),""),"")</f>
        <v/>
      </c>
      <c r="AF10" s="23" t="n"/>
      <c r="AG10" s="36" t="n"/>
      <c r="AH10" s="23" t="n"/>
      <c r="AI10" s="36" t="n"/>
      <c r="AJ10" s="23" t="n"/>
      <c r="AK10" s="36" t="n"/>
      <c r="AL10" s="41">
        <f>IFERROR(AVERAGE(AG10,AI10,AK10),"")</f>
        <v/>
      </c>
      <c r="AM10" s="29">
        <f>IFERROR(IF(AL10="","sem dados",IF(AE10&lt;AL10*0.95,"abaixo",IF(AE10&gt;AL10*1.05,"acima","em linha"))),"")</f>
        <v/>
      </c>
      <c r="AN10" s="23" t="inlineStr">
        <is>
          <t>sim</t>
        </is>
      </c>
      <c r="AO10" s="23" t="n"/>
      <c r="AP10" s="23" t="n"/>
      <c r="AQ10" s="23" t="n"/>
      <c r="AR10" s="23" t="inlineStr">
        <is>
          <t>Fotos: assets/agco_ACX3454710_ecommerce_1.png; assets/agco_ACX3454710_ecommerce_2.png; assets/agco_ACX3454710_ecommerce_3.png; assets/agco_ACX3454710_ecommerce_4.png | DRAFT 21/07: frete parcel inviável (R$1609/R$645 cotados p/ caixa-palete) — cotar transportadora de carga antes de publicar</t>
        </is>
      </c>
      <c r="AS10" s="44">
        <f>IF(AND(N10&lt;&gt;"",N10&gt;1),A10&amp;"-KIT"&amp;N10,A10)</f>
        <v/>
      </c>
      <c r="AT10" s="44">
        <f>IF(AND(N10&lt;&gt;"",N10&gt;1),D10&amp;" — Kit "&amp;N10&amp;" unidades",D10)</f>
        <v/>
      </c>
      <c r="AU10" s="28" t="inlineStr">
        <is>
          <t>agco_ACX3454710_ecommerce_1.png | agco_ACX3454710_ecommerce_2.png | agco_ACX3454710_ecommerce_3.png | agco_ACX3454710_ecommerce_4.png</t>
        </is>
      </c>
    </row>
    <row r="11">
      <c r="A11" s="23" t="inlineStr">
        <is>
          <t>ACX3454710</t>
        </is>
      </c>
      <c r="B11" s="23" t="inlineStr">
        <is>
          <t>ACX3454710</t>
        </is>
      </c>
      <c r="C11" s="29">
        <f>IFERROR(LOWER(SUBSTITUTE(SUBSTITUTE(SUBSTITUTE(SUBSTITUTE(D11," ","-"),"/","-"),".",""),",","")),"")</f>
        <v/>
      </c>
      <c r="D11" s="23" t="inlineStr">
        <is>
          <t>Conjunto Montado Reservatório de Sementes Mecânico - AGCO ACX3454710</t>
        </is>
      </c>
      <c r="E11" s="23" t="inlineStr">
        <is>
          <t>Peças Plásticas Injetadas</t>
        </is>
      </c>
      <c r="F11" s="23" t="inlineStr">
        <is>
          <t>APP</t>
        </is>
      </c>
      <c r="G11" s="23" t="n"/>
      <c r="H11" s="23" t="inlineStr">
        <is>
          <t>active</t>
        </is>
      </c>
      <c r="I11" s="23" t="inlineStr">
        <is>
          <t>AGCO</t>
        </is>
      </c>
      <c r="J11" s="23" t="inlineStr">
        <is>
          <t>PLANTADEIRA</t>
        </is>
      </c>
      <c r="K11" s="23">
        <f>LOWER(CONCATENATE(E11," ",J11," ",D11))</f>
        <v/>
      </c>
      <c r="L11" s="23" t="n"/>
      <c r="M11" s="30" t="n">
        <v>84329000</v>
      </c>
      <c r="N11" s="30" t="n">
        <v>1</v>
      </c>
      <c r="O11" s="30" t="n">
        <v>5</v>
      </c>
      <c r="P11" s="30" t="n">
        <v>1.3</v>
      </c>
      <c r="Q11" s="30" t="n">
        <v>31</v>
      </c>
      <c r="R11" s="30" t="n">
        <v>25</v>
      </c>
      <c r="S11" s="32" t="n">
        <v>25</v>
      </c>
      <c r="T11" s="35">
        <f>IFERROR(IF(AND(Q11&gt;0,R11&gt;0,S11&gt;0),(Q11*R11*S11)/6000,""),"")</f>
        <v/>
      </c>
      <c r="U11" s="34">
        <f>IFERROR(IF(AND(Q11&gt;0,R11&gt;0,S11&gt;0),(Q11*R11*S11)/6000,""),"")</f>
        <v/>
      </c>
      <c r="V11" s="34">
        <f>IFERROR(IF(AND(P11&gt;0,U11&gt;0),MAX(P11,U11),IF(P11&gt;0,P11,IF(U11&gt;0,U11,""))),"")</f>
        <v/>
      </c>
      <c r="W11" s="40" t="n">
        <v>40.06</v>
      </c>
      <c r="X11" s="38" t="inlineStr">
        <is>
          <t>fornecedor</t>
        </is>
      </c>
      <c r="Y11" s="36" t="n">
        <v>35.74</v>
      </c>
      <c r="Z11" s="39" t="n">
        <v>0.2</v>
      </c>
      <c r="AA11" s="41">
        <f>IFERROR(Y11+W11,"")</f>
        <v/>
      </c>
      <c r="AB11" s="41">
        <f>IFERROR(IF(Z11&lt;1,AA11/(1-Z11),""),"")</f>
        <v/>
      </c>
      <c r="AC11" s="43">
        <f>'01_CONFIG_GLOBAL'!$C$14</f>
        <v/>
      </c>
      <c r="AD11" s="41">
        <f>IFERROR(AB11*AC11,"")</f>
        <v/>
      </c>
      <c r="AE11" s="41">
        <f>IFERROR(IF(AC11&lt;1,AB11/(1-AC11),""),"")</f>
        <v/>
      </c>
      <c r="AF11" s="23" t="n"/>
      <c r="AG11" s="36" t="n"/>
      <c r="AH11" s="23" t="n"/>
      <c r="AI11" s="36" t="n"/>
      <c r="AJ11" s="23" t="n"/>
      <c r="AK11" s="36" t="n"/>
      <c r="AL11" s="41">
        <f>IFERROR(AVERAGE(AG11,AI11,AK11),"")</f>
        <v/>
      </c>
      <c r="AM11" s="29">
        <f>IFERROR(IF(AL11="","sem dados",IF(AE11&lt;AL11*0.95,"abaixo",IF(AE11&gt;AL11*1.05,"acima","em linha"))),"")</f>
        <v/>
      </c>
      <c r="AN11" s="23" t="inlineStr">
        <is>
          <t>sim</t>
        </is>
      </c>
      <c r="AO11" s="23" t="n"/>
      <c r="AP11" s="23" t="n"/>
      <c r="AQ11" s="23" t="n"/>
      <c r="AR11" s="23" t="inlineStr">
        <is>
          <t>Fotos: assets/agco_ACX3454710_ecommerce_1.png; assets/agco_ACX3454710_ecommerce_2.png; assets/agco_ACX3454710_ecommerce_3.png; assets/agco_ACX3454710_ecommerce_4.png | frete mantido no valor anterior (40,06) — rateio via palete suspenso</t>
        </is>
      </c>
      <c r="AS11" s="44">
        <f>IF(AND(N11&lt;&gt;"",N11&gt;1),A11&amp;"-KIT"&amp;N11,A11)</f>
        <v/>
      </c>
      <c r="AT11" s="44">
        <f>IF(AND(N11&lt;&gt;"",N11&gt;1),D11&amp;" — Kit "&amp;N11&amp;" unidades",D11)</f>
        <v/>
      </c>
      <c r="AU11" s="28" t="inlineStr">
        <is>
          <t>agco_ACX3454710_ecommerce_1.png | agco_ACX3454710_ecommerce_2.png | agco_ACX3454710_ecommerce_3.png | agco_ACX3454710_ecommerce_4.png</t>
        </is>
      </c>
    </row>
    <row r="12">
      <c r="A12" s="23" t="inlineStr">
        <is>
          <t>ACX3454710</t>
        </is>
      </c>
      <c r="B12" s="23" t="inlineStr">
        <is>
          <t>ACX3454710</t>
        </is>
      </c>
      <c r="C12" s="29">
        <f>IFERROR(LOWER(SUBSTITUTE(SUBSTITUTE(SUBSTITUTE(SUBSTITUTE(D12," ","-"),"/","-"),".",""),",","")),"")</f>
        <v/>
      </c>
      <c r="D12" s="23" t="inlineStr">
        <is>
          <t>Conjunto Montado Reservatório de Sementes Mecânico - AGCO ACX3454710</t>
        </is>
      </c>
      <c r="E12" s="23" t="inlineStr">
        <is>
          <t>Peças Plásticas Injetadas</t>
        </is>
      </c>
      <c r="F12" s="23" t="inlineStr">
        <is>
          <t>APP</t>
        </is>
      </c>
      <c r="G12" s="23" t="n"/>
      <c r="H12" s="23" t="inlineStr">
        <is>
          <t>draft</t>
        </is>
      </c>
      <c r="I12" s="23" t="inlineStr">
        <is>
          <t>AGCO</t>
        </is>
      </c>
      <c r="J12" s="23" t="inlineStr">
        <is>
          <t>PLANTADEIRA</t>
        </is>
      </c>
      <c r="K12" s="23">
        <f>LOWER(CONCATENATE(E12," ",J12," ",D12))</f>
        <v/>
      </c>
      <c r="L12" s="23" t="n"/>
      <c r="M12" s="30" t="n">
        <v>84329000</v>
      </c>
      <c r="N12" s="30" t="n">
        <v>12</v>
      </c>
      <c r="O12" s="30" t="n">
        <v>5</v>
      </c>
      <c r="P12" s="30">
        <f>P11*N12</f>
        <v/>
      </c>
      <c r="Q12" s="30" t="n">
        <v>100</v>
      </c>
      <c r="R12" s="30" t="n">
        <v>60</v>
      </c>
      <c r="S12" s="32" t="n">
        <v>60</v>
      </c>
      <c r="T12" s="35">
        <f>IFERROR(IF(AND(Q12&gt;0,R12&gt;0,S12&gt;0),(Q12*R12*S12)/6000,""),"")</f>
        <v/>
      </c>
      <c r="U12" s="34">
        <f>IFERROR(IF(AND(Q12&gt;0,R12&gt;0,S12&gt;0),(Q12*R12*S12)/6000,""),"")</f>
        <v/>
      </c>
      <c r="V12" s="34">
        <f>IFERROR(IF(AND(P12&gt;0,U12&gt;0),MAX(P12,U12),IF(P12&gt;0,P12,IF(U12&gt;0,U12,""))),"")</f>
        <v/>
      </c>
      <c r="W12" s="40" t="n">
        <v>644.59</v>
      </c>
      <c r="X12" s="38" t="inlineStr">
        <is>
          <t>fornecedor</t>
        </is>
      </c>
      <c r="Y12" s="36">
        <f>Y11*N12</f>
        <v/>
      </c>
      <c r="Z12" s="39" t="n">
        <v>0.2</v>
      </c>
      <c r="AA12" s="41">
        <f>IFERROR(Y12+W12,"")</f>
        <v/>
      </c>
      <c r="AB12" s="41">
        <f>IFERROR(IF(Z12&lt;1,AA12/(1-Z12),""),"")</f>
        <v/>
      </c>
      <c r="AC12" s="43">
        <f>'01_CONFIG_GLOBAL'!$C$14</f>
        <v/>
      </c>
      <c r="AD12" s="41">
        <f>IFERROR(AB12*AC12,"")</f>
        <v/>
      </c>
      <c r="AE12" s="41">
        <f>IFERROR(IF(AC12&lt;1,AB12/(1-AC12),""),"")</f>
        <v/>
      </c>
      <c r="AF12" s="23" t="n"/>
      <c r="AG12" s="36" t="n"/>
      <c r="AH12" s="23" t="n"/>
      <c r="AI12" s="36" t="n"/>
      <c r="AJ12" s="23" t="n"/>
      <c r="AK12" s="36" t="n"/>
      <c r="AL12" s="41" t="n"/>
      <c r="AM12" s="29">
        <f>IFERROR(IF(AL12="","sem dados",IF(AE12&lt;AL12*0.95,"abaixo",IF(AE12&gt;AL12*1.05,"acima","em linha"))),"")</f>
        <v/>
      </c>
      <c r="AN12" s="23" t="inlineStr">
        <is>
          <t>sim</t>
        </is>
      </c>
      <c r="AO12" s="23" t="n"/>
      <c r="AP12" s="23" t="n"/>
      <c r="AQ12" s="23" t="n"/>
      <c r="AR12" s="23" t="n"/>
      <c r="AS12" s="44">
        <f>IF(AND(N12&lt;&gt;"",N12&gt;1),A12&amp;"-KIT"&amp;N12,A12)</f>
        <v/>
      </c>
      <c r="AT12" s="44">
        <f>IF(AND(N12&lt;&gt;"",N12&gt;1),D12&amp;" — Kit "&amp;N12&amp;" unidades",D12)</f>
        <v/>
      </c>
      <c r="AU12" s="28" t="inlineStr">
        <is>
          <t>agco_ACX3454710_ecommerce_1.png | agco_ACX3454710_ecommerce_2.png | agco_ACX3454710_ecommerce_3.png | agco_ACX3454710_ecommerce_4.png</t>
        </is>
      </c>
    </row>
    <row r="13">
      <c r="A13" s="23" t="inlineStr">
        <is>
          <t>ACX2719210</t>
        </is>
      </c>
      <c r="B13" s="23" t="inlineStr">
        <is>
          <t>ACX2719210</t>
        </is>
      </c>
      <c r="C13" s="29">
        <f>IFERROR(LOWER(SUBSTITUTE(SUBSTITUTE(SUBSTITUTE(SUBSTITUTE(D13," ","-"),"/","-"),".",""),",","")),"")</f>
        <v/>
      </c>
      <c r="D13" s="23" t="inlineStr">
        <is>
          <t>Conjunto Montado Joelho - AGCO ACX2719210</t>
        </is>
      </c>
      <c r="E13" s="23" t="inlineStr">
        <is>
          <t>Peças Plásticas Injetadas</t>
        </is>
      </c>
      <c r="F13" s="23" t="inlineStr">
        <is>
          <t>APP</t>
        </is>
      </c>
      <c r="G13" s="23" t="n"/>
      <c r="H13" s="23" t="inlineStr">
        <is>
          <t>active</t>
        </is>
      </c>
      <c r="I13" s="23" t="inlineStr">
        <is>
          <t>AGCO</t>
        </is>
      </c>
      <c r="J13" s="23" t="inlineStr">
        <is>
          <t>PLANTADEIRA</t>
        </is>
      </c>
      <c r="K13" s="23">
        <f>LOWER(CONCATENATE(E13," ",J13," ",D13))</f>
        <v/>
      </c>
      <c r="L13" s="23" t="n"/>
      <c r="M13" s="30" t="n">
        <v>84329000</v>
      </c>
      <c r="N13" s="30" t="n">
        <v>1</v>
      </c>
      <c r="O13" s="30" t="n">
        <v>5</v>
      </c>
      <c r="P13" s="30" t="n">
        <v>0.2</v>
      </c>
      <c r="Q13" s="30" t="n">
        <v>4.4</v>
      </c>
      <c r="R13" s="30" t="n">
        <v>16.3</v>
      </c>
      <c r="S13" s="32" t="n">
        <v>9.199999999999999</v>
      </c>
      <c r="T13" s="35">
        <f>IFERROR(IF(AND(Q13&gt;0,R13&gt;0,S13&gt;0),(Q13*R13*S13)/6000,""),"")</f>
        <v/>
      </c>
      <c r="U13" s="34">
        <f>IFERROR(IF(AND(Q13&gt;0,R13&gt;0,S13&gt;0),(Q13*R13*S13)/6000,""),"")</f>
        <v/>
      </c>
      <c r="V13" s="34">
        <f>IFERROR(IF(AND(P13&gt;0,U13&gt;0),MAX(P13,U13),IF(P13&gt;0,P13,IF(U13&gt;0,U13,""))),"")</f>
        <v/>
      </c>
      <c r="W13" s="40" t="n">
        <v>1.12</v>
      </c>
      <c r="X13" s="38" t="inlineStr">
        <is>
          <t>fornecedor</t>
        </is>
      </c>
      <c r="Y13" s="36" t="n">
        <v>13.81</v>
      </c>
      <c r="Z13" s="39" t="n">
        <v>0.2</v>
      </c>
      <c r="AA13" s="41">
        <f>IFERROR(Y13+W13,"")</f>
        <v/>
      </c>
      <c r="AB13" s="41">
        <f>IFERROR(IF(Z13&lt;1,AA13/(1-Z13),""),"")</f>
        <v/>
      </c>
      <c r="AC13" s="43">
        <f>'01_CONFIG_GLOBAL'!$C$14</f>
        <v/>
      </c>
      <c r="AD13" s="41">
        <f>IFERROR(AB13*AC13,"")</f>
        <v/>
      </c>
      <c r="AE13" s="41">
        <f>IFERROR(IF(AC13&lt;1,AB13/(1-AC13),""),"")</f>
        <v/>
      </c>
      <c r="AF13" s="23" t="n"/>
      <c r="AG13" s="36" t="n"/>
      <c r="AH13" s="23" t="n"/>
      <c r="AI13" s="36" t="n"/>
      <c r="AJ13" s="23" t="n"/>
      <c r="AK13" s="36" t="n"/>
      <c r="AL13" s="41">
        <f>IFERROR(AVERAGE(AG13,AI13,AK13),"")</f>
        <v/>
      </c>
      <c r="AM13" s="29">
        <f>IFERROR(IF(AL13="","sem dados",IF(AE13&lt;AL13*0.95,"abaixo",IF(AE13&gt;AL13*1.05,"acima","em linha"))),"")</f>
        <v/>
      </c>
      <c r="AN13" s="23" t="inlineStr">
        <is>
          <t>sim</t>
        </is>
      </c>
      <c r="AO13" s="23" t="n"/>
      <c r="AP13" s="23" t="n"/>
      <c r="AQ13" s="23" t="n"/>
      <c r="AR13" s="23" t="n"/>
      <c r="AS13" s="44">
        <f>IF(AND(N13&lt;&gt;"",N13&gt;1),A13&amp;"-KIT"&amp;N13,A13)</f>
        <v/>
      </c>
      <c r="AT13" s="44">
        <f>IF(AND(N13&lt;&gt;"",N13&gt;1),D13&amp;" — Kit "&amp;N13&amp;" unidades",D13)</f>
        <v/>
      </c>
      <c r="AU13" s="28" t="inlineStr">
        <is>
          <t>AGCO_ACX2719210_ecommerce_1.png | AGCO_ACX2719210_ecommerce_2.png</t>
        </is>
      </c>
    </row>
    <row r="14">
      <c r="A14" s="23" t="inlineStr">
        <is>
          <t>ACX2719210</t>
        </is>
      </c>
      <c r="B14" s="23" t="inlineStr">
        <is>
          <t>ACX2719210</t>
        </is>
      </c>
      <c r="C14" s="29">
        <f>IFERROR(LOWER(SUBSTITUTE(SUBSTITUTE(SUBSTITUTE(SUBSTITUTE(D14," ","-"),"/","-"),".",""),",","")),"")</f>
        <v/>
      </c>
      <c r="D14" s="23" t="inlineStr">
        <is>
          <t>Conjunto Montado Joelho - Kit 30 Unidades - AGCO ACX2719210</t>
        </is>
      </c>
      <c r="E14" s="23" t="inlineStr">
        <is>
          <t>Peças Plásticas Injetadas</t>
        </is>
      </c>
      <c r="F14" s="23" t="inlineStr">
        <is>
          <t>APP</t>
        </is>
      </c>
      <c r="G14" s="23" t="n"/>
      <c r="H14" s="23" t="inlineStr">
        <is>
          <t>active</t>
        </is>
      </c>
      <c r="I14" s="23" t="inlineStr">
        <is>
          <t>AGCO</t>
        </is>
      </c>
      <c r="J14" s="23" t="inlineStr">
        <is>
          <t>PLANTADEIRA</t>
        </is>
      </c>
      <c r="K14" s="23">
        <f>LOWER(CONCATENATE(E14," ",J14," ",D14))</f>
        <v/>
      </c>
      <c r="L14" s="23" t="n"/>
      <c r="M14" s="30" t="n">
        <v>84329000</v>
      </c>
      <c r="N14" s="30" t="n">
        <v>30</v>
      </c>
      <c r="O14" s="30" t="n">
        <v>5</v>
      </c>
      <c r="P14" s="30">
        <f>P13*N14</f>
        <v/>
      </c>
      <c r="Q14" s="30" t="n">
        <v>50</v>
      </c>
      <c r="R14" s="30" t="n">
        <v>18</v>
      </c>
      <c r="S14" s="32" t="n">
        <v>32</v>
      </c>
      <c r="T14" s="35">
        <f>IFERROR(IF(AND(Q14&gt;0,R14&gt;0,S14&gt;0),(Q14*R14*S14)/6000,""),"")</f>
        <v/>
      </c>
      <c r="U14" s="34">
        <f>IFERROR(IF(AND(Q14&gt;0,R14&gt;0,S14&gt;0),(Q14*R14*S14)/6000,""),"")</f>
        <v/>
      </c>
      <c r="V14" s="34">
        <f>IFERROR(IF(AND(P14&gt;0,U14&gt;0),MAX(P14,U14),IF(P14&gt;0,P14,IF(U14&gt;0,U14,""))),"")</f>
        <v/>
      </c>
      <c r="W14" s="40" t="n">
        <v>33.55</v>
      </c>
      <c r="X14" s="38" t="inlineStr">
        <is>
          <t>fornecedor</t>
        </is>
      </c>
      <c r="Y14" s="36">
        <f>Y13*N14</f>
        <v/>
      </c>
      <c r="Z14" s="39" t="n">
        <v>0.2</v>
      </c>
      <c r="AA14" s="41">
        <f>IFERROR(Y14+W14,"")</f>
        <v/>
      </c>
      <c r="AB14" s="41">
        <f>IFERROR(IF(Z14&lt;1,AA14/(1-Z14),""),"")</f>
        <v/>
      </c>
      <c r="AC14" s="43">
        <f>'01_CONFIG_GLOBAL'!$C$14</f>
        <v/>
      </c>
      <c r="AD14" s="41">
        <f>IFERROR(AB14*AC14,"")</f>
        <v/>
      </c>
      <c r="AE14" s="41">
        <f>IFERROR(IF(AC14&lt;1,AB14/(1-AC14),""),"")</f>
        <v/>
      </c>
      <c r="AF14" s="23" t="n"/>
      <c r="AG14" s="36" t="n"/>
      <c r="AH14" s="23" t="n"/>
      <c r="AI14" s="36" t="n"/>
      <c r="AJ14" s="23" t="n"/>
      <c r="AK14" s="36" t="n"/>
      <c r="AL14" s="41" t="n"/>
      <c r="AM14" s="29">
        <f>IFERROR(IF(AL14="","sem dados",IF(AE14&lt;AL14*0.95,"abaixo",IF(AE14&gt;AL14*1.05,"acima","em linha"))),"")</f>
        <v/>
      </c>
      <c r="AN14" s="23" t="inlineStr">
        <is>
          <t>sim</t>
        </is>
      </c>
      <c r="AO14" s="23" t="n"/>
      <c r="AP14" s="23" t="n"/>
      <c r="AQ14" s="23" t="n"/>
      <c r="AR14" s="23" t="n"/>
      <c r="AS14" s="44">
        <f>IF(AND(N14&lt;&gt;"",N14&gt;1),A14&amp;"-KIT"&amp;N14,A14)</f>
        <v/>
      </c>
      <c r="AT14" s="44">
        <f>IF(AND(N14&lt;&gt;"",N14&gt;1),D14&amp;" — Kit "&amp;N14&amp;" unidades",D14)</f>
        <v/>
      </c>
      <c r="AU14" s="28" t="inlineStr">
        <is>
          <t>AGCO_ACX2719210_ecommerce_1.png | AGCO_ACX2719210_ecommerce_2.png</t>
        </is>
      </c>
    </row>
    <row r="15">
      <c r="A15" s="23" t="inlineStr">
        <is>
          <t>4383927M4</t>
        </is>
      </c>
      <c r="B15" s="23" t="inlineStr">
        <is>
          <t>4383927M4</t>
        </is>
      </c>
      <c r="C15" s="29">
        <f>IFERROR(LOWER(SUBSTITUTE(SUBSTITUTE(SUBSTITUTE(SUBSTITUTE(D15," ","-"),"/","-"),".",""),",","")),"")</f>
        <v/>
      </c>
      <c r="D15" s="23" t="inlineStr">
        <is>
          <t>Dobradiça Esquerda Inferior - Massey Ferguson 4383927M4</t>
        </is>
      </c>
      <c r="E15" s="23" t="inlineStr">
        <is>
          <t>Peças Plásticas Injetadas</t>
        </is>
      </c>
      <c r="F15" s="23" t="inlineStr">
        <is>
          <t>APP</t>
        </is>
      </c>
      <c r="G15" s="23" t="n"/>
      <c r="H15" s="23" t="inlineStr">
        <is>
          <t>active</t>
        </is>
      </c>
      <c r="I15" s="23" t="inlineStr">
        <is>
          <t>AGCO</t>
        </is>
      </c>
      <c r="J15" s="23" t="inlineStr">
        <is>
          <t>TRATOR</t>
        </is>
      </c>
      <c r="K15" s="23">
        <f>LOWER(CONCATENATE(E15," ",J15," ",D15))</f>
        <v/>
      </c>
      <c r="L15" s="23" t="n"/>
      <c r="M15" s="30" t="n">
        <v>84329000</v>
      </c>
      <c r="N15" s="30" t="n">
        <v>1</v>
      </c>
      <c r="O15" s="30" t="n">
        <v>5</v>
      </c>
      <c r="P15" s="30" t="n">
        <v>0.19</v>
      </c>
      <c r="Q15" s="30" t="n">
        <v>3</v>
      </c>
      <c r="R15" s="30" t="n">
        <v>12.5</v>
      </c>
      <c r="S15" s="32" t="n">
        <v>8</v>
      </c>
      <c r="T15" s="35">
        <f>IFERROR(IF(AND(Q15&gt;0,R15&gt;0,S15&gt;0),(Q15*R15*S15)/6000,""),"")</f>
        <v/>
      </c>
      <c r="U15" s="34">
        <f>IFERROR(IF(AND(Q15&gt;0,R15&gt;0,S15&gt;0),(Q15*R15*S15)/6000,""),"")</f>
        <v/>
      </c>
      <c r="V15" s="34">
        <f>IFERROR(IF(AND(P15&gt;0,U15&gt;0),MAX(P15,U15),IF(P15&gt;0,P15,IF(U15&gt;0,U15,""))),"")</f>
        <v/>
      </c>
      <c r="W15" s="40" t="n">
        <v>2.08</v>
      </c>
      <c r="X15" s="38" t="inlineStr">
        <is>
          <t>fornecedor</t>
        </is>
      </c>
      <c r="Y15" s="36" t="n">
        <v>20.01</v>
      </c>
      <c r="Z15" s="39" t="n">
        <v>0.2</v>
      </c>
      <c r="AA15" s="41">
        <f>IFERROR(Y15+W15,"")</f>
        <v/>
      </c>
      <c r="AB15" s="41">
        <f>IFERROR(IF(Z15&lt;1,AA15/(1-Z15),""),"")</f>
        <v/>
      </c>
      <c r="AC15" s="43">
        <f>'01_CONFIG_GLOBAL'!$C$14</f>
        <v/>
      </c>
      <c r="AD15" s="41">
        <f>IFERROR(AB15*AC15,"")</f>
        <v/>
      </c>
      <c r="AE15" s="41">
        <f>IFERROR(IF(AC15&lt;1,AB15/(1-AC15),""),"")</f>
        <v/>
      </c>
      <c r="AF15" s="23" t="n"/>
      <c r="AG15" s="36" t="n"/>
      <c r="AH15" s="23" t="n"/>
      <c r="AI15" s="36" t="n"/>
      <c r="AJ15" s="23" t="n"/>
      <c r="AK15" s="36" t="n"/>
      <c r="AL15" s="41">
        <f>IFERROR(AVERAGE(AG15,AI15,AK15),"")</f>
        <v/>
      </c>
      <c r="AM15" s="29">
        <f>IFERROR(IF(AL15="","sem dados",IF(AE15&lt;AL15*0.95,"abaixo",IF(AE15&gt;AL15*1.05,"acima","em linha"))),"")</f>
        <v/>
      </c>
      <c r="AN15" s="23" t="inlineStr">
        <is>
          <t>sim</t>
        </is>
      </c>
      <c r="AO15" s="23" t="n"/>
      <c r="AP15" s="23" t="n"/>
      <c r="AQ15" s="23" t="n"/>
      <c r="AR15" s="23" t="inlineStr">
        <is>
          <t>Fotos: assets/AGCO_4383927M4_ecommerce_1.png; assets/AGCO_4383927M4_ecommerce_2.png</t>
        </is>
      </c>
      <c r="AS15" s="44">
        <f>IF(AND(N15&lt;&gt;"",N15&gt;1),A15&amp;"-KIT"&amp;N15,A15)</f>
        <v/>
      </c>
      <c r="AT15" s="44">
        <f>IF(AND(N15&lt;&gt;"",N15&gt;1),D15&amp;" — Kit "&amp;N15&amp;" unidades",D15)</f>
        <v/>
      </c>
      <c r="AU15" s="28" t="inlineStr">
        <is>
          <t>AGCO_4383927M4_ecommerce_1.png | AGCO_4383927M4_ecommerce_2.png</t>
        </is>
      </c>
    </row>
    <row r="16">
      <c r="A16" s="23" t="inlineStr">
        <is>
          <t>4383927M4</t>
        </is>
      </c>
      <c r="B16" s="23" t="inlineStr">
        <is>
          <t>4383927M4</t>
        </is>
      </c>
      <c r="C16" s="29">
        <f>IFERROR(LOWER(SUBSTITUTE(SUBSTITUTE(SUBSTITUTE(SUBSTITUTE(D16," ","-"),"/","-"),".",""),",","")),"")</f>
        <v/>
      </c>
      <c r="D16" s="23" t="inlineStr">
        <is>
          <t>Dobradiça Esquerda Inferior - Kit 10 Unidades - Massey Ferguson 4383927M4</t>
        </is>
      </c>
      <c r="E16" s="23" t="inlineStr">
        <is>
          <t>Peças Plásticas Injetadas</t>
        </is>
      </c>
      <c r="F16" s="23" t="inlineStr">
        <is>
          <t>APP</t>
        </is>
      </c>
      <c r="G16" s="23" t="n"/>
      <c r="H16" s="23" t="inlineStr">
        <is>
          <t>active</t>
        </is>
      </c>
      <c r="I16" s="23" t="inlineStr">
        <is>
          <t>AGCO</t>
        </is>
      </c>
      <c r="J16" s="23" t="inlineStr">
        <is>
          <t>TRATOR</t>
        </is>
      </c>
      <c r="K16" s="23">
        <f>LOWER(CONCATENATE(E16," ",J16," ",D16))</f>
        <v/>
      </c>
      <c r="L16" s="23" t="n"/>
      <c r="M16" s="30" t="n">
        <v>84329000</v>
      </c>
      <c r="N16" s="30" t="n">
        <v>10</v>
      </c>
      <c r="O16" s="30" t="n">
        <v>5</v>
      </c>
      <c r="P16" s="30">
        <f>P15*N16</f>
        <v/>
      </c>
      <c r="Q16" s="30" t="n">
        <v>35</v>
      </c>
      <c r="R16" s="30" t="n">
        <v>15</v>
      </c>
      <c r="S16" s="32" t="n">
        <v>10</v>
      </c>
      <c r="T16" s="35">
        <f>IFERROR(IF(AND(Q16&gt;0,R16&gt;0,S16&gt;0),(Q16*R16*S16)/6000,""),"")</f>
        <v/>
      </c>
      <c r="U16" s="34">
        <f>IFERROR(IF(AND(Q16&gt;0,R16&gt;0,S16&gt;0),(Q16*R16*S16)/6000,""),"")</f>
        <v/>
      </c>
      <c r="V16" s="34">
        <f>IFERROR(IF(AND(P16&gt;0,U16&gt;0),MAX(P16,U16),IF(P16&gt;0,P16,IF(U16&gt;0,U16,""))),"")</f>
        <v/>
      </c>
      <c r="W16" s="40" t="n">
        <v>20.77</v>
      </c>
      <c r="X16" s="38" t="inlineStr">
        <is>
          <t>fornecedor</t>
        </is>
      </c>
      <c r="Y16" s="36">
        <f>Y15*N16</f>
        <v/>
      </c>
      <c r="Z16" s="39" t="n">
        <v>0.2</v>
      </c>
      <c r="AA16" s="41">
        <f>IFERROR(Y16+W16,"")</f>
        <v/>
      </c>
      <c r="AB16" s="41">
        <f>IFERROR(IF(Z16&lt;1,AA16/(1-Z16),""),"")</f>
        <v/>
      </c>
      <c r="AC16" s="43">
        <f>'01_CONFIG_GLOBAL'!$C$14</f>
        <v/>
      </c>
      <c r="AD16" s="41">
        <f>IFERROR(AB16*AC16,"")</f>
        <v/>
      </c>
      <c r="AE16" s="41">
        <f>IFERROR(IF(AC16&lt;1,AB16/(1-AC16),""),"")</f>
        <v/>
      </c>
      <c r="AF16" s="23" t="n"/>
      <c r="AG16" s="36" t="n"/>
      <c r="AH16" s="23" t="n"/>
      <c r="AI16" s="36" t="n"/>
      <c r="AJ16" s="23" t="n"/>
      <c r="AK16" s="36" t="n"/>
      <c r="AL16" s="41" t="n"/>
      <c r="AM16" s="29">
        <f>IFERROR(IF(AL16="","sem dados",IF(AE16&lt;AL16*0.95,"abaixo",IF(AE16&gt;AL16*1.05,"acima","em linha"))),"")</f>
        <v/>
      </c>
      <c r="AN16" s="23" t="inlineStr">
        <is>
          <t>sim</t>
        </is>
      </c>
      <c r="AO16" s="23" t="n"/>
      <c r="AP16" s="23" t="n"/>
      <c r="AQ16" s="23" t="n"/>
      <c r="AR16" s="23" t="n"/>
      <c r="AS16" s="44">
        <f>IF(AND(N16&lt;&gt;"",N16&gt;1),A16&amp;"-KIT"&amp;N16,A16)</f>
        <v/>
      </c>
      <c r="AT16" s="44">
        <f>IF(AND(N16&lt;&gt;"",N16&gt;1),D16&amp;" — Kit "&amp;N16&amp;" unidades",D16)</f>
        <v/>
      </c>
      <c r="AU16" s="28" t="inlineStr">
        <is>
          <t>AGCO_4383927M4_ecommerce_1.png | AGCO_4383927M4_ecommerce_2.png</t>
        </is>
      </c>
    </row>
    <row r="17">
      <c r="A17" s="23" t="inlineStr">
        <is>
          <t>ACX283890A</t>
        </is>
      </c>
      <c r="B17" s="23" t="inlineStr">
        <is>
          <t>ACX283890A</t>
        </is>
      </c>
      <c r="C17" s="29">
        <f>IFERROR(LOWER(SUBSTITUTE(SUBSTITUTE(SUBSTITUTE(SUBSTITUTE(D17," ","-"),"/","-"),".",""),",","")),"")</f>
        <v/>
      </c>
      <c r="D17" s="23" t="inlineStr">
        <is>
          <t>Vedação Tubo de Ar - AGCO ACX283890A | Sistema Pneumático</t>
        </is>
      </c>
      <c r="E17" s="23" t="inlineStr">
        <is>
          <t>Peças Plásticas Injetadas</t>
        </is>
      </c>
      <c r="F17" s="23" t="inlineStr">
        <is>
          <t>APP</t>
        </is>
      </c>
      <c r="G17" s="23" t="n"/>
      <c r="H17" s="23" t="inlineStr">
        <is>
          <t>active</t>
        </is>
      </c>
      <c r="I17" s="23" t="inlineStr">
        <is>
          <t>AGCO</t>
        </is>
      </c>
      <c r="J17" s="23" t="inlineStr">
        <is>
          <t>PLANTADEIRA</t>
        </is>
      </c>
      <c r="K17" s="23">
        <f>LOWER(CONCATENATE(E17," ",J17," ",D17))</f>
        <v/>
      </c>
      <c r="L17" s="23" t="n"/>
      <c r="M17" s="30" t="n">
        <v>84329000</v>
      </c>
      <c r="N17" s="30" t="n">
        <v>1</v>
      </c>
      <c r="O17" s="30" t="n">
        <v>5</v>
      </c>
      <c r="P17" s="30" t="n">
        <v>0.1</v>
      </c>
      <c r="Q17" s="30" t="n">
        <v>16.1</v>
      </c>
      <c r="R17" s="30" t="n">
        <v>20.7</v>
      </c>
      <c r="S17" s="32" t="n">
        <v>1.5</v>
      </c>
      <c r="T17" s="35">
        <f>IFERROR(IF(AND(Q17&gt;0,R17&gt;0,S17&gt;0),(Q17*R17*S17)/6000,""),"")</f>
        <v/>
      </c>
      <c r="U17" s="34">
        <f>IFERROR(IF(AND(Q17&gt;0,R17&gt;0,S17&gt;0),(Q17*R17*S17)/6000,""),"")</f>
        <v/>
      </c>
      <c r="V17" s="34">
        <f>IFERROR(IF(AND(P17&gt;0,U17&gt;0),MAX(P17,U17),IF(P17&gt;0,P17,IF(U17&gt;0,U17,""))),"")</f>
        <v/>
      </c>
      <c r="W17" s="40" t="n">
        <v>2.08</v>
      </c>
      <c r="X17" s="38" t="inlineStr">
        <is>
          <t>fornecedor</t>
        </is>
      </c>
      <c r="Y17" s="36" t="n">
        <v>20.14</v>
      </c>
      <c r="Z17" s="39" t="n">
        <v>0.2</v>
      </c>
      <c r="AA17" s="41">
        <f>IFERROR(Y17+W17,"")</f>
        <v/>
      </c>
      <c r="AB17" s="41">
        <f>IFERROR(IF(Z17&lt;1,AA17/(1-Z17),""),"")</f>
        <v/>
      </c>
      <c r="AC17" s="43">
        <f>'01_CONFIG_GLOBAL'!$C$14</f>
        <v/>
      </c>
      <c r="AD17" s="41">
        <f>IFERROR(AB17*AC17,"")</f>
        <v/>
      </c>
      <c r="AE17" s="41">
        <f>IFERROR(IF(AC17&lt;1,AB17/(1-AC17),""),"")</f>
        <v/>
      </c>
      <c r="AF17" s="23" t="n"/>
      <c r="AG17" s="36" t="n"/>
      <c r="AH17" s="23" t="n"/>
      <c r="AI17" s="36" t="n"/>
      <c r="AJ17" s="23" t="n"/>
      <c r="AK17" s="36" t="n"/>
      <c r="AL17" s="41">
        <f>IFERROR(AVERAGE(AG17,AI17,AK17),"")</f>
        <v/>
      </c>
      <c r="AM17" s="29">
        <f>IFERROR(IF(AL17="","sem dados",IF(AE17&lt;AL17*0.95,"abaixo",IF(AE17&gt;AL17*1.05,"acima","em linha"))),"")</f>
        <v/>
      </c>
      <c r="AN17" s="23" t="inlineStr">
        <is>
          <t>sim</t>
        </is>
      </c>
      <c r="AO17" s="23" t="n"/>
      <c r="AP17" s="23" t="n"/>
      <c r="AQ17" s="23" t="n"/>
      <c r="AR17" s="23" t="inlineStr">
        <is>
          <t>Fotos: assets/AGCO_ACX283890A_ecommerce.png</t>
        </is>
      </c>
      <c r="AS17" s="44">
        <f>IF(AND(N17&lt;&gt;"",N17&gt;1),A17&amp;"-KIT"&amp;N17,A17)</f>
        <v/>
      </c>
      <c r="AT17" s="44">
        <f>IF(AND(N17&lt;&gt;"",N17&gt;1),D17&amp;" — Kit "&amp;N17&amp;" unidades",D17)</f>
        <v/>
      </c>
      <c r="AU17" s="28" t="inlineStr">
        <is>
          <t>AGCO_ACX283890A_ecommerce.png</t>
        </is>
      </c>
    </row>
    <row r="18">
      <c r="A18" s="23" t="inlineStr">
        <is>
          <t>ACX283890A</t>
        </is>
      </c>
      <c r="B18" s="23" t="inlineStr">
        <is>
          <t>ACX283890A</t>
        </is>
      </c>
      <c r="C18" s="29">
        <f>IFERROR(LOWER(SUBSTITUTE(SUBSTITUTE(SUBSTITUTE(SUBSTITUTE(D18," ","-"),"/","-"),".",""),",","")),"")</f>
        <v/>
      </c>
      <c r="D18" s="23" t="inlineStr">
        <is>
          <t>Vedação Tubo de Ar - Kit 10 Unidades - AGCO ACX283890A</t>
        </is>
      </c>
      <c r="E18" s="23" t="inlineStr">
        <is>
          <t>Peças Plásticas Injetadas</t>
        </is>
      </c>
      <c r="F18" s="23" t="inlineStr">
        <is>
          <t>APP</t>
        </is>
      </c>
      <c r="G18" s="23" t="n"/>
      <c r="H18" s="23" t="inlineStr">
        <is>
          <t>active</t>
        </is>
      </c>
      <c r="I18" s="23" t="inlineStr">
        <is>
          <t>AGCO</t>
        </is>
      </c>
      <c r="J18" s="23" t="inlineStr">
        <is>
          <t>PLANTADEIRA</t>
        </is>
      </c>
      <c r="K18" s="23">
        <f>LOWER(CONCATENATE(E18," ",J18," ",D18))</f>
        <v/>
      </c>
      <c r="L18" s="23" t="n"/>
      <c r="M18" s="30" t="n">
        <v>84329000</v>
      </c>
      <c r="N18" s="30" t="n">
        <v>10</v>
      </c>
      <c r="O18" s="30" t="n">
        <v>5</v>
      </c>
      <c r="P18" s="30">
        <f>P17*N18</f>
        <v/>
      </c>
      <c r="Q18" s="30" t="n">
        <v>18</v>
      </c>
      <c r="R18" s="30" t="n">
        <v>22</v>
      </c>
      <c r="S18" s="32" t="n">
        <v>18</v>
      </c>
      <c r="T18" s="35">
        <f>IFERROR(IF(AND(Q18&gt;0,R18&gt;0,S18&gt;0),(Q18*R18*S18)/6000,""),"")</f>
        <v/>
      </c>
      <c r="U18" s="34">
        <f>IFERROR(IF(AND(Q18&gt;0,R18&gt;0,S18&gt;0),(Q18*R18*S18)/6000,""),"")</f>
        <v/>
      </c>
      <c r="V18" s="34">
        <f>IFERROR(IF(AND(P18&gt;0,U18&gt;0),MAX(P18,U18),IF(P18&gt;0,P18,IF(U18&gt;0,U18,""))),"")</f>
        <v/>
      </c>
      <c r="W18" s="40" t="n">
        <v>20.78</v>
      </c>
      <c r="X18" s="38" t="inlineStr">
        <is>
          <t>fornecedor</t>
        </is>
      </c>
      <c r="Y18" s="36">
        <f>Y17*N18</f>
        <v/>
      </c>
      <c r="Z18" s="39" t="n">
        <v>0.2</v>
      </c>
      <c r="AA18" s="41">
        <f>IFERROR(Y18+W18,"")</f>
        <v/>
      </c>
      <c r="AB18" s="41">
        <f>IFERROR(IF(Z18&lt;1,AA18/(1-Z18),""),"")</f>
        <v/>
      </c>
      <c r="AC18" s="43">
        <f>'01_CONFIG_GLOBAL'!$C$14</f>
        <v/>
      </c>
      <c r="AD18" s="41">
        <f>IFERROR(AB18*AC18,"")</f>
        <v/>
      </c>
      <c r="AE18" s="41">
        <f>IFERROR(IF(AC18&lt;1,AB18/(1-AC18),""),"")</f>
        <v/>
      </c>
      <c r="AF18" s="23" t="n"/>
      <c r="AG18" s="36" t="n"/>
      <c r="AH18" s="23" t="n"/>
      <c r="AI18" s="36" t="n"/>
      <c r="AJ18" s="23" t="n"/>
      <c r="AK18" s="36" t="n"/>
      <c r="AL18" s="41" t="n"/>
      <c r="AM18" s="29">
        <f>IFERROR(IF(AL18="","sem dados",IF(AE18&lt;AL18*0.95,"abaixo",IF(AE18&gt;AL18*1.05,"acima","em linha"))),"")</f>
        <v/>
      </c>
      <c r="AN18" s="23" t="inlineStr">
        <is>
          <t>sim</t>
        </is>
      </c>
      <c r="AO18" s="23" t="n"/>
      <c r="AP18" s="23" t="n"/>
      <c r="AQ18" s="23" t="n"/>
      <c r="AR18" s="23" t="n"/>
      <c r="AS18" s="44">
        <f>IF(AND(N18&lt;&gt;"",N18&gt;1),A18&amp;"-KIT"&amp;N18,A18)</f>
        <v/>
      </c>
      <c r="AT18" s="44">
        <f>IF(AND(N18&lt;&gt;"",N18&gt;1),D18&amp;" — Kit "&amp;N18&amp;" unidades",D18)</f>
        <v/>
      </c>
      <c r="AU18" s="28" t="inlineStr">
        <is>
          <t>AGCO_ACX283890A_ecommerce.png</t>
        </is>
      </c>
    </row>
    <row r="19">
      <c r="A19" s="23" t="inlineStr">
        <is>
          <t>ACX310603A</t>
        </is>
      </c>
      <c r="B19" s="23" t="inlineStr">
        <is>
          <t>ACX310603A</t>
        </is>
      </c>
      <c r="C19" s="29">
        <f>IFERROR(LOWER(SUBSTITUTE(SUBSTITUTE(SUBSTITUTE(SUBSTITUTE(D19," ","-"),"/","-"),".",""),",","")),"")</f>
        <v/>
      </c>
      <c r="D19" s="23" t="inlineStr">
        <is>
          <t>Manípulo Pneumático - AGCO ACX310603A</t>
        </is>
      </c>
      <c r="E19" s="23" t="inlineStr">
        <is>
          <t>Peças Plásticas Injetadas</t>
        </is>
      </c>
      <c r="F19" s="23" t="inlineStr">
        <is>
          <t>APP</t>
        </is>
      </c>
      <c r="G19" s="23" t="n"/>
      <c r="H19" s="23" t="inlineStr">
        <is>
          <t>active</t>
        </is>
      </c>
      <c r="I19" s="23" t="inlineStr">
        <is>
          <t>AGCO</t>
        </is>
      </c>
      <c r="J19" s="23" t="inlineStr">
        <is>
          <t>PLANTADEIRA</t>
        </is>
      </c>
      <c r="K19" s="23">
        <f>LOWER(CONCATENATE(E19," ",J19," ",D19))</f>
        <v/>
      </c>
      <c r="L19" s="23" t="n"/>
      <c r="M19" s="30" t="n">
        <v>84329000</v>
      </c>
      <c r="N19" s="30" t="n">
        <v>1</v>
      </c>
      <c r="O19" s="30" t="n">
        <v>5</v>
      </c>
      <c r="P19" s="30" t="n">
        <v>0.06</v>
      </c>
      <c r="Q19" s="30" t="n">
        <v>5.4</v>
      </c>
      <c r="R19" s="30" t="n">
        <v>11.7</v>
      </c>
      <c r="S19" s="32" t="n">
        <v>3.4</v>
      </c>
      <c r="T19" s="35">
        <f>IFERROR(IF(AND(Q19&gt;0,R19&gt;0,S19&gt;0),(Q19*R19*S19)/6000,""),"")</f>
        <v/>
      </c>
      <c r="U19" s="34">
        <f>IFERROR(IF(AND(Q19&gt;0,R19&gt;0,S19&gt;0),(Q19*R19*S19)/6000,""),"")</f>
        <v/>
      </c>
      <c r="V19" s="34">
        <f>IFERROR(IF(AND(P19&gt;0,U19&gt;0),MAX(P19,U19),IF(P19&gt;0,P19,IF(U19&gt;0,U19,""))),"")</f>
        <v/>
      </c>
      <c r="W19" s="40" t="n">
        <v>0.49</v>
      </c>
      <c r="X19" s="38" t="inlineStr">
        <is>
          <t>fornecedor</t>
        </is>
      </c>
      <c r="Y19" s="36" t="n">
        <v>4.53</v>
      </c>
      <c r="Z19" s="39" t="n">
        <v>0.2</v>
      </c>
      <c r="AA19" s="41">
        <f>IFERROR(Y19+W19,"")</f>
        <v/>
      </c>
      <c r="AB19" s="41">
        <f>IFERROR(IF(Z19&lt;1,AA19/(1-Z19),""),"")</f>
        <v/>
      </c>
      <c r="AC19" s="43">
        <f>'01_CONFIG_GLOBAL'!$C$14</f>
        <v/>
      </c>
      <c r="AD19" s="41">
        <f>IFERROR(AB19*AC19,"")</f>
        <v/>
      </c>
      <c r="AE19" s="41">
        <f>IFERROR(IF(AC19&lt;1,AB19/(1-AC19),""),"")</f>
        <v/>
      </c>
      <c r="AF19" s="23" t="n"/>
      <c r="AG19" s="36" t="n"/>
      <c r="AH19" s="23" t="n"/>
      <c r="AI19" s="36" t="n"/>
      <c r="AJ19" s="23" t="n"/>
      <c r="AK19" s="36" t="n"/>
      <c r="AL19" s="41">
        <f>IFERROR(AVERAGE(AG19,AI19,AK19),"")</f>
        <v/>
      </c>
      <c r="AM19" s="29">
        <f>IFERROR(IF(AL19="","sem dados",IF(AE19&lt;AL19*0.95,"abaixo",IF(AE19&gt;AL19*1.05,"acima","em linha"))),"")</f>
        <v/>
      </c>
      <c r="AN19" s="23" t="inlineStr">
        <is>
          <t>sim</t>
        </is>
      </c>
      <c r="AO19" s="23" t="n"/>
      <c r="AP19" s="23" t="n"/>
      <c r="AQ19" s="23" t="n"/>
      <c r="AR19" s="23" t="inlineStr">
        <is>
          <t>Fotos: assets/agco_ACX310603A_ecommerce.png</t>
        </is>
      </c>
      <c r="AS19" s="44">
        <f>IF(AND(N19&lt;&gt;"",N19&gt;1),A19&amp;"-KIT"&amp;N19,A19)</f>
        <v/>
      </c>
      <c r="AT19" s="44">
        <f>IF(AND(N19&lt;&gt;"",N19&gt;1),D19&amp;" — Kit "&amp;N19&amp;" unidades",D19)</f>
        <v/>
      </c>
      <c r="AU19" s="28" t="inlineStr">
        <is>
          <t>agco_ACX310603A_ecommerce.png</t>
        </is>
      </c>
    </row>
    <row r="20">
      <c r="A20" s="23" t="inlineStr">
        <is>
          <t>ACX310603A</t>
        </is>
      </c>
      <c r="B20" s="23" t="inlineStr">
        <is>
          <t>ACX310603A</t>
        </is>
      </c>
      <c r="C20" s="29">
        <f>IFERROR(LOWER(SUBSTITUTE(SUBSTITUTE(SUBSTITUTE(SUBSTITUTE(D20," ","-"),"/","-"),".",""),",","")),"")</f>
        <v/>
      </c>
      <c r="D20" s="23" t="inlineStr">
        <is>
          <t>Manípulo Pneumático - Kit 50 Unidades - AGCO ACX310603A</t>
        </is>
      </c>
      <c r="E20" s="23" t="inlineStr">
        <is>
          <t>Peças Plásticas Injetadas</t>
        </is>
      </c>
      <c r="F20" s="23" t="inlineStr">
        <is>
          <t>APP</t>
        </is>
      </c>
      <c r="G20" s="23" t="n"/>
      <c r="H20" s="23" t="inlineStr">
        <is>
          <t>active</t>
        </is>
      </c>
      <c r="I20" s="23" t="inlineStr">
        <is>
          <t>AGCO</t>
        </is>
      </c>
      <c r="J20" s="23" t="inlineStr">
        <is>
          <t>PLANTADEIRA</t>
        </is>
      </c>
      <c r="K20" s="23">
        <f>LOWER(CONCATENATE(E20," ",J20," ",D20))</f>
        <v/>
      </c>
      <c r="L20" s="23" t="n"/>
      <c r="M20" s="30" t="n">
        <v>84329000</v>
      </c>
      <c r="N20" s="30" t="n">
        <v>50</v>
      </c>
      <c r="O20" s="30" t="n">
        <v>5</v>
      </c>
      <c r="P20" s="30">
        <f>P19*N20</f>
        <v/>
      </c>
      <c r="Q20" s="30" t="n">
        <v>30</v>
      </c>
      <c r="R20" s="30" t="n">
        <v>14</v>
      </c>
      <c r="S20" s="32" t="n">
        <v>20</v>
      </c>
      <c r="T20" s="35">
        <f>IFERROR(IF(AND(Q20&gt;0,R20&gt;0,S20&gt;0),(Q20*R20*S20)/6000,""),"")</f>
        <v/>
      </c>
      <c r="U20" s="34">
        <f>IFERROR(IF(AND(Q20&gt;0,R20&gt;0,S20&gt;0),(Q20*R20*S20)/6000,""),"")</f>
        <v/>
      </c>
      <c r="V20" s="34">
        <f>IFERROR(IF(AND(P20&gt;0,U20&gt;0),MAX(P20,U20),IF(P20&gt;0,P20,IF(U20&gt;0,U20,""))),"")</f>
        <v/>
      </c>
      <c r="W20" s="40" t="n">
        <v>24.71</v>
      </c>
      <c r="X20" s="38" t="inlineStr">
        <is>
          <t>fornecedor</t>
        </is>
      </c>
      <c r="Y20" s="36">
        <f>Y19*N20</f>
        <v/>
      </c>
      <c r="Z20" s="39" t="n">
        <v>0.2</v>
      </c>
      <c r="AA20" s="41">
        <f>IFERROR(Y20+W20,"")</f>
        <v/>
      </c>
      <c r="AB20" s="41">
        <f>IFERROR(IF(Z20&lt;1,AA20/(1-Z20),""),"")</f>
        <v/>
      </c>
      <c r="AC20" s="43">
        <f>'01_CONFIG_GLOBAL'!$C$14</f>
        <v/>
      </c>
      <c r="AD20" s="41">
        <f>IFERROR(AB20*AC20,"")</f>
        <v/>
      </c>
      <c r="AE20" s="41">
        <f>IFERROR(IF(AC20&lt;1,AB20/(1-AC20),""),"")</f>
        <v/>
      </c>
      <c r="AF20" s="23" t="n"/>
      <c r="AG20" s="36" t="n"/>
      <c r="AH20" s="23" t="n"/>
      <c r="AI20" s="36" t="n"/>
      <c r="AJ20" s="23" t="n"/>
      <c r="AK20" s="36" t="n"/>
      <c r="AL20" s="41" t="n"/>
      <c r="AM20" s="29">
        <f>IFERROR(IF(AL20="","sem dados",IF(AE20&lt;AL20*0.95,"abaixo",IF(AE20&gt;AL20*1.05,"acima","em linha"))),"")</f>
        <v/>
      </c>
      <c r="AN20" s="23" t="inlineStr">
        <is>
          <t>sim</t>
        </is>
      </c>
      <c r="AO20" s="23" t="n"/>
      <c r="AP20" s="23" t="n"/>
      <c r="AQ20" s="23" t="n"/>
      <c r="AR20" s="23" t="n"/>
      <c r="AS20" s="44">
        <f>IF(AND(N20&lt;&gt;"",N20&gt;1),A20&amp;"-KIT"&amp;N20,A20)</f>
        <v/>
      </c>
      <c r="AT20" s="44">
        <f>IF(AND(N20&lt;&gt;"",N20&gt;1),D20&amp;" — Kit "&amp;N20&amp;" unidades",D20)</f>
        <v/>
      </c>
      <c r="AU20" s="28" t="inlineStr">
        <is>
          <t>agco_ACX310603A_ecommerce.png</t>
        </is>
      </c>
    </row>
    <row r="21" ht="15.75" customHeight="1" s="93">
      <c r="A21" s="23" t="inlineStr">
        <is>
          <t>4383923M4</t>
        </is>
      </c>
      <c r="B21" s="23" t="inlineStr">
        <is>
          <t>4383923M4</t>
        </is>
      </c>
      <c r="C21" s="29">
        <f>IFERROR(LOWER(SUBSTITUTE(SUBSTITUTE(SUBSTITUTE(SUBSTITUTE(D21," ","-"),"/","-"),".",""),",","")),"")</f>
        <v/>
      </c>
      <c r="D21" s="23" t="inlineStr">
        <is>
          <t>Dobradiça Esquerda Superior - Massey Ferguson 4383923M4</t>
        </is>
      </c>
      <c r="E21" s="23" t="inlineStr">
        <is>
          <t>Peças Plásticas Injetadas</t>
        </is>
      </c>
      <c r="F21" s="23" t="inlineStr">
        <is>
          <t>APP</t>
        </is>
      </c>
      <c r="G21" s="23" t="n"/>
      <c r="H21" s="23" t="inlineStr">
        <is>
          <t>active</t>
        </is>
      </c>
      <c r="I21" s="23" t="inlineStr">
        <is>
          <t>AGCO</t>
        </is>
      </c>
      <c r="J21" s="23" t="inlineStr">
        <is>
          <t>TRATOR</t>
        </is>
      </c>
      <c r="K21" s="23">
        <f>LOWER(CONCATENATE(E21," ",J21," ",D21))</f>
        <v/>
      </c>
      <c r="L21" s="23" t="n"/>
      <c r="M21" s="30" t="n">
        <v>84329000</v>
      </c>
      <c r="N21" s="30" t="n"/>
      <c r="O21" s="30" t="n">
        <v>5</v>
      </c>
      <c r="P21" s="30" t="n">
        <v>0.19</v>
      </c>
      <c r="Q21" s="30" t="n">
        <v>3</v>
      </c>
      <c r="R21" s="30" t="n">
        <v>12.5</v>
      </c>
      <c r="S21" s="32" t="n">
        <v>8</v>
      </c>
      <c r="T21" s="35">
        <f>IFERROR(IF(AND(Q21&gt;0,R21&gt;0,S21&gt;0),(Q21*R21*S21)/6000,""),"")</f>
        <v/>
      </c>
      <c r="U21" s="34">
        <f>IFERROR(IF(AND(Q21&gt;0,R21&gt;0,S21&gt;0),(Q21*R21*S21)/6000,""),"")</f>
        <v/>
      </c>
      <c r="V21" s="34">
        <f>IFERROR(IF(AND(P21&gt;0,U21&gt;0),MAX(P21,U21),IF(P21&gt;0,P21,IF(U21&gt;0,U21,""))),"")</f>
        <v/>
      </c>
      <c r="W21" s="40" t="n">
        <v>16.74</v>
      </c>
      <c r="X21" s="38" t="inlineStr">
        <is>
          <t>fornecedor</t>
        </is>
      </c>
      <c r="Y21" s="36" t="n">
        <v>20.01</v>
      </c>
      <c r="Z21" s="39" t="n">
        <v>0.2</v>
      </c>
      <c r="AA21" s="41">
        <f>IFERROR(Y21+W21,"")</f>
        <v/>
      </c>
      <c r="AB21" s="41">
        <f>IFERROR(IF(Z21&lt;1,AA21/(1-Z21),""),"")</f>
        <v/>
      </c>
      <c r="AC21" s="43">
        <f>'01_CONFIG_GLOBAL'!$C$14</f>
        <v/>
      </c>
      <c r="AD21" s="41">
        <f>IFERROR(AB21*AC21,"")</f>
        <v/>
      </c>
      <c r="AE21" s="41">
        <f>IFERROR(IF(AC21&lt;1,AB21/(1-AC21),""),"")</f>
        <v/>
      </c>
      <c r="AF21" s="23" t="n"/>
      <c r="AG21" s="36" t="n"/>
      <c r="AH21" s="23" t="n"/>
      <c r="AI21" s="36" t="n"/>
      <c r="AJ21" s="23" t="n"/>
      <c r="AK21" s="36" t="n"/>
      <c r="AL21" s="41">
        <f>IFERROR(AVERAGE(AG21,AI21,AK21),"")</f>
        <v/>
      </c>
      <c r="AM21" s="29">
        <f>IFERROR(IF(AL21="","sem dados",IF(AE21&lt;AL21*0.95,"abaixo",IF(AE21&gt;AL21*1.05,"acima","em linha"))),"")</f>
        <v/>
      </c>
      <c r="AN21" s="23" t="inlineStr">
        <is>
          <t>sim</t>
        </is>
      </c>
      <c r="AO21" s="23" t="n"/>
      <c r="AP21" s="23" t="n"/>
      <c r="AQ21" s="23" t="n"/>
      <c r="AR21" s="23" t="inlineStr">
        <is>
          <t>Fotos: assets/AGCO_4383923M4_ecommerce_1.png; assets/AGCO_4383923M4_ecommerce_2.png</t>
        </is>
      </c>
      <c r="AS21" s="44">
        <f>IF(AND(N21&lt;&gt;"",N21&gt;1),A21&amp;"-KIT"&amp;N21,A21)</f>
        <v/>
      </c>
      <c r="AT21" s="44">
        <f>IF(AND(N21&lt;&gt;"",N21&gt;1),D21&amp;" — Kit "&amp;N21&amp;" unidades",D21)</f>
        <v/>
      </c>
      <c r="AU21" s="28" t="inlineStr">
        <is>
          <t>AGCO_4383923M4_ecommerce_1.png | AGCO_4383923M4_ecommerce_2.png</t>
        </is>
      </c>
    </row>
    <row r="22" ht="15.75" customHeight="1" s="93">
      <c r="A22" s="23" t="inlineStr">
        <is>
          <t>ACX363311C</t>
        </is>
      </c>
      <c r="B22" s="23" t="inlineStr">
        <is>
          <t>ACX363311C</t>
        </is>
      </c>
      <c r="C22" s="29">
        <f>IFERROR(LOWER(SUBSTITUTE(SUBSTITUTE(SUBSTITUTE(SUBSTITUTE(D22," ","-"),"/","-"),".",""),",","")),"")</f>
        <v/>
      </c>
      <c r="D22" s="23" t="inlineStr">
        <is>
          <t>Copo Venturi C - AGCO ACX363311C | Dosador Pneumático</t>
        </is>
      </c>
      <c r="E22" s="23" t="inlineStr">
        <is>
          <t>Peças Plásticas Injetadas</t>
        </is>
      </c>
      <c r="F22" s="23" t="inlineStr">
        <is>
          <t>APP</t>
        </is>
      </c>
      <c r="G22" s="23" t="n"/>
      <c r="H22" s="23" t="inlineStr">
        <is>
          <t>active</t>
        </is>
      </c>
      <c r="I22" s="23" t="inlineStr">
        <is>
          <t>AGCO</t>
        </is>
      </c>
      <c r="J22" s="23" t="inlineStr">
        <is>
          <t>PLANTADEIRA</t>
        </is>
      </c>
      <c r="K22" s="23">
        <f>LOWER(CONCATENATE(E22," ",J22," ",D22))</f>
        <v/>
      </c>
      <c r="L22" s="23" t="n"/>
      <c r="M22" s="30" t="n">
        <v>84329000</v>
      </c>
      <c r="N22" s="30" t="n"/>
      <c r="O22" s="30" t="n">
        <v>5</v>
      </c>
      <c r="P22" s="30" t="n">
        <v>0.19</v>
      </c>
      <c r="Q22" s="30" t="n">
        <v>3</v>
      </c>
      <c r="R22" s="30" t="n">
        <v>11</v>
      </c>
      <c r="S22" s="32" t="n">
        <v>7</v>
      </c>
      <c r="T22" s="35">
        <f>IFERROR(IF(AND(Q22&gt;0,R22&gt;0,S22&gt;0),(Q22*R22*S22)/6000,""),"")</f>
        <v/>
      </c>
      <c r="U22" s="34">
        <f>IFERROR(IF(AND(Q22&gt;0,R22&gt;0,S22&gt;0),(Q22*R22*S22)/6000,""),"")</f>
        <v/>
      </c>
      <c r="V22" s="34">
        <f>IFERROR(IF(AND(P22&gt;0,U22&gt;0),MAX(P22,U22),IF(P22&gt;0,P22,IF(U22&gt;0,U22,""))),"")</f>
        <v/>
      </c>
      <c r="W22" s="40" t="n">
        <v>1.03</v>
      </c>
      <c r="X22" s="38" t="inlineStr">
        <is>
          <t>fornecedor</t>
        </is>
      </c>
      <c r="Y22" s="36" t="n">
        <v>8.31</v>
      </c>
      <c r="Z22" s="39" t="n">
        <v>0.2</v>
      </c>
      <c r="AA22" s="41">
        <f>IFERROR(Y22+W22,"")</f>
        <v/>
      </c>
      <c r="AB22" s="41">
        <f>IFERROR(IF(Z22&lt;1,AA22/(1-Z22),""),"")</f>
        <v/>
      </c>
      <c r="AC22" s="43">
        <f>'01_CONFIG_GLOBAL'!$C$14</f>
        <v/>
      </c>
      <c r="AD22" s="41">
        <f>IFERROR(AB22*AC22,"")</f>
        <v/>
      </c>
      <c r="AE22" s="41">
        <f>IFERROR(IF(AC22&lt;1,AB22/(1-AC22),""),"")</f>
        <v/>
      </c>
      <c r="AF22" s="23" t="n"/>
      <c r="AG22" s="36" t="n"/>
      <c r="AH22" s="23" t="n"/>
      <c r="AI22" s="36" t="n"/>
      <c r="AJ22" s="23" t="n"/>
      <c r="AK22" s="36" t="n"/>
      <c r="AL22" s="41">
        <f>IFERROR(AVERAGE(AG22,AI22,AK22),"")</f>
        <v/>
      </c>
      <c r="AM22" s="29">
        <f>IFERROR(IF(AL22="","sem dados",IF(AE22&lt;AL22*0.95,"abaixo",IF(AE22&gt;AL22*1.05,"acima","em linha"))),"")</f>
        <v/>
      </c>
      <c r="AN22" s="23" t="inlineStr">
        <is>
          <t>sim</t>
        </is>
      </c>
      <c r="AO22" s="23" t="n"/>
      <c r="AP22" s="23" t="n"/>
      <c r="AQ22" s="23" t="n"/>
      <c r="AR22" s="23" t="inlineStr">
        <is>
          <t>Fotos: assets/agco_ACX363311C_ecommerce.png</t>
        </is>
      </c>
      <c r="AS22" s="44">
        <f>IF(AND(N22&lt;&gt;"",N22&gt;1),A22&amp;"-KIT"&amp;N22,A22)</f>
        <v/>
      </c>
      <c r="AT22" s="44">
        <f>IF(AND(N22&lt;&gt;"",N22&gt;1),D22&amp;" — Kit "&amp;N22&amp;" unidades",D22)</f>
        <v/>
      </c>
      <c r="AU22" s="28" t="inlineStr">
        <is>
          <t>agco_ACX363311C_ecommerce.png</t>
        </is>
      </c>
    </row>
    <row r="23" ht="15.75" customHeight="1" s="93">
      <c r="A23" s="23" t="inlineStr">
        <is>
          <t>ACX363311C</t>
        </is>
      </c>
      <c r="B23" s="23" t="inlineStr">
        <is>
          <t>ACX363311C</t>
        </is>
      </c>
      <c r="C23" s="29">
        <f>IFERROR(LOWER(SUBSTITUTE(SUBSTITUTE(SUBSTITUTE(SUBSTITUTE(D23," ","-"),"/","-"),".",""),",","")),"")</f>
        <v/>
      </c>
      <c r="D23" s="23" t="inlineStr">
        <is>
          <t>Copo Venturi C - Kit 60 Unidades - AGCO ACX363311C</t>
        </is>
      </c>
      <c r="E23" s="23" t="inlineStr">
        <is>
          <t>Peças Plásticas Injetadas</t>
        </is>
      </c>
      <c r="F23" s="23" t="inlineStr">
        <is>
          <t>APP</t>
        </is>
      </c>
      <c r="G23" s="23" t="n"/>
      <c r="H23" s="23" t="inlineStr">
        <is>
          <t>active</t>
        </is>
      </c>
      <c r="I23" s="23" t="inlineStr">
        <is>
          <t>AGCO</t>
        </is>
      </c>
      <c r="J23" s="23" t="inlineStr">
        <is>
          <t>PLANTADEIRA</t>
        </is>
      </c>
      <c r="K23" s="23">
        <f>LOWER(CONCATENATE(E23," ",J23," ",D23))</f>
        <v/>
      </c>
      <c r="L23" s="23" t="n"/>
      <c r="M23" s="30" t="n">
        <v>84329000</v>
      </c>
      <c r="N23" s="30" t="n">
        <v>60</v>
      </c>
      <c r="O23" s="30" t="n">
        <v>5</v>
      </c>
      <c r="P23" s="30">
        <f>P22*N23</f>
        <v/>
      </c>
      <c r="Q23" s="30" t="n">
        <v>45</v>
      </c>
      <c r="R23" s="30" t="n">
        <v>32</v>
      </c>
      <c r="S23" s="32" t="n">
        <v>18</v>
      </c>
      <c r="T23" s="35">
        <f>IFERROR(IF(AND(Q23&gt;0,R23&gt;0,S23&gt;0),(Q23*R23*S23)/6000,""),"")</f>
        <v/>
      </c>
      <c r="U23" s="34">
        <f>IFERROR(IF(AND(Q23&gt;0,R23&gt;0,S23&gt;0),(Q23*R23*S23)/6000,""),"")</f>
        <v/>
      </c>
      <c r="V23" s="34">
        <f>IFERROR(IF(AND(P23&gt;0,U23&gt;0),MAX(P23,U23),IF(P23&gt;0,P23,IF(U23&gt;0,U23,""))),"")</f>
        <v/>
      </c>
      <c r="W23" s="40" t="n">
        <v>61.52</v>
      </c>
      <c r="X23" s="38" t="inlineStr">
        <is>
          <t>fornecedor</t>
        </is>
      </c>
      <c r="Y23" s="36">
        <f>Y22*N23</f>
        <v/>
      </c>
      <c r="Z23" s="39" t="n">
        <v>0.2</v>
      </c>
      <c r="AA23" s="41">
        <f>IFERROR(Y23+W23,"")</f>
        <v/>
      </c>
      <c r="AB23" s="41">
        <f>IFERROR(IF(Z23&lt;1,AA23/(1-Z23),""),"")</f>
        <v/>
      </c>
      <c r="AC23" s="43">
        <f>'01_CONFIG_GLOBAL'!$C$14</f>
        <v/>
      </c>
      <c r="AD23" s="41">
        <f>IFERROR(AB23*AC23,"")</f>
        <v/>
      </c>
      <c r="AE23" s="41">
        <f>IFERROR(IF(AC23&lt;1,AB23/(1-AC23),""),"")</f>
        <v/>
      </c>
      <c r="AF23" s="23" t="n"/>
      <c r="AG23" s="36" t="n"/>
      <c r="AH23" s="23" t="n"/>
      <c r="AI23" s="36" t="n"/>
      <c r="AJ23" s="23" t="n"/>
      <c r="AK23" s="36" t="n"/>
      <c r="AL23" s="41" t="n"/>
      <c r="AM23" s="29">
        <f>IFERROR(IF(AL23="","sem dados",IF(AE23&lt;AL23*0.95,"abaixo",IF(AE23&gt;AL23*1.05,"acima","em linha"))),"")</f>
        <v/>
      </c>
      <c r="AN23" s="23" t="inlineStr">
        <is>
          <t>sim</t>
        </is>
      </c>
      <c r="AO23" s="23" t="n"/>
      <c r="AP23" s="23" t="n"/>
      <c r="AQ23" s="23" t="n"/>
      <c r="AR23" s="23" t="n"/>
      <c r="AS23" s="44">
        <f>IF(AND(N23&lt;&gt;"",N23&gt;1),A23&amp;"-KIT"&amp;N23,A23)</f>
        <v/>
      </c>
      <c r="AT23" s="44">
        <f>IF(AND(N23&lt;&gt;"",N23&gt;1),D23&amp;" — Kit "&amp;N23&amp;" unidades",D23)</f>
        <v/>
      </c>
      <c r="AU23" s="28" t="inlineStr">
        <is>
          <t>AGCO_ACX3601860_ecommerce_2.png</t>
        </is>
      </c>
    </row>
    <row r="24" ht="15.75" customHeight="1" s="93">
      <c r="A24" s="23" t="inlineStr">
        <is>
          <t>ACX363311B</t>
        </is>
      </c>
      <c r="B24" s="23" t="inlineStr">
        <is>
          <t>ACX363311B</t>
        </is>
      </c>
      <c r="C24" s="29">
        <f>IFERROR(LOWER(SUBSTITUTE(SUBSTITUTE(SUBSTITUTE(SUBSTITUTE(D24," ","-"),"/","-"),".",""),",","")),"")</f>
        <v/>
      </c>
      <c r="D24" s="23" t="inlineStr">
        <is>
          <t>Copo Venturi B - AGCO ACX363311B | Dosador Pneumático</t>
        </is>
      </c>
      <c r="E24" s="23" t="inlineStr">
        <is>
          <t>Peças Plásticas Injetadas</t>
        </is>
      </c>
      <c r="F24" s="23" t="inlineStr">
        <is>
          <t>APP</t>
        </is>
      </c>
      <c r="G24" s="23" t="n"/>
      <c r="H24" s="23" t="inlineStr">
        <is>
          <t>active</t>
        </is>
      </c>
      <c r="I24" s="23" t="inlineStr">
        <is>
          <t>AGCO</t>
        </is>
      </c>
      <c r="J24" s="23" t="inlineStr">
        <is>
          <t>PLANTADEIRA</t>
        </is>
      </c>
      <c r="K24" s="23">
        <f>LOWER(CONCATENATE(E24," ",J24," ",D24))</f>
        <v/>
      </c>
      <c r="L24" s="23" t="n"/>
      <c r="M24" s="30" t="n">
        <v>84329000</v>
      </c>
      <c r="N24" s="30" t="n">
        <v>1</v>
      </c>
      <c r="O24" s="30" t="n">
        <v>5</v>
      </c>
      <c r="P24" s="30" t="n">
        <v>0.19</v>
      </c>
      <c r="Q24" s="30" t="n">
        <v>3</v>
      </c>
      <c r="R24" s="30" t="n">
        <v>10</v>
      </c>
      <c r="S24" s="32" t="n">
        <v>7</v>
      </c>
      <c r="T24" s="35">
        <f>IFERROR(IF(AND(Q24&gt;0,R24&gt;0,S24&gt;0),(Q24*R24*S24)/6000,""),"")</f>
        <v/>
      </c>
      <c r="U24" s="34">
        <f>IFERROR(IF(AND(Q24&gt;0,R24&gt;0,S24&gt;0),(Q24*R24*S24)/6000,""),"")</f>
        <v/>
      </c>
      <c r="V24" s="34">
        <f>IFERROR(IF(AND(P24&gt;0,U24&gt;0),MAX(P24,U24),IF(P24&gt;0,P24,IF(U24&gt;0,U24,""))),"")</f>
        <v/>
      </c>
      <c r="W24" s="40" t="n">
        <v>1.03</v>
      </c>
      <c r="X24" s="38" t="inlineStr">
        <is>
          <t>fornecedor</t>
        </is>
      </c>
      <c r="Y24" s="36" t="n">
        <v>8.31</v>
      </c>
      <c r="Z24" s="39" t="n">
        <v>0.2</v>
      </c>
      <c r="AA24" s="41">
        <f>IFERROR(Y24+W24,"")</f>
        <v/>
      </c>
      <c r="AB24" s="41">
        <f>IFERROR(IF(Z24&lt;1,AA24/(1-Z24),""),"")</f>
        <v/>
      </c>
      <c r="AC24" s="43">
        <f>'01_CONFIG_GLOBAL'!$C$14</f>
        <v/>
      </c>
      <c r="AD24" s="41">
        <f>IFERROR(AB24*AC24,"")</f>
        <v/>
      </c>
      <c r="AE24" s="41">
        <f>IFERROR(IF(AC24&lt;1,AB24/(1-AC24),""),"")</f>
        <v/>
      </c>
      <c r="AF24" s="23" t="n"/>
      <c r="AG24" s="36" t="n"/>
      <c r="AH24" s="23" t="n"/>
      <c r="AI24" s="36" t="n"/>
      <c r="AJ24" s="23" t="n"/>
      <c r="AK24" s="36" t="n"/>
      <c r="AL24" s="41">
        <f>IFERROR(AVERAGE(AG24,AI24,AK24),"")</f>
        <v/>
      </c>
      <c r="AM24" s="29">
        <f>IFERROR(IF(AL24="","sem dados",IF(AE24&lt;AL24*0.95,"abaixo",IF(AE24&gt;AL24*1.05,"acima","em linha"))),"")</f>
        <v/>
      </c>
      <c r="AN24" s="23" t="inlineStr">
        <is>
          <t>sim</t>
        </is>
      </c>
      <c r="AO24" s="23" t="n"/>
      <c r="AP24" s="23" t="n"/>
      <c r="AQ24" s="23" t="n"/>
      <c r="AR24" s="23" t="inlineStr">
        <is>
          <t>Fotos: assets/agco_ACX363311B_ecommerce.png</t>
        </is>
      </c>
      <c r="AS24" s="44">
        <f>IF(AND(N24&lt;&gt;"",N24&gt;1),A24&amp;"-KIT"&amp;N24,A24)</f>
        <v/>
      </c>
      <c r="AT24" s="44">
        <f>IF(AND(N24&lt;&gt;"",N24&gt;1),D24&amp;" — Kit "&amp;N24&amp;" unidades",D24)</f>
        <v/>
      </c>
      <c r="AU24" s="28" t="inlineStr">
        <is>
          <t>agco_ACX363311B_ecommerce.png</t>
        </is>
      </c>
    </row>
    <row r="25" ht="15.75" customHeight="1" s="93">
      <c r="A25" s="23" t="inlineStr">
        <is>
          <t>ACX363311B</t>
        </is>
      </c>
      <c r="B25" s="23" t="inlineStr">
        <is>
          <t>ACX363311B</t>
        </is>
      </c>
      <c r="C25" s="29">
        <f>IFERROR(LOWER(SUBSTITUTE(SUBSTITUTE(SUBSTITUTE(SUBSTITUTE(D25," ","-"),"/","-"),".",""),",","")),"")</f>
        <v/>
      </c>
      <c r="D25" s="23" t="inlineStr">
        <is>
          <t>Copo Venturi B - Kit 60 Unidades - AGCO ACX363311B</t>
        </is>
      </c>
      <c r="E25" s="23" t="inlineStr">
        <is>
          <t>Peças Plásticas Injetadas</t>
        </is>
      </c>
      <c r="F25" s="23" t="inlineStr">
        <is>
          <t>APP</t>
        </is>
      </c>
      <c r="G25" s="23" t="n"/>
      <c r="H25" s="23" t="inlineStr">
        <is>
          <t>active</t>
        </is>
      </c>
      <c r="I25" s="23" t="inlineStr">
        <is>
          <t>AGCO</t>
        </is>
      </c>
      <c r="J25" s="23" t="inlineStr">
        <is>
          <t>PLANTADEIRA</t>
        </is>
      </c>
      <c r="K25" s="23">
        <f>LOWER(CONCATENATE(E25," ",J25," ",D25))</f>
        <v/>
      </c>
      <c r="L25" s="23" t="n"/>
      <c r="M25" s="30" t="n">
        <v>84329000</v>
      </c>
      <c r="N25" s="30" t="n">
        <v>60</v>
      </c>
      <c r="O25" s="30" t="n">
        <v>5</v>
      </c>
      <c r="P25" s="30">
        <f>P24*N25</f>
        <v/>
      </c>
      <c r="Q25" s="30" t="n">
        <v>45</v>
      </c>
      <c r="R25" s="30" t="n">
        <v>32</v>
      </c>
      <c r="S25" s="32" t="n">
        <v>18</v>
      </c>
      <c r="T25" s="35">
        <f>IFERROR(IF(AND(Q25&gt;0,R25&gt;0,S25&gt;0),(Q25*R25*S25)/6000,""),"")</f>
        <v/>
      </c>
      <c r="U25" s="34">
        <f>IFERROR(IF(AND(Q25&gt;0,R25&gt;0,S25&gt;0),(Q25*R25*S25)/6000,""),"")</f>
        <v/>
      </c>
      <c r="V25" s="34">
        <f>IFERROR(IF(AND(P25&gt;0,U25&gt;0),MAX(P25,U25),IF(P25&gt;0,P25,IF(U25&gt;0,U25,""))),"")</f>
        <v/>
      </c>
      <c r="W25" s="40" t="n">
        <v>61.52</v>
      </c>
      <c r="X25" s="38" t="inlineStr">
        <is>
          <t>fornecedor</t>
        </is>
      </c>
      <c r="Y25" s="36">
        <f>Y24*N25</f>
        <v/>
      </c>
      <c r="Z25" s="39" t="n">
        <v>0.2</v>
      </c>
      <c r="AA25" s="41">
        <f>IFERROR(Y25+W25,"")</f>
        <v/>
      </c>
      <c r="AB25" s="41">
        <f>IFERROR(IF(Z25&lt;1,AA25/(1-Z25),""),"")</f>
        <v/>
      </c>
      <c r="AC25" s="43">
        <f>'01_CONFIG_GLOBAL'!$C$14</f>
        <v/>
      </c>
      <c r="AD25" s="41">
        <f>IFERROR(AB25*AC25,"")</f>
        <v/>
      </c>
      <c r="AE25" s="41">
        <f>IFERROR(IF(AC25&lt;1,AB25/(1-AC25),""),"")</f>
        <v/>
      </c>
      <c r="AF25" s="23" t="n"/>
      <c r="AG25" s="36" t="n"/>
      <c r="AH25" s="23" t="n"/>
      <c r="AI25" s="36" t="n"/>
      <c r="AJ25" s="23" t="n"/>
      <c r="AK25" s="36" t="n"/>
      <c r="AL25" s="41" t="n"/>
      <c r="AM25" s="29">
        <f>IFERROR(IF(AL25="","sem dados",IF(AE25&lt;AL25*0.95,"abaixo",IF(AE25&gt;AL25*1.05,"acima","em linha"))),"")</f>
        <v/>
      </c>
      <c r="AN25" s="23" t="inlineStr">
        <is>
          <t>sim</t>
        </is>
      </c>
      <c r="AO25" s="23" t="n"/>
      <c r="AP25" s="23" t="n"/>
      <c r="AQ25" s="23" t="n"/>
      <c r="AR25" s="23" t="n"/>
      <c r="AS25" s="44">
        <f>IF(AND(N25&lt;&gt;"",N25&gt;1),A25&amp;"-KIT"&amp;N25,A25)</f>
        <v/>
      </c>
      <c r="AT25" s="44">
        <f>IF(AND(N25&lt;&gt;"",N25&gt;1),D25&amp;" — Kit "&amp;N25&amp;" unidades",D25)</f>
        <v/>
      </c>
      <c r="AU25" s="28" t="inlineStr">
        <is>
          <t>AGCO_ACX3601860_ecommerce_1.png</t>
        </is>
      </c>
    </row>
    <row r="26" ht="15.75" customHeight="1" s="93">
      <c r="A26" s="23" t="inlineStr">
        <is>
          <t>ACX2414460</t>
        </is>
      </c>
      <c r="B26" s="23" t="inlineStr">
        <is>
          <t>ACX2414460</t>
        </is>
      </c>
      <c r="C26" s="29">
        <f>IFERROR(LOWER(SUBSTITUTE(SUBSTITUTE(SUBSTITUTE(SUBSTITUTE(D26," ","-"),"/","-"),".",""),",","")),"")</f>
        <v/>
      </c>
      <c r="D26" s="23" t="inlineStr">
        <is>
          <t>Conjunto Adaptador de Vácuo - AGCO ACX2414460</t>
        </is>
      </c>
      <c r="E26" s="23" t="inlineStr">
        <is>
          <t>Peças Plásticas Injetadas</t>
        </is>
      </c>
      <c r="F26" s="23" t="inlineStr">
        <is>
          <t>APP</t>
        </is>
      </c>
      <c r="G26" s="23" t="n"/>
      <c r="H26" s="23" t="inlineStr">
        <is>
          <t>active</t>
        </is>
      </c>
      <c r="I26" s="23" t="inlineStr">
        <is>
          <t>AGCO</t>
        </is>
      </c>
      <c r="J26" s="23" t="inlineStr">
        <is>
          <t>PLANTADEIRA</t>
        </is>
      </c>
      <c r="K26" s="23">
        <f>LOWER(CONCATENATE(E26," ",J26," ",D26))</f>
        <v/>
      </c>
      <c r="L26" s="23" t="n"/>
      <c r="M26" s="30" t="n">
        <v>84329000</v>
      </c>
      <c r="N26" s="30" t="n">
        <v>1</v>
      </c>
      <c r="O26" s="30" t="n">
        <v>5</v>
      </c>
      <c r="P26" s="30" t="n">
        <v>0.1</v>
      </c>
      <c r="Q26" s="30" t="n">
        <v>22.5</v>
      </c>
      <c r="R26" s="30" t="n">
        <v>12</v>
      </c>
      <c r="S26" s="32" t="n">
        <v>4</v>
      </c>
      <c r="T26" s="35">
        <f>IFERROR(IF(AND(Q26&gt;0,R26&gt;0,S26&gt;0),(Q26*R26*S26)/6000,""),"")</f>
        <v/>
      </c>
      <c r="U26" s="34">
        <f>IFERROR(IF(AND(Q26&gt;0,R26&gt;0,S26&gt;0),(Q26*R26*S26)/6000,""),"")</f>
        <v/>
      </c>
      <c r="V26" s="34">
        <f>IFERROR(IF(AND(P26&gt;0,U26&gt;0),MAX(P26,U26),IF(P26&gt;0,P26,IF(U26&gt;0,U26,""))),"")</f>
        <v/>
      </c>
      <c r="W26" s="40" t="n">
        <v>1.38</v>
      </c>
      <c r="X26" s="38" t="inlineStr">
        <is>
          <t>fornecedor</t>
        </is>
      </c>
      <c r="Y26" s="36" t="n">
        <v>9.02</v>
      </c>
      <c r="Z26" s="39" t="n">
        <v>0.2</v>
      </c>
      <c r="AA26" s="41">
        <f>IFERROR(Y26+W26,"")</f>
        <v/>
      </c>
      <c r="AB26" s="41">
        <f>IFERROR(IF(Z26&lt;1,AA26/(1-Z26),""),"")</f>
        <v/>
      </c>
      <c r="AC26" s="43">
        <f>'01_CONFIG_GLOBAL'!$C$14</f>
        <v/>
      </c>
      <c r="AD26" s="41">
        <f>IFERROR(AB26*AC26,"")</f>
        <v/>
      </c>
      <c r="AE26" s="41">
        <f>IFERROR(IF(AC26&lt;1,AB26/(1-AC26),""),"")</f>
        <v/>
      </c>
      <c r="AF26" s="23" t="n"/>
      <c r="AG26" s="36" t="n"/>
      <c r="AH26" s="23" t="n"/>
      <c r="AI26" s="36" t="n"/>
      <c r="AJ26" s="23" t="n"/>
      <c r="AK26" s="36" t="n"/>
      <c r="AL26" s="41">
        <f>IFERROR(AVERAGE(AG26,AI26,AK26),"")</f>
        <v/>
      </c>
      <c r="AM26" s="29">
        <f>IFERROR(IF(AL26="","sem dados",IF(AE26&lt;AL26*0.95,"abaixo",IF(AE26&gt;AL26*1.05,"acima","em linha"))),"")</f>
        <v/>
      </c>
      <c r="AN26" s="23" t="inlineStr">
        <is>
          <t>sim</t>
        </is>
      </c>
      <c r="AO26" s="23" t="n"/>
      <c r="AP26" s="23" t="n"/>
      <c r="AQ26" s="23" t="n"/>
      <c r="AR26" s="23" t="inlineStr">
        <is>
          <t>Fotos: assets/agco_ACX2414460_ecommerce.png</t>
        </is>
      </c>
      <c r="AS26" s="44">
        <f>IF(AND(N26&lt;&gt;"",N26&gt;1),A26&amp;"-KIT"&amp;N26,A26)</f>
        <v/>
      </c>
      <c r="AT26" s="44">
        <f>IF(AND(N26&lt;&gt;"",N26&gt;1),D26&amp;" — Kit "&amp;N26&amp;" unidades",D26)</f>
        <v/>
      </c>
      <c r="AU26" s="28" t="inlineStr">
        <is>
          <t>agco_ACX2414460_ecommerce.png</t>
        </is>
      </c>
    </row>
    <row r="27" ht="15.75" customHeight="1" s="93">
      <c r="A27" s="23" t="inlineStr">
        <is>
          <t>ACX2414460</t>
        </is>
      </c>
      <c r="B27" s="23" t="inlineStr">
        <is>
          <t>ACX2414460</t>
        </is>
      </c>
      <c r="C27" s="29">
        <f>IFERROR(LOWER(SUBSTITUTE(SUBSTITUTE(SUBSTITUTE(SUBSTITUTE(D27," ","-"),"/","-"),".",""),",","")),"")</f>
        <v/>
      </c>
      <c r="D27" s="23" t="inlineStr">
        <is>
          <t>Conjunto Adaptador de Vácuo - Kit 20 Unidades - AGCO ACX2414460</t>
        </is>
      </c>
      <c r="E27" s="23" t="inlineStr">
        <is>
          <t>Peças Plásticas Injetadas</t>
        </is>
      </c>
      <c r="F27" s="23" t="inlineStr">
        <is>
          <t>APP</t>
        </is>
      </c>
      <c r="G27" s="23" t="n"/>
      <c r="H27" s="23" t="inlineStr">
        <is>
          <t>active</t>
        </is>
      </c>
      <c r="I27" s="23" t="inlineStr">
        <is>
          <t>AGCO</t>
        </is>
      </c>
      <c r="J27" s="23" t="inlineStr">
        <is>
          <t>PLANTADEIRA</t>
        </is>
      </c>
      <c r="K27" s="23">
        <f>LOWER(CONCATENATE(E27," ",J27," ",D27))</f>
        <v/>
      </c>
      <c r="L27" s="23" t="n"/>
      <c r="M27" s="30" t="n">
        <v>84329000</v>
      </c>
      <c r="N27" s="30" t="n">
        <v>20</v>
      </c>
      <c r="O27" s="30" t="n">
        <v>5</v>
      </c>
      <c r="P27" s="30">
        <f>P26*N27</f>
        <v/>
      </c>
      <c r="Q27" s="30" t="n">
        <v>25</v>
      </c>
      <c r="R27" s="30" t="n">
        <v>25</v>
      </c>
      <c r="S27" s="32" t="n">
        <v>45</v>
      </c>
      <c r="T27" s="35">
        <f>IFERROR(IF(AND(Q27&gt;0,R27&gt;0,S27&gt;0),(Q27*R27*S27)/6000,""),"")</f>
        <v/>
      </c>
      <c r="U27" s="34">
        <f>IFERROR(IF(AND(Q27&gt;0,R27&gt;0,S27&gt;0),(Q27*R27*S27)/6000,""),"")</f>
        <v/>
      </c>
      <c r="V27" s="34">
        <f>IFERROR(IF(AND(P27&gt;0,U27&gt;0),MAX(P27,U27),IF(P27&gt;0,P27,IF(U27&gt;0,U27,""))),"")</f>
        <v/>
      </c>
      <c r="W27" s="40" t="n">
        <v>27.58</v>
      </c>
      <c r="X27" s="38" t="inlineStr">
        <is>
          <t>fornecedor</t>
        </is>
      </c>
      <c r="Y27" s="36">
        <f>Y26*N27</f>
        <v/>
      </c>
      <c r="Z27" s="39" t="n">
        <v>0.2</v>
      </c>
      <c r="AA27" s="41">
        <f>IFERROR(Y27+W27,"")</f>
        <v/>
      </c>
      <c r="AB27" s="41">
        <f>IFERROR(IF(Z27&lt;1,AA27/(1-Z27),""),"")</f>
        <v/>
      </c>
      <c r="AC27" s="43">
        <f>'01_CONFIG_GLOBAL'!$C$14</f>
        <v/>
      </c>
      <c r="AD27" s="41">
        <f>IFERROR(AB27*AC27,"")</f>
        <v/>
      </c>
      <c r="AE27" s="41">
        <f>IFERROR(IF(AC27&lt;1,AB27/(1-AC27),""),"")</f>
        <v/>
      </c>
      <c r="AF27" s="23" t="n"/>
      <c r="AG27" s="36" t="n"/>
      <c r="AH27" s="23" t="n"/>
      <c r="AI27" s="36" t="n"/>
      <c r="AJ27" s="23" t="n"/>
      <c r="AK27" s="36" t="n"/>
      <c r="AL27" s="41" t="n"/>
      <c r="AM27" s="29">
        <f>IFERROR(IF(AL27="","sem dados",IF(AE27&lt;AL27*0.95,"abaixo",IF(AE27&gt;AL27*1.05,"acima","em linha"))),"")</f>
        <v/>
      </c>
      <c r="AN27" s="23" t="inlineStr">
        <is>
          <t>sim</t>
        </is>
      </c>
      <c r="AO27" s="23" t="n"/>
      <c r="AP27" s="23" t="n"/>
      <c r="AQ27" s="23" t="n"/>
      <c r="AR27" s="23" t="n"/>
      <c r="AS27" s="44">
        <f>IF(AND(N27&lt;&gt;"",N27&gt;1),A27&amp;"-KIT"&amp;N27,A27)</f>
        <v/>
      </c>
      <c r="AT27" s="44">
        <f>IF(AND(N27&lt;&gt;"",N27&gt;1),D27&amp;" — Kit "&amp;N27&amp;" unidades",D27)</f>
        <v/>
      </c>
      <c r="AU27" s="28" t="inlineStr">
        <is>
          <t>agco_ACX2414460_ecommerce.png</t>
        </is>
      </c>
    </row>
    <row r="28" ht="15.75" customHeight="1" s="93">
      <c r="A28" s="23" t="inlineStr">
        <is>
          <t>ACX3371800</t>
        </is>
      </c>
      <c r="B28" s="23" t="inlineStr">
        <is>
          <t>ACX3371800</t>
        </is>
      </c>
      <c r="C28" s="29">
        <f>IFERROR(LOWER(SUBSTITUTE(SUBSTITUTE(SUBSTITUTE(SUBSTITUTE(D28," ","-"),"/","-"),".",""),",","")),"")</f>
        <v/>
      </c>
      <c r="D28" s="23" t="inlineStr">
        <is>
          <t>Bocal Cotovelo de Vácuo - AGCO ACX3371800</t>
        </is>
      </c>
      <c r="E28" s="23" t="inlineStr">
        <is>
          <t>Peças Plásticas Injetadas</t>
        </is>
      </c>
      <c r="F28" s="23" t="inlineStr">
        <is>
          <t>APP</t>
        </is>
      </c>
      <c r="G28" s="23" t="n"/>
      <c r="H28" s="23" t="inlineStr">
        <is>
          <t>active</t>
        </is>
      </c>
      <c r="I28" s="23" t="inlineStr">
        <is>
          <t>AGCO</t>
        </is>
      </c>
      <c r="J28" s="23" t="inlineStr">
        <is>
          <t>PLANTADEIRA</t>
        </is>
      </c>
      <c r="K28" s="23">
        <f>LOWER(CONCATENATE(E28," ",J28," ",D28))</f>
        <v/>
      </c>
      <c r="L28" s="23" t="n"/>
      <c r="M28" s="30" t="n">
        <v>84329000</v>
      </c>
      <c r="N28" s="30" t="n">
        <v>1</v>
      </c>
      <c r="O28" s="30" t="n">
        <v>5</v>
      </c>
      <c r="P28" s="30" t="n">
        <v>0.25</v>
      </c>
      <c r="Q28" s="30" t="n">
        <v>6.7</v>
      </c>
      <c r="R28" s="30" t="n">
        <v>12</v>
      </c>
      <c r="S28" s="32" t="n">
        <v>6.7</v>
      </c>
      <c r="T28" s="35">
        <f>IFERROR(IF(AND(Q28&gt;0,R28&gt;0,S28&gt;0),(Q28*R28*S28)/6000,""),"")</f>
        <v/>
      </c>
      <c r="U28" s="34">
        <f>IFERROR(IF(AND(Q28&gt;0,R28&gt;0,S28&gt;0),(Q28*R28*S28)/6000,""),"")</f>
        <v/>
      </c>
      <c r="V28" s="34">
        <f>IFERROR(IF(AND(P28&gt;0,U28&gt;0),MAX(P28,U28),IF(P28&gt;0,P28,IF(U28&gt;0,U28,""))),"")</f>
        <v/>
      </c>
      <c r="W28" s="40" t="n">
        <v>1.28</v>
      </c>
      <c r="X28" s="38" t="inlineStr">
        <is>
          <t>fornecedor</t>
        </is>
      </c>
      <c r="Y28" s="36" t="n">
        <v>5.77</v>
      </c>
      <c r="Z28" s="39" t="n">
        <v>0.2</v>
      </c>
      <c r="AA28" s="41">
        <f>IFERROR(Y28+W28,"")</f>
        <v/>
      </c>
      <c r="AB28" s="41">
        <f>IFERROR(IF(Z28&lt;1,AA28/(1-Z28),""),"")</f>
        <v/>
      </c>
      <c r="AC28" s="43">
        <f>'01_CONFIG_GLOBAL'!$C$14</f>
        <v/>
      </c>
      <c r="AD28" s="41">
        <f>IFERROR(AB28*AC28,"")</f>
        <v/>
      </c>
      <c r="AE28" s="41">
        <f>IFERROR(IF(AC28&lt;1,AB28/(1-AC28),""),"")</f>
        <v/>
      </c>
      <c r="AF28" s="23" t="n"/>
      <c r="AG28" s="36" t="n"/>
      <c r="AH28" s="23" t="n"/>
      <c r="AI28" s="36" t="n"/>
      <c r="AJ28" s="23" t="n"/>
      <c r="AK28" s="36" t="n"/>
      <c r="AL28" s="41">
        <f>IFERROR(AVERAGE(AG28,AI28,AK28),"")</f>
        <v/>
      </c>
      <c r="AM28" s="29">
        <f>IFERROR(IF(AL28="","sem dados",IF(AE28&lt;AL28*0.95,"abaixo",IF(AE28&gt;AL28*1.05,"acima","em linha"))),"")</f>
        <v/>
      </c>
      <c r="AN28" s="23" t="inlineStr">
        <is>
          <t>sim</t>
        </is>
      </c>
      <c r="AO28" s="23" t="n"/>
      <c r="AP28" s="23" t="n"/>
      <c r="AQ28" s="23" t="n"/>
      <c r="AR28" s="23" t="inlineStr">
        <is>
          <t>Fotos: assets/agco_ACX3371800_ecommerce.png</t>
        </is>
      </c>
      <c r="AS28" s="44">
        <f>IF(AND(N28&lt;&gt;"",N28&gt;1),A28&amp;"-KIT"&amp;N28,A28)</f>
        <v/>
      </c>
      <c r="AT28" s="44">
        <f>IF(AND(N28&lt;&gt;"",N28&gt;1),D28&amp;" — Kit "&amp;N28&amp;" unidades",D28)</f>
        <v/>
      </c>
      <c r="AU28" s="28" t="inlineStr">
        <is>
          <t>agco_ACX3371800_ecommerce.png</t>
        </is>
      </c>
    </row>
    <row r="29" ht="15.75" customHeight="1" s="93">
      <c r="A29" s="23" t="inlineStr">
        <is>
          <t>ACX3371800</t>
        </is>
      </c>
      <c r="B29" s="23" t="inlineStr">
        <is>
          <t>ACX3371800</t>
        </is>
      </c>
      <c r="C29" s="29">
        <f>IFERROR(LOWER(SUBSTITUTE(SUBSTITUTE(SUBSTITUTE(SUBSTITUTE(D29," ","-"),"/","-"),".",""),",","")),"")</f>
        <v/>
      </c>
      <c r="D29" s="23" t="inlineStr">
        <is>
          <t>Bocal Cotovelo de Vácuo - Kit 50 Unidades - AGCO ACX3371800</t>
        </is>
      </c>
      <c r="E29" s="23" t="inlineStr">
        <is>
          <t>Peças Plásticas Injetadas</t>
        </is>
      </c>
      <c r="F29" s="23" t="inlineStr">
        <is>
          <t>APP</t>
        </is>
      </c>
      <c r="G29" s="23" t="n"/>
      <c r="H29" s="23" t="inlineStr">
        <is>
          <t>active</t>
        </is>
      </c>
      <c r="I29" s="23" t="inlineStr">
        <is>
          <t>AGCO</t>
        </is>
      </c>
      <c r="J29" s="23" t="inlineStr">
        <is>
          <t>PLANTADEIRA</t>
        </is>
      </c>
      <c r="K29" s="23">
        <f>LOWER(CONCATENATE(E29," ",J29," ",D29))</f>
        <v/>
      </c>
      <c r="L29" s="23" t="n"/>
      <c r="M29" s="30" t="n">
        <v>84329000</v>
      </c>
      <c r="N29" s="30" t="n">
        <v>50</v>
      </c>
      <c r="O29" s="30" t="n">
        <v>5</v>
      </c>
      <c r="P29" s="30">
        <f>P28*N29</f>
        <v/>
      </c>
      <c r="Q29" s="30" t="n">
        <v>40</v>
      </c>
      <c r="R29" s="30" t="n">
        <v>25</v>
      </c>
      <c r="S29" s="32" t="n">
        <v>40</v>
      </c>
      <c r="T29" s="35">
        <f>IFERROR(IF(AND(Q29&gt;0,R29&gt;0,S29&gt;0),(Q29*R29*S29)/6000,""),"")</f>
        <v/>
      </c>
      <c r="U29" s="34">
        <f>IFERROR(IF(AND(Q29&gt;0,R29&gt;0,S29&gt;0),(Q29*R29*S29)/6000,""),"")</f>
        <v/>
      </c>
      <c r="V29" s="34">
        <f>IFERROR(IF(AND(P29&gt;0,U29&gt;0),MAX(P29,U29),IF(P29&gt;0,P29,IF(U29&gt;0,U29,""))),"")</f>
        <v/>
      </c>
      <c r="W29" s="40" t="n">
        <v>63.83</v>
      </c>
      <c r="X29" s="38" t="inlineStr">
        <is>
          <t>fornecedor</t>
        </is>
      </c>
      <c r="Y29" s="36">
        <f>Y28*N29</f>
        <v/>
      </c>
      <c r="Z29" s="39" t="n">
        <v>0.2</v>
      </c>
      <c r="AA29" s="41">
        <f>IFERROR(Y29+W29,"")</f>
        <v/>
      </c>
      <c r="AB29" s="41">
        <f>IFERROR(IF(Z29&lt;1,AA29/(1-Z29),""),"")</f>
        <v/>
      </c>
      <c r="AC29" s="43">
        <f>'01_CONFIG_GLOBAL'!$C$14</f>
        <v/>
      </c>
      <c r="AD29" s="41">
        <f>IFERROR(AB29*AC29,"")</f>
        <v/>
      </c>
      <c r="AE29" s="41">
        <f>IFERROR(IF(AC29&lt;1,AB29/(1-AC29),""),"")</f>
        <v/>
      </c>
      <c r="AF29" s="23" t="n"/>
      <c r="AG29" s="36" t="n"/>
      <c r="AH29" s="23" t="n"/>
      <c r="AI29" s="36" t="n"/>
      <c r="AJ29" s="23" t="n"/>
      <c r="AK29" s="36" t="n"/>
      <c r="AL29" s="41" t="n"/>
      <c r="AM29" s="29">
        <f>IFERROR(IF(AL29="","sem dados",IF(AE29&lt;AL29*0.95,"abaixo",IF(AE29&gt;AL29*1.05,"acima","em linha"))),"")</f>
        <v/>
      </c>
      <c r="AN29" s="23" t="inlineStr">
        <is>
          <t>sim</t>
        </is>
      </c>
      <c r="AO29" s="23" t="n"/>
      <c r="AP29" s="23" t="n"/>
      <c r="AQ29" s="23" t="n"/>
      <c r="AR29" s="23" t="n"/>
      <c r="AS29" s="44">
        <f>IF(AND(N29&lt;&gt;"",N29&gt;1),A29&amp;"-KIT"&amp;N29,A29)</f>
        <v/>
      </c>
      <c r="AT29" s="44">
        <f>IF(AND(N29&lt;&gt;"",N29&gt;1),D29&amp;" — Kit "&amp;N29&amp;" unidades",D29)</f>
        <v/>
      </c>
      <c r="AU29" s="28" t="inlineStr">
        <is>
          <t>agco_ACX3371800_ecommerce.png</t>
        </is>
      </c>
    </row>
    <row r="30" ht="15.75" customHeight="1" s="93">
      <c r="A30" s="23" t="inlineStr">
        <is>
          <t>7038105M1</t>
        </is>
      </c>
      <c r="B30" s="23" t="inlineStr">
        <is>
          <t>7038105M1</t>
        </is>
      </c>
      <c r="C30" s="29">
        <f>IFERROR(LOWER(SUBSTITUTE(SUBSTITUTE(SUBSTITUTE(SUBSTITUTE(D30," ","-"),"/","-"),".",""),",","")),"")</f>
        <v/>
      </c>
      <c r="D30" s="23" t="inlineStr">
        <is>
          <t>Acoplamento do Condutor - Massey Ferguson 7038105M1</t>
        </is>
      </c>
      <c r="E30" s="23" t="inlineStr">
        <is>
          <t>Peças Plásticas Injetadas</t>
        </is>
      </c>
      <c r="F30" s="23" t="inlineStr">
        <is>
          <t>APP</t>
        </is>
      </c>
      <c r="G30" s="23" t="n"/>
      <c r="H30" s="23" t="inlineStr">
        <is>
          <t>active</t>
        </is>
      </c>
      <c r="I30" s="23" t="inlineStr">
        <is>
          <t>AGCO</t>
        </is>
      </c>
      <c r="J30" s="23" t="inlineStr">
        <is>
          <t>PLANTADEIRA</t>
        </is>
      </c>
      <c r="K30" s="23">
        <f>LOWER(CONCATENATE(E30," ",J30," ",D30))</f>
        <v/>
      </c>
      <c r="L30" s="23" t="n"/>
      <c r="M30" s="30" t="n">
        <v>84329000</v>
      </c>
      <c r="N30" s="30" t="n">
        <v>1</v>
      </c>
      <c r="O30" s="30" t="n">
        <v>5</v>
      </c>
      <c r="P30" s="30" t="n">
        <v>0.1</v>
      </c>
      <c r="Q30" s="30" t="n">
        <v>8.5</v>
      </c>
      <c r="R30" s="30" t="n">
        <v>10</v>
      </c>
      <c r="S30" s="32" t="n">
        <v>4</v>
      </c>
      <c r="T30" s="35">
        <f>IFERROR(IF(AND(Q30&gt;0,R30&gt;0,S30&gt;0),(Q30*R30*S30)/6000,""),"")</f>
        <v/>
      </c>
      <c r="U30" s="34">
        <f>IFERROR(IF(AND(Q30&gt;0,R30&gt;0,S30&gt;0),(Q30*R30*S30)/6000,""),"")</f>
        <v/>
      </c>
      <c r="V30" s="34">
        <f>IFERROR(IF(AND(P30&gt;0,U30&gt;0),MAX(P30,U30),IF(P30&gt;0,P30,IF(U30&gt;0,U30,""))),"")</f>
        <v/>
      </c>
      <c r="W30" s="40" t="n">
        <v>0.53</v>
      </c>
      <c r="X30" s="38" t="inlineStr">
        <is>
          <t>fornecedor</t>
        </is>
      </c>
      <c r="Y30" s="36" t="n">
        <v>3.94</v>
      </c>
      <c r="Z30" s="39" t="n">
        <v>0.2</v>
      </c>
      <c r="AA30" s="41">
        <f>IFERROR(Y30+W30,"")</f>
        <v/>
      </c>
      <c r="AB30" s="41">
        <f>IFERROR(IF(Z30&lt;1,AA30/(1-Z30),""),"")</f>
        <v/>
      </c>
      <c r="AC30" s="43">
        <f>'01_CONFIG_GLOBAL'!$C$14</f>
        <v/>
      </c>
      <c r="AD30" s="41">
        <f>IFERROR(AB30*AC30,"")</f>
        <v/>
      </c>
      <c r="AE30" s="41">
        <f>IFERROR(IF(AC30&lt;1,AB30/(1-AC30),""),"")</f>
        <v/>
      </c>
      <c r="AF30" s="23" t="n"/>
      <c r="AG30" s="36" t="n"/>
      <c r="AH30" s="23" t="n"/>
      <c r="AI30" s="36" t="n"/>
      <c r="AJ30" s="23" t="n"/>
      <c r="AK30" s="36" t="n"/>
      <c r="AL30" s="41">
        <f>IFERROR(AVERAGE(AG30,AI30,AK30),"")</f>
        <v/>
      </c>
      <c r="AM30" s="29">
        <f>IFERROR(IF(AL30="","sem dados",IF(AE30&lt;AL30*0.95,"abaixo",IF(AE30&gt;AL30*1.05,"acima","em linha"))),"")</f>
        <v/>
      </c>
      <c r="AN30" s="23" t="inlineStr">
        <is>
          <t>sim</t>
        </is>
      </c>
      <c r="AO30" s="23" t="n"/>
      <c r="AP30" s="23" t="n"/>
      <c r="AQ30" s="23" t="n"/>
      <c r="AR30" s="23" t="inlineStr">
        <is>
          <t>Fotos: assets/agco_7038105M1_ecommerce.png</t>
        </is>
      </c>
      <c r="AS30" s="44">
        <f>IF(AND(N30&lt;&gt;"",N30&gt;1),A30&amp;"-KIT"&amp;N30,A30)</f>
        <v/>
      </c>
      <c r="AT30" s="44">
        <f>IF(AND(N30&lt;&gt;"",N30&gt;1),D30&amp;" — Kit "&amp;N30&amp;" unidades",D30)</f>
        <v/>
      </c>
      <c r="AU30" s="28" t="inlineStr">
        <is>
          <t>agco_7038105M1_ecommerce.png</t>
        </is>
      </c>
    </row>
    <row r="31" ht="15.75" customHeight="1" s="93">
      <c r="A31" s="23" t="inlineStr">
        <is>
          <t>7038105M1</t>
        </is>
      </c>
      <c r="B31" s="23" t="inlineStr">
        <is>
          <t>7038105M1</t>
        </is>
      </c>
      <c r="C31" s="29">
        <f>IFERROR(LOWER(SUBSTITUTE(SUBSTITUTE(SUBSTITUTE(SUBSTITUTE(D31," ","-"),"/","-"),".",""),",","")),"")</f>
        <v/>
      </c>
      <c r="D31" s="23" t="inlineStr">
        <is>
          <t>Acoplamento do Condutor - Kit 60 Unidades - Massey Ferguson 7038105M1</t>
        </is>
      </c>
      <c r="E31" s="23" t="inlineStr">
        <is>
          <t>Peças Plásticas Injetadas</t>
        </is>
      </c>
      <c r="F31" s="23" t="inlineStr">
        <is>
          <t>APP</t>
        </is>
      </c>
      <c r="G31" s="23" t="n"/>
      <c r="H31" s="23" t="inlineStr">
        <is>
          <t>active</t>
        </is>
      </c>
      <c r="I31" s="23" t="inlineStr">
        <is>
          <t>AGCO</t>
        </is>
      </c>
      <c r="J31" s="23" t="inlineStr">
        <is>
          <t>PLANTADEIRA</t>
        </is>
      </c>
      <c r="K31" s="23">
        <f>LOWER(CONCATENATE(E31," ",J31," ",D31))</f>
        <v/>
      </c>
      <c r="L31" s="23" t="n"/>
      <c r="M31" s="30" t="n">
        <v>84329000</v>
      </c>
      <c r="N31" s="30" t="n">
        <v>60</v>
      </c>
      <c r="O31" s="30" t="n">
        <v>5</v>
      </c>
      <c r="P31" s="30">
        <f>P30*N31</f>
        <v/>
      </c>
      <c r="Q31" s="30" t="n">
        <v>20</v>
      </c>
      <c r="R31" s="30" t="n">
        <v>32</v>
      </c>
      <c r="S31" s="32" t="n">
        <v>45</v>
      </c>
      <c r="T31" s="35">
        <f>IFERROR(IF(AND(Q31&gt;0,R31&gt;0,S31&gt;0),(Q31*R31*S31)/6000,""),"")</f>
        <v/>
      </c>
      <c r="U31" s="34">
        <f>IFERROR(IF(AND(Q31&gt;0,R31&gt;0,S31&gt;0),(Q31*R31*S31)/6000,""),"")</f>
        <v/>
      </c>
      <c r="V31" s="34">
        <f>IFERROR(IF(AND(P31&gt;0,U31&gt;0),MAX(P31,U31),IF(P31&gt;0,P31,IF(U31&gt;0,U31,""))),"")</f>
        <v/>
      </c>
      <c r="W31" s="40" t="n">
        <v>32.09</v>
      </c>
      <c r="X31" s="38" t="inlineStr">
        <is>
          <t>fornecedor</t>
        </is>
      </c>
      <c r="Y31" s="36">
        <f>Y30*N31</f>
        <v/>
      </c>
      <c r="Z31" s="39" t="n">
        <v>0.2</v>
      </c>
      <c r="AA31" s="41">
        <f>IFERROR(Y31+W31,"")</f>
        <v/>
      </c>
      <c r="AB31" s="41">
        <f>IFERROR(IF(Z31&lt;1,AA31/(1-Z31),""),"")</f>
        <v/>
      </c>
      <c r="AC31" s="43">
        <f>'01_CONFIG_GLOBAL'!$C$14</f>
        <v/>
      </c>
      <c r="AD31" s="41">
        <f>IFERROR(AB31*AC31,"")</f>
        <v/>
      </c>
      <c r="AE31" s="41">
        <f>IFERROR(IF(AC31&lt;1,AB31/(1-AC31),""),"")</f>
        <v/>
      </c>
      <c r="AF31" s="23" t="n"/>
      <c r="AG31" s="36" t="n"/>
      <c r="AH31" s="23" t="n"/>
      <c r="AI31" s="36" t="n"/>
      <c r="AJ31" s="23" t="n"/>
      <c r="AK31" s="36" t="n"/>
      <c r="AL31" s="41" t="n"/>
      <c r="AM31" s="29">
        <f>IFERROR(IF(AL31="","sem dados",IF(AE31&lt;AL31*0.95,"abaixo",IF(AE31&gt;AL31*1.05,"acima","em linha"))),"")</f>
        <v/>
      </c>
      <c r="AN31" s="23" t="inlineStr">
        <is>
          <t>sim</t>
        </is>
      </c>
      <c r="AO31" s="23" t="n"/>
      <c r="AP31" s="23" t="n"/>
      <c r="AQ31" s="23" t="n"/>
      <c r="AR31" s="23" t="n"/>
      <c r="AS31" s="44">
        <f>IF(AND(N31&lt;&gt;"",N31&gt;1),A31&amp;"-KIT"&amp;N31,A31)</f>
        <v/>
      </c>
      <c r="AT31" s="44">
        <f>IF(AND(N31&lt;&gt;"",N31&gt;1),D31&amp;" — Kit "&amp;N31&amp;" unidades",D31)</f>
        <v/>
      </c>
      <c r="AU31" s="28" t="inlineStr">
        <is>
          <t>agco_7038105M1_ecommerce.png</t>
        </is>
      </c>
    </row>
    <row r="32" ht="15.75" customHeight="1" s="93">
      <c r="A32" s="23" t="inlineStr">
        <is>
          <t>7038106M1</t>
        </is>
      </c>
      <c r="B32" s="23" t="inlineStr">
        <is>
          <t>7038106M1</t>
        </is>
      </c>
      <c r="C32" s="29">
        <f>IFERROR(LOWER(SUBSTITUTE(SUBSTITUTE(SUBSTITUTE(SUBSTITUTE(D32," ","-"),"/","-"),".",""),",","")),"")</f>
        <v/>
      </c>
      <c r="D32" s="23" t="inlineStr">
        <is>
          <t>Acoplamento da Curva - Massey Ferguson 7038106M1</t>
        </is>
      </c>
      <c r="E32" s="23" t="inlineStr">
        <is>
          <t>Peças Plásticas Injetadas</t>
        </is>
      </c>
      <c r="F32" s="23" t="inlineStr">
        <is>
          <t>APP</t>
        </is>
      </c>
      <c r="G32" s="23" t="n"/>
      <c r="H32" s="23" t="inlineStr">
        <is>
          <t>active</t>
        </is>
      </c>
      <c r="I32" s="23" t="inlineStr">
        <is>
          <t>AGCO</t>
        </is>
      </c>
      <c r="J32" s="23" t="inlineStr">
        <is>
          <t>PLANTADEIRA</t>
        </is>
      </c>
      <c r="K32" s="23">
        <f>LOWER(CONCATENATE(E32," ",J32," ",D32))</f>
        <v/>
      </c>
      <c r="L32" s="23" t="n"/>
      <c r="M32" s="30" t="n">
        <v>84329000</v>
      </c>
      <c r="N32" s="30" t="n">
        <v>1</v>
      </c>
      <c r="O32" s="30" t="n">
        <v>5</v>
      </c>
      <c r="P32" s="30" t="n">
        <v>0.1</v>
      </c>
      <c r="Q32" s="30" t="n">
        <v>8.5</v>
      </c>
      <c r="R32" s="30" t="n">
        <v>10</v>
      </c>
      <c r="S32" s="32" t="n">
        <v>3.8</v>
      </c>
      <c r="T32" s="35">
        <f>IFERROR(IF(AND(Q32&gt;0,R32&gt;0,S32&gt;0),(Q32*R32*S32)/6000,""),"")</f>
        <v/>
      </c>
      <c r="U32" s="34">
        <f>IFERROR(IF(AND(Q32&gt;0,R32&gt;0,S32&gt;0),(Q32*R32*S32)/6000,""),"")</f>
        <v/>
      </c>
      <c r="V32" s="34">
        <f>IFERROR(IF(AND(P32&gt;0,U32&gt;0),MAX(P32,U32),IF(P32&gt;0,P32,IF(U32&gt;0,U32,""))),"")</f>
        <v/>
      </c>
      <c r="W32" s="40" t="n">
        <v>0.53</v>
      </c>
      <c r="X32" s="38" t="inlineStr">
        <is>
          <t>fornecedor</t>
        </is>
      </c>
      <c r="Y32" s="36" t="n">
        <v>3.94</v>
      </c>
      <c r="Z32" s="39" t="n">
        <v>0.2</v>
      </c>
      <c r="AA32" s="41">
        <f>IFERROR(Y32+W32,"")</f>
        <v/>
      </c>
      <c r="AB32" s="41">
        <f>IFERROR(IF(Z32&lt;1,AA32/(1-Z32),""),"")</f>
        <v/>
      </c>
      <c r="AC32" s="43">
        <f>'01_CONFIG_GLOBAL'!$C$14</f>
        <v/>
      </c>
      <c r="AD32" s="41">
        <f>IFERROR(AB32*AC32,"")</f>
        <v/>
      </c>
      <c r="AE32" s="41">
        <f>IFERROR(IF(AC32&lt;1,AB32/(1-AC32),""),"")</f>
        <v/>
      </c>
      <c r="AF32" s="23" t="n"/>
      <c r="AG32" s="36" t="n"/>
      <c r="AH32" s="23" t="n"/>
      <c r="AI32" s="36" t="n"/>
      <c r="AJ32" s="23" t="n"/>
      <c r="AK32" s="36" t="n"/>
      <c r="AL32" s="41">
        <f>IFERROR(AVERAGE(AG32,AI32,AK32),"")</f>
        <v/>
      </c>
      <c r="AM32" s="29">
        <f>IFERROR(IF(AL32="","sem dados",IF(AE32&lt;AL32*0.95,"abaixo",IF(AE32&gt;AL32*1.05,"acima","em linha"))),"")</f>
        <v/>
      </c>
      <c r="AN32" s="23" t="inlineStr">
        <is>
          <t>sim</t>
        </is>
      </c>
      <c r="AO32" s="23" t="n"/>
      <c r="AP32" s="23" t="n"/>
      <c r="AQ32" s="23" t="n"/>
      <c r="AR32" s="23" t="inlineStr">
        <is>
          <t>Fotos: assets/agco_7038106M1_ecommerce.png</t>
        </is>
      </c>
      <c r="AS32" s="44">
        <f>IF(AND(N32&lt;&gt;"",N32&gt;1),A32&amp;"-KIT"&amp;N32,A32)</f>
        <v/>
      </c>
      <c r="AT32" s="44">
        <f>IF(AND(N32&lt;&gt;"",N32&gt;1),D32&amp;" — Kit "&amp;N32&amp;" unidades",D32)</f>
        <v/>
      </c>
      <c r="AU32" s="28" t="inlineStr">
        <is>
          <t>agco_7038106M1_ecommerce.png</t>
        </is>
      </c>
    </row>
    <row r="33" ht="15.75" customHeight="1" s="93">
      <c r="A33" s="23" t="inlineStr">
        <is>
          <t>7038106M1</t>
        </is>
      </c>
      <c r="B33" s="23" t="inlineStr">
        <is>
          <t>7038106M1</t>
        </is>
      </c>
      <c r="C33" s="29">
        <f>IFERROR(LOWER(SUBSTITUTE(SUBSTITUTE(SUBSTITUTE(SUBSTITUTE(D33," ","-"),"/","-"),".",""),",","")),"")</f>
        <v/>
      </c>
      <c r="D33" s="23" t="inlineStr">
        <is>
          <t>Acoplamento da Curva - Kit 60 Unidades - Massey Ferguson 7038106M1</t>
        </is>
      </c>
      <c r="E33" s="23" t="inlineStr">
        <is>
          <t>Peças Plásticas Injetadas</t>
        </is>
      </c>
      <c r="F33" s="23" t="inlineStr">
        <is>
          <t>APP</t>
        </is>
      </c>
      <c r="G33" s="23" t="n"/>
      <c r="H33" s="23" t="inlineStr">
        <is>
          <t>active</t>
        </is>
      </c>
      <c r="I33" s="23" t="inlineStr">
        <is>
          <t>AGCO</t>
        </is>
      </c>
      <c r="J33" s="23" t="inlineStr">
        <is>
          <t>PLANTADEIRA</t>
        </is>
      </c>
      <c r="K33" s="23">
        <f>LOWER(CONCATENATE(E33," ",J33," ",D33))</f>
        <v/>
      </c>
      <c r="L33" s="23" t="n"/>
      <c r="M33" s="30" t="n">
        <v>84329000</v>
      </c>
      <c r="N33" s="30" t="n">
        <v>60</v>
      </c>
      <c r="O33" s="30" t="n">
        <v>5</v>
      </c>
      <c r="P33" s="30">
        <f>P32*N33</f>
        <v/>
      </c>
      <c r="Q33" s="30" t="n">
        <v>20</v>
      </c>
      <c r="R33" s="30" t="n">
        <v>32</v>
      </c>
      <c r="S33" s="32" t="n">
        <v>45</v>
      </c>
      <c r="T33" s="35">
        <f>IFERROR(IF(AND(Q33&gt;0,R33&gt;0,S33&gt;0),(Q33*R33*S33)/6000,""),"")</f>
        <v/>
      </c>
      <c r="U33" s="34">
        <f>IFERROR(IF(AND(Q33&gt;0,R33&gt;0,S33&gt;0),(Q33*R33*S33)/6000,""),"")</f>
        <v/>
      </c>
      <c r="V33" s="34">
        <f>IFERROR(IF(AND(P33&gt;0,U33&gt;0),MAX(P33,U33),IF(P33&gt;0,P33,IF(U33&gt;0,U33,""))),"")</f>
        <v/>
      </c>
      <c r="W33" s="40" t="n">
        <v>32.09</v>
      </c>
      <c r="X33" s="38" t="inlineStr">
        <is>
          <t>fornecedor</t>
        </is>
      </c>
      <c r="Y33" s="36">
        <f>Y32*N33</f>
        <v/>
      </c>
      <c r="Z33" s="39" t="n">
        <v>0.2</v>
      </c>
      <c r="AA33" s="41">
        <f>IFERROR(Y33+W33,"")</f>
        <v/>
      </c>
      <c r="AB33" s="41">
        <f>IFERROR(IF(Z33&lt;1,AA33/(1-Z33),""),"")</f>
        <v/>
      </c>
      <c r="AC33" s="43">
        <f>'01_CONFIG_GLOBAL'!$C$14</f>
        <v/>
      </c>
      <c r="AD33" s="41">
        <f>IFERROR(AB33*AC33,"")</f>
        <v/>
      </c>
      <c r="AE33" s="41">
        <f>IFERROR(IF(AC33&lt;1,AB33/(1-AC33),""),"")</f>
        <v/>
      </c>
      <c r="AF33" s="23" t="n"/>
      <c r="AG33" s="36" t="n"/>
      <c r="AH33" s="23" t="n"/>
      <c r="AI33" s="36" t="n"/>
      <c r="AJ33" s="23" t="n"/>
      <c r="AK33" s="36" t="n"/>
      <c r="AL33" s="41" t="n"/>
      <c r="AM33" s="29">
        <f>IFERROR(IF(AL33="","sem dados",IF(AE33&lt;AL33*0.95,"abaixo",IF(AE33&gt;AL33*1.05,"acima","em linha"))),"")</f>
        <v/>
      </c>
      <c r="AN33" s="23" t="inlineStr">
        <is>
          <t>sim</t>
        </is>
      </c>
      <c r="AO33" s="23" t="n"/>
      <c r="AP33" s="23" t="n"/>
      <c r="AQ33" s="23" t="n"/>
      <c r="AR33" s="23" t="n"/>
      <c r="AS33" s="44">
        <f>IF(AND(N33&lt;&gt;"",N33&gt;1),A33&amp;"-KIT"&amp;N33,A33)</f>
        <v/>
      </c>
      <c r="AT33" s="44">
        <f>IF(AND(N33&lt;&gt;"",N33&gt;1),D33&amp;" — Kit "&amp;N33&amp;" unidades",D33)</f>
        <v/>
      </c>
      <c r="AU33" s="28" t="inlineStr">
        <is>
          <t>agco_7038106M1_ecommerce.png</t>
        </is>
      </c>
    </row>
    <row r="34" ht="15.75" customHeight="1" s="93">
      <c r="A34" s="23" t="inlineStr">
        <is>
          <t>ACX5458940</t>
        </is>
      </c>
      <c r="B34" s="23" t="inlineStr">
        <is>
          <t>ACX5458940</t>
        </is>
      </c>
      <c r="C34" s="29">
        <f>IFERROR(LOWER(SUBSTITUTE(SUBSTITUTE(SUBSTITUTE(SUBSTITUTE(D34," ","-"),"/","-"),".",""),",","")),"")</f>
        <v/>
      </c>
      <c r="D34" s="23" t="inlineStr">
        <is>
          <t>Proteção SRM - AGCO ACX5458940 | Monitor de Linhas</t>
        </is>
      </c>
      <c r="E34" s="23" t="inlineStr">
        <is>
          <t>Peças Plásticas Injetadas</t>
        </is>
      </c>
      <c r="F34" s="23" t="inlineStr">
        <is>
          <t>APP</t>
        </is>
      </c>
      <c r="G34" s="23" t="n"/>
      <c r="H34" s="23" t="inlineStr">
        <is>
          <t>active</t>
        </is>
      </c>
      <c r="I34" s="23" t="inlineStr">
        <is>
          <t>AGCO</t>
        </is>
      </c>
      <c r="J34" s="23" t="inlineStr">
        <is>
          <t>PLANTADEIRA</t>
        </is>
      </c>
      <c r="K34" s="23">
        <f>LOWER(CONCATENATE(E34," ",J34," ",D34))</f>
        <v/>
      </c>
      <c r="L34" s="23" t="n"/>
      <c r="M34" s="30" t="n">
        <v>84329000</v>
      </c>
      <c r="N34" s="30" t="n">
        <v>1</v>
      </c>
      <c r="O34" s="30" t="n">
        <v>5</v>
      </c>
      <c r="P34" s="30" t="n">
        <v>0.16</v>
      </c>
      <c r="Q34" s="30" t="n">
        <v>13</v>
      </c>
      <c r="R34" s="30" t="n">
        <v>14</v>
      </c>
      <c r="S34" s="32" t="n">
        <v>13.2</v>
      </c>
      <c r="T34" s="35">
        <f>IFERROR(IF(AND(Q34&gt;0,R34&gt;0,S34&gt;0),(Q34*R34*S34)/6000,""),"")</f>
        <v/>
      </c>
      <c r="U34" s="34">
        <f>IFERROR(IF(AND(Q34&gt;0,R34&gt;0,S34&gt;0),(Q34*R34*S34)/6000,""),"")</f>
        <v/>
      </c>
      <c r="V34" s="34">
        <f>IFERROR(IF(AND(P34&gt;0,U34&gt;0),MAX(P34,U34),IF(P34&gt;0,P34,IF(U34&gt;0,U34,""))),"")</f>
        <v/>
      </c>
      <c r="W34" s="40" t="n">
        <v>1.81</v>
      </c>
      <c r="X34" s="38" t="inlineStr">
        <is>
          <t>fornecedor</t>
        </is>
      </c>
      <c r="Y34" s="36" t="n">
        <v>8.640000000000001</v>
      </c>
      <c r="Z34" s="39" t="n">
        <v>0.2</v>
      </c>
      <c r="AA34" s="41">
        <f>IFERROR(Y34+W34,"")</f>
        <v/>
      </c>
      <c r="AB34" s="41">
        <f>IFERROR(IF(Z34&lt;1,AA34/(1-Z34),""),"")</f>
        <v/>
      </c>
      <c r="AC34" s="43">
        <f>'01_CONFIG_GLOBAL'!$C$14</f>
        <v/>
      </c>
      <c r="AD34" s="41">
        <f>IFERROR(AB34*AC34,"")</f>
        <v/>
      </c>
      <c r="AE34" s="41">
        <f>IFERROR(IF(AC34&lt;1,AB34/(1-AC34),""),"")</f>
        <v/>
      </c>
      <c r="AF34" s="23" t="n"/>
      <c r="AG34" s="36" t="n"/>
      <c r="AH34" s="23" t="n"/>
      <c r="AI34" s="36" t="n"/>
      <c r="AJ34" s="23" t="n"/>
      <c r="AK34" s="36" t="n"/>
      <c r="AL34" s="41">
        <f>IFERROR(AVERAGE(AG34,AI34,AK34),"")</f>
        <v/>
      </c>
      <c r="AM34" s="29">
        <f>IFERROR(IF(AL34="","sem dados",IF(AE34&lt;AL34*0.95,"abaixo",IF(AE34&gt;AL34*1.05,"acima","em linha"))),"")</f>
        <v/>
      </c>
      <c r="AN34" s="23" t="inlineStr">
        <is>
          <t>sim</t>
        </is>
      </c>
      <c r="AO34" s="23" t="n"/>
      <c r="AP34" s="23" t="n"/>
      <c r="AQ34" s="23" t="n"/>
      <c r="AR34" s="23" t="inlineStr">
        <is>
          <t>Fotos: assets/agco_ACX5458940_ecommerce.png</t>
        </is>
      </c>
      <c r="AS34" s="44">
        <f>IF(AND(N34&lt;&gt;"",N34&gt;1),A34&amp;"-KIT"&amp;N34,A34)</f>
        <v/>
      </c>
      <c r="AT34" s="44">
        <f>IF(AND(N34&lt;&gt;"",N34&gt;1),D34&amp;" — Kit "&amp;N34&amp;" unidades",D34)</f>
        <v/>
      </c>
      <c r="AU34" s="28" t="inlineStr">
        <is>
          <t>agco_ACX5458940_ecommerce.png</t>
        </is>
      </c>
    </row>
    <row r="35" ht="15.75" customHeight="1" s="93">
      <c r="A35" s="23" t="inlineStr">
        <is>
          <t>ACX5458940</t>
        </is>
      </c>
      <c r="B35" s="23" t="inlineStr">
        <is>
          <t>ACX5458940</t>
        </is>
      </c>
      <c r="C35" s="29">
        <f>IFERROR(LOWER(SUBSTITUTE(SUBSTITUTE(SUBSTITUTE(SUBSTITUTE(D35," ","-"),"/","-"),".",""),",","")),"")</f>
        <v/>
      </c>
      <c r="D35" s="23" t="inlineStr">
        <is>
          <t>Proteção SRM - Kit 40 Unidades - AGCO ACX5458940</t>
        </is>
      </c>
      <c r="E35" s="23" t="inlineStr">
        <is>
          <t>Peças Plásticas Injetadas</t>
        </is>
      </c>
      <c r="F35" s="23" t="inlineStr">
        <is>
          <t>APP</t>
        </is>
      </c>
      <c r="G35" s="23" t="n"/>
      <c r="H35" s="23" t="inlineStr">
        <is>
          <t>active</t>
        </is>
      </c>
      <c r="I35" s="23" t="inlineStr">
        <is>
          <t>AGCO</t>
        </is>
      </c>
      <c r="J35" s="23" t="inlineStr">
        <is>
          <t>PLANTADEIRA</t>
        </is>
      </c>
      <c r="K35" s="23">
        <f>LOWER(CONCATENATE(E35," ",J35," ",D35))</f>
        <v/>
      </c>
      <c r="L35" s="23" t="n"/>
      <c r="M35" s="30" t="n">
        <v>84329000</v>
      </c>
      <c r="N35" s="30" t="n">
        <v>40</v>
      </c>
      <c r="O35" s="30" t="n">
        <v>5</v>
      </c>
      <c r="P35" s="30">
        <f>P34*N35</f>
        <v/>
      </c>
      <c r="Q35" s="30" t="n">
        <v>35</v>
      </c>
      <c r="R35" s="30" t="n">
        <v>40</v>
      </c>
      <c r="S35" s="32" t="n">
        <v>60</v>
      </c>
      <c r="T35" s="35">
        <f>IFERROR(IF(AND(Q35&gt;0,R35&gt;0,S35&gt;0),(Q35*R35*S35)/6000,""),"")</f>
        <v/>
      </c>
      <c r="U35" s="34">
        <f>IFERROR(IF(AND(Q35&gt;0,R35&gt;0,S35&gt;0),(Q35*R35*S35)/6000,""),"")</f>
        <v/>
      </c>
      <c r="V35" s="34">
        <f>IFERROR(IF(AND(P35&gt;0,U35&gt;0),MAX(P35,U35),IF(P35&gt;0,P35,IF(U35&gt;0,U35,""))),"")</f>
        <v/>
      </c>
      <c r="W35" s="40" t="n">
        <v>72.41</v>
      </c>
      <c r="X35" s="38" t="inlineStr">
        <is>
          <t>fornecedor</t>
        </is>
      </c>
      <c r="Y35" s="36">
        <f>Y34*N35</f>
        <v/>
      </c>
      <c r="Z35" s="39" t="n">
        <v>0.2</v>
      </c>
      <c r="AA35" s="41">
        <f>IFERROR(Y35+W35,"")</f>
        <v/>
      </c>
      <c r="AB35" s="41">
        <f>IFERROR(IF(Z35&lt;1,AA35/(1-Z35),""),"")</f>
        <v/>
      </c>
      <c r="AC35" s="43">
        <f>'01_CONFIG_GLOBAL'!$C$14</f>
        <v/>
      </c>
      <c r="AD35" s="41">
        <f>IFERROR(AB35*AC35,"")</f>
        <v/>
      </c>
      <c r="AE35" s="41">
        <f>IFERROR(IF(AC35&lt;1,AB35/(1-AC35),""),"")</f>
        <v/>
      </c>
      <c r="AF35" s="23" t="n"/>
      <c r="AG35" s="36" t="n"/>
      <c r="AH35" s="23" t="n"/>
      <c r="AI35" s="36" t="n"/>
      <c r="AJ35" s="23" t="n"/>
      <c r="AK35" s="36" t="n"/>
      <c r="AL35" s="41" t="n"/>
      <c r="AM35" s="29">
        <f>IFERROR(IF(AL35="","sem dados",IF(AE35&lt;AL35*0.95,"abaixo",IF(AE35&gt;AL35*1.05,"acima","em linha"))),"")</f>
        <v/>
      </c>
      <c r="AN35" s="23" t="inlineStr">
        <is>
          <t>sim</t>
        </is>
      </c>
      <c r="AO35" s="23" t="n"/>
      <c r="AP35" s="23" t="n"/>
      <c r="AQ35" s="23" t="n"/>
      <c r="AR35" s="23" t="n"/>
      <c r="AS35" s="44">
        <f>IF(AND(N35&lt;&gt;"",N35&gt;1),A35&amp;"-KIT"&amp;N35,A35)</f>
        <v/>
      </c>
      <c r="AT35" s="44">
        <f>IF(AND(N35&lt;&gt;"",N35&gt;1),D35&amp;" — Kit "&amp;N35&amp;" unidades",D35)</f>
        <v/>
      </c>
      <c r="AU35" s="28" t="inlineStr">
        <is>
          <t>agco_ACX5458940_ecommerce.png</t>
        </is>
      </c>
    </row>
    <row r="36" ht="15.75" customHeight="1" s="93">
      <c r="A36" s="23" t="inlineStr">
        <is>
          <t>ACX3601860</t>
        </is>
      </c>
      <c r="B36" s="23" t="inlineStr">
        <is>
          <t>ACX3601860</t>
        </is>
      </c>
      <c r="C36" s="29">
        <f>IFERROR(LOWER(SUBSTITUTE(SUBSTITUTE(SUBSTITUTE(SUBSTITUTE(D36," ","-"),"/","-"),".",""),",","")),"")</f>
        <v/>
      </c>
      <c r="D36" s="23" t="inlineStr">
        <is>
          <t>Copo Venturi - AGCO ACX3601860 | Dosador Pneumático</t>
        </is>
      </c>
      <c r="E36" s="23" t="inlineStr">
        <is>
          <t>Peças Plásticas Injetadas</t>
        </is>
      </c>
      <c r="F36" s="23" t="inlineStr">
        <is>
          <t>APP</t>
        </is>
      </c>
      <c r="G36" s="23" t="n"/>
      <c r="H36" s="23" t="inlineStr">
        <is>
          <t>active</t>
        </is>
      </c>
      <c r="I36" s="23" t="inlineStr">
        <is>
          <t>AGCO</t>
        </is>
      </c>
      <c r="J36" s="23" t="inlineStr">
        <is>
          <t>PLANTADEIRA</t>
        </is>
      </c>
      <c r="K36" s="23">
        <f>LOWER(CONCATENATE(E36," ",J36," ",D36))</f>
        <v/>
      </c>
      <c r="L36" s="23" t="n"/>
      <c r="M36" s="30" t="n">
        <v>84329000</v>
      </c>
      <c r="N36" s="30" t="n">
        <v>1</v>
      </c>
      <c r="O36" s="30" t="n">
        <v>5</v>
      </c>
      <c r="P36" s="30" t="n">
        <v>0.12</v>
      </c>
      <c r="Q36" s="30" t="n">
        <v>8.800000000000001</v>
      </c>
      <c r="R36" s="30" t="n">
        <v>13</v>
      </c>
      <c r="S36" s="32" t="n">
        <v>3</v>
      </c>
      <c r="T36" s="35">
        <f>IFERROR(IF(AND(Q36&gt;0,R36&gt;0,S36&gt;0),(Q36*R36*S36)/6000,""),"")</f>
        <v/>
      </c>
      <c r="U36" s="34">
        <f>IFERROR(IF(AND(Q36&gt;0,R36&gt;0,S36&gt;0),(Q36*R36*S36)/6000,""),"")</f>
        <v/>
      </c>
      <c r="V36" s="34">
        <f>IFERROR(IF(AND(P36&gt;0,U36&gt;0),MAX(P36,U36),IF(P36&gt;0,P36,IF(U36&gt;0,U36,""))),"")</f>
        <v/>
      </c>
      <c r="W36" s="40" t="n">
        <v>0.68</v>
      </c>
      <c r="X36" s="38" t="inlineStr">
        <is>
          <t>fornecedor</t>
        </is>
      </c>
      <c r="Y36" s="36" t="n">
        <v>9.57</v>
      </c>
      <c r="Z36" s="39" t="n">
        <v>0.2</v>
      </c>
      <c r="AA36" s="41">
        <f>IFERROR(Y36+W36,"")</f>
        <v/>
      </c>
      <c r="AB36" s="41">
        <f>IFERROR(IF(Z36&lt;1,AA36/(1-Z36),""),"")</f>
        <v/>
      </c>
      <c r="AC36" s="43">
        <f>'01_CONFIG_GLOBAL'!$C$14</f>
        <v/>
      </c>
      <c r="AD36" s="41">
        <f>IFERROR(AB36*AC36,"")</f>
        <v/>
      </c>
      <c r="AE36" s="41">
        <f>IFERROR(IF(AC36&lt;1,AB36/(1-AC36),""),"")</f>
        <v/>
      </c>
      <c r="AF36" s="23" t="n"/>
      <c r="AG36" s="36" t="n"/>
      <c r="AH36" s="23" t="n"/>
      <c r="AI36" s="36" t="n"/>
      <c r="AJ36" s="23" t="n"/>
      <c r="AK36" s="36" t="n"/>
      <c r="AL36" s="41">
        <f>IFERROR(AVERAGE(AG36,AI36,AK36),"")</f>
        <v/>
      </c>
      <c r="AM36" s="29">
        <f>IFERROR(IF(AL36="","sem dados",IF(AE36&lt;AL36*0.95,"abaixo",IF(AE36&gt;AL36*1.05,"acima","em linha"))),"")</f>
        <v/>
      </c>
      <c r="AN36" s="23" t="inlineStr">
        <is>
          <t>sim</t>
        </is>
      </c>
      <c r="AO36" s="23" t="n"/>
      <c r="AP36" s="23" t="n"/>
      <c r="AQ36" s="23" t="n"/>
      <c r="AR36" s="23" t="inlineStr">
        <is>
          <t>Fotos: assets/AGCO_ACX3601860_ecommerce_1.png; assets/AGCO_ACX3601860_ecommerce_2.png</t>
        </is>
      </c>
      <c r="AS36" s="44">
        <f>IF(AND(N36&lt;&gt;"",N36&gt;1),A36&amp;"-KIT"&amp;N36,A36)</f>
        <v/>
      </c>
      <c r="AT36" s="44">
        <f>IF(AND(N36&lt;&gt;"",N36&gt;1),D36&amp;" — Kit "&amp;N36&amp;" unidades",D36)</f>
        <v/>
      </c>
      <c r="AU36" s="28" t="inlineStr">
        <is>
          <t>AGCO_ACX3601860_ecommerce_1.png | AGCO_ACX3601860_ecommerce_2.png</t>
        </is>
      </c>
    </row>
    <row r="37" ht="15.75" customHeight="1" s="93">
      <c r="A37" s="23" t="inlineStr">
        <is>
          <t>ACX3601860</t>
        </is>
      </c>
      <c r="B37" s="23" t="inlineStr">
        <is>
          <t>ACX3601860</t>
        </is>
      </c>
      <c r="C37" s="29">
        <f>IFERROR(LOWER(SUBSTITUTE(SUBSTITUTE(SUBSTITUTE(SUBSTITUTE(D37," ","-"),"/","-"),".",""),",","")),"")</f>
        <v/>
      </c>
      <c r="D37" s="23" t="inlineStr">
        <is>
          <t>Copo Venturi - Kit 60 Unidades - AGCO ACX3601860</t>
        </is>
      </c>
      <c r="E37" s="23" t="inlineStr">
        <is>
          <t>Peças Plásticas Injetadas</t>
        </is>
      </c>
      <c r="F37" s="23" t="inlineStr">
        <is>
          <t>APP</t>
        </is>
      </c>
      <c r="G37" s="23" t="n"/>
      <c r="H37" s="23" t="inlineStr">
        <is>
          <t>active</t>
        </is>
      </c>
      <c r="I37" s="23" t="inlineStr">
        <is>
          <t>AGCO</t>
        </is>
      </c>
      <c r="J37" s="23" t="inlineStr">
        <is>
          <t>PLANTADEIRA</t>
        </is>
      </c>
      <c r="K37" s="23">
        <f>LOWER(CONCATENATE(E37," ",J37," ",D37))</f>
        <v/>
      </c>
      <c r="L37" s="23" t="n"/>
      <c r="M37" s="30" t="n">
        <v>84329000</v>
      </c>
      <c r="N37" s="30" t="n">
        <v>60</v>
      </c>
      <c r="O37" s="30" t="n">
        <v>5</v>
      </c>
      <c r="P37" s="30">
        <f>P36*N37</f>
        <v/>
      </c>
      <c r="Q37" s="30" t="n">
        <v>30</v>
      </c>
      <c r="R37" s="30" t="n">
        <v>30</v>
      </c>
      <c r="S37" s="32" t="n">
        <v>45</v>
      </c>
      <c r="T37" s="35">
        <f>IFERROR(IF(AND(Q37&gt;0,R37&gt;0,S37&gt;0),(Q37*R37*S37)/6000,""),"")</f>
        <v/>
      </c>
      <c r="U37" s="34">
        <f>IFERROR(IF(AND(Q37&gt;0,R37&gt;0,S37&gt;0),(Q37*R37*S37)/6000,""),"")</f>
        <v/>
      </c>
      <c r="V37" s="34">
        <f>IFERROR(IF(AND(P37&gt;0,U37&gt;0),MAX(P37,U37),IF(P37&gt;0,P37,IF(U37&gt;0,U37,""))),"")</f>
        <v/>
      </c>
      <c r="W37" s="40" t="n">
        <v>40.99</v>
      </c>
      <c r="X37" s="38" t="inlineStr">
        <is>
          <t>fornecedor</t>
        </is>
      </c>
      <c r="Y37" s="36">
        <f>Y36*N37</f>
        <v/>
      </c>
      <c r="Z37" s="39" t="n">
        <v>0.2</v>
      </c>
      <c r="AA37" s="41">
        <f>IFERROR(Y37+W37,"")</f>
        <v/>
      </c>
      <c r="AB37" s="41">
        <f>IFERROR(IF(Z37&lt;1,AA37/(1-Z37),""),"")</f>
        <v/>
      </c>
      <c r="AC37" s="43">
        <f>'01_CONFIG_GLOBAL'!$C$14</f>
        <v/>
      </c>
      <c r="AD37" s="41">
        <f>IFERROR(AB37*AC37,"")</f>
        <v/>
      </c>
      <c r="AE37" s="41">
        <f>IFERROR(IF(AC37&lt;1,AB37/(1-AC37),""),"")</f>
        <v/>
      </c>
      <c r="AF37" s="23" t="n"/>
      <c r="AG37" s="36" t="n"/>
      <c r="AH37" s="23" t="n"/>
      <c r="AI37" s="36" t="n"/>
      <c r="AJ37" s="23" t="n"/>
      <c r="AK37" s="36" t="n"/>
      <c r="AL37" s="41" t="n"/>
      <c r="AM37" s="29">
        <f>IFERROR(IF(AL37="","sem dados",IF(AE37&lt;AL37*0.95,"abaixo",IF(AE37&gt;AL37*1.05,"acima","em linha"))),"")</f>
        <v/>
      </c>
      <c r="AN37" s="23" t="inlineStr">
        <is>
          <t>sim</t>
        </is>
      </c>
      <c r="AO37" s="23" t="n"/>
      <c r="AP37" s="23" t="n"/>
      <c r="AQ37" s="23" t="n"/>
      <c r="AR37" s="23" t="n"/>
      <c r="AS37" s="44">
        <f>IF(AND(N37&lt;&gt;"",N37&gt;1),A37&amp;"-KIT"&amp;N37,A37)</f>
        <v/>
      </c>
      <c r="AT37" s="44">
        <f>IF(AND(N37&lt;&gt;"",N37&gt;1),D37&amp;" — Kit "&amp;N37&amp;" unidades",D37)</f>
        <v/>
      </c>
      <c r="AU37" s="28" t="inlineStr">
        <is>
          <t>AGCO_ACX3601860_ecommerce_1.png | AGCO_ACX3601860_ecommerce_2.png</t>
        </is>
      </c>
    </row>
    <row r="38" ht="15.75" customHeight="1" s="93">
      <c r="A38" s="23" t="inlineStr">
        <is>
          <t>4383933M4</t>
        </is>
      </c>
      <c r="B38" s="23" t="inlineStr">
        <is>
          <t>4383933M4</t>
        </is>
      </c>
      <c r="C38" s="29">
        <f>IFERROR(LOWER(SUBSTITUTE(SUBSTITUTE(SUBSTITUTE(SUBSTITUTE(D38," ","-"),"/","-"),".",""),",","")),"")</f>
        <v/>
      </c>
      <c r="D38" s="23" t="inlineStr">
        <is>
          <t>Dobradiça Direita Superior - Massey Ferguson 4383933M4</t>
        </is>
      </c>
      <c r="E38" s="23" t="inlineStr">
        <is>
          <t>Peças Plásticas Injetadas</t>
        </is>
      </c>
      <c r="F38" s="23" t="inlineStr">
        <is>
          <t>APP</t>
        </is>
      </c>
      <c r="G38" s="23" t="n"/>
      <c r="H38" s="23" t="inlineStr">
        <is>
          <t>active</t>
        </is>
      </c>
      <c r="I38" s="23" t="inlineStr">
        <is>
          <t>AGCO</t>
        </is>
      </c>
      <c r="J38" s="23" t="inlineStr">
        <is>
          <t>TRATOR</t>
        </is>
      </c>
      <c r="K38" s="23">
        <f>LOWER(CONCATENATE(E38," ",J38," ",D38))</f>
        <v/>
      </c>
      <c r="L38" s="23" t="n"/>
      <c r="M38" s="30" t="n">
        <v>84329000</v>
      </c>
      <c r="N38" s="30" t="n">
        <v>1</v>
      </c>
      <c r="O38" s="30" t="n">
        <v>5</v>
      </c>
      <c r="P38" s="30" t="n">
        <v>0.19</v>
      </c>
      <c r="Q38" s="30" t="n">
        <v>3</v>
      </c>
      <c r="R38" s="30" t="n">
        <v>12.5</v>
      </c>
      <c r="S38" s="32" t="n">
        <v>8</v>
      </c>
      <c r="T38" s="35">
        <f>IFERROR(IF(AND(Q38&gt;0,R38&gt;0,S38&gt;0),(Q38*R38*S38)/6000,""),"")</f>
        <v/>
      </c>
      <c r="U38" s="34">
        <f>IFERROR(IF(AND(Q38&gt;0,R38&gt;0,S38&gt;0),(Q38*R38*S38)/6000,""),"")</f>
        <v/>
      </c>
      <c r="V38" s="34">
        <f>IFERROR(IF(AND(P38&gt;0,U38&gt;0),MAX(P38,U38),IF(P38&gt;0,P38,IF(U38&gt;0,U38,""))),"")</f>
        <v/>
      </c>
      <c r="W38" s="40" t="n">
        <v>2.08</v>
      </c>
      <c r="X38" s="38" t="inlineStr">
        <is>
          <t>fornecedor</t>
        </is>
      </c>
      <c r="Y38" s="36" t="n">
        <v>20.01</v>
      </c>
      <c r="Z38" s="39" t="n">
        <v>0.2</v>
      </c>
      <c r="AA38" s="41">
        <f>IFERROR(Y38+W38,"")</f>
        <v/>
      </c>
      <c r="AB38" s="41">
        <f>IFERROR(IF(Z38&lt;1,AA38/(1-Z38),""),"")</f>
        <v/>
      </c>
      <c r="AC38" s="43">
        <f>'01_CONFIG_GLOBAL'!$C$14</f>
        <v/>
      </c>
      <c r="AD38" s="41">
        <f>IFERROR(AB38*AC38,"")</f>
        <v/>
      </c>
      <c r="AE38" s="41">
        <f>IFERROR(IF(AC38&lt;1,AB38/(1-AC38),""),"")</f>
        <v/>
      </c>
      <c r="AF38" s="23" t="n"/>
      <c r="AG38" s="36" t="n"/>
      <c r="AH38" s="23" t="n"/>
      <c r="AI38" s="36" t="n"/>
      <c r="AJ38" s="23" t="n"/>
      <c r="AK38" s="36" t="n"/>
      <c r="AL38" s="41">
        <f>IFERROR(AVERAGE(AG38,AI38,AK38),"")</f>
        <v/>
      </c>
      <c r="AM38" s="29">
        <f>IFERROR(IF(AL38="","sem dados",IF(AE38&lt;AL38*0.95,"abaixo",IF(AE38&gt;AL38*1.05,"acima","em linha"))),"")</f>
        <v/>
      </c>
      <c r="AN38" s="23" t="inlineStr">
        <is>
          <t>sim</t>
        </is>
      </c>
      <c r="AO38" s="23" t="n"/>
      <c r="AP38" s="23" t="n"/>
      <c r="AQ38" s="23" t="n"/>
      <c r="AR38" s="23" t="inlineStr">
        <is>
          <t>Fotos: assets/AGCO_4383933M4_ecommerce_1.png; assets/AGCO_4383933M4_ecommerce_2.png</t>
        </is>
      </c>
      <c r="AS38" s="44">
        <f>IF(AND(N38&lt;&gt;"",N38&gt;1),A38&amp;"-KIT"&amp;N38,A38)</f>
        <v/>
      </c>
      <c r="AT38" s="44">
        <f>IF(AND(N38&lt;&gt;"",N38&gt;1),D38&amp;" — Kit "&amp;N38&amp;" unidades",D38)</f>
        <v/>
      </c>
      <c r="AU38" s="28" t="inlineStr">
        <is>
          <t>AGCO_4383933M4_ecommerce_1.png | AGCO_4383933M4_ecommerce_2.png</t>
        </is>
      </c>
    </row>
    <row r="39" ht="15.75" customHeight="1" s="93">
      <c r="A39" s="23" t="inlineStr">
        <is>
          <t>4383933M4</t>
        </is>
      </c>
      <c r="B39" s="23" t="inlineStr">
        <is>
          <t>4383933M4</t>
        </is>
      </c>
      <c r="C39" s="29">
        <f>IFERROR(LOWER(SUBSTITUTE(SUBSTITUTE(SUBSTITUTE(SUBSTITUTE(D39," ","-"),"/","-"),".",""),",","")),"")</f>
        <v/>
      </c>
      <c r="D39" s="23" t="inlineStr">
        <is>
          <t>Dobradiça Direita Superior - Kit 10 Unidades - Massey Ferguson 4383933M4</t>
        </is>
      </c>
      <c r="E39" s="23" t="inlineStr">
        <is>
          <t>Peças Plásticas Injetadas</t>
        </is>
      </c>
      <c r="F39" s="23" t="inlineStr">
        <is>
          <t>APP</t>
        </is>
      </c>
      <c r="G39" s="23" t="n"/>
      <c r="H39" s="23" t="inlineStr">
        <is>
          <t>active</t>
        </is>
      </c>
      <c r="I39" s="23" t="inlineStr">
        <is>
          <t>AGCO</t>
        </is>
      </c>
      <c r="J39" s="23" t="inlineStr">
        <is>
          <t>TRATOR</t>
        </is>
      </c>
      <c r="K39" s="23">
        <f>LOWER(CONCATENATE(E39," ",J39," ",D39))</f>
        <v/>
      </c>
      <c r="L39" s="23" t="n"/>
      <c r="M39" s="30" t="n">
        <v>84329000</v>
      </c>
      <c r="N39" s="30" t="n">
        <v>10</v>
      </c>
      <c r="O39" s="30" t="n">
        <v>5</v>
      </c>
      <c r="P39" s="30">
        <f>P38*N39</f>
        <v/>
      </c>
      <c r="Q39" s="30" t="n">
        <v>35</v>
      </c>
      <c r="R39" s="30" t="n">
        <v>15</v>
      </c>
      <c r="S39" s="32" t="n">
        <v>10</v>
      </c>
      <c r="T39" s="35">
        <f>IFERROR(IF(AND(Q39&gt;0,R39&gt;0,S39&gt;0),(Q39*R39*S39)/6000,""),"")</f>
        <v/>
      </c>
      <c r="U39" s="34">
        <f>IFERROR(IF(AND(Q39&gt;0,R39&gt;0,S39&gt;0),(Q39*R39*S39)/6000,""),"")</f>
        <v/>
      </c>
      <c r="V39" s="34">
        <f>IFERROR(IF(AND(P39&gt;0,U39&gt;0),MAX(P39,U39),IF(P39&gt;0,P39,IF(U39&gt;0,U39,""))),"")</f>
        <v/>
      </c>
      <c r="W39" s="40" t="n">
        <v>20.77</v>
      </c>
      <c r="X39" s="38" t="inlineStr">
        <is>
          <t>fornecedor</t>
        </is>
      </c>
      <c r="Y39" s="36">
        <f>Y38*N39</f>
        <v/>
      </c>
      <c r="Z39" s="39" t="n">
        <v>0.2</v>
      </c>
      <c r="AA39" s="41">
        <f>IFERROR(Y39+W39,"")</f>
        <v/>
      </c>
      <c r="AB39" s="41">
        <f>IFERROR(IF(Z39&lt;1,AA39/(1-Z39),""),"")</f>
        <v/>
      </c>
      <c r="AC39" s="43">
        <f>'01_CONFIG_GLOBAL'!$C$14</f>
        <v/>
      </c>
      <c r="AD39" s="41">
        <f>IFERROR(AB39*AC39,"")</f>
        <v/>
      </c>
      <c r="AE39" s="41">
        <f>IFERROR(IF(AC39&lt;1,AB39/(1-AC39),""),"")</f>
        <v/>
      </c>
      <c r="AF39" s="23" t="n"/>
      <c r="AG39" s="36" t="n"/>
      <c r="AH39" s="23" t="n"/>
      <c r="AI39" s="36" t="n"/>
      <c r="AJ39" s="23" t="n"/>
      <c r="AK39" s="36" t="n"/>
      <c r="AL39" s="41" t="n"/>
      <c r="AM39" s="29">
        <f>IFERROR(IF(AL39="","sem dados",IF(AE39&lt;AL39*0.95,"abaixo",IF(AE39&gt;AL39*1.05,"acima","em linha"))),"")</f>
        <v/>
      </c>
      <c r="AN39" s="23" t="inlineStr">
        <is>
          <t>sim</t>
        </is>
      </c>
      <c r="AO39" s="23" t="n"/>
      <c r="AP39" s="23" t="n"/>
      <c r="AQ39" s="23" t="n"/>
      <c r="AR39" s="23" t="n"/>
      <c r="AS39" s="44">
        <f>IF(AND(N39&lt;&gt;"",N39&gt;1),A39&amp;"-KIT"&amp;N39,A39)</f>
        <v/>
      </c>
      <c r="AT39" s="44">
        <f>IF(AND(N39&lt;&gt;"",N39&gt;1),D39&amp;" — Kit "&amp;N39&amp;" unidades",D39)</f>
        <v/>
      </c>
      <c r="AU39" s="28" t="inlineStr">
        <is>
          <t>AGCO_4383933M4_ecommerce_1.png | AGCO_4383933M4_ecommerce_2.png</t>
        </is>
      </c>
    </row>
    <row r="40" ht="15.75" customHeight="1" s="93">
      <c r="A40" s="23" t="inlineStr">
        <is>
          <t>4383934M4</t>
        </is>
      </c>
      <c r="B40" s="23" t="inlineStr">
        <is>
          <t>4383934M4</t>
        </is>
      </c>
      <c r="C40" s="29">
        <f>IFERROR(LOWER(SUBSTITUTE(SUBSTITUTE(SUBSTITUTE(SUBSTITUTE(D40," ","-"),"/","-"),".",""),",","")),"")</f>
        <v/>
      </c>
      <c r="D40" s="23" t="inlineStr">
        <is>
          <t>Dobradiça Direita Inferior - Massey Ferguson 4383934M4</t>
        </is>
      </c>
      <c r="E40" s="23" t="inlineStr">
        <is>
          <t>Peças Plásticas Injetadas</t>
        </is>
      </c>
      <c r="F40" s="23" t="inlineStr">
        <is>
          <t>APP</t>
        </is>
      </c>
      <c r="G40" s="23" t="n"/>
      <c r="H40" s="23" t="inlineStr">
        <is>
          <t>active</t>
        </is>
      </c>
      <c r="I40" s="23" t="inlineStr">
        <is>
          <t>AGCO</t>
        </is>
      </c>
      <c r="J40" s="23" t="inlineStr">
        <is>
          <t>TRATOR</t>
        </is>
      </c>
      <c r="K40" s="23">
        <f>LOWER(CONCATENATE(E40," ",J40," ",D40))</f>
        <v/>
      </c>
      <c r="L40" s="23" t="n"/>
      <c r="M40" s="30" t="n">
        <v>84329000</v>
      </c>
      <c r="N40" s="30" t="n">
        <v>1</v>
      </c>
      <c r="O40" s="30" t="n">
        <v>5</v>
      </c>
      <c r="P40" s="30" t="n">
        <v>0.19</v>
      </c>
      <c r="Q40" s="30" t="n">
        <v>3</v>
      </c>
      <c r="R40" s="30" t="n">
        <v>12.5</v>
      </c>
      <c r="S40" s="32" t="n">
        <v>8</v>
      </c>
      <c r="T40" s="35">
        <f>IFERROR(IF(AND(Q40&gt;0,R40&gt;0,S40&gt;0),(Q40*R40*S40)/6000,""),"")</f>
        <v/>
      </c>
      <c r="U40" s="34">
        <f>IFERROR(IF(AND(Q40&gt;0,R40&gt;0,S40&gt;0),(Q40*R40*S40)/6000,""),"")</f>
        <v/>
      </c>
      <c r="V40" s="34">
        <f>IFERROR(IF(AND(P40&gt;0,U40&gt;0),MAX(P40,U40),IF(P40&gt;0,P40,IF(U40&gt;0,U40,""))),"")</f>
        <v/>
      </c>
      <c r="W40" s="40" t="n">
        <v>2.08</v>
      </c>
      <c r="X40" s="38" t="inlineStr">
        <is>
          <t>fornecedor</t>
        </is>
      </c>
      <c r="Y40" s="36" t="n">
        <v>20.01</v>
      </c>
      <c r="Z40" s="39" t="n">
        <v>0.2</v>
      </c>
      <c r="AA40" s="41">
        <f>IFERROR(Y40+W40,"")</f>
        <v/>
      </c>
      <c r="AB40" s="41">
        <f>IFERROR(IF(Z40&lt;1,AA40/(1-Z40),""),"")</f>
        <v/>
      </c>
      <c r="AC40" s="43">
        <f>'01_CONFIG_GLOBAL'!$C$14</f>
        <v/>
      </c>
      <c r="AD40" s="41">
        <f>IFERROR(AB40*AC40,"")</f>
        <v/>
      </c>
      <c r="AE40" s="41">
        <f>IFERROR(IF(AC40&lt;1,AB40/(1-AC40),""),"")</f>
        <v/>
      </c>
      <c r="AF40" s="23" t="n"/>
      <c r="AG40" s="36" t="n"/>
      <c r="AH40" s="23" t="n"/>
      <c r="AI40" s="36" t="n"/>
      <c r="AJ40" s="23" t="n"/>
      <c r="AK40" s="36" t="n"/>
      <c r="AL40" s="41">
        <f>IFERROR(AVERAGE(AG40,AI40,AK40),"")</f>
        <v/>
      </c>
      <c r="AM40" s="29">
        <f>IFERROR(IF(AL40="","sem dados",IF(AE40&lt;AL40*0.95,"abaixo",IF(AE40&gt;AL40*1.05,"acima","em linha"))),"")</f>
        <v/>
      </c>
      <c r="AN40" s="23" t="inlineStr">
        <is>
          <t>sim</t>
        </is>
      </c>
      <c r="AO40" s="23" t="n"/>
      <c r="AP40" s="23" t="n"/>
      <c r="AQ40" s="23" t="n"/>
      <c r="AR40" s="23" t="inlineStr">
        <is>
          <t>Fotos: assets/AGCO_4383934M4_ecommerce_1.png; assets/AGCO_4383934M4_ecommerce_2.png</t>
        </is>
      </c>
      <c r="AS40" s="44">
        <f>IF(AND(N40&lt;&gt;"",N40&gt;1),A40&amp;"-KIT"&amp;N40,A40)</f>
        <v/>
      </c>
      <c r="AT40" s="44">
        <f>IF(AND(N40&lt;&gt;"",N40&gt;1),D40&amp;" — Kit "&amp;N40&amp;" unidades",D40)</f>
        <v/>
      </c>
      <c r="AU40" s="28" t="inlineStr">
        <is>
          <t>AGCO_4383934M4_ecommerce_1.png | AGCO_4383934M4_ecommerce_2.png</t>
        </is>
      </c>
    </row>
    <row r="41" ht="15.75" customHeight="1" s="93">
      <c r="A41" s="23" t="inlineStr">
        <is>
          <t>4383934M4</t>
        </is>
      </c>
      <c r="B41" s="23" t="inlineStr">
        <is>
          <t>4383934M4</t>
        </is>
      </c>
      <c r="C41" s="29">
        <f>IFERROR(LOWER(SUBSTITUTE(SUBSTITUTE(SUBSTITUTE(SUBSTITUTE(D41," ","-"),"/","-"),".",""),",","")),"")</f>
        <v/>
      </c>
      <c r="D41" s="23" t="inlineStr">
        <is>
          <t>Dobradiça Direita Inferior - Kit 10 Unidades - Massey Ferguson 4383934M4</t>
        </is>
      </c>
      <c r="E41" s="23" t="inlineStr">
        <is>
          <t>Peças Plásticas Injetadas</t>
        </is>
      </c>
      <c r="F41" s="23" t="inlineStr">
        <is>
          <t>APP</t>
        </is>
      </c>
      <c r="G41" s="23" t="n"/>
      <c r="H41" s="23" t="inlineStr">
        <is>
          <t>active</t>
        </is>
      </c>
      <c r="I41" s="23" t="inlineStr">
        <is>
          <t>AGCO</t>
        </is>
      </c>
      <c r="J41" s="23" t="inlineStr">
        <is>
          <t>TRATOR</t>
        </is>
      </c>
      <c r="K41" s="23">
        <f>LOWER(CONCATENATE(E41," ",J41," ",D41))</f>
        <v/>
      </c>
      <c r="L41" s="23" t="n"/>
      <c r="M41" s="30" t="n">
        <v>84329000</v>
      </c>
      <c r="N41" s="30" t="n">
        <v>10</v>
      </c>
      <c r="O41" s="30" t="n">
        <v>5</v>
      </c>
      <c r="P41" s="30">
        <f>P40*N41</f>
        <v/>
      </c>
      <c r="Q41" s="30" t="n">
        <v>35</v>
      </c>
      <c r="R41" s="30" t="n">
        <v>15</v>
      </c>
      <c r="S41" s="32" t="n">
        <v>10</v>
      </c>
      <c r="T41" s="35">
        <f>IFERROR(IF(AND(Q41&gt;0,R41&gt;0,S41&gt;0),(Q41*R41*S41)/6000,""),"")</f>
        <v/>
      </c>
      <c r="U41" s="34">
        <f>IFERROR(IF(AND(Q41&gt;0,R41&gt;0,S41&gt;0),(Q41*R41*S41)/6000,""),"")</f>
        <v/>
      </c>
      <c r="V41" s="34">
        <f>IFERROR(IF(AND(P41&gt;0,U41&gt;0),MAX(P41,U41),IF(P41&gt;0,P41,IF(U41&gt;0,U41,""))),"")</f>
        <v/>
      </c>
      <c r="W41" s="40" t="n">
        <v>20.77</v>
      </c>
      <c r="X41" s="38" t="inlineStr">
        <is>
          <t>fornecedor</t>
        </is>
      </c>
      <c r="Y41" s="36">
        <f>Y40*N41</f>
        <v/>
      </c>
      <c r="Z41" s="39" t="n">
        <v>0.2</v>
      </c>
      <c r="AA41" s="41">
        <f>IFERROR(Y41+W41,"")</f>
        <v/>
      </c>
      <c r="AB41" s="41">
        <f>IFERROR(IF(Z41&lt;1,AA41/(1-Z41),""),"")</f>
        <v/>
      </c>
      <c r="AC41" s="43">
        <f>'01_CONFIG_GLOBAL'!$C$14</f>
        <v/>
      </c>
      <c r="AD41" s="41">
        <f>IFERROR(AB41*AC41,"")</f>
        <v/>
      </c>
      <c r="AE41" s="41">
        <f>IFERROR(IF(AC41&lt;1,AB41/(1-AC41),""),"")</f>
        <v/>
      </c>
      <c r="AF41" s="23" t="n"/>
      <c r="AG41" s="36" t="n"/>
      <c r="AH41" s="23" t="n"/>
      <c r="AI41" s="36" t="n"/>
      <c r="AJ41" s="23" t="n"/>
      <c r="AK41" s="36" t="n"/>
      <c r="AL41" s="41" t="n"/>
      <c r="AM41" s="29">
        <f>IFERROR(IF(AL41="","sem dados",IF(AE41&lt;AL41*0.95,"abaixo",IF(AE41&gt;AL41*1.05,"acima","em linha"))),"")</f>
        <v/>
      </c>
      <c r="AN41" s="23" t="inlineStr">
        <is>
          <t>sim</t>
        </is>
      </c>
      <c r="AO41" s="23" t="n"/>
      <c r="AP41" s="23" t="n"/>
      <c r="AQ41" s="23" t="n"/>
      <c r="AR41" s="23" t="n"/>
      <c r="AS41" s="44">
        <f>IF(AND(N41&lt;&gt;"",N41&gt;1),A41&amp;"-KIT"&amp;N41,A41)</f>
        <v/>
      </c>
      <c r="AT41" s="44">
        <f>IF(AND(N41&lt;&gt;"",N41&gt;1),D41&amp;" — Kit "&amp;N41&amp;" unidades",D41)</f>
        <v/>
      </c>
      <c r="AU41" s="28" t="inlineStr">
        <is>
          <t>AGCO_4383934M4_ecommerce_1.png | AGCO_4383934M4_ecommerce_2.png</t>
        </is>
      </c>
    </row>
    <row r="42" ht="15.75" customHeight="1" s="93">
      <c r="A42" s="23" t="inlineStr">
        <is>
          <t>ACX3473430</t>
        </is>
      </c>
      <c r="B42" s="23" t="inlineStr">
        <is>
          <t>ACX3473430</t>
        </is>
      </c>
      <c r="C42" s="29">
        <f>IFERROR(LOWER(SUBSTITUTE(SUBSTITUTE(SUBSTITUTE(SUBSTITUTE(D42," ","-"),"/","-"),".",""),",","")),"")</f>
        <v/>
      </c>
      <c r="D42" s="23" t="inlineStr">
        <is>
          <t>Tampa Maior do Tubo - AGCO ACX3473430</t>
        </is>
      </c>
      <c r="E42" s="23" t="inlineStr">
        <is>
          <t>Peças Plásticas Injetadas</t>
        </is>
      </c>
      <c r="F42" s="23" t="inlineStr">
        <is>
          <t>APP</t>
        </is>
      </c>
      <c r="G42" s="23" t="n"/>
      <c r="H42" s="23" t="inlineStr">
        <is>
          <t>active</t>
        </is>
      </c>
      <c r="I42" s="23" t="inlineStr">
        <is>
          <t>AGCO</t>
        </is>
      </c>
      <c r="J42" s="23" t="inlineStr">
        <is>
          <t>PLANTADEIRA</t>
        </is>
      </c>
      <c r="K42" s="23">
        <f>LOWER(CONCATENATE(E42," ",J42," ",D42))</f>
        <v/>
      </c>
      <c r="L42" s="23" t="n"/>
      <c r="M42" s="30" t="n">
        <v>84329000</v>
      </c>
      <c r="N42" s="30" t="n">
        <v>1</v>
      </c>
      <c r="O42" s="30" t="n">
        <v>5</v>
      </c>
      <c r="P42" s="30" t="n">
        <v>0.08</v>
      </c>
      <c r="Q42" s="30" t="n">
        <v>10</v>
      </c>
      <c r="R42" s="30" t="n">
        <v>10</v>
      </c>
      <c r="S42" s="32" t="n">
        <v>2.5</v>
      </c>
      <c r="T42" s="35">
        <f>IFERROR(IF(AND(Q42&gt;0,R42&gt;0,S42&gt;0),(Q42*R42*S42)/6000,""),"")</f>
        <v/>
      </c>
      <c r="U42" s="34">
        <f>IFERROR(IF(AND(Q42&gt;0,R42&gt;0,S42&gt;0),(Q42*R42*S42)/6000,""),"")</f>
        <v/>
      </c>
      <c r="V42" s="34">
        <f>IFERROR(IF(AND(P42&gt;0,U42&gt;0),MAX(P42,U42),IF(P42&gt;0,P42,IF(U42&gt;0,U42,""))),"")</f>
        <v/>
      </c>
      <c r="W42" s="40" t="n">
        <v>0.66</v>
      </c>
      <c r="X42" s="38" t="inlineStr">
        <is>
          <t>fornecedor</t>
        </is>
      </c>
      <c r="Y42" s="36" t="n">
        <v>5.46</v>
      </c>
      <c r="Z42" s="39" t="n">
        <v>0.2</v>
      </c>
      <c r="AA42" s="41">
        <f>IFERROR(Y42+W42,"")</f>
        <v/>
      </c>
      <c r="AB42" s="41">
        <f>IFERROR(IF(Z42&lt;1,AA42/(1-Z42),""),"")</f>
        <v/>
      </c>
      <c r="AC42" s="43">
        <f>'01_CONFIG_GLOBAL'!$C$14</f>
        <v/>
      </c>
      <c r="AD42" s="41">
        <f>IFERROR(AB42*AC42,"")</f>
        <v/>
      </c>
      <c r="AE42" s="41">
        <f>IFERROR(IF(AC42&lt;1,AB42/(1-AC42),""),"")</f>
        <v/>
      </c>
      <c r="AF42" s="23" t="n"/>
      <c r="AG42" s="36" t="n"/>
      <c r="AH42" s="23" t="n"/>
      <c r="AI42" s="36" t="n"/>
      <c r="AJ42" s="23" t="n"/>
      <c r="AK42" s="36" t="n"/>
      <c r="AL42" s="41">
        <f>IFERROR(AVERAGE(AG42,AI42,AK42),"")</f>
        <v/>
      </c>
      <c r="AM42" s="29">
        <f>IFERROR(IF(AL42="","sem dados",IF(AE42&lt;AL42*0.95,"abaixo",IF(AE42&gt;AL42*1.05,"acima","em linha"))),"")</f>
        <v/>
      </c>
      <c r="AN42" s="23" t="inlineStr">
        <is>
          <t>sim</t>
        </is>
      </c>
      <c r="AO42" s="23" t="n"/>
      <c r="AP42" s="23" t="n"/>
      <c r="AQ42" s="23" t="n"/>
      <c r="AR42" s="23" t="n"/>
      <c r="AS42" s="44">
        <f>IF(AND(N42&lt;&gt;"",N42&gt;1),A42&amp;"-KIT"&amp;N42,A42)</f>
        <v/>
      </c>
      <c r="AT42" s="44">
        <f>IF(AND(N42&lt;&gt;"",N42&gt;1),D42&amp;" — Kit "&amp;N42&amp;" unidades",D42)</f>
        <v/>
      </c>
      <c r="AU42" s="28" t="inlineStr">
        <is>
          <t>AGCO_ACX3473430_ecommerce_1.png | AGCO_ACX3473430_ecommerce_2.png</t>
        </is>
      </c>
    </row>
    <row r="43" ht="15.75" customHeight="1" s="93">
      <c r="A43" s="23" t="inlineStr">
        <is>
          <t>ACX3473430</t>
        </is>
      </c>
      <c r="B43" s="23" t="inlineStr">
        <is>
          <t>ACX3473430</t>
        </is>
      </c>
      <c r="C43" s="29">
        <f>IFERROR(LOWER(SUBSTITUTE(SUBSTITUTE(SUBSTITUTE(SUBSTITUTE(D43," ","-"),"/","-"),".",""),",","")),"")</f>
        <v/>
      </c>
      <c r="D43" s="23" t="inlineStr">
        <is>
          <t>Tampa Maior do Tubo - Kit 40 Unidades - AGCO ACX3473430</t>
        </is>
      </c>
      <c r="E43" s="23" t="inlineStr">
        <is>
          <t>Peças Plásticas Injetadas</t>
        </is>
      </c>
      <c r="F43" s="23" t="inlineStr">
        <is>
          <t>APP</t>
        </is>
      </c>
      <c r="G43" s="23" t="n"/>
      <c r="H43" s="23" t="inlineStr">
        <is>
          <t>active</t>
        </is>
      </c>
      <c r="I43" s="23" t="inlineStr">
        <is>
          <t>AGCO</t>
        </is>
      </c>
      <c r="J43" s="23" t="inlineStr">
        <is>
          <t>PLANTADEIRA</t>
        </is>
      </c>
      <c r="K43" s="23">
        <f>LOWER(CONCATENATE(E43," ",J43," ",D43))</f>
        <v/>
      </c>
      <c r="L43" s="23" t="n"/>
      <c r="M43" s="30" t="n">
        <v>84329000</v>
      </c>
      <c r="N43" s="30" t="n">
        <v>40</v>
      </c>
      <c r="O43" s="30" t="n">
        <v>5</v>
      </c>
      <c r="P43" s="30">
        <f>P42*N43</f>
        <v/>
      </c>
      <c r="Q43" s="30" t="n">
        <v>22</v>
      </c>
      <c r="R43" s="30" t="n">
        <v>22</v>
      </c>
      <c r="S43" s="32" t="n">
        <v>35</v>
      </c>
      <c r="T43" s="35">
        <f>IFERROR(IF(AND(Q43&gt;0,R43&gt;0,S43&gt;0),(Q43*R43*S43)/6000,""),"")</f>
        <v/>
      </c>
      <c r="U43" s="34">
        <f>IFERROR(IF(AND(Q43&gt;0,R43&gt;0,S43&gt;0),(Q43*R43*S43)/6000,""),"")</f>
        <v/>
      </c>
      <c r="V43" s="34">
        <f>IFERROR(IF(AND(P43&gt;0,U43&gt;0),MAX(P43,U43),IF(P43&gt;0,P43,IF(U43&gt;0,U43,""))),"")</f>
        <v/>
      </c>
      <c r="W43" s="40" t="n">
        <v>26.2</v>
      </c>
      <c r="X43" s="38" t="inlineStr">
        <is>
          <t>fornecedor</t>
        </is>
      </c>
      <c r="Y43" s="36">
        <f>Y42*N43</f>
        <v/>
      </c>
      <c r="Z43" s="39" t="n">
        <v>0.199999999999999</v>
      </c>
      <c r="AA43" s="41">
        <f>IFERROR(Y43+W43,"")</f>
        <v/>
      </c>
      <c r="AB43" s="41">
        <f>IFERROR(IF(Z43&lt;1,AA43/(1-Z43),""),"")</f>
        <v/>
      </c>
      <c r="AC43" s="43">
        <f>'01_CONFIG_GLOBAL'!$C$14</f>
        <v/>
      </c>
      <c r="AD43" s="41">
        <f>IFERROR(AB43*AC43,"")</f>
        <v/>
      </c>
      <c r="AE43" s="41">
        <f>IFERROR(IF(AC43&lt;1,AB43/(1-AC43),""),"")</f>
        <v/>
      </c>
      <c r="AF43" s="23" t="n"/>
      <c r="AG43" s="36" t="n"/>
      <c r="AH43" s="23" t="n"/>
      <c r="AI43" s="36" t="n"/>
      <c r="AJ43" s="23" t="n"/>
      <c r="AK43" s="36" t="n"/>
      <c r="AL43" s="41" t="n"/>
      <c r="AM43" s="29">
        <f>IFERROR(IF(AL43="","sem dados",IF(AE43&lt;AL43*0.95,"abaixo",IF(AE43&gt;AL43*1.05,"acima","em linha"))),"")</f>
        <v/>
      </c>
      <c r="AN43" s="23" t="inlineStr">
        <is>
          <t>sim</t>
        </is>
      </c>
      <c r="AO43" s="23" t="n"/>
      <c r="AP43" s="23" t="n"/>
      <c r="AQ43" s="23" t="n"/>
      <c r="AR43" s="23" t="n"/>
      <c r="AS43" s="44">
        <f>IF(AND(N43&lt;&gt;"",N43&gt;1),A43&amp;"-KIT"&amp;N43,A43)</f>
        <v/>
      </c>
      <c r="AT43" s="44">
        <f>IF(AND(N43&lt;&gt;"",N43&gt;1),D43&amp;" — Kit "&amp;N43&amp;" unidades",D43)</f>
        <v/>
      </c>
      <c r="AU43" s="28" t="inlineStr">
        <is>
          <t>AGCO_ACX3473430-KIT40_ecommerce.png | AGCO_ACX3473430_ecommerce_2.png</t>
        </is>
      </c>
    </row>
    <row r="44" ht="15.75" customHeight="1" s="93">
      <c r="A44" s="23" t="inlineStr">
        <is>
          <t>ACX329796A</t>
        </is>
      </c>
      <c r="B44" s="23" t="inlineStr">
        <is>
          <t>ACX329796A</t>
        </is>
      </c>
      <c r="C44" s="29">
        <f>IFERROR(LOWER(SUBSTITUTE(SUBSTITUTE(SUBSTITUTE(SUBSTITUTE(D44," ","-"),"/","-"),".",""),",","")),"")</f>
        <v/>
      </c>
      <c r="D44" s="23" t="inlineStr">
        <is>
          <t>Defletor do Radiador - AGCO ACX329796A</t>
        </is>
      </c>
      <c r="E44" s="23" t="inlineStr">
        <is>
          <t>Peças Plásticas Injetadas</t>
        </is>
      </c>
      <c r="F44" s="23" t="inlineStr">
        <is>
          <t>APP</t>
        </is>
      </c>
      <c r="G44" s="23" t="n"/>
      <c r="H44" s="23" t="inlineStr">
        <is>
          <t>active</t>
        </is>
      </c>
      <c r="I44" s="23" t="inlineStr">
        <is>
          <t>AGCO</t>
        </is>
      </c>
      <c r="J44" s="23" t="inlineStr">
        <is>
          <t>PLANTADEIRA</t>
        </is>
      </c>
      <c r="K44" s="23">
        <f>LOWER(CONCATENATE(E44," ",J44," ",D44))</f>
        <v/>
      </c>
      <c r="L44" s="23" t="n"/>
      <c r="M44" s="30" t="n">
        <v>84329000</v>
      </c>
      <c r="N44" s="30" t="n">
        <v>1</v>
      </c>
      <c r="O44" s="30" t="n">
        <v>5</v>
      </c>
      <c r="P44" s="30" t="n">
        <v>1.85</v>
      </c>
      <c r="Q44" s="30" t="n">
        <v>14</v>
      </c>
      <c r="R44" s="30" t="n">
        <v>52.5</v>
      </c>
      <c r="S44" s="32" t="n">
        <v>52.5</v>
      </c>
      <c r="T44" s="35">
        <f>IFERROR(IF(AND(Q44&gt;0,R44&gt;0,S44&gt;0),(Q44*R44*S44)/6000,""),"")</f>
        <v/>
      </c>
      <c r="U44" s="34">
        <f>IFERROR(IF(AND(Q44&gt;0,R44&gt;0,S44&gt;0),(Q44*R44*S44)/6000,""),"")</f>
        <v/>
      </c>
      <c r="V44" s="34">
        <f>IFERROR(IF(AND(P44&gt;0,U44&gt;0),MAX(P44,U44),IF(P44&gt;0,P44,IF(U44&gt;0,U44,""))),"")</f>
        <v/>
      </c>
      <c r="W44" s="40" t="n">
        <v>37.07</v>
      </c>
      <c r="X44" s="38" t="inlineStr">
        <is>
          <t>fornecedor</t>
        </is>
      </c>
      <c r="Y44" s="36" t="n">
        <v>85.45</v>
      </c>
      <c r="Z44" s="39" t="n">
        <v>0.199999999999999</v>
      </c>
      <c r="AA44" s="41">
        <f>IFERROR(Y44+W44,"")</f>
        <v/>
      </c>
      <c r="AB44" s="41">
        <f>IFERROR(IF(Z44&lt;1,AA44/(1-Z44),""),"")</f>
        <v/>
      </c>
      <c r="AC44" s="43">
        <f>'01_CONFIG_GLOBAL'!$C$14</f>
        <v/>
      </c>
      <c r="AD44" s="41">
        <f>IFERROR(AB44*AC44,"")</f>
        <v/>
      </c>
      <c r="AE44" s="41">
        <f>IFERROR(IF(AC44&lt;1,AB44/(1-AC44),""),"")</f>
        <v/>
      </c>
      <c r="AF44" s="23" t="n"/>
      <c r="AG44" s="36" t="n"/>
      <c r="AH44" s="23" t="n"/>
      <c r="AI44" s="36" t="n"/>
      <c r="AJ44" s="23" t="n"/>
      <c r="AK44" s="36" t="n"/>
      <c r="AL44" s="41">
        <f>IFERROR(AVERAGE(AG44,AI44,AK44),"")</f>
        <v/>
      </c>
      <c r="AM44" s="29">
        <f>IFERROR(IF(AL44="","sem dados",IF(AE44&lt;AL44*0.95,"abaixo",IF(AE44&gt;AL44*1.05,"acima","em linha"))),"")</f>
        <v/>
      </c>
      <c r="AN44" s="23" t="inlineStr">
        <is>
          <t>sim</t>
        </is>
      </c>
      <c r="AO44" s="23" t="n"/>
      <c r="AP44" s="23" t="n"/>
      <c r="AQ44" s="23" t="n"/>
      <c r="AR44" s="23" t="inlineStr">
        <is>
          <t>Fotos: assets/agco_ACX329796A_ecommerce.png</t>
        </is>
      </c>
      <c r="AS44" s="44">
        <f>IF(AND(N44&lt;&gt;"",N44&gt;1),A44&amp;"-KIT"&amp;N44,A44)</f>
        <v/>
      </c>
      <c r="AT44" s="44">
        <f>IF(AND(N44&lt;&gt;"",N44&gt;1),D44&amp;" — Kit "&amp;N44&amp;" unidades",D44)</f>
        <v/>
      </c>
      <c r="AU44" s="28" t="inlineStr">
        <is>
          <t>agco_ACX329796A_ecommerce.png</t>
        </is>
      </c>
    </row>
    <row r="45" ht="15.75" customHeight="1" s="93">
      <c r="A45" s="23" t="inlineStr">
        <is>
          <t>33070004</t>
        </is>
      </c>
      <c r="B45" s="23" t="inlineStr">
        <is>
          <t>33070004</t>
        </is>
      </c>
      <c r="C45" s="29">
        <f>IFERROR(LOWER(SUBSTITUTE(SUBSTITUTE(SUBSTITUTE(SUBSTITUTE(D45," ","-"),"/","-"),".",""),",","")),"")</f>
        <v/>
      </c>
      <c r="D45" s="23" t="inlineStr">
        <is>
          <t>Condutor Reto de Sementes - AGCO 33070004</t>
        </is>
      </c>
      <c r="E45" s="23" t="inlineStr">
        <is>
          <t>Peças Plásticas Injetadas</t>
        </is>
      </c>
      <c r="F45" s="23" t="inlineStr">
        <is>
          <t>APP</t>
        </is>
      </c>
      <c r="G45" s="23" t="n"/>
      <c r="H45" s="23" t="inlineStr">
        <is>
          <t>active</t>
        </is>
      </c>
      <c r="I45" s="23" t="inlineStr">
        <is>
          <t>AGCO</t>
        </is>
      </c>
      <c r="J45" s="23" t="inlineStr">
        <is>
          <t>PLANTADEIRA</t>
        </is>
      </c>
      <c r="K45" s="23">
        <f>LOWER(CONCATENATE(E45," ",J45," ",D45))</f>
        <v/>
      </c>
      <c r="L45" s="23" t="n"/>
      <c r="M45" s="30" t="n">
        <v>84329000</v>
      </c>
      <c r="N45" s="30" t="n">
        <v>1</v>
      </c>
      <c r="O45" s="30" t="n">
        <v>5</v>
      </c>
      <c r="P45" s="30" t="n">
        <v>0.14</v>
      </c>
      <c r="Q45" s="30" t="n">
        <v>6.7</v>
      </c>
      <c r="R45" s="30" t="n">
        <v>6.7</v>
      </c>
      <c r="S45" s="32" t="n">
        <v>47.5</v>
      </c>
      <c r="T45" s="35">
        <f>IFERROR(IF(AND(Q45&gt;0,R45&gt;0,S45&gt;0),(Q45*R45*S45)/6000,""),"")</f>
        <v/>
      </c>
      <c r="U45" s="34">
        <f>IFERROR(IF(AND(Q45&gt;0,R45&gt;0,S45&gt;0),(Q45*R45*S45)/6000,""),"")</f>
        <v/>
      </c>
      <c r="V45" s="34">
        <f>IFERROR(IF(AND(P45&gt;0,U45&gt;0),MAX(P45,U45),IF(P45&gt;0,P45,IF(U45&gt;0,U45,""))),"")</f>
        <v/>
      </c>
      <c r="W45" s="40" t="n">
        <v>2.67</v>
      </c>
      <c r="X45" s="38" t="inlineStr">
        <is>
          <t>fornecedor</t>
        </is>
      </c>
      <c r="Y45" s="36" t="n">
        <v>6.44</v>
      </c>
      <c r="Z45" s="39" t="n">
        <v>0.199999999999999</v>
      </c>
      <c r="AA45" s="41">
        <f>IFERROR(Y45+W45,"")</f>
        <v/>
      </c>
      <c r="AB45" s="41">
        <f>IFERROR(IF(Z45&lt;1,AA45/(1-Z45),""),"")</f>
        <v/>
      </c>
      <c r="AC45" s="43">
        <f>'01_CONFIG_GLOBAL'!$C$14</f>
        <v/>
      </c>
      <c r="AD45" s="41">
        <f>IFERROR(AB45*AC45,"")</f>
        <v/>
      </c>
      <c r="AE45" s="41">
        <f>IFERROR(IF(AC45&lt;1,AB45/(1-AC45),""),"")</f>
        <v/>
      </c>
      <c r="AF45" s="23" t="n"/>
      <c r="AG45" s="36" t="n"/>
      <c r="AH45" s="23" t="n"/>
      <c r="AI45" s="36" t="n"/>
      <c r="AJ45" s="23" t="n"/>
      <c r="AK45" s="36" t="n"/>
      <c r="AL45" s="41">
        <f>IFERROR(AVERAGE(AG45,AI45,AK45),"")</f>
        <v/>
      </c>
      <c r="AM45" s="29">
        <f>IFERROR(IF(AL45="","sem dados",IF(AE45&lt;AL45*0.95,"abaixo",IF(AE45&gt;AL45*1.05,"acima","em linha"))),"")</f>
        <v/>
      </c>
      <c r="AN45" s="23" t="inlineStr">
        <is>
          <t>sim</t>
        </is>
      </c>
      <c r="AO45" s="23" t="n"/>
      <c r="AP45" s="23" t="n"/>
      <c r="AQ45" s="23" t="n"/>
      <c r="AR45" s="23" t="inlineStr">
        <is>
          <t>Fotos: assets/agco_33070004_ecommerce.png</t>
        </is>
      </c>
      <c r="AS45" s="44">
        <f>IF(AND(N45&lt;&gt;"",N45&gt;1),A45&amp;"-KIT"&amp;N45,A45)</f>
        <v/>
      </c>
      <c r="AT45" s="44">
        <f>IF(AND(N45&lt;&gt;"",N45&gt;1),D45&amp;" — Kit "&amp;N45&amp;" unidades",D45)</f>
        <v/>
      </c>
      <c r="AU45" s="28" t="inlineStr">
        <is>
          <t>agco_33070004_ecommerce.png</t>
        </is>
      </c>
    </row>
    <row r="46" ht="15.75" customHeight="1" s="93">
      <c r="A46" s="23" t="inlineStr">
        <is>
          <t>33070004</t>
        </is>
      </c>
      <c r="B46" s="23" t="inlineStr">
        <is>
          <t>33070004</t>
        </is>
      </c>
      <c r="C46" s="29">
        <f>IFERROR(LOWER(SUBSTITUTE(SUBSTITUTE(SUBSTITUTE(SUBSTITUTE(D46," ","-"),"/","-"),".",""),",","")),"")</f>
        <v/>
      </c>
      <c r="D46" s="23" t="inlineStr">
        <is>
          <t>Condutor Reto de Sementes - Kit 25 Unidades - AGCO 33070004</t>
        </is>
      </c>
      <c r="E46" s="23" t="inlineStr">
        <is>
          <t>Peças Plásticas Injetadas</t>
        </is>
      </c>
      <c r="F46" s="23" t="inlineStr">
        <is>
          <t>APP</t>
        </is>
      </c>
      <c r="G46" s="23" t="n"/>
      <c r="H46" s="23" t="inlineStr">
        <is>
          <t>active</t>
        </is>
      </c>
      <c r="I46" s="23" t="inlineStr">
        <is>
          <t>AGCO</t>
        </is>
      </c>
      <c r="J46" s="23" t="inlineStr">
        <is>
          <t>PLANTADEIRA</t>
        </is>
      </c>
      <c r="K46" s="23">
        <f>LOWER(CONCATENATE(E46," ",J46," ",D46))</f>
        <v/>
      </c>
      <c r="L46" s="23" t="n"/>
      <c r="M46" s="30" t="n">
        <v>84329000</v>
      </c>
      <c r="N46" s="30" t="n">
        <v>25</v>
      </c>
      <c r="O46" s="30" t="n">
        <v>5</v>
      </c>
      <c r="P46" s="30">
        <f>P45*N46</f>
        <v/>
      </c>
      <c r="Q46" s="30" t="n">
        <v>40</v>
      </c>
      <c r="R46" s="30" t="n">
        <v>40</v>
      </c>
      <c r="S46" s="32" t="n">
        <v>50</v>
      </c>
      <c r="T46" s="35">
        <f>IFERROR(IF(AND(Q46&gt;0,R46&gt;0,S46&gt;0),(Q46*R46*S46)/6000,""),"")</f>
        <v/>
      </c>
      <c r="U46" s="34">
        <f>IFERROR(IF(AND(Q46&gt;0,R46&gt;0,S46&gt;0),(Q46*R46*S46)/6000,""),"")</f>
        <v/>
      </c>
      <c r="V46" s="34">
        <f>IFERROR(IF(AND(P46&gt;0,U46&gt;0),MAX(P46,U46),IF(P46&gt;0,P46,IF(U46&gt;0,U46,""))),"")</f>
        <v/>
      </c>
      <c r="W46" s="40" t="n">
        <v>66.84999999999999</v>
      </c>
      <c r="X46" s="38" t="inlineStr">
        <is>
          <t>fornecedor</t>
        </is>
      </c>
      <c r="Y46" s="36">
        <f>Y45*N46</f>
        <v/>
      </c>
      <c r="Z46" s="39" t="n">
        <v>0.199999999999999</v>
      </c>
      <c r="AA46" s="41">
        <f>IFERROR(Y46+W46,"")</f>
        <v/>
      </c>
      <c r="AB46" s="41">
        <f>IFERROR(IF(Z46&lt;1,AA46/(1-Z46),""),"")</f>
        <v/>
      </c>
      <c r="AC46" s="43">
        <f>'01_CONFIG_GLOBAL'!$C$14</f>
        <v/>
      </c>
      <c r="AD46" s="41">
        <f>IFERROR(AB46*AC46,"")</f>
        <v/>
      </c>
      <c r="AE46" s="41">
        <f>IFERROR(IF(AC46&lt;1,AB46/(1-AC46),""),"")</f>
        <v/>
      </c>
      <c r="AF46" s="23" t="n"/>
      <c r="AG46" s="36" t="n"/>
      <c r="AH46" s="23" t="n"/>
      <c r="AI46" s="36" t="n"/>
      <c r="AJ46" s="23" t="n"/>
      <c r="AK46" s="36" t="n"/>
      <c r="AL46" s="41" t="n"/>
      <c r="AM46" s="29">
        <f>IFERROR(IF(AL46="","sem dados",IF(AE46&lt;AL46*0.95,"abaixo",IF(AE46&gt;AL46*1.05,"acima","em linha"))),"")</f>
        <v/>
      </c>
      <c r="AN46" s="23" t="inlineStr">
        <is>
          <t>sim</t>
        </is>
      </c>
      <c r="AO46" s="23" t="n"/>
      <c r="AP46" s="23" t="n"/>
      <c r="AQ46" s="23" t="n"/>
      <c r="AR46" s="23" t="n"/>
      <c r="AS46" s="44">
        <f>IF(AND(N46&lt;&gt;"",N46&gt;1),A46&amp;"-KIT"&amp;N46,A46)</f>
        <v/>
      </c>
      <c r="AT46" s="44">
        <f>IF(AND(N46&lt;&gt;"",N46&gt;1),D46&amp;" — Kit "&amp;N46&amp;" unidades",D46)</f>
        <v/>
      </c>
      <c r="AU46" s="28" t="inlineStr">
        <is>
          <t>agco_33070004_ecommerce.png</t>
        </is>
      </c>
    </row>
    <row r="47" ht="15.75" customHeight="1" s="93">
      <c r="A47" s="23" t="inlineStr">
        <is>
          <t>6237989M1</t>
        </is>
      </c>
      <c r="B47" s="23" t="inlineStr">
        <is>
          <t>6237989M1</t>
        </is>
      </c>
      <c r="C47" s="29" t="n"/>
      <c r="D47" s="23" t="inlineStr">
        <is>
          <t>Corpo Bico 1 Polegada e Saídas - AGCO 6237989M1</t>
        </is>
      </c>
      <c r="E47" s="23" t="inlineStr">
        <is>
          <t>Peças Plásticas Injetadas</t>
        </is>
      </c>
      <c r="F47" s="23" t="inlineStr">
        <is>
          <t>APP</t>
        </is>
      </c>
      <c r="G47" s="23" t="n"/>
      <c r="H47" s="23" t="inlineStr">
        <is>
          <t>active</t>
        </is>
      </c>
      <c r="I47" s="23" t="inlineStr">
        <is>
          <t>AGCO</t>
        </is>
      </c>
      <c r="J47" s="23" t="inlineStr">
        <is>
          <t>PULVERIZADOR</t>
        </is>
      </c>
      <c r="K47" s="23" t="n"/>
      <c r="L47" s="23" t="inlineStr">
        <is>
          <t>6237989-242</t>
        </is>
      </c>
      <c r="M47" s="30" t="n">
        <v>84329000</v>
      </c>
      <c r="N47" s="30" t="n">
        <v>1</v>
      </c>
      <c r="O47" s="30" t="n">
        <v>5</v>
      </c>
      <c r="P47" s="30" t="n">
        <v>0.132</v>
      </c>
      <c r="Q47" s="30" t="n">
        <v>10.9</v>
      </c>
      <c r="R47" s="30" t="n">
        <v>9.4</v>
      </c>
      <c r="S47" s="32" t="n">
        <v>9.199999999999999</v>
      </c>
      <c r="T47" s="35">
        <f>IFERROR(IF(AND(Q47&gt;0,R47&gt;0,S47&gt;0),(Q47*R47*S47)/6000,""),"")</f>
        <v/>
      </c>
      <c r="U47" s="34">
        <f>IFERROR(IF(AND(Q47&gt;0,R47&gt;0,S47&gt;0),(Q47*R47*S47)/6000,""),"")</f>
        <v/>
      </c>
      <c r="V47" s="34">
        <f>IFERROR(IF(AND(P47&gt;0,U47&gt;0),MAX(P47,U47),IF(P47&gt;0,P47,IF(U47&gt;0,U47,""))),"")</f>
        <v/>
      </c>
      <c r="W47" s="40" t="n">
        <v>2.5</v>
      </c>
      <c r="X47" s="38" t="inlineStr">
        <is>
          <t>fornecedor</t>
        </is>
      </c>
      <c r="Y47" s="36" t="n">
        <v>26.46</v>
      </c>
      <c r="Z47" s="39" t="n">
        <v>0.199999999999999</v>
      </c>
      <c r="AA47" s="41">
        <f>IFERROR(Y47+W47,"")</f>
        <v/>
      </c>
      <c r="AB47" s="41">
        <f>IFERROR(IF(Z47&lt;1,AA47/(1-Z47),""),"")</f>
        <v/>
      </c>
      <c r="AC47" s="43">
        <f>'01_CONFIG_GLOBAL'!$C$14</f>
        <v/>
      </c>
      <c r="AD47" s="41">
        <f>IFERROR(AB47*AC47,"")</f>
        <v/>
      </c>
      <c r="AE47" s="41">
        <f>IFERROR(IF(AC47&lt;1,AB47/(1-AC47),""),"")</f>
        <v/>
      </c>
      <c r="AF47" s="23" t="n"/>
      <c r="AG47" s="36" t="n"/>
      <c r="AH47" s="23" t="n"/>
      <c r="AI47" s="36" t="n"/>
      <c r="AJ47" s="23" t="n"/>
      <c r="AK47" s="36" t="n"/>
      <c r="AL47" s="41" t="n"/>
      <c r="AM47" s="29">
        <f>IFERROR(IF(AL47="","sem dados",IF(AE47&lt;AL47*0.95,"abaixo",IF(AE47&gt;AL47*1.05,"acima","em linha"))),"")</f>
        <v/>
      </c>
      <c r="AN47" s="23" t="inlineStr">
        <is>
          <t>sim</t>
        </is>
      </c>
      <c r="AO47" s="23" t="n"/>
      <c r="AP47" s="23" t="n"/>
      <c r="AQ47" s="23" t="n"/>
      <c r="AR47" s="23" t="n"/>
      <c r="AS47" s="44">
        <f>IF(AND(N47&lt;&gt;"",N47&gt;1),A47&amp;"-KIT"&amp;N47,A47)</f>
        <v/>
      </c>
      <c r="AT47" s="44">
        <f>IF(AND(N47&lt;&gt;"",N47&gt;1),D47&amp;" — Kit "&amp;N47&amp;" unidades",D47)</f>
        <v/>
      </c>
      <c r="AU47" s="28" t="inlineStr">
        <is>
          <t>AGCO_6237989M1_ecommerce_1.png | AGCO_6237989M1_ecommerce_2.png</t>
        </is>
      </c>
    </row>
    <row r="48" ht="15.75" customHeight="1" s="93">
      <c r="A48" s="23" t="inlineStr">
        <is>
          <t>6237989M1</t>
        </is>
      </c>
      <c r="B48" s="23" t="inlineStr">
        <is>
          <t>6237989M1</t>
        </is>
      </c>
      <c r="C48" s="29" t="n"/>
      <c r="D48" s="23" t="inlineStr">
        <is>
          <t>Corpo Bico 1 Polegada e Saídas - Kit 10 Unidades - AGCO 6237989M1</t>
        </is>
      </c>
      <c r="E48" s="23" t="inlineStr">
        <is>
          <t>Peças Plásticas Injetadas</t>
        </is>
      </c>
      <c r="F48" s="23" t="inlineStr">
        <is>
          <t>APP</t>
        </is>
      </c>
      <c r="G48" s="23" t="n"/>
      <c r="H48" s="23" t="inlineStr">
        <is>
          <t>active</t>
        </is>
      </c>
      <c r="I48" s="23" t="inlineStr">
        <is>
          <t>AGCO</t>
        </is>
      </c>
      <c r="J48" s="23" t="inlineStr">
        <is>
          <t>PULVERIZADOR</t>
        </is>
      </c>
      <c r="K48" s="23" t="n"/>
      <c r="L48" s="23" t="inlineStr">
        <is>
          <t>6237989-242</t>
        </is>
      </c>
      <c r="M48" s="30" t="n">
        <v>84329000</v>
      </c>
      <c r="N48" s="30" t="n">
        <v>10</v>
      </c>
      <c r="O48" s="30" t="n">
        <v>5</v>
      </c>
      <c r="P48" s="30">
        <f>P47*N48</f>
        <v/>
      </c>
      <c r="Q48" s="30" t="n">
        <v>17</v>
      </c>
      <c r="R48" s="30" t="n">
        <v>35</v>
      </c>
      <c r="S48" s="32" t="n">
        <v>22</v>
      </c>
      <c r="T48" s="35">
        <f>IFERROR(IF(AND(Q48&gt;0,R48&gt;0,S48&gt;0),(Q48*R48*S48)/6000,""),"")</f>
        <v/>
      </c>
      <c r="U48" s="34">
        <f>IFERROR(IF(AND(Q48&gt;0,R48&gt;0,S48&gt;0),(Q48*R48*S48)/6000,""),"")</f>
        <v/>
      </c>
      <c r="V48" s="34">
        <f>IFERROR(IF(AND(P48&gt;0,U48&gt;0),MAX(P48,U48),IF(P48&gt;0,P48,IF(U48&gt;0,U48,""))),"")</f>
        <v/>
      </c>
      <c r="W48" s="40" t="n">
        <v>25.01</v>
      </c>
      <c r="X48" s="38" t="inlineStr">
        <is>
          <t>fornecedor</t>
        </is>
      </c>
      <c r="Y48" s="36">
        <f>Y47*N48</f>
        <v/>
      </c>
      <c r="Z48" s="39" t="n">
        <v>0.199999999999999</v>
      </c>
      <c r="AA48" s="41">
        <f>IFERROR(Y48+W48,"")</f>
        <v/>
      </c>
      <c r="AB48" s="41">
        <f>IFERROR(IF(Z48&lt;1,AA48/(1-Z48),""),"")</f>
        <v/>
      </c>
      <c r="AC48" s="43">
        <f>'01_CONFIG_GLOBAL'!$C$14</f>
        <v/>
      </c>
      <c r="AD48" s="41">
        <f>IFERROR(AB48*AC48,"")</f>
        <v/>
      </c>
      <c r="AE48" s="41">
        <f>IFERROR(IF(AC48&lt;1,AB48/(1-AC48),""),"")</f>
        <v/>
      </c>
      <c r="AF48" s="23" t="n"/>
      <c r="AG48" s="36" t="n"/>
      <c r="AH48" s="23" t="n"/>
      <c r="AI48" s="36" t="n"/>
      <c r="AJ48" s="23" t="n"/>
      <c r="AK48" s="36" t="n"/>
      <c r="AL48" s="41" t="n"/>
      <c r="AM48" s="29">
        <f>IFERROR(IF(AL48="","sem dados",IF(AE48&lt;AL48*0.95,"abaixo",IF(AE48&gt;AL48*1.05,"acima","em linha"))),"")</f>
        <v/>
      </c>
      <c r="AN48" s="23" t="inlineStr">
        <is>
          <t>sim</t>
        </is>
      </c>
      <c r="AO48" s="23" t="n"/>
      <c r="AP48" s="23" t="n"/>
      <c r="AQ48" s="23" t="n"/>
      <c r="AR48" s="23" t="n"/>
      <c r="AS48" s="44">
        <f>IF(AND(N48&lt;&gt;"",N48&gt;1),A48&amp;"-KIT"&amp;N48,A48)</f>
        <v/>
      </c>
      <c r="AT48" s="44">
        <f>IF(AND(N48&lt;&gt;"",N48&gt;1),D48&amp;" — Kit "&amp;N48&amp;" unidades",D48)</f>
        <v/>
      </c>
      <c r="AU48" s="28" t="inlineStr">
        <is>
          <t>AGCO_6237989M1_ecommerce_1.png | AGCO_6237989M1_ecommerce_2.png</t>
        </is>
      </c>
    </row>
    <row r="49" ht="15.75" customHeight="1" s="93">
      <c r="A49" s="23" t="inlineStr">
        <is>
          <t>ACX363311C</t>
        </is>
      </c>
      <c r="B49" s="23" t="inlineStr">
        <is>
          <t>ACX363311C</t>
        </is>
      </c>
      <c r="C49" s="29">
        <f>IFERROR(LOWER(SUBSTITUTE(SUBSTITUTE(SUBSTITUTE(SUBSTITUTE(D49," ","-"),"/","-"),".",""),",","")),"")</f>
        <v/>
      </c>
      <c r="D49" s="23" t="inlineStr">
        <is>
          <t>Copo Venturi C - Kit 25 Unidades - AGCO ACX363311C</t>
        </is>
      </c>
      <c r="E49" s="23" t="inlineStr">
        <is>
          <t>Peças Plásticas Injetadas</t>
        </is>
      </c>
      <c r="F49" s="23" t="inlineStr">
        <is>
          <t>APP</t>
        </is>
      </c>
      <c r="G49" s="23" t="n"/>
      <c r="H49" s="23" t="inlineStr">
        <is>
          <t>active</t>
        </is>
      </c>
      <c r="I49" s="23" t="inlineStr">
        <is>
          <t>AGCO</t>
        </is>
      </c>
      <c r="J49" s="23" t="inlineStr">
        <is>
          <t>PLANTADEIRA</t>
        </is>
      </c>
      <c r="K49" s="23">
        <f>LOWER(CONCATENATE(E49," ",J49," ",D49))</f>
        <v/>
      </c>
      <c r="L49" s="23" t="n"/>
      <c r="M49" s="30" t="n">
        <v>84329000</v>
      </c>
      <c r="N49" s="30" t="n">
        <v>25</v>
      </c>
      <c r="O49" s="30" t="n">
        <v>5</v>
      </c>
      <c r="P49" s="30">
        <f>P22*N49</f>
        <v/>
      </c>
      <c r="Q49" s="30" t="n">
        <v>45</v>
      </c>
      <c r="R49" s="30" t="n">
        <v>32</v>
      </c>
      <c r="S49" s="32" t="n">
        <v>7.5</v>
      </c>
      <c r="T49" s="35">
        <f>IFERROR(IF(AND(Q49&gt;0,R49&gt;0,S49&gt;0),(Q49*R49*S49)/6000,""),"")</f>
        <v/>
      </c>
      <c r="U49" s="34">
        <f>IFERROR(IF(AND(Q49&gt;0,R49&gt;0,S49&gt;0),(Q49*R49*S49)/6000,""),"")</f>
        <v/>
      </c>
      <c r="V49" s="34">
        <f>IFERROR(IF(AND(P49&gt;0,U49&gt;0),MAX(P49,U49),IF(P49&gt;0,P49,IF(U49&gt;0,U49,""))),"")</f>
        <v/>
      </c>
      <c r="W49" s="40" t="n">
        <v>27.8</v>
      </c>
      <c r="X49" s="38" t="inlineStr">
        <is>
          <t>fornecedor</t>
        </is>
      </c>
      <c r="Y49" s="36">
        <f>Y22*N49</f>
        <v/>
      </c>
      <c r="Z49" s="39" t="n">
        <v>0.199999999999999</v>
      </c>
      <c r="AA49" s="41">
        <f>IFERROR(Y49+W49,"")</f>
        <v/>
      </c>
      <c r="AB49" s="41">
        <f>IFERROR(IF(Z49&lt;1,AA49/(1-Z49),""),"")</f>
        <v/>
      </c>
      <c r="AC49" s="43">
        <f>'01_CONFIG_GLOBAL'!$C$14</f>
        <v/>
      </c>
      <c r="AD49" s="41">
        <f>IFERROR(AB49*AC49,"")</f>
        <v/>
      </c>
      <c r="AE49" s="41">
        <f>IFERROR(IF(AC49&lt;1,AB49/(1-AC49),""),"")</f>
        <v/>
      </c>
      <c r="AF49" s="23" t="n"/>
      <c r="AG49" s="36" t="n"/>
      <c r="AH49" s="23" t="n"/>
      <c r="AI49" s="36" t="n"/>
      <c r="AJ49" s="23" t="n"/>
      <c r="AK49" s="36" t="n"/>
      <c r="AL49" s="41">
        <f>IFERROR(AVERAGE(AG49,AI49,AK49),"")</f>
        <v/>
      </c>
      <c r="AM49" s="29">
        <f>IFERROR(IF(AL49="","sem dados",IF(AE49&lt;AL49*0.95,"abaixo",IF(AE49&gt;AL49*1.05,"acima","em linha"))),"")</f>
        <v/>
      </c>
      <c r="AN49" s="23" t="inlineStr">
        <is>
          <t>sim</t>
        </is>
      </c>
      <c r="AO49" s="23" t="n"/>
      <c r="AP49" s="23" t="n"/>
      <c r="AQ49" s="23" t="n"/>
      <c r="AR49" s="23" t="inlineStr">
        <is>
          <t>Fotos: assets/agco_ACX363311C_ecommerce.png</t>
        </is>
      </c>
      <c r="AS49" s="44">
        <f>IF(AND(N49&lt;&gt;"",N49&gt;1),A49&amp;"-KIT"&amp;N49,A49)</f>
        <v/>
      </c>
      <c r="AT49" s="44">
        <f>IF(AND(N49&lt;&gt;"",N49&gt;1),D49&amp;" — Kit "&amp;N49&amp;" unidades",D49)</f>
        <v/>
      </c>
      <c r="AU49" s="28" t="inlineStr">
        <is>
          <t>AGCO_ACX3601860_ecommerce_2.png</t>
        </is>
      </c>
    </row>
    <row r="50" ht="15.75" customHeight="1" s="93">
      <c r="A50" s="23" t="inlineStr">
        <is>
          <t>ACX363311B</t>
        </is>
      </c>
      <c r="B50" s="23" t="inlineStr">
        <is>
          <t>ACX363311B</t>
        </is>
      </c>
      <c r="C50" s="29">
        <f>IFERROR(LOWER(SUBSTITUTE(SUBSTITUTE(SUBSTITUTE(SUBSTITUTE(D50," ","-"),"/","-"),".",""),",","")),"")</f>
        <v/>
      </c>
      <c r="D50" s="23" t="inlineStr">
        <is>
          <t>Copo Venturi B - Kit 25 Unidades - AGCO ACX363311B</t>
        </is>
      </c>
      <c r="E50" s="23" t="inlineStr">
        <is>
          <t>Peças Plásticas Injetadas</t>
        </is>
      </c>
      <c r="F50" s="23" t="inlineStr">
        <is>
          <t>APP</t>
        </is>
      </c>
      <c r="G50" s="23" t="n"/>
      <c r="H50" s="23" t="inlineStr">
        <is>
          <t>active</t>
        </is>
      </c>
      <c r="I50" s="23" t="inlineStr">
        <is>
          <t>AGCO</t>
        </is>
      </c>
      <c r="J50" s="23" t="inlineStr">
        <is>
          <t>PLANTADEIRA</t>
        </is>
      </c>
      <c r="K50" s="23">
        <f>LOWER(CONCATENATE(E50," ",J50," ",D50))</f>
        <v/>
      </c>
      <c r="L50" s="23" t="n"/>
      <c r="M50" s="30" t="n">
        <v>84329000</v>
      </c>
      <c r="N50" s="30" t="n">
        <v>25</v>
      </c>
      <c r="O50" s="30" t="n">
        <v>5</v>
      </c>
      <c r="P50" s="30">
        <f>P24*N50</f>
        <v/>
      </c>
      <c r="Q50" s="30" t="n">
        <v>45</v>
      </c>
      <c r="R50" s="30" t="n">
        <v>32</v>
      </c>
      <c r="S50" s="32" t="n">
        <v>7.5</v>
      </c>
      <c r="T50" s="35">
        <f>IFERROR(IF(AND(Q50&gt;0,R50&gt;0,S50&gt;0),(Q50*R50*S50)/6000,""),"")</f>
        <v/>
      </c>
      <c r="U50" s="34">
        <f>IFERROR(IF(AND(Q50&gt;0,R50&gt;0,S50&gt;0),(Q50*R50*S50)/6000,""),"")</f>
        <v/>
      </c>
      <c r="V50" s="34">
        <f>IFERROR(IF(AND(P50&gt;0,U50&gt;0),MAX(P50,U50),IF(P50&gt;0,P50,IF(U50&gt;0,U50,""))),"")</f>
        <v/>
      </c>
      <c r="W50" s="40" t="n">
        <v>27.8</v>
      </c>
      <c r="X50" s="38" t="inlineStr">
        <is>
          <t>fornecedor</t>
        </is>
      </c>
      <c r="Y50" s="36">
        <f>Y24*N50</f>
        <v/>
      </c>
      <c r="Z50" s="39" t="n">
        <v>0.199999999999999</v>
      </c>
      <c r="AA50" s="41">
        <f>IFERROR(Y50+W50,"")</f>
        <v/>
      </c>
      <c r="AB50" s="41">
        <f>IFERROR(IF(Z50&lt;1,AA50/(1-Z50),""),"")</f>
        <v/>
      </c>
      <c r="AC50" s="43">
        <f>'01_CONFIG_GLOBAL'!$C$14</f>
        <v/>
      </c>
      <c r="AD50" s="41">
        <f>IFERROR(AB50*AC50,"")</f>
        <v/>
      </c>
      <c r="AE50" s="41">
        <f>IFERROR(IF(AC50&lt;1,AB50/(1-AC50),""),"")</f>
        <v/>
      </c>
      <c r="AF50" s="23" t="n"/>
      <c r="AG50" s="36" t="n"/>
      <c r="AH50" s="23" t="n"/>
      <c r="AI50" s="36" t="n"/>
      <c r="AJ50" s="23" t="n"/>
      <c r="AK50" s="36" t="n"/>
      <c r="AL50" s="41">
        <f>IFERROR(AVERAGE(AG50,AI50,AK50),"")</f>
        <v/>
      </c>
      <c r="AM50" s="29">
        <f>IFERROR(IF(AL50="","sem dados",IF(AE50&lt;AL50*0.95,"abaixo",IF(AE50&gt;AL50*1.05,"acima","em linha"))),"")</f>
        <v/>
      </c>
      <c r="AN50" s="23" t="inlineStr">
        <is>
          <t>sim</t>
        </is>
      </c>
      <c r="AO50" s="23" t="n"/>
      <c r="AP50" s="23" t="n"/>
      <c r="AQ50" s="23" t="n"/>
      <c r="AR50" s="23" t="inlineStr">
        <is>
          <t>Fotos: assets/agco_ACX363311B_ecommerce.png</t>
        </is>
      </c>
      <c r="AS50" s="44">
        <f>IF(AND(N50&lt;&gt;"",N50&gt;1),A50&amp;"-KIT"&amp;N50,A50)</f>
        <v/>
      </c>
      <c r="AT50" s="44">
        <f>IF(AND(N50&lt;&gt;"",N50&gt;1),D50&amp;" — Kit "&amp;N50&amp;" unidades",D50)</f>
        <v/>
      </c>
      <c r="AU50" s="28" t="inlineStr">
        <is>
          <t>AGCO_ACX3601860_ecommerce_1.png</t>
        </is>
      </c>
    </row>
    <row r="51" ht="15.75" customHeight="1" s="93">
      <c r="A51" s="23" t="inlineStr">
        <is>
          <t>ACX3601860</t>
        </is>
      </c>
      <c r="B51" s="23" t="inlineStr">
        <is>
          <t>ACX3601860</t>
        </is>
      </c>
      <c r="C51" s="29">
        <f>IFERROR(LOWER(SUBSTITUTE(SUBSTITUTE(SUBSTITUTE(SUBSTITUTE(D51," ","-"),"/","-"),".",""),",","")),"")</f>
        <v/>
      </c>
      <c r="D51" s="23" t="inlineStr">
        <is>
          <t>Copo Venturi - Kit 25 Unidades - AGCO ACX3601860</t>
        </is>
      </c>
      <c r="E51" s="23" t="inlineStr">
        <is>
          <t>Peças Plásticas Injetadas</t>
        </is>
      </c>
      <c r="F51" s="23" t="inlineStr">
        <is>
          <t>APP</t>
        </is>
      </c>
      <c r="G51" s="23" t="n"/>
      <c r="H51" s="23" t="inlineStr">
        <is>
          <t>active</t>
        </is>
      </c>
      <c r="I51" s="23" t="inlineStr">
        <is>
          <t>AGCO</t>
        </is>
      </c>
      <c r="J51" s="23" t="inlineStr">
        <is>
          <t>PLANTADEIRA</t>
        </is>
      </c>
      <c r="K51" s="23">
        <f>LOWER(CONCATENATE(E51," ",J51," ",D51))</f>
        <v/>
      </c>
      <c r="L51" s="23" t="n"/>
      <c r="M51" s="30" t="n">
        <v>84329000</v>
      </c>
      <c r="N51" s="30" t="n">
        <v>25</v>
      </c>
      <c r="O51" s="30" t="n">
        <v>5</v>
      </c>
      <c r="P51" s="30">
        <f>P36*N51</f>
        <v/>
      </c>
      <c r="Q51" s="30" t="n">
        <v>30</v>
      </c>
      <c r="R51" s="30" t="n">
        <v>30</v>
      </c>
      <c r="S51" s="32" t="n">
        <v>18.8</v>
      </c>
      <c r="T51" s="35">
        <f>IFERROR(IF(AND(Q51&gt;0,R51&gt;0,S51&gt;0),(Q51*R51*S51)/6000,""),"")</f>
        <v/>
      </c>
      <c r="U51" s="34">
        <f>IFERROR(IF(AND(Q51&gt;0,R51&gt;0,S51&gt;0),(Q51*R51*S51)/6000,""),"")</f>
        <v/>
      </c>
      <c r="V51" s="34">
        <f>IFERROR(IF(AND(P51&gt;0,U51&gt;0),MAX(P51,U51),IF(P51&gt;0,P51,IF(U51&gt;0,U51,""))),"")</f>
        <v/>
      </c>
      <c r="W51" s="40" t="n">
        <v>24.81</v>
      </c>
      <c r="X51" s="38" t="inlineStr">
        <is>
          <t>fornecedor</t>
        </is>
      </c>
      <c r="Y51" s="36">
        <f>Y36*N51</f>
        <v/>
      </c>
      <c r="Z51" s="39" t="n">
        <v>0.199999999999999</v>
      </c>
      <c r="AA51" s="41">
        <f>IFERROR(Y51+W51,"")</f>
        <v/>
      </c>
      <c r="AB51" s="41">
        <f>IFERROR(IF(Z51&lt;1,AA51/(1-Z51),""),"")</f>
        <v/>
      </c>
      <c r="AC51" s="43">
        <f>'01_CONFIG_GLOBAL'!$C$14</f>
        <v/>
      </c>
      <c r="AD51" s="41">
        <f>IFERROR(AB51*AC51,"")</f>
        <v/>
      </c>
      <c r="AE51" s="41">
        <f>IFERROR(IF(AC51&lt;1,AB51/(1-AC51),""),"")</f>
        <v/>
      </c>
      <c r="AF51" s="23" t="n"/>
      <c r="AG51" s="36" t="n"/>
      <c r="AH51" s="23" t="n"/>
      <c r="AI51" s="36" t="n"/>
      <c r="AJ51" s="23" t="n"/>
      <c r="AK51" s="36" t="n"/>
      <c r="AL51" s="41">
        <f>IFERROR(AVERAGE(AG51,AI51,AK51),"")</f>
        <v/>
      </c>
      <c r="AM51" s="29">
        <f>IFERROR(IF(AL51="","sem dados",IF(AE51&lt;AL51*0.95,"abaixo",IF(AE51&gt;AL51*1.05,"acima","em linha"))),"")</f>
        <v/>
      </c>
      <c r="AN51" s="23" t="inlineStr">
        <is>
          <t>sim</t>
        </is>
      </c>
      <c r="AO51" s="23" t="n"/>
      <c r="AP51" s="23" t="n"/>
      <c r="AQ51" s="23" t="n"/>
      <c r="AR51" s="23" t="inlineStr">
        <is>
          <t>Fotos: assets/AGCO_ACX3601860_ecommerce_1.png; assets/AGCO_ACX3601860_ecommerce_2.png</t>
        </is>
      </c>
      <c r="AS51" s="44">
        <f>IF(AND(N51&lt;&gt;"",N51&gt;1),A51&amp;"-KIT"&amp;N51,A51)</f>
        <v/>
      </c>
      <c r="AT51" s="44">
        <f>IF(AND(N51&lt;&gt;"",N51&gt;1),D51&amp;" — Kit "&amp;N51&amp;" unidades",D51)</f>
        <v/>
      </c>
      <c r="AU51" s="28" t="inlineStr">
        <is>
          <t>AGCO_ACX3601860_ecommerce_1.png | AGCO_ACX3601860_ecommerce_2.png</t>
        </is>
      </c>
    </row>
    <row r="52" ht="15.75" customHeight="1" s="9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54" t="n"/>
      <c r="O52" s="54" t="n"/>
      <c r="P52" s="54" t="n"/>
      <c r="Q52" s="55" t="n"/>
      <c r="R52" s="54" t="n"/>
      <c r="S52" s="55" t="n"/>
      <c r="T52" s="55" t="n"/>
      <c r="U52" s="55" t="n"/>
      <c r="V52" s="55" t="n"/>
      <c r="W52" s="56" t="n"/>
      <c r="X52" s="1" t="n"/>
      <c r="Y52" s="56" t="n"/>
      <c r="Z52" s="57" t="n"/>
      <c r="AA52" s="56" t="n"/>
      <c r="AB52" s="56" t="n"/>
      <c r="AC52" s="57" t="n"/>
      <c r="AD52" s="56" t="n"/>
      <c r="AE52" s="56" t="n"/>
      <c r="AF52" s="1" t="n"/>
      <c r="AG52" s="56" t="n"/>
      <c r="AH52" s="1" t="n"/>
      <c r="AI52" s="56" t="n"/>
      <c r="AJ52" s="1" t="n"/>
      <c r="AK52" s="56" t="n"/>
      <c r="AL52" s="56" t="n"/>
      <c r="AM52" s="1" t="n"/>
      <c r="AN52" s="1" t="n"/>
      <c r="AO52" s="1" t="n"/>
      <c r="AP52" s="1" t="n"/>
      <c r="AQ52" s="1" t="n"/>
      <c r="AR52" s="1" t="n"/>
    </row>
    <row r="53" ht="15.75" customHeight="1" s="9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54" t="n"/>
      <c r="O53" s="58" t="n"/>
      <c r="P53" s="54" t="n"/>
      <c r="Q53" s="55" t="n"/>
      <c r="R53" s="54" t="n"/>
      <c r="S53" s="55" t="n"/>
      <c r="T53" s="55" t="n"/>
      <c r="U53" s="55" t="n"/>
      <c r="V53" s="55" t="n"/>
      <c r="W53" s="56" t="n"/>
      <c r="X53" s="1" t="n"/>
      <c r="Y53" s="56" t="n"/>
      <c r="Z53" s="57" t="n"/>
      <c r="AA53" s="56" t="n"/>
      <c r="AB53" s="56" t="n"/>
      <c r="AC53" s="57" t="n"/>
      <c r="AD53" s="56" t="n"/>
      <c r="AE53" s="56" t="n"/>
      <c r="AF53" s="1" t="n"/>
      <c r="AG53" s="56" t="n"/>
      <c r="AH53" s="1" t="n"/>
      <c r="AI53" s="56" t="n"/>
      <c r="AJ53" s="1" t="n"/>
      <c r="AK53" s="56" t="n"/>
      <c r="AL53" s="56" t="n"/>
      <c r="AM53" s="1" t="n"/>
      <c r="AN53" s="1" t="n"/>
      <c r="AO53" s="1" t="n"/>
      <c r="AP53" s="1" t="n"/>
      <c r="AQ53" s="1" t="n"/>
      <c r="AR53" s="1" t="n"/>
    </row>
    <row r="54" ht="15.75" customHeight="1" s="9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54" t="n"/>
      <c r="O54" s="54" t="n"/>
      <c r="P54" s="54" t="n"/>
      <c r="Q54" s="55" t="n"/>
      <c r="R54" s="54" t="n"/>
      <c r="S54" s="55" t="n"/>
      <c r="T54" s="55" t="n"/>
      <c r="U54" s="55" t="n"/>
      <c r="V54" s="55" t="n"/>
      <c r="W54" s="56" t="n"/>
      <c r="X54" s="1" t="n"/>
      <c r="Y54" s="56" t="n"/>
      <c r="Z54" s="57" t="n"/>
      <c r="AA54" s="56" t="n"/>
      <c r="AB54" s="56" t="n"/>
      <c r="AC54" s="57" t="n"/>
      <c r="AD54" s="56" t="n"/>
      <c r="AE54" s="56" t="n"/>
      <c r="AF54" s="1" t="n"/>
      <c r="AG54" s="56" t="n"/>
      <c r="AH54" s="1" t="n"/>
      <c r="AI54" s="56" t="n"/>
      <c r="AJ54" s="1" t="n"/>
      <c r="AK54" s="56" t="n"/>
      <c r="AL54" s="56" t="n"/>
      <c r="AM54" s="1" t="n"/>
      <c r="AN54" s="1" t="n"/>
      <c r="AO54" s="1" t="n"/>
      <c r="AP54" s="1" t="n"/>
      <c r="AQ54" s="1" t="n"/>
      <c r="AR54" s="1" t="n"/>
    </row>
    <row r="55" ht="15.75" customHeight="1" s="9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54" t="n"/>
      <c r="O55" s="54" t="n"/>
      <c r="P55" s="54" t="n"/>
      <c r="Q55" s="55" t="n"/>
      <c r="R55" s="54" t="n"/>
      <c r="S55" s="55" t="n"/>
      <c r="T55" s="55" t="n"/>
      <c r="U55" s="55" t="n"/>
      <c r="V55" s="55" t="n"/>
      <c r="W55" s="56" t="n"/>
      <c r="X55" s="1" t="n"/>
      <c r="Y55" s="56" t="n"/>
      <c r="Z55" s="57" t="n"/>
      <c r="AA55" s="56" t="n"/>
      <c r="AB55" s="56" t="n"/>
      <c r="AC55" s="57" t="n"/>
      <c r="AD55" s="56" t="n"/>
      <c r="AE55" s="56" t="n"/>
      <c r="AF55" s="1" t="n"/>
      <c r="AG55" s="56" t="n"/>
      <c r="AH55" s="1" t="n"/>
      <c r="AI55" s="56" t="n"/>
      <c r="AJ55" s="1" t="n"/>
      <c r="AK55" s="56" t="n"/>
      <c r="AL55" s="56" t="n"/>
      <c r="AM55" s="1" t="n"/>
      <c r="AN55" s="1" t="n"/>
      <c r="AO55" s="1" t="n"/>
      <c r="AP55" s="1" t="n"/>
      <c r="AQ55" s="1" t="n"/>
      <c r="AR55" s="1" t="n"/>
    </row>
    <row r="56" ht="15.75" customHeight="1" s="9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54" t="n"/>
      <c r="O56" s="54" t="n"/>
      <c r="P56" s="54" t="n"/>
      <c r="Q56" s="55" t="n"/>
      <c r="R56" s="54" t="n"/>
      <c r="S56" s="55" t="n"/>
      <c r="T56" s="55" t="n"/>
      <c r="U56" s="55" t="n"/>
      <c r="V56" s="55" t="n"/>
      <c r="W56" s="56" t="n"/>
      <c r="X56" s="1" t="n"/>
      <c r="Y56" s="56" t="n"/>
      <c r="Z56" s="57" t="n"/>
      <c r="AA56" s="56" t="n"/>
      <c r="AB56" s="56" t="n"/>
      <c r="AC56" s="57" t="n"/>
      <c r="AD56" s="56" t="n"/>
      <c r="AE56" s="56" t="n"/>
      <c r="AF56" s="1" t="n"/>
      <c r="AG56" s="56" t="n"/>
      <c r="AH56" s="1" t="n"/>
      <c r="AI56" s="56" t="n"/>
      <c r="AJ56" s="1" t="n"/>
      <c r="AK56" s="56" t="n"/>
      <c r="AL56" s="56" t="n"/>
      <c r="AM56" s="1" t="n"/>
      <c r="AN56" s="1" t="n"/>
      <c r="AO56" s="1" t="n"/>
      <c r="AP56" s="1" t="n"/>
      <c r="AQ56" s="1" t="n"/>
      <c r="AR56" s="1" t="n"/>
    </row>
    <row r="57" ht="15.75" customHeight="1" s="9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54" t="n"/>
      <c r="O57" s="54" t="n"/>
      <c r="P57" s="54" t="n"/>
      <c r="Q57" s="55" t="n"/>
      <c r="R57" s="54" t="n"/>
      <c r="S57" s="55" t="n"/>
      <c r="T57" s="55" t="n"/>
      <c r="U57" s="55" t="n"/>
      <c r="V57" s="55" t="n"/>
      <c r="W57" s="56" t="n"/>
      <c r="X57" s="1" t="n"/>
      <c r="Y57" s="56" t="n"/>
      <c r="Z57" s="57" t="n"/>
      <c r="AA57" s="56" t="n"/>
      <c r="AB57" s="56" t="n"/>
      <c r="AC57" s="57" t="n"/>
      <c r="AD57" s="56" t="n"/>
      <c r="AE57" s="56" t="n"/>
      <c r="AF57" s="1" t="n"/>
      <c r="AG57" s="56" t="n"/>
      <c r="AH57" s="1" t="n"/>
      <c r="AI57" s="56" t="n"/>
      <c r="AJ57" s="1" t="n"/>
      <c r="AK57" s="56" t="n"/>
      <c r="AL57" s="56" t="n"/>
      <c r="AM57" s="1" t="n"/>
      <c r="AN57" s="1" t="n"/>
      <c r="AO57" s="1" t="n"/>
      <c r="AP57" s="1" t="n"/>
      <c r="AQ57" s="1" t="n"/>
      <c r="AR57" s="1" t="n"/>
    </row>
    <row r="58" ht="15.75" customHeight="1" s="9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54" t="n"/>
      <c r="O58" s="54" t="n"/>
      <c r="P58" s="54" t="n"/>
      <c r="Q58" s="55" t="n"/>
      <c r="R58" s="54" t="n"/>
      <c r="S58" s="55" t="n"/>
      <c r="T58" s="55" t="n"/>
      <c r="U58" s="55" t="n"/>
      <c r="V58" s="55" t="n"/>
      <c r="W58" s="56" t="n"/>
      <c r="X58" s="1" t="n"/>
      <c r="Y58" s="56" t="n"/>
      <c r="Z58" s="57" t="n"/>
      <c r="AA58" s="56" t="n"/>
      <c r="AB58" s="56" t="n"/>
      <c r="AC58" s="57" t="n"/>
      <c r="AD58" s="56" t="n"/>
      <c r="AE58" s="56" t="n"/>
      <c r="AF58" s="1" t="n"/>
      <c r="AG58" s="56" t="n"/>
      <c r="AH58" s="1" t="n"/>
      <c r="AI58" s="56" t="n"/>
      <c r="AJ58" s="1" t="n"/>
      <c r="AK58" s="56" t="n"/>
      <c r="AL58" s="56" t="n"/>
      <c r="AM58" s="1" t="n"/>
      <c r="AN58" s="1" t="n"/>
      <c r="AO58" s="1" t="n"/>
      <c r="AP58" s="1" t="n"/>
      <c r="AQ58" s="1" t="n"/>
      <c r="AR58" s="1" t="n"/>
    </row>
    <row r="59" ht="15.75" customHeight="1" s="9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54" t="n"/>
      <c r="O59" s="54" t="n"/>
      <c r="P59" s="54" t="n"/>
      <c r="Q59" s="55" t="n"/>
      <c r="R59" s="54" t="n"/>
      <c r="S59" s="55" t="n"/>
      <c r="T59" s="55" t="n"/>
      <c r="U59" s="55" t="n"/>
      <c r="V59" s="55" t="n"/>
      <c r="W59" s="56" t="n"/>
      <c r="X59" s="1" t="n"/>
      <c r="Y59" s="56" t="n"/>
      <c r="Z59" s="57" t="n"/>
      <c r="AA59" s="56" t="n"/>
      <c r="AB59" s="56" t="n"/>
      <c r="AC59" s="57" t="n"/>
      <c r="AD59" s="56" t="n"/>
      <c r="AE59" s="56" t="n"/>
      <c r="AF59" s="1" t="n"/>
      <c r="AG59" s="56" t="n"/>
      <c r="AH59" s="1" t="n"/>
      <c r="AI59" s="56" t="n"/>
      <c r="AJ59" s="1" t="n"/>
      <c r="AK59" s="56" t="n"/>
      <c r="AL59" s="56" t="n"/>
      <c r="AM59" s="1" t="n"/>
      <c r="AN59" s="1" t="n"/>
      <c r="AO59" s="1" t="n"/>
      <c r="AP59" s="1" t="n"/>
      <c r="AQ59" s="1" t="n"/>
      <c r="AR59" s="1" t="n"/>
    </row>
    <row r="60" ht="15.75" customHeight="1" s="9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54" t="n"/>
      <c r="O60" s="54" t="n"/>
      <c r="P60" s="54" t="n"/>
      <c r="Q60" s="55" t="n"/>
      <c r="R60" s="54" t="n"/>
      <c r="S60" s="55" t="n"/>
      <c r="T60" s="55" t="n"/>
      <c r="U60" s="55" t="n"/>
      <c r="V60" s="55" t="n"/>
      <c r="W60" s="56" t="n"/>
      <c r="X60" s="1" t="n"/>
      <c r="Y60" s="56" t="n"/>
      <c r="Z60" s="57" t="n"/>
      <c r="AA60" s="56" t="n"/>
      <c r="AB60" s="56" t="n"/>
      <c r="AC60" s="57" t="n"/>
      <c r="AD60" s="56" t="n"/>
      <c r="AE60" s="56" t="n"/>
      <c r="AF60" s="1" t="n"/>
      <c r="AG60" s="56" t="n"/>
      <c r="AH60" s="1" t="n"/>
      <c r="AI60" s="56" t="n"/>
      <c r="AJ60" s="1" t="n"/>
      <c r="AK60" s="56" t="n"/>
      <c r="AL60" s="56" t="n"/>
      <c r="AM60" s="1" t="n"/>
      <c r="AN60" s="1" t="n"/>
      <c r="AO60" s="1" t="n"/>
      <c r="AP60" s="1" t="n"/>
      <c r="AQ60" s="1" t="n"/>
      <c r="AR60" s="1" t="n"/>
    </row>
    <row r="61" ht="15.75" customHeight="1" s="9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54" t="n"/>
      <c r="O61" s="54" t="n"/>
      <c r="P61" s="54" t="n"/>
      <c r="Q61" s="55" t="n"/>
      <c r="R61" s="54" t="n"/>
      <c r="S61" s="55" t="n"/>
      <c r="T61" s="55" t="n"/>
      <c r="U61" s="55" t="n"/>
      <c r="V61" s="55" t="n"/>
      <c r="W61" s="56" t="n"/>
      <c r="X61" s="1" t="n"/>
      <c r="Y61" s="56" t="n"/>
      <c r="Z61" s="57" t="n"/>
      <c r="AA61" s="56" t="n"/>
      <c r="AB61" s="56" t="n"/>
      <c r="AC61" s="57" t="n"/>
      <c r="AD61" s="56" t="n"/>
      <c r="AE61" s="56" t="n"/>
      <c r="AF61" s="1" t="n"/>
      <c r="AG61" s="56" t="n"/>
      <c r="AH61" s="1" t="n"/>
      <c r="AI61" s="56" t="n"/>
      <c r="AJ61" s="1" t="n"/>
      <c r="AK61" s="56" t="n"/>
      <c r="AL61" s="56" t="n"/>
      <c r="AM61" s="1" t="n"/>
      <c r="AN61" s="1" t="n"/>
      <c r="AO61" s="1" t="n"/>
      <c r="AP61" s="1" t="n"/>
      <c r="AQ61" s="1" t="n"/>
      <c r="AR61" s="1" t="n"/>
    </row>
    <row r="62" ht="15.75" customHeight="1" s="9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54" t="n"/>
      <c r="O62" s="54" t="n"/>
      <c r="P62" s="54" t="n"/>
      <c r="Q62" s="55" t="n"/>
      <c r="R62" s="54" t="n"/>
      <c r="S62" s="55" t="n"/>
      <c r="T62" s="55" t="n"/>
      <c r="U62" s="55" t="n"/>
      <c r="V62" s="55" t="n"/>
      <c r="W62" s="56" t="n"/>
      <c r="X62" s="1" t="n"/>
      <c r="Y62" s="56" t="n"/>
      <c r="Z62" s="57" t="n"/>
      <c r="AA62" s="56" t="n"/>
      <c r="AB62" s="56" t="n"/>
      <c r="AC62" s="57" t="n"/>
      <c r="AD62" s="56" t="n"/>
      <c r="AE62" s="56" t="n"/>
      <c r="AF62" s="1" t="n"/>
      <c r="AG62" s="56" t="n"/>
      <c r="AH62" s="1" t="n"/>
      <c r="AI62" s="56" t="n"/>
      <c r="AJ62" s="1" t="n"/>
      <c r="AK62" s="56" t="n"/>
      <c r="AL62" s="56" t="n"/>
      <c r="AM62" s="1" t="n"/>
      <c r="AN62" s="1" t="n"/>
      <c r="AO62" s="1" t="n"/>
      <c r="AP62" s="1" t="n"/>
      <c r="AQ62" s="1" t="n"/>
      <c r="AR62" s="1" t="n"/>
    </row>
    <row r="63" ht="15.75" customHeight="1" s="9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54" t="n"/>
      <c r="O63" s="54" t="n"/>
      <c r="P63" s="54" t="n"/>
      <c r="Q63" s="55" t="n"/>
      <c r="R63" s="54" t="n"/>
      <c r="S63" s="55" t="n"/>
      <c r="T63" s="55" t="n"/>
      <c r="U63" s="55" t="n"/>
      <c r="V63" s="55" t="n"/>
      <c r="W63" s="56" t="n"/>
      <c r="X63" s="1" t="n"/>
      <c r="Y63" s="56" t="n"/>
      <c r="Z63" s="57" t="n"/>
      <c r="AA63" s="56" t="n"/>
      <c r="AB63" s="56" t="n"/>
      <c r="AC63" s="57" t="n"/>
      <c r="AD63" s="56" t="n"/>
      <c r="AE63" s="56" t="n"/>
      <c r="AF63" s="1" t="n"/>
      <c r="AG63" s="56" t="n"/>
      <c r="AH63" s="1" t="n"/>
      <c r="AI63" s="56" t="n"/>
      <c r="AJ63" s="1" t="n"/>
      <c r="AK63" s="56" t="n"/>
      <c r="AL63" s="56" t="n"/>
      <c r="AM63" s="1" t="n"/>
      <c r="AN63" s="1" t="n"/>
      <c r="AO63" s="1" t="n"/>
      <c r="AP63" s="1" t="n"/>
      <c r="AQ63" s="1" t="n"/>
      <c r="AR63" s="1" t="n"/>
    </row>
    <row r="64" ht="15.75" customHeight="1" s="9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54" t="n"/>
      <c r="O64" s="54" t="n"/>
      <c r="P64" s="54" t="n"/>
      <c r="Q64" s="55" t="n"/>
      <c r="R64" s="54" t="n"/>
      <c r="S64" s="55" t="n"/>
      <c r="T64" s="55" t="n"/>
      <c r="U64" s="55" t="n"/>
      <c r="V64" s="55" t="n"/>
      <c r="W64" s="56" t="n"/>
      <c r="X64" s="1" t="n"/>
      <c r="Y64" s="56" t="n"/>
      <c r="Z64" s="57" t="n"/>
      <c r="AA64" s="56" t="n"/>
      <c r="AB64" s="56" t="n"/>
      <c r="AC64" s="57" t="n"/>
      <c r="AD64" s="56" t="n"/>
      <c r="AE64" s="56" t="n"/>
      <c r="AF64" s="1" t="n"/>
      <c r="AG64" s="56" t="n"/>
      <c r="AH64" s="1" t="n"/>
      <c r="AI64" s="56" t="n"/>
      <c r="AJ64" s="1" t="n"/>
      <c r="AK64" s="56" t="n"/>
      <c r="AL64" s="56" t="n"/>
      <c r="AM64" s="1" t="n"/>
      <c r="AN64" s="1" t="n"/>
      <c r="AO64" s="1" t="n"/>
      <c r="AP64" s="1" t="n"/>
      <c r="AQ64" s="1" t="n"/>
      <c r="AR64" s="1" t="n"/>
    </row>
    <row r="65" ht="15.75" customHeight="1" s="9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54" t="n"/>
      <c r="O65" s="54" t="n"/>
      <c r="P65" s="54" t="n"/>
      <c r="Q65" s="55" t="n"/>
      <c r="R65" s="54" t="n"/>
      <c r="S65" s="55" t="n"/>
      <c r="T65" s="55" t="n"/>
      <c r="U65" s="55" t="n"/>
      <c r="V65" s="55" t="n"/>
      <c r="W65" s="56" t="n"/>
      <c r="X65" s="1" t="n"/>
      <c r="Y65" s="56" t="n"/>
      <c r="Z65" s="57" t="n"/>
      <c r="AA65" s="56" t="n"/>
      <c r="AB65" s="56" t="n"/>
      <c r="AC65" s="57" t="n"/>
      <c r="AD65" s="56" t="n"/>
      <c r="AE65" s="56" t="n"/>
      <c r="AF65" s="1" t="n"/>
      <c r="AG65" s="56" t="n"/>
      <c r="AH65" s="1" t="n"/>
      <c r="AI65" s="56" t="n"/>
      <c r="AJ65" s="1" t="n"/>
      <c r="AK65" s="56" t="n"/>
      <c r="AL65" s="56" t="n"/>
      <c r="AM65" s="1" t="n"/>
      <c r="AN65" s="1" t="n"/>
      <c r="AO65" s="1" t="n"/>
      <c r="AP65" s="1" t="n"/>
      <c r="AQ65" s="1" t="n"/>
      <c r="AR65" s="1" t="n"/>
    </row>
    <row r="66" ht="15.75" customHeight="1" s="9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54" t="n"/>
      <c r="O66" s="54" t="n"/>
      <c r="P66" s="54" t="n"/>
      <c r="Q66" s="55" t="n"/>
      <c r="R66" s="54" t="n"/>
      <c r="S66" s="55" t="n"/>
      <c r="T66" s="55" t="n"/>
      <c r="U66" s="55" t="n"/>
      <c r="V66" s="55" t="n"/>
      <c r="W66" s="56" t="n"/>
      <c r="X66" s="1" t="n"/>
      <c r="Y66" s="56" t="n"/>
      <c r="Z66" s="57" t="n"/>
      <c r="AA66" s="56" t="n"/>
      <c r="AB66" s="56" t="n"/>
      <c r="AC66" s="57" t="n"/>
      <c r="AD66" s="56" t="n"/>
      <c r="AE66" s="56" t="n"/>
      <c r="AF66" s="1" t="n"/>
      <c r="AG66" s="56" t="n"/>
      <c r="AH66" s="1" t="n"/>
      <c r="AI66" s="56" t="n"/>
      <c r="AJ66" s="1" t="n"/>
      <c r="AK66" s="56" t="n"/>
      <c r="AL66" s="56" t="n"/>
      <c r="AM66" s="1" t="n"/>
      <c r="AN66" s="1" t="n"/>
      <c r="AO66" s="1" t="n"/>
      <c r="AP66" s="1" t="n"/>
      <c r="AQ66" s="1" t="n"/>
      <c r="AR66" s="1" t="n"/>
    </row>
    <row r="67" ht="15.75" customHeight="1" s="9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54" t="n"/>
      <c r="O67" s="54" t="n"/>
      <c r="P67" s="54" t="n"/>
      <c r="Q67" s="55" t="n"/>
      <c r="R67" s="54" t="n"/>
      <c r="S67" s="55" t="n"/>
      <c r="T67" s="55" t="n"/>
      <c r="U67" s="55" t="n"/>
      <c r="V67" s="55" t="n"/>
      <c r="W67" s="56" t="n"/>
      <c r="X67" s="1" t="n"/>
      <c r="Y67" s="56" t="n"/>
      <c r="Z67" s="57" t="n"/>
      <c r="AA67" s="56" t="n"/>
      <c r="AB67" s="56" t="n"/>
      <c r="AC67" s="57" t="n"/>
      <c r="AD67" s="56" t="n"/>
      <c r="AE67" s="56" t="n"/>
      <c r="AF67" s="1" t="n"/>
      <c r="AG67" s="56" t="n"/>
      <c r="AH67" s="1" t="n"/>
      <c r="AI67" s="56" t="n"/>
      <c r="AJ67" s="1" t="n"/>
      <c r="AK67" s="56" t="n"/>
      <c r="AL67" s="56" t="n"/>
      <c r="AM67" s="1" t="n"/>
      <c r="AN67" s="1" t="n"/>
      <c r="AO67" s="1" t="n"/>
      <c r="AP67" s="1" t="n"/>
      <c r="AQ67" s="1" t="n"/>
      <c r="AR67" s="1" t="n"/>
    </row>
    <row r="68" ht="15.75" customHeight="1" s="9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54" t="n"/>
      <c r="O68" s="54" t="n"/>
      <c r="P68" s="54" t="n"/>
      <c r="Q68" s="55" t="n"/>
      <c r="R68" s="54" t="n"/>
      <c r="S68" s="55" t="n"/>
      <c r="T68" s="55" t="n"/>
      <c r="U68" s="55" t="n"/>
      <c r="V68" s="55" t="n"/>
      <c r="W68" s="56" t="n"/>
      <c r="X68" s="1" t="n"/>
      <c r="Y68" s="56" t="n"/>
      <c r="Z68" s="57" t="n"/>
      <c r="AA68" s="56" t="n"/>
      <c r="AB68" s="56" t="n"/>
      <c r="AC68" s="57" t="n"/>
      <c r="AD68" s="56" t="n"/>
      <c r="AE68" s="56" t="n"/>
      <c r="AF68" s="1" t="n"/>
      <c r="AG68" s="56" t="n"/>
      <c r="AH68" s="1" t="n"/>
      <c r="AI68" s="56" t="n"/>
      <c r="AJ68" s="1" t="n"/>
      <c r="AK68" s="56" t="n"/>
      <c r="AL68" s="56" t="n"/>
      <c r="AM68" s="1" t="n"/>
      <c r="AN68" s="1" t="n"/>
      <c r="AO68" s="1" t="n"/>
      <c r="AP68" s="1" t="n"/>
      <c r="AQ68" s="1" t="n"/>
      <c r="AR68" s="1" t="n"/>
    </row>
    <row r="69" ht="15.75" customHeight="1" s="9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54" t="n"/>
      <c r="O69" s="54" t="n"/>
      <c r="P69" s="54" t="n"/>
      <c r="Q69" s="55" t="n"/>
      <c r="R69" s="54" t="n"/>
      <c r="S69" s="55" t="n"/>
      <c r="T69" s="55" t="n"/>
      <c r="U69" s="55" t="n"/>
      <c r="V69" s="55" t="n"/>
      <c r="W69" s="56" t="n"/>
      <c r="X69" s="1" t="n"/>
      <c r="Y69" s="56" t="n"/>
      <c r="Z69" s="57" t="n"/>
      <c r="AA69" s="56" t="n"/>
      <c r="AB69" s="56" t="n"/>
      <c r="AC69" s="57" t="n"/>
      <c r="AD69" s="56" t="n"/>
      <c r="AE69" s="56" t="n"/>
      <c r="AF69" s="1" t="n"/>
      <c r="AG69" s="56" t="n"/>
      <c r="AH69" s="1" t="n"/>
      <c r="AI69" s="56" t="n"/>
      <c r="AJ69" s="1" t="n"/>
      <c r="AK69" s="56" t="n"/>
      <c r="AL69" s="56" t="n"/>
      <c r="AM69" s="1" t="n"/>
      <c r="AN69" s="1" t="n"/>
      <c r="AO69" s="1" t="n"/>
      <c r="AP69" s="1" t="n"/>
      <c r="AQ69" s="1" t="n"/>
      <c r="AR69" s="1" t="n"/>
    </row>
    <row r="70" ht="15.75" customHeight="1" s="9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54" t="n"/>
      <c r="O70" s="54" t="n"/>
      <c r="P70" s="54" t="n"/>
      <c r="Q70" s="55" t="n"/>
      <c r="R70" s="54" t="n"/>
      <c r="S70" s="55" t="n"/>
      <c r="T70" s="55" t="n"/>
      <c r="U70" s="55" t="n"/>
      <c r="V70" s="55" t="n"/>
      <c r="W70" s="56" t="n"/>
      <c r="X70" s="1" t="n"/>
      <c r="Y70" s="56" t="n"/>
      <c r="Z70" s="57" t="n"/>
      <c r="AA70" s="56" t="n"/>
      <c r="AB70" s="56" t="n"/>
      <c r="AC70" s="57" t="n"/>
      <c r="AD70" s="56" t="n"/>
      <c r="AE70" s="56" t="n"/>
      <c r="AF70" s="1" t="n"/>
      <c r="AG70" s="56" t="n"/>
      <c r="AH70" s="1" t="n"/>
      <c r="AI70" s="56" t="n"/>
      <c r="AJ70" s="1" t="n"/>
      <c r="AK70" s="56" t="n"/>
      <c r="AL70" s="56" t="n"/>
      <c r="AM70" s="1" t="n"/>
      <c r="AN70" s="1" t="n"/>
      <c r="AO70" s="1" t="n"/>
      <c r="AP70" s="1" t="n"/>
      <c r="AQ70" s="1" t="n"/>
      <c r="AR70" s="1" t="n"/>
    </row>
    <row r="71" ht="15.75" customHeight="1" s="9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54" t="n"/>
      <c r="O71" s="54" t="n"/>
      <c r="P71" s="54" t="n"/>
      <c r="Q71" s="55" t="n"/>
      <c r="R71" s="54" t="n"/>
      <c r="S71" s="55" t="n"/>
      <c r="T71" s="55" t="n"/>
      <c r="U71" s="55" t="n"/>
      <c r="V71" s="55" t="n"/>
      <c r="W71" s="56" t="n"/>
      <c r="X71" s="1" t="n"/>
      <c r="Y71" s="56" t="n"/>
      <c r="Z71" s="57" t="n"/>
      <c r="AA71" s="56" t="n"/>
      <c r="AB71" s="56" t="n"/>
      <c r="AC71" s="57" t="n"/>
      <c r="AD71" s="56" t="n"/>
      <c r="AE71" s="56" t="n"/>
      <c r="AF71" s="1" t="n"/>
      <c r="AG71" s="56" t="n"/>
      <c r="AH71" s="1" t="n"/>
      <c r="AI71" s="56" t="n"/>
      <c r="AJ71" s="1" t="n"/>
      <c r="AK71" s="56" t="n"/>
      <c r="AL71" s="56" t="n"/>
      <c r="AM71" s="1" t="n"/>
      <c r="AN71" s="1" t="n"/>
      <c r="AO71" s="1" t="n"/>
      <c r="AP71" s="1" t="n"/>
      <c r="AQ71" s="1" t="n"/>
      <c r="AR71" s="1" t="n"/>
    </row>
    <row r="72" ht="15.75" customHeight="1" s="9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54" t="n"/>
      <c r="O72" s="54" t="n"/>
      <c r="P72" s="54" t="n"/>
      <c r="Q72" s="55" t="n"/>
      <c r="R72" s="54" t="n"/>
      <c r="S72" s="55" t="n"/>
      <c r="T72" s="55" t="n"/>
      <c r="U72" s="55" t="n"/>
      <c r="V72" s="55" t="n"/>
      <c r="W72" s="56" t="n"/>
      <c r="X72" s="1" t="n"/>
      <c r="Y72" s="56" t="n"/>
      <c r="Z72" s="57" t="n"/>
      <c r="AA72" s="56" t="n"/>
      <c r="AB72" s="56" t="n"/>
      <c r="AC72" s="57" t="n"/>
      <c r="AD72" s="56" t="n"/>
      <c r="AE72" s="56" t="n"/>
      <c r="AF72" s="1" t="n"/>
      <c r="AG72" s="56" t="n"/>
      <c r="AH72" s="1" t="n"/>
      <c r="AI72" s="56" t="n"/>
      <c r="AJ72" s="1" t="n"/>
      <c r="AK72" s="56" t="n"/>
      <c r="AL72" s="56" t="n"/>
      <c r="AM72" s="1" t="n"/>
      <c r="AN72" s="1" t="n"/>
      <c r="AO72" s="1" t="n"/>
      <c r="AP72" s="1" t="n"/>
      <c r="AQ72" s="1" t="n"/>
      <c r="AR72" s="1" t="n"/>
    </row>
    <row r="73" ht="15.75" customHeight="1" s="9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54" t="n"/>
      <c r="O73" s="54" t="n"/>
      <c r="P73" s="54" t="n"/>
      <c r="Q73" s="55" t="n"/>
      <c r="R73" s="54" t="n"/>
      <c r="S73" s="55" t="n"/>
      <c r="T73" s="55" t="n"/>
      <c r="U73" s="55" t="n"/>
      <c r="V73" s="55" t="n"/>
      <c r="W73" s="56" t="n"/>
      <c r="X73" s="1" t="n"/>
      <c r="Y73" s="56" t="n"/>
      <c r="Z73" s="57" t="n"/>
      <c r="AA73" s="56" t="n"/>
      <c r="AB73" s="56" t="n"/>
      <c r="AC73" s="57" t="n"/>
      <c r="AD73" s="56" t="n"/>
      <c r="AE73" s="56" t="n"/>
      <c r="AF73" s="1" t="n"/>
      <c r="AG73" s="56" t="n"/>
      <c r="AH73" s="1" t="n"/>
      <c r="AI73" s="56" t="n"/>
      <c r="AJ73" s="1" t="n"/>
      <c r="AK73" s="56" t="n"/>
      <c r="AL73" s="56" t="n"/>
      <c r="AM73" s="1" t="n"/>
      <c r="AN73" s="1" t="n"/>
      <c r="AO73" s="1" t="n"/>
      <c r="AP73" s="1" t="n"/>
      <c r="AQ73" s="1" t="n"/>
      <c r="AR73" s="1" t="n"/>
    </row>
    <row r="74" ht="15.75" customHeight="1" s="9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54" t="n"/>
      <c r="O74" s="54" t="n"/>
      <c r="P74" s="54" t="n"/>
      <c r="Q74" s="55" t="n"/>
      <c r="R74" s="54" t="n"/>
      <c r="S74" s="55" t="n"/>
      <c r="T74" s="55" t="n"/>
      <c r="U74" s="55" t="n"/>
      <c r="V74" s="55" t="n"/>
      <c r="W74" s="56" t="n"/>
      <c r="X74" s="1" t="n"/>
      <c r="Y74" s="56" t="n"/>
      <c r="Z74" s="57" t="n"/>
      <c r="AA74" s="56" t="n"/>
      <c r="AB74" s="56" t="n"/>
      <c r="AC74" s="57" t="n"/>
      <c r="AD74" s="56" t="n"/>
      <c r="AE74" s="56" t="n"/>
      <c r="AF74" s="1" t="n"/>
      <c r="AG74" s="56" t="n"/>
      <c r="AH74" s="1" t="n"/>
      <c r="AI74" s="56" t="n"/>
      <c r="AJ74" s="1" t="n"/>
      <c r="AK74" s="56" t="n"/>
      <c r="AL74" s="56" t="n"/>
      <c r="AM74" s="1" t="n"/>
      <c r="AN74" s="1" t="n"/>
      <c r="AO74" s="1" t="n"/>
      <c r="AP74" s="1" t="n"/>
      <c r="AQ74" s="1" t="n"/>
      <c r="AR74" s="1" t="n"/>
    </row>
    <row r="75" ht="15.75" customHeight="1" s="9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54" t="n"/>
      <c r="O75" s="54" t="n"/>
      <c r="P75" s="54" t="n"/>
      <c r="Q75" s="55" t="n"/>
      <c r="R75" s="54" t="n"/>
      <c r="S75" s="55" t="n"/>
      <c r="T75" s="55" t="n"/>
      <c r="U75" s="55" t="n"/>
      <c r="V75" s="55" t="n"/>
      <c r="W75" s="56" t="n"/>
      <c r="X75" s="1" t="n"/>
      <c r="Y75" s="56" t="n"/>
      <c r="Z75" s="57" t="n"/>
      <c r="AA75" s="56" t="n"/>
      <c r="AB75" s="56" t="n"/>
      <c r="AC75" s="57" t="n"/>
      <c r="AD75" s="56" t="n"/>
      <c r="AE75" s="56" t="n"/>
      <c r="AF75" s="1" t="n"/>
      <c r="AG75" s="56" t="n"/>
      <c r="AH75" s="1" t="n"/>
      <c r="AI75" s="56" t="n"/>
      <c r="AJ75" s="1" t="n"/>
      <c r="AK75" s="56" t="n"/>
      <c r="AL75" s="56" t="n"/>
      <c r="AM75" s="1" t="n"/>
      <c r="AN75" s="1" t="n"/>
      <c r="AO75" s="1" t="n"/>
      <c r="AP75" s="1" t="n"/>
      <c r="AQ75" s="1" t="n"/>
      <c r="AR75" s="1" t="n"/>
    </row>
    <row r="76" ht="15.75" customHeight="1" s="9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54" t="n"/>
      <c r="O76" s="54" t="n"/>
      <c r="P76" s="54" t="n"/>
      <c r="Q76" s="55" t="n"/>
      <c r="R76" s="54" t="n"/>
      <c r="S76" s="55" t="n"/>
      <c r="T76" s="55" t="n"/>
      <c r="U76" s="55" t="n"/>
      <c r="V76" s="55" t="n"/>
      <c r="W76" s="56" t="n"/>
      <c r="X76" s="1" t="n"/>
      <c r="Y76" s="56" t="n"/>
      <c r="Z76" s="57" t="n"/>
      <c r="AA76" s="56" t="n"/>
      <c r="AB76" s="56" t="n"/>
      <c r="AC76" s="57" t="n"/>
      <c r="AD76" s="56" t="n"/>
      <c r="AE76" s="56" t="n"/>
      <c r="AF76" s="1" t="n"/>
      <c r="AG76" s="56" t="n"/>
      <c r="AH76" s="1" t="n"/>
      <c r="AI76" s="56" t="n"/>
      <c r="AJ76" s="1" t="n"/>
      <c r="AK76" s="56" t="n"/>
      <c r="AL76" s="56" t="n"/>
      <c r="AM76" s="1" t="n"/>
      <c r="AN76" s="1" t="n"/>
      <c r="AO76" s="1" t="n"/>
      <c r="AP76" s="1" t="n"/>
      <c r="AQ76" s="1" t="n"/>
      <c r="AR76" s="1" t="n"/>
    </row>
    <row r="77" ht="15.75" customHeight="1" s="9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54" t="n"/>
      <c r="O77" s="54" t="n"/>
      <c r="P77" s="54" t="n"/>
      <c r="Q77" s="55" t="n"/>
      <c r="R77" s="54" t="n"/>
      <c r="S77" s="55" t="n"/>
      <c r="T77" s="55" t="n"/>
      <c r="U77" s="55" t="n"/>
      <c r="V77" s="55" t="n"/>
      <c r="W77" s="56" t="n"/>
      <c r="X77" s="1" t="n"/>
      <c r="Y77" s="56" t="n"/>
      <c r="Z77" s="57" t="n"/>
      <c r="AA77" s="56" t="n"/>
      <c r="AB77" s="56" t="n"/>
      <c r="AC77" s="57" t="n"/>
      <c r="AD77" s="56" t="n"/>
      <c r="AE77" s="56" t="n"/>
      <c r="AF77" s="1" t="n"/>
      <c r="AG77" s="56" t="n"/>
      <c r="AH77" s="1" t="n"/>
      <c r="AI77" s="56" t="n"/>
      <c r="AJ77" s="1" t="n"/>
      <c r="AK77" s="56" t="n"/>
      <c r="AL77" s="56" t="n"/>
      <c r="AM77" s="1" t="n"/>
      <c r="AN77" s="1" t="n"/>
      <c r="AO77" s="1" t="n"/>
      <c r="AP77" s="1" t="n"/>
      <c r="AQ77" s="1" t="n"/>
      <c r="AR77" s="1" t="n"/>
    </row>
    <row r="78" ht="15.75" customHeight="1" s="9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54" t="n"/>
      <c r="O78" s="54" t="n"/>
      <c r="P78" s="54" t="n"/>
      <c r="Q78" s="55" t="n"/>
      <c r="R78" s="54" t="n"/>
      <c r="S78" s="55" t="n"/>
      <c r="T78" s="55" t="n"/>
      <c r="U78" s="55" t="n"/>
      <c r="V78" s="55" t="n"/>
      <c r="W78" s="56" t="n"/>
      <c r="X78" s="1" t="n"/>
      <c r="Y78" s="56" t="n"/>
      <c r="Z78" s="57" t="n"/>
      <c r="AA78" s="56" t="n"/>
      <c r="AB78" s="56" t="n"/>
      <c r="AC78" s="57" t="n"/>
      <c r="AD78" s="56" t="n"/>
      <c r="AE78" s="56" t="n"/>
      <c r="AF78" s="1" t="n"/>
      <c r="AG78" s="56" t="n"/>
      <c r="AH78" s="1" t="n"/>
      <c r="AI78" s="56" t="n"/>
      <c r="AJ78" s="1" t="n"/>
      <c r="AK78" s="56" t="n"/>
      <c r="AL78" s="56" t="n"/>
      <c r="AM78" s="1" t="n"/>
      <c r="AN78" s="1" t="n"/>
      <c r="AO78" s="1" t="n"/>
      <c r="AP78" s="1" t="n"/>
      <c r="AQ78" s="1" t="n"/>
      <c r="AR78" s="1" t="n"/>
    </row>
    <row r="79" ht="15.75" customHeight="1" s="9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54" t="n"/>
      <c r="O79" s="54" t="n"/>
      <c r="P79" s="54" t="n"/>
      <c r="Q79" s="55" t="n"/>
      <c r="R79" s="54" t="n"/>
      <c r="S79" s="55" t="n"/>
      <c r="T79" s="55" t="n"/>
      <c r="U79" s="55" t="n"/>
      <c r="V79" s="55" t="n"/>
      <c r="W79" s="56" t="n"/>
      <c r="X79" s="1" t="n"/>
      <c r="Y79" s="56" t="n"/>
      <c r="Z79" s="57" t="n"/>
      <c r="AA79" s="56" t="n"/>
      <c r="AB79" s="56" t="n"/>
      <c r="AC79" s="57" t="n"/>
      <c r="AD79" s="56" t="n"/>
      <c r="AE79" s="56" t="n"/>
      <c r="AF79" s="1" t="n"/>
      <c r="AG79" s="56" t="n"/>
      <c r="AH79" s="1" t="n"/>
      <c r="AI79" s="56" t="n"/>
      <c r="AJ79" s="1" t="n"/>
      <c r="AK79" s="56" t="n"/>
      <c r="AL79" s="56" t="n"/>
      <c r="AM79" s="1" t="n"/>
      <c r="AN79" s="1" t="n"/>
      <c r="AO79" s="1" t="n"/>
      <c r="AP79" s="1" t="n"/>
      <c r="AQ79" s="1" t="n"/>
      <c r="AR79" s="1" t="n"/>
    </row>
    <row r="80" ht="15.75" customHeight="1" s="9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54" t="n"/>
      <c r="O80" s="54" t="n"/>
      <c r="P80" s="54" t="n"/>
      <c r="Q80" s="55" t="n"/>
      <c r="R80" s="54" t="n"/>
      <c r="S80" s="55" t="n"/>
      <c r="T80" s="55" t="n"/>
      <c r="U80" s="55" t="n"/>
      <c r="V80" s="55" t="n"/>
      <c r="W80" s="56" t="n"/>
      <c r="X80" s="1" t="n"/>
      <c r="Y80" s="56" t="n"/>
      <c r="Z80" s="57" t="n"/>
      <c r="AA80" s="56" t="n"/>
      <c r="AB80" s="56" t="n"/>
      <c r="AC80" s="57" t="n"/>
      <c r="AD80" s="56" t="n"/>
      <c r="AE80" s="56" t="n"/>
      <c r="AF80" s="1" t="n"/>
      <c r="AG80" s="56" t="n"/>
      <c r="AH80" s="1" t="n"/>
      <c r="AI80" s="56" t="n"/>
      <c r="AJ80" s="1" t="n"/>
      <c r="AK80" s="56" t="n"/>
      <c r="AL80" s="56" t="n"/>
      <c r="AM80" s="1" t="n"/>
      <c r="AN80" s="1" t="n"/>
      <c r="AO80" s="1" t="n"/>
      <c r="AP80" s="1" t="n"/>
      <c r="AQ80" s="1" t="n"/>
      <c r="AR80" s="1" t="n"/>
    </row>
    <row r="81" ht="15.75" customHeight="1" s="9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54" t="n"/>
      <c r="O81" s="54" t="n"/>
      <c r="P81" s="54" t="n"/>
      <c r="Q81" s="55" t="n"/>
      <c r="R81" s="54" t="n"/>
      <c r="S81" s="55" t="n"/>
      <c r="T81" s="55" t="n"/>
      <c r="U81" s="55" t="n"/>
      <c r="V81" s="55" t="n"/>
      <c r="W81" s="56" t="n"/>
      <c r="X81" s="1" t="n"/>
      <c r="Y81" s="56" t="n"/>
      <c r="Z81" s="57" t="n"/>
      <c r="AA81" s="56" t="n"/>
      <c r="AB81" s="56" t="n"/>
      <c r="AC81" s="57" t="n"/>
      <c r="AD81" s="56" t="n"/>
      <c r="AE81" s="56" t="n"/>
      <c r="AF81" s="1" t="n"/>
      <c r="AG81" s="56" t="n"/>
      <c r="AH81" s="1" t="n"/>
      <c r="AI81" s="56" t="n"/>
      <c r="AJ81" s="1" t="n"/>
      <c r="AK81" s="56" t="n"/>
      <c r="AL81" s="56" t="n"/>
      <c r="AM81" s="1" t="n"/>
      <c r="AN81" s="1" t="n"/>
      <c r="AO81" s="1" t="n"/>
      <c r="AP81" s="1" t="n"/>
      <c r="AQ81" s="1" t="n"/>
      <c r="AR81" s="1" t="n"/>
    </row>
    <row r="82" ht="15.75" customHeight="1" s="9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54" t="n"/>
      <c r="O82" s="54" t="n"/>
      <c r="P82" s="54" t="n"/>
      <c r="Q82" s="55" t="n"/>
      <c r="R82" s="54" t="n"/>
      <c r="S82" s="55" t="n"/>
      <c r="T82" s="55" t="n"/>
      <c r="U82" s="55" t="n"/>
      <c r="V82" s="55" t="n"/>
      <c r="W82" s="56" t="n"/>
      <c r="X82" s="1" t="n"/>
      <c r="Y82" s="56" t="n"/>
      <c r="Z82" s="57" t="n"/>
      <c r="AA82" s="56" t="n"/>
      <c r="AB82" s="56" t="n"/>
      <c r="AC82" s="57" t="n"/>
      <c r="AD82" s="56" t="n"/>
      <c r="AE82" s="56" t="n"/>
      <c r="AF82" s="1" t="n"/>
      <c r="AG82" s="56" t="n"/>
      <c r="AH82" s="1" t="n"/>
      <c r="AI82" s="56" t="n"/>
      <c r="AJ82" s="1" t="n"/>
      <c r="AK82" s="56" t="n"/>
      <c r="AL82" s="56" t="n"/>
      <c r="AM82" s="1" t="n"/>
      <c r="AN82" s="1" t="n"/>
      <c r="AO82" s="1" t="n"/>
      <c r="AP82" s="1" t="n"/>
      <c r="AQ82" s="1" t="n"/>
      <c r="AR82" s="1" t="n"/>
    </row>
    <row r="83" ht="15.75" customHeight="1" s="9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54" t="n"/>
      <c r="O83" s="54" t="n"/>
      <c r="P83" s="54" t="n"/>
      <c r="Q83" s="55" t="n"/>
      <c r="R83" s="54" t="n"/>
      <c r="S83" s="55" t="n"/>
      <c r="T83" s="55" t="n"/>
      <c r="U83" s="55" t="n"/>
      <c r="V83" s="55" t="n"/>
      <c r="W83" s="56" t="n"/>
      <c r="X83" s="1" t="n"/>
      <c r="Y83" s="56" t="n"/>
      <c r="Z83" s="57" t="n"/>
      <c r="AA83" s="56" t="n"/>
      <c r="AB83" s="56" t="n"/>
      <c r="AC83" s="57" t="n"/>
      <c r="AD83" s="56" t="n"/>
      <c r="AE83" s="56" t="n"/>
      <c r="AF83" s="1" t="n"/>
      <c r="AG83" s="56" t="n"/>
      <c r="AH83" s="1" t="n"/>
      <c r="AI83" s="56" t="n"/>
      <c r="AJ83" s="1" t="n"/>
      <c r="AK83" s="56" t="n"/>
      <c r="AL83" s="56" t="n"/>
      <c r="AM83" s="1" t="n"/>
      <c r="AN83" s="1" t="n"/>
      <c r="AO83" s="1" t="n"/>
      <c r="AP83" s="1" t="n"/>
      <c r="AQ83" s="1" t="n"/>
      <c r="AR83" s="1" t="n"/>
    </row>
    <row r="84" ht="15.75" customHeight="1" s="9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54" t="n"/>
      <c r="O84" s="54" t="n"/>
      <c r="P84" s="54" t="n"/>
      <c r="Q84" s="55" t="n"/>
      <c r="R84" s="54" t="n"/>
      <c r="S84" s="55" t="n"/>
      <c r="T84" s="55" t="n"/>
      <c r="U84" s="55" t="n"/>
      <c r="V84" s="55" t="n"/>
      <c r="W84" s="56" t="n"/>
      <c r="X84" s="1" t="n"/>
      <c r="Y84" s="56" t="n"/>
      <c r="Z84" s="57" t="n"/>
      <c r="AA84" s="56" t="n"/>
      <c r="AB84" s="56" t="n"/>
      <c r="AC84" s="57" t="n"/>
      <c r="AD84" s="56" t="n"/>
      <c r="AE84" s="56" t="n"/>
      <c r="AF84" s="1" t="n"/>
      <c r="AG84" s="56" t="n"/>
      <c r="AH84" s="1" t="n"/>
      <c r="AI84" s="56" t="n"/>
      <c r="AJ84" s="1" t="n"/>
      <c r="AK84" s="56" t="n"/>
      <c r="AL84" s="56" t="n"/>
      <c r="AM84" s="1" t="n"/>
      <c r="AN84" s="1" t="n"/>
      <c r="AO84" s="1" t="n"/>
      <c r="AP84" s="1" t="n"/>
      <c r="AQ84" s="1" t="n"/>
      <c r="AR84" s="1" t="n"/>
    </row>
    <row r="85" ht="15.75" customHeight="1" s="9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54" t="n"/>
      <c r="O85" s="54" t="n"/>
      <c r="P85" s="54" t="n"/>
      <c r="Q85" s="55" t="n"/>
      <c r="R85" s="54" t="n"/>
      <c r="S85" s="55" t="n"/>
      <c r="T85" s="55" t="n"/>
      <c r="U85" s="55" t="n"/>
      <c r="V85" s="55" t="n"/>
      <c r="W85" s="56" t="n"/>
      <c r="X85" s="1" t="n"/>
      <c r="Y85" s="56" t="n"/>
      <c r="Z85" s="57" t="n"/>
      <c r="AA85" s="56" t="n"/>
      <c r="AB85" s="56" t="n"/>
      <c r="AC85" s="57" t="n"/>
      <c r="AD85" s="56" t="n"/>
      <c r="AE85" s="56" t="n"/>
      <c r="AF85" s="1" t="n"/>
      <c r="AG85" s="56" t="n"/>
      <c r="AH85" s="1" t="n"/>
      <c r="AI85" s="56" t="n"/>
      <c r="AJ85" s="1" t="n"/>
      <c r="AK85" s="56" t="n"/>
      <c r="AL85" s="56" t="n"/>
      <c r="AM85" s="1" t="n"/>
      <c r="AN85" s="1" t="n"/>
      <c r="AO85" s="1" t="n"/>
      <c r="AP85" s="1" t="n"/>
      <c r="AQ85" s="1" t="n"/>
      <c r="AR85" s="1" t="n"/>
    </row>
    <row r="86" ht="15.75" customHeight="1" s="9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54" t="n"/>
      <c r="O86" s="54" t="n"/>
      <c r="P86" s="54" t="n"/>
      <c r="Q86" s="55" t="n"/>
      <c r="R86" s="54" t="n"/>
      <c r="S86" s="55" t="n"/>
      <c r="T86" s="55" t="n"/>
      <c r="U86" s="55" t="n"/>
      <c r="V86" s="55" t="n"/>
      <c r="W86" s="56" t="n"/>
      <c r="X86" s="1" t="n"/>
      <c r="Y86" s="56" t="n"/>
      <c r="Z86" s="57" t="n"/>
      <c r="AA86" s="56" t="n"/>
      <c r="AB86" s="56" t="n"/>
      <c r="AC86" s="57" t="n"/>
      <c r="AD86" s="56" t="n"/>
      <c r="AE86" s="56" t="n"/>
      <c r="AF86" s="1" t="n"/>
      <c r="AG86" s="56" t="n"/>
      <c r="AH86" s="1" t="n"/>
      <c r="AI86" s="56" t="n"/>
      <c r="AJ86" s="1" t="n"/>
      <c r="AK86" s="56" t="n"/>
      <c r="AL86" s="56" t="n"/>
      <c r="AM86" s="1" t="n"/>
      <c r="AN86" s="1" t="n"/>
      <c r="AO86" s="1" t="n"/>
      <c r="AP86" s="1" t="n"/>
      <c r="AQ86" s="1" t="n"/>
      <c r="AR86" s="1" t="n"/>
    </row>
    <row r="87" ht="15.75" customHeight="1" s="9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54" t="n"/>
      <c r="O87" s="54" t="n"/>
      <c r="P87" s="54" t="n"/>
      <c r="Q87" s="55" t="n"/>
      <c r="R87" s="54" t="n"/>
      <c r="S87" s="55" t="n"/>
      <c r="T87" s="55" t="n"/>
      <c r="U87" s="55" t="n"/>
      <c r="V87" s="55" t="n"/>
      <c r="W87" s="56" t="n"/>
      <c r="X87" s="1" t="n"/>
      <c r="Y87" s="56" t="n"/>
      <c r="Z87" s="57" t="n"/>
      <c r="AA87" s="56" t="n"/>
      <c r="AB87" s="56" t="n"/>
      <c r="AC87" s="57" t="n"/>
      <c r="AD87" s="56" t="n"/>
      <c r="AE87" s="56" t="n"/>
      <c r="AF87" s="1" t="n"/>
      <c r="AG87" s="56" t="n"/>
      <c r="AH87" s="1" t="n"/>
      <c r="AI87" s="56" t="n"/>
      <c r="AJ87" s="1" t="n"/>
      <c r="AK87" s="56" t="n"/>
      <c r="AL87" s="56" t="n"/>
      <c r="AM87" s="1" t="n"/>
      <c r="AN87" s="1" t="n"/>
      <c r="AO87" s="1" t="n"/>
      <c r="AP87" s="1" t="n"/>
      <c r="AQ87" s="1" t="n"/>
      <c r="AR87" s="1" t="n"/>
    </row>
    <row r="88" ht="15.75" customHeight="1" s="9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54" t="n"/>
      <c r="O88" s="54" t="n"/>
      <c r="P88" s="54" t="n"/>
      <c r="Q88" s="55" t="n"/>
      <c r="R88" s="54" t="n"/>
      <c r="S88" s="55" t="n"/>
      <c r="T88" s="55" t="n"/>
      <c r="U88" s="55" t="n"/>
      <c r="V88" s="55" t="n"/>
      <c r="W88" s="56" t="n"/>
      <c r="X88" s="1" t="n"/>
      <c r="Y88" s="56" t="n"/>
      <c r="Z88" s="57" t="n"/>
      <c r="AA88" s="56" t="n"/>
      <c r="AB88" s="56" t="n"/>
      <c r="AC88" s="57" t="n"/>
      <c r="AD88" s="56" t="n"/>
      <c r="AE88" s="56" t="n"/>
      <c r="AF88" s="1" t="n"/>
      <c r="AG88" s="56" t="n"/>
      <c r="AH88" s="1" t="n"/>
      <c r="AI88" s="56" t="n"/>
      <c r="AJ88" s="1" t="n"/>
      <c r="AK88" s="56" t="n"/>
      <c r="AL88" s="56" t="n"/>
      <c r="AM88" s="1" t="n"/>
      <c r="AN88" s="1" t="n"/>
      <c r="AO88" s="1" t="n"/>
      <c r="AP88" s="1" t="n"/>
      <c r="AQ88" s="1" t="n"/>
      <c r="AR88" s="1" t="n"/>
    </row>
    <row r="89" ht="15.75" customHeight="1" s="9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54" t="n"/>
      <c r="O89" s="54" t="n"/>
      <c r="P89" s="54" t="n"/>
      <c r="Q89" s="55" t="n"/>
      <c r="R89" s="54" t="n"/>
      <c r="S89" s="55" t="n"/>
      <c r="T89" s="55" t="n"/>
      <c r="U89" s="55" t="n"/>
      <c r="V89" s="55" t="n"/>
      <c r="W89" s="56" t="n"/>
      <c r="X89" s="1" t="n"/>
      <c r="Y89" s="56" t="n"/>
      <c r="Z89" s="57" t="n"/>
      <c r="AA89" s="56" t="n"/>
      <c r="AB89" s="56" t="n"/>
      <c r="AC89" s="57" t="n"/>
      <c r="AD89" s="56" t="n"/>
      <c r="AE89" s="56" t="n"/>
      <c r="AF89" s="1" t="n"/>
      <c r="AG89" s="56" t="n"/>
      <c r="AH89" s="1" t="n"/>
      <c r="AI89" s="56" t="n"/>
      <c r="AJ89" s="1" t="n"/>
      <c r="AK89" s="56" t="n"/>
      <c r="AL89" s="56" t="n"/>
      <c r="AM89" s="1" t="n"/>
      <c r="AN89" s="1" t="n"/>
      <c r="AO89" s="1" t="n"/>
      <c r="AP89" s="1" t="n"/>
      <c r="AQ89" s="1" t="n"/>
      <c r="AR89" s="1" t="n"/>
    </row>
    <row r="90" ht="15.75" customHeight="1" s="9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54" t="n"/>
      <c r="O90" s="54" t="n"/>
      <c r="P90" s="54" t="n"/>
      <c r="Q90" s="55" t="n"/>
      <c r="R90" s="54" t="n"/>
      <c r="S90" s="55" t="n"/>
      <c r="T90" s="55" t="n"/>
      <c r="U90" s="55" t="n"/>
      <c r="V90" s="55" t="n"/>
      <c r="W90" s="56" t="n"/>
      <c r="X90" s="1" t="n"/>
      <c r="Y90" s="56" t="n"/>
      <c r="Z90" s="57" t="n"/>
      <c r="AA90" s="56" t="n"/>
      <c r="AB90" s="56" t="n"/>
      <c r="AC90" s="57" t="n"/>
      <c r="AD90" s="56" t="n"/>
      <c r="AE90" s="56" t="n"/>
      <c r="AF90" s="1" t="n"/>
      <c r="AG90" s="56" t="n"/>
      <c r="AH90" s="1" t="n"/>
      <c r="AI90" s="56" t="n"/>
      <c r="AJ90" s="1" t="n"/>
      <c r="AK90" s="56" t="n"/>
      <c r="AL90" s="56" t="n"/>
      <c r="AM90" s="1" t="n"/>
      <c r="AN90" s="1" t="n"/>
      <c r="AO90" s="1" t="n"/>
      <c r="AP90" s="1" t="n"/>
      <c r="AQ90" s="1" t="n"/>
      <c r="AR90" s="1" t="n"/>
    </row>
    <row r="91" ht="15.75" customHeight="1" s="9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54" t="n"/>
      <c r="O91" s="54" t="n"/>
      <c r="P91" s="54" t="n"/>
      <c r="Q91" s="55" t="n"/>
      <c r="R91" s="54" t="n"/>
      <c r="S91" s="55" t="n"/>
      <c r="T91" s="55" t="n"/>
      <c r="U91" s="55" t="n"/>
      <c r="V91" s="55" t="n"/>
      <c r="W91" s="56" t="n"/>
      <c r="X91" s="1" t="n"/>
      <c r="Y91" s="56" t="n"/>
      <c r="Z91" s="57" t="n"/>
      <c r="AA91" s="56" t="n"/>
      <c r="AB91" s="56" t="n"/>
      <c r="AC91" s="57" t="n"/>
      <c r="AD91" s="56" t="n"/>
      <c r="AE91" s="56" t="n"/>
      <c r="AF91" s="1" t="n"/>
      <c r="AG91" s="56" t="n"/>
      <c r="AH91" s="1" t="n"/>
      <c r="AI91" s="56" t="n"/>
      <c r="AJ91" s="1" t="n"/>
      <c r="AK91" s="56" t="n"/>
      <c r="AL91" s="56" t="n"/>
      <c r="AM91" s="1" t="n"/>
      <c r="AN91" s="1" t="n"/>
      <c r="AO91" s="1" t="n"/>
      <c r="AP91" s="1" t="n"/>
      <c r="AQ91" s="1" t="n"/>
      <c r="AR91" s="1" t="n"/>
    </row>
    <row r="92" ht="15.75" customHeight="1" s="9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54" t="n"/>
      <c r="O92" s="54" t="n"/>
      <c r="P92" s="54" t="n"/>
      <c r="Q92" s="55" t="n"/>
      <c r="R92" s="54" t="n"/>
      <c r="S92" s="55" t="n"/>
      <c r="T92" s="55" t="n"/>
      <c r="U92" s="55" t="n"/>
      <c r="V92" s="55" t="n"/>
      <c r="W92" s="56" t="n"/>
      <c r="X92" s="1" t="n"/>
      <c r="Y92" s="56" t="n"/>
      <c r="Z92" s="57" t="n"/>
      <c r="AA92" s="56" t="n"/>
      <c r="AB92" s="56" t="n"/>
      <c r="AC92" s="57" t="n"/>
      <c r="AD92" s="56" t="n"/>
      <c r="AE92" s="56" t="n"/>
      <c r="AF92" s="1" t="n"/>
      <c r="AG92" s="56" t="n"/>
      <c r="AH92" s="1" t="n"/>
      <c r="AI92" s="56" t="n"/>
      <c r="AJ92" s="1" t="n"/>
      <c r="AK92" s="56" t="n"/>
      <c r="AL92" s="56" t="n"/>
      <c r="AM92" s="1" t="n"/>
      <c r="AN92" s="1" t="n"/>
      <c r="AO92" s="1" t="n"/>
      <c r="AP92" s="1" t="n"/>
      <c r="AQ92" s="1" t="n"/>
      <c r="AR92" s="1" t="n"/>
    </row>
    <row r="93" ht="15.75" customHeight="1" s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54" t="n"/>
      <c r="O93" s="54" t="n"/>
      <c r="P93" s="54" t="n"/>
      <c r="Q93" s="55" t="n"/>
      <c r="R93" s="54" t="n"/>
      <c r="S93" s="55" t="n"/>
      <c r="T93" s="55" t="n"/>
      <c r="U93" s="55" t="n"/>
      <c r="V93" s="55" t="n"/>
      <c r="W93" s="56" t="n"/>
      <c r="X93" s="1" t="n"/>
      <c r="Y93" s="56" t="n"/>
      <c r="Z93" s="57" t="n"/>
      <c r="AA93" s="56" t="n"/>
      <c r="AB93" s="56" t="n"/>
      <c r="AC93" s="57" t="n"/>
      <c r="AD93" s="56" t="n"/>
      <c r="AE93" s="56" t="n"/>
      <c r="AF93" s="1" t="n"/>
      <c r="AG93" s="56" t="n"/>
      <c r="AH93" s="1" t="n"/>
      <c r="AI93" s="56" t="n"/>
      <c r="AJ93" s="1" t="n"/>
      <c r="AK93" s="56" t="n"/>
      <c r="AL93" s="56" t="n"/>
      <c r="AM93" s="1" t="n"/>
      <c r="AN93" s="1" t="n"/>
      <c r="AO93" s="1" t="n"/>
      <c r="AP93" s="1" t="n"/>
      <c r="AQ93" s="1" t="n"/>
      <c r="AR93" s="1" t="n"/>
    </row>
    <row r="94" ht="15.75" customHeight="1" s="9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54" t="n"/>
      <c r="O94" s="54" t="n"/>
      <c r="P94" s="54" t="n"/>
      <c r="Q94" s="55" t="n"/>
      <c r="R94" s="54" t="n"/>
      <c r="S94" s="55" t="n"/>
      <c r="T94" s="55" t="n"/>
      <c r="U94" s="55" t="n"/>
      <c r="V94" s="55" t="n"/>
      <c r="W94" s="56" t="n"/>
      <c r="X94" s="1" t="n"/>
      <c r="Y94" s="56" t="n"/>
      <c r="Z94" s="57" t="n"/>
      <c r="AA94" s="56" t="n"/>
      <c r="AB94" s="56" t="n"/>
      <c r="AC94" s="57" t="n"/>
      <c r="AD94" s="56" t="n"/>
      <c r="AE94" s="56" t="n"/>
      <c r="AF94" s="1" t="n"/>
      <c r="AG94" s="56" t="n"/>
      <c r="AH94" s="1" t="n"/>
      <c r="AI94" s="56" t="n"/>
      <c r="AJ94" s="1" t="n"/>
      <c r="AK94" s="56" t="n"/>
      <c r="AL94" s="56" t="n"/>
      <c r="AM94" s="1" t="n"/>
      <c r="AN94" s="1" t="n"/>
      <c r="AO94" s="1" t="n"/>
      <c r="AP94" s="1" t="n"/>
      <c r="AQ94" s="1" t="n"/>
      <c r="AR94" s="1" t="n"/>
    </row>
    <row r="95" ht="15.75" customHeight="1" s="9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54" t="n"/>
      <c r="O95" s="54" t="n"/>
      <c r="P95" s="54" t="n"/>
      <c r="Q95" s="55" t="n"/>
      <c r="R95" s="54" t="n"/>
      <c r="S95" s="55" t="n"/>
      <c r="T95" s="55" t="n"/>
      <c r="U95" s="55" t="n"/>
      <c r="V95" s="55" t="n"/>
      <c r="W95" s="56" t="n"/>
      <c r="X95" s="1" t="n"/>
      <c r="Y95" s="56" t="n"/>
      <c r="Z95" s="57" t="n"/>
      <c r="AA95" s="56" t="n"/>
      <c r="AB95" s="56" t="n"/>
      <c r="AC95" s="57" t="n"/>
      <c r="AD95" s="56" t="n"/>
      <c r="AE95" s="56" t="n"/>
      <c r="AF95" s="1" t="n"/>
      <c r="AG95" s="56" t="n"/>
      <c r="AH95" s="1" t="n"/>
      <c r="AI95" s="56" t="n"/>
      <c r="AJ95" s="1" t="n"/>
      <c r="AK95" s="56" t="n"/>
      <c r="AL95" s="56" t="n"/>
      <c r="AM95" s="1" t="n"/>
      <c r="AN95" s="1" t="n"/>
      <c r="AO95" s="1" t="n"/>
      <c r="AP95" s="1" t="n"/>
      <c r="AQ95" s="1" t="n"/>
      <c r="AR95" s="1" t="n"/>
    </row>
    <row r="96" ht="15.75" customHeight="1" s="9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54" t="n"/>
      <c r="O96" s="54" t="n"/>
      <c r="P96" s="54" t="n"/>
      <c r="Q96" s="55" t="n"/>
      <c r="R96" s="54" t="n"/>
      <c r="S96" s="55" t="n"/>
      <c r="T96" s="55" t="n"/>
      <c r="U96" s="55" t="n"/>
      <c r="V96" s="55" t="n"/>
      <c r="W96" s="56" t="n"/>
      <c r="X96" s="1" t="n"/>
      <c r="Y96" s="56" t="n"/>
      <c r="Z96" s="57" t="n"/>
      <c r="AA96" s="56" t="n"/>
      <c r="AB96" s="56" t="n"/>
      <c r="AC96" s="57" t="n"/>
      <c r="AD96" s="56" t="n"/>
      <c r="AE96" s="56" t="n"/>
      <c r="AF96" s="1" t="n"/>
      <c r="AG96" s="56" t="n"/>
      <c r="AH96" s="1" t="n"/>
      <c r="AI96" s="56" t="n"/>
      <c r="AJ96" s="1" t="n"/>
      <c r="AK96" s="56" t="n"/>
      <c r="AL96" s="56" t="n"/>
      <c r="AM96" s="1" t="n"/>
      <c r="AN96" s="1" t="n"/>
      <c r="AO96" s="1" t="n"/>
      <c r="AP96" s="1" t="n"/>
      <c r="AQ96" s="1" t="n"/>
      <c r="AR96" s="1" t="n"/>
    </row>
    <row r="97" ht="15.75" customHeight="1" s="9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54" t="n"/>
      <c r="O97" s="54" t="n"/>
      <c r="P97" s="54" t="n"/>
      <c r="Q97" s="55" t="n"/>
      <c r="R97" s="54" t="n"/>
      <c r="S97" s="55" t="n"/>
      <c r="T97" s="55" t="n"/>
      <c r="U97" s="55" t="n"/>
      <c r="V97" s="55" t="n"/>
      <c r="W97" s="56" t="n"/>
      <c r="X97" s="1" t="n"/>
      <c r="Y97" s="56" t="n"/>
      <c r="Z97" s="57" t="n"/>
      <c r="AA97" s="56" t="n"/>
      <c r="AB97" s="56" t="n"/>
      <c r="AC97" s="57" t="n"/>
      <c r="AD97" s="56" t="n"/>
      <c r="AE97" s="56" t="n"/>
      <c r="AF97" s="1" t="n"/>
      <c r="AG97" s="56" t="n"/>
      <c r="AH97" s="1" t="n"/>
      <c r="AI97" s="56" t="n"/>
      <c r="AJ97" s="1" t="n"/>
      <c r="AK97" s="56" t="n"/>
      <c r="AL97" s="56" t="n"/>
      <c r="AM97" s="1" t="n"/>
      <c r="AN97" s="1" t="n"/>
      <c r="AO97" s="1" t="n"/>
      <c r="AP97" s="1" t="n"/>
      <c r="AQ97" s="1" t="n"/>
      <c r="AR97" s="1" t="n"/>
    </row>
    <row r="98" ht="15.75" customHeight="1" s="9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54" t="n"/>
      <c r="O98" s="54" t="n"/>
      <c r="P98" s="54" t="n"/>
      <c r="Q98" s="55" t="n"/>
      <c r="R98" s="54" t="n"/>
      <c r="S98" s="55" t="n"/>
      <c r="T98" s="55" t="n"/>
      <c r="U98" s="55" t="n"/>
      <c r="V98" s="55" t="n"/>
      <c r="W98" s="56" t="n"/>
      <c r="X98" s="1" t="n"/>
      <c r="Y98" s="56" t="n"/>
      <c r="Z98" s="57" t="n"/>
      <c r="AA98" s="56" t="n"/>
      <c r="AB98" s="56" t="n"/>
      <c r="AC98" s="57" t="n"/>
      <c r="AD98" s="56" t="n"/>
      <c r="AE98" s="56" t="n"/>
      <c r="AF98" s="1" t="n"/>
      <c r="AG98" s="56" t="n"/>
      <c r="AH98" s="1" t="n"/>
      <c r="AI98" s="56" t="n"/>
      <c r="AJ98" s="1" t="n"/>
      <c r="AK98" s="56" t="n"/>
      <c r="AL98" s="56" t="n"/>
      <c r="AM98" s="1" t="n"/>
      <c r="AN98" s="1" t="n"/>
      <c r="AO98" s="1" t="n"/>
      <c r="AP98" s="1" t="n"/>
      <c r="AQ98" s="1" t="n"/>
      <c r="AR98" s="1" t="n"/>
    </row>
    <row r="99" ht="15.75" customHeight="1" s="9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54" t="n"/>
      <c r="O99" s="54" t="n"/>
      <c r="P99" s="54" t="n"/>
      <c r="Q99" s="55" t="n"/>
      <c r="R99" s="54" t="n"/>
      <c r="S99" s="55" t="n"/>
      <c r="T99" s="55" t="n"/>
      <c r="U99" s="55" t="n"/>
      <c r="V99" s="55" t="n"/>
      <c r="W99" s="56" t="n"/>
      <c r="X99" s="1" t="n"/>
      <c r="Y99" s="56" t="n"/>
      <c r="Z99" s="57" t="n"/>
      <c r="AA99" s="56" t="n"/>
      <c r="AB99" s="56" t="n"/>
      <c r="AC99" s="57" t="n"/>
      <c r="AD99" s="56" t="n"/>
      <c r="AE99" s="56" t="n"/>
      <c r="AF99" s="1" t="n"/>
      <c r="AG99" s="56" t="n"/>
      <c r="AH99" s="1" t="n"/>
      <c r="AI99" s="56" t="n"/>
      <c r="AJ99" s="1" t="n"/>
      <c r="AK99" s="56" t="n"/>
      <c r="AL99" s="56" t="n"/>
      <c r="AM99" s="1" t="n"/>
      <c r="AN99" s="1" t="n"/>
      <c r="AO99" s="1" t="n"/>
      <c r="AP99" s="1" t="n"/>
      <c r="AQ99" s="1" t="n"/>
      <c r="AR99" s="1" t="n"/>
    </row>
    <row r="100" ht="15.75" customHeight="1" s="9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54" t="n"/>
      <c r="O100" s="54" t="n"/>
      <c r="P100" s="54" t="n"/>
      <c r="Q100" s="55" t="n"/>
      <c r="R100" s="54" t="n"/>
      <c r="S100" s="55" t="n"/>
      <c r="T100" s="55" t="n"/>
      <c r="U100" s="55" t="n"/>
      <c r="V100" s="55" t="n"/>
      <c r="W100" s="56" t="n"/>
      <c r="X100" s="1" t="n"/>
      <c r="Y100" s="56" t="n"/>
      <c r="Z100" s="57" t="n"/>
      <c r="AA100" s="56" t="n"/>
      <c r="AB100" s="56" t="n"/>
      <c r="AC100" s="57" t="n"/>
      <c r="AD100" s="56" t="n"/>
      <c r="AE100" s="56" t="n"/>
      <c r="AF100" s="1" t="n"/>
      <c r="AG100" s="56" t="n"/>
      <c r="AH100" s="1" t="n"/>
      <c r="AI100" s="56" t="n"/>
      <c r="AJ100" s="1" t="n"/>
      <c r="AK100" s="56" t="n"/>
      <c r="AL100" s="56" t="n"/>
      <c r="AM100" s="1" t="n"/>
      <c r="AN100" s="1" t="n"/>
      <c r="AO100" s="1" t="n"/>
      <c r="AP100" s="1" t="n"/>
      <c r="AQ100" s="1" t="n"/>
      <c r="AR100" s="1" t="n"/>
    </row>
    <row r="101" ht="15.75" customHeight="1" s="9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54" t="n"/>
      <c r="O101" s="54" t="n"/>
      <c r="P101" s="54" t="n"/>
      <c r="Q101" s="55" t="n"/>
      <c r="R101" s="54" t="n"/>
      <c r="S101" s="55" t="n"/>
      <c r="T101" s="55" t="n"/>
      <c r="U101" s="55" t="n"/>
      <c r="V101" s="55" t="n"/>
      <c r="W101" s="56" t="n"/>
      <c r="X101" s="1" t="n"/>
      <c r="Y101" s="56" t="n"/>
      <c r="Z101" s="57" t="n"/>
      <c r="AA101" s="56" t="n"/>
      <c r="AB101" s="56" t="n"/>
      <c r="AC101" s="57" t="n"/>
      <c r="AD101" s="56" t="n"/>
      <c r="AE101" s="56" t="n"/>
      <c r="AF101" s="1" t="n"/>
      <c r="AG101" s="56" t="n"/>
      <c r="AH101" s="1" t="n"/>
      <c r="AI101" s="56" t="n"/>
      <c r="AJ101" s="1" t="n"/>
      <c r="AK101" s="56" t="n"/>
      <c r="AL101" s="56" t="n"/>
      <c r="AM101" s="1" t="n"/>
      <c r="AN101" s="1" t="n"/>
      <c r="AO101" s="1" t="n"/>
      <c r="AP101" s="1" t="n"/>
      <c r="AQ101" s="1" t="n"/>
      <c r="AR101" s="1" t="n"/>
    </row>
    <row r="102" ht="15.75" customHeight="1" s="9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54" t="n"/>
      <c r="O102" s="54" t="n"/>
      <c r="P102" s="54" t="n"/>
      <c r="Q102" s="55" t="n"/>
      <c r="R102" s="54" t="n"/>
      <c r="S102" s="55" t="n"/>
      <c r="T102" s="55" t="n"/>
      <c r="U102" s="55" t="n"/>
      <c r="V102" s="55" t="n"/>
      <c r="W102" s="56" t="n"/>
      <c r="X102" s="1" t="n"/>
      <c r="Y102" s="56" t="n"/>
      <c r="Z102" s="57" t="n"/>
      <c r="AA102" s="56" t="n"/>
      <c r="AB102" s="56" t="n"/>
      <c r="AC102" s="57" t="n"/>
      <c r="AD102" s="56" t="n"/>
      <c r="AE102" s="56" t="n"/>
      <c r="AF102" s="1" t="n"/>
      <c r="AG102" s="56" t="n"/>
      <c r="AH102" s="1" t="n"/>
      <c r="AI102" s="56" t="n"/>
      <c r="AJ102" s="1" t="n"/>
      <c r="AK102" s="56" t="n"/>
      <c r="AL102" s="56" t="n"/>
      <c r="AM102" s="1" t="n"/>
      <c r="AN102" s="1" t="n"/>
      <c r="AO102" s="1" t="n"/>
      <c r="AP102" s="1" t="n"/>
      <c r="AQ102" s="1" t="n"/>
      <c r="AR102" s="1" t="n"/>
    </row>
    <row r="103" ht="15.75" customHeight="1" s="9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54" t="n"/>
      <c r="O103" s="54" t="n"/>
      <c r="P103" s="54" t="n"/>
      <c r="Q103" s="55" t="n"/>
      <c r="R103" s="54" t="n"/>
      <c r="S103" s="55" t="n"/>
      <c r="T103" s="55" t="n"/>
      <c r="U103" s="55" t="n"/>
      <c r="V103" s="55" t="n"/>
      <c r="W103" s="56" t="n"/>
      <c r="X103" s="1" t="n"/>
      <c r="Y103" s="56" t="n"/>
      <c r="Z103" s="57" t="n"/>
      <c r="AA103" s="56" t="n"/>
      <c r="AB103" s="56" t="n"/>
      <c r="AC103" s="57" t="n"/>
      <c r="AD103" s="56" t="n"/>
      <c r="AE103" s="56" t="n"/>
      <c r="AF103" s="1" t="n"/>
      <c r="AG103" s="56" t="n"/>
      <c r="AH103" s="1" t="n"/>
      <c r="AI103" s="56" t="n"/>
      <c r="AJ103" s="1" t="n"/>
      <c r="AK103" s="56" t="n"/>
      <c r="AL103" s="56" t="n"/>
      <c r="AM103" s="1" t="n"/>
      <c r="AN103" s="1" t="n"/>
      <c r="AO103" s="1" t="n"/>
      <c r="AP103" s="1" t="n"/>
      <c r="AQ103" s="1" t="n"/>
      <c r="AR103" s="1" t="n"/>
    </row>
    <row r="104" ht="15.75" customHeight="1" s="9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54" t="n"/>
      <c r="O104" s="54" t="n"/>
      <c r="P104" s="54" t="n"/>
      <c r="Q104" s="55" t="n"/>
      <c r="R104" s="54" t="n"/>
      <c r="S104" s="55" t="n"/>
      <c r="T104" s="55" t="n"/>
      <c r="U104" s="55" t="n"/>
      <c r="V104" s="55" t="n"/>
      <c r="W104" s="56" t="n"/>
      <c r="X104" s="1" t="n"/>
      <c r="Y104" s="56" t="n"/>
      <c r="Z104" s="57" t="n"/>
      <c r="AA104" s="56" t="n"/>
      <c r="AB104" s="56" t="n"/>
      <c r="AC104" s="57" t="n"/>
      <c r="AD104" s="56" t="n"/>
      <c r="AE104" s="56" t="n"/>
      <c r="AF104" s="1" t="n"/>
      <c r="AG104" s="56" t="n"/>
      <c r="AH104" s="1" t="n"/>
      <c r="AI104" s="56" t="n"/>
      <c r="AJ104" s="1" t="n"/>
      <c r="AK104" s="56" t="n"/>
      <c r="AL104" s="56" t="n"/>
      <c r="AM104" s="1" t="n"/>
      <c r="AN104" s="1" t="n"/>
      <c r="AO104" s="1" t="n"/>
      <c r="AP104" s="1" t="n"/>
      <c r="AQ104" s="1" t="n"/>
      <c r="AR104" s="1" t="n"/>
    </row>
    <row r="105" ht="15.75" customHeight="1" s="9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54" t="n"/>
      <c r="O105" s="54" t="n"/>
      <c r="P105" s="54" t="n"/>
      <c r="Q105" s="55" t="n"/>
      <c r="R105" s="54" t="n"/>
      <c r="S105" s="55" t="n"/>
      <c r="T105" s="55" t="n"/>
      <c r="U105" s="55" t="n"/>
      <c r="V105" s="55" t="n"/>
      <c r="W105" s="56" t="n"/>
      <c r="X105" s="1" t="n"/>
      <c r="Y105" s="56" t="n"/>
      <c r="Z105" s="57" t="n"/>
      <c r="AA105" s="56" t="n"/>
      <c r="AB105" s="56" t="n"/>
      <c r="AC105" s="57" t="n"/>
      <c r="AD105" s="56" t="n"/>
      <c r="AE105" s="56" t="n"/>
      <c r="AF105" s="1" t="n"/>
      <c r="AG105" s="56" t="n"/>
      <c r="AH105" s="1" t="n"/>
      <c r="AI105" s="56" t="n"/>
      <c r="AJ105" s="1" t="n"/>
      <c r="AK105" s="56" t="n"/>
      <c r="AL105" s="56" t="n"/>
      <c r="AM105" s="1" t="n"/>
      <c r="AN105" s="1" t="n"/>
      <c r="AO105" s="1" t="n"/>
      <c r="AP105" s="1" t="n"/>
      <c r="AQ105" s="1" t="n"/>
      <c r="AR105" s="1" t="n"/>
    </row>
    <row r="106" ht="15.75" customHeight="1" s="9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54" t="n"/>
      <c r="O106" s="54" t="n"/>
      <c r="P106" s="54" t="n"/>
      <c r="Q106" s="55" t="n"/>
      <c r="R106" s="54" t="n"/>
      <c r="S106" s="55" t="n"/>
      <c r="T106" s="55" t="n"/>
      <c r="U106" s="55" t="n"/>
      <c r="V106" s="55" t="n"/>
      <c r="W106" s="56" t="n"/>
      <c r="X106" s="1" t="n"/>
      <c r="Y106" s="56" t="n"/>
      <c r="Z106" s="57" t="n"/>
      <c r="AA106" s="56" t="n"/>
      <c r="AB106" s="56" t="n"/>
      <c r="AC106" s="57" t="n"/>
      <c r="AD106" s="56" t="n"/>
      <c r="AE106" s="56" t="n"/>
      <c r="AF106" s="1" t="n"/>
      <c r="AG106" s="56" t="n"/>
      <c r="AH106" s="1" t="n"/>
      <c r="AI106" s="56" t="n"/>
      <c r="AJ106" s="1" t="n"/>
      <c r="AK106" s="56" t="n"/>
      <c r="AL106" s="56" t="n"/>
      <c r="AM106" s="1" t="n"/>
      <c r="AN106" s="1" t="n"/>
      <c r="AO106" s="1" t="n"/>
      <c r="AP106" s="1" t="n"/>
      <c r="AQ106" s="1" t="n"/>
      <c r="AR106" s="1" t="n"/>
    </row>
    <row r="107" ht="15.75" customHeight="1" s="9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54" t="n"/>
      <c r="O107" s="54" t="n"/>
      <c r="P107" s="54" t="n"/>
      <c r="Q107" s="55" t="n"/>
      <c r="R107" s="54" t="n"/>
      <c r="S107" s="55" t="n"/>
      <c r="T107" s="55" t="n"/>
      <c r="U107" s="55" t="n"/>
      <c r="V107" s="55" t="n"/>
      <c r="W107" s="56" t="n"/>
      <c r="X107" s="1" t="n"/>
      <c r="Y107" s="56" t="n"/>
      <c r="Z107" s="57" t="n"/>
      <c r="AA107" s="56" t="n"/>
      <c r="AB107" s="56" t="n"/>
      <c r="AC107" s="57" t="n"/>
      <c r="AD107" s="56" t="n"/>
      <c r="AE107" s="56" t="n"/>
      <c r="AF107" s="1" t="n"/>
      <c r="AG107" s="56" t="n"/>
      <c r="AH107" s="1" t="n"/>
      <c r="AI107" s="56" t="n"/>
      <c r="AJ107" s="1" t="n"/>
      <c r="AK107" s="56" t="n"/>
      <c r="AL107" s="56" t="n"/>
      <c r="AM107" s="1" t="n"/>
      <c r="AN107" s="1" t="n"/>
      <c r="AO107" s="1" t="n"/>
      <c r="AP107" s="1" t="n"/>
      <c r="AQ107" s="1" t="n"/>
      <c r="AR107" s="1" t="n"/>
    </row>
    <row r="108" ht="15.75" customHeight="1" s="9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54" t="n"/>
      <c r="O108" s="54" t="n"/>
      <c r="P108" s="54" t="n"/>
      <c r="Q108" s="55" t="n"/>
      <c r="R108" s="54" t="n"/>
      <c r="S108" s="55" t="n"/>
      <c r="T108" s="55" t="n"/>
      <c r="U108" s="55" t="n"/>
      <c r="V108" s="55" t="n"/>
      <c r="W108" s="56" t="n"/>
      <c r="X108" s="1" t="n"/>
      <c r="Y108" s="56" t="n"/>
      <c r="Z108" s="57" t="n"/>
      <c r="AA108" s="56" t="n"/>
      <c r="AB108" s="56" t="n"/>
      <c r="AC108" s="57" t="n"/>
      <c r="AD108" s="56" t="n"/>
      <c r="AE108" s="56" t="n"/>
      <c r="AF108" s="1" t="n"/>
      <c r="AG108" s="56" t="n"/>
      <c r="AH108" s="1" t="n"/>
      <c r="AI108" s="56" t="n"/>
      <c r="AJ108" s="1" t="n"/>
      <c r="AK108" s="56" t="n"/>
      <c r="AL108" s="56" t="n"/>
      <c r="AM108" s="1" t="n"/>
      <c r="AN108" s="1" t="n"/>
      <c r="AO108" s="1" t="n"/>
      <c r="AP108" s="1" t="n"/>
      <c r="AQ108" s="1" t="n"/>
      <c r="AR108" s="1" t="n"/>
    </row>
    <row r="109" ht="15.75" customHeight="1" s="9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54" t="n"/>
      <c r="O109" s="54" t="n"/>
      <c r="P109" s="54" t="n"/>
      <c r="Q109" s="55" t="n"/>
      <c r="R109" s="54" t="n"/>
      <c r="S109" s="55" t="n"/>
      <c r="T109" s="55" t="n"/>
      <c r="U109" s="55" t="n"/>
      <c r="V109" s="55" t="n"/>
      <c r="W109" s="56" t="n"/>
      <c r="X109" s="1" t="n"/>
      <c r="Y109" s="56" t="n"/>
      <c r="Z109" s="57" t="n"/>
      <c r="AA109" s="56" t="n"/>
      <c r="AB109" s="56" t="n"/>
      <c r="AC109" s="57" t="n"/>
      <c r="AD109" s="56" t="n"/>
      <c r="AE109" s="56" t="n"/>
      <c r="AF109" s="1" t="n"/>
      <c r="AG109" s="56" t="n"/>
      <c r="AH109" s="1" t="n"/>
      <c r="AI109" s="56" t="n"/>
      <c r="AJ109" s="1" t="n"/>
      <c r="AK109" s="56" t="n"/>
      <c r="AL109" s="56" t="n"/>
      <c r="AM109" s="1" t="n"/>
      <c r="AN109" s="1" t="n"/>
      <c r="AO109" s="1" t="n"/>
      <c r="AP109" s="1" t="n"/>
      <c r="AQ109" s="1" t="n"/>
      <c r="AR109" s="1" t="n"/>
    </row>
    <row r="110" ht="15.75" customHeight="1" s="9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54" t="n"/>
      <c r="O110" s="54" t="n"/>
      <c r="P110" s="54" t="n"/>
      <c r="Q110" s="55" t="n"/>
      <c r="R110" s="54" t="n"/>
      <c r="S110" s="55" t="n"/>
      <c r="T110" s="55" t="n"/>
      <c r="U110" s="55" t="n"/>
      <c r="V110" s="55" t="n"/>
      <c r="W110" s="56" t="n"/>
      <c r="X110" s="1" t="n"/>
      <c r="Y110" s="56" t="n"/>
      <c r="Z110" s="57" t="n"/>
      <c r="AA110" s="56" t="n"/>
      <c r="AB110" s="56" t="n"/>
      <c r="AC110" s="57" t="n"/>
      <c r="AD110" s="56" t="n"/>
      <c r="AE110" s="56" t="n"/>
      <c r="AF110" s="1" t="n"/>
      <c r="AG110" s="56" t="n"/>
      <c r="AH110" s="1" t="n"/>
      <c r="AI110" s="56" t="n"/>
      <c r="AJ110" s="1" t="n"/>
      <c r="AK110" s="56" t="n"/>
      <c r="AL110" s="56" t="n"/>
      <c r="AM110" s="1" t="n"/>
      <c r="AN110" s="1" t="n"/>
      <c r="AO110" s="1" t="n"/>
      <c r="AP110" s="1" t="n"/>
      <c r="AQ110" s="1" t="n"/>
      <c r="AR110" s="1" t="n"/>
    </row>
    <row r="111" ht="15.75" customHeight="1" s="9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54" t="n"/>
      <c r="O111" s="54" t="n"/>
      <c r="P111" s="54" t="n"/>
      <c r="Q111" s="55" t="n"/>
      <c r="R111" s="54" t="n"/>
      <c r="S111" s="55" t="n"/>
      <c r="T111" s="55" t="n"/>
      <c r="U111" s="55" t="n"/>
      <c r="V111" s="55" t="n"/>
      <c r="W111" s="56" t="n"/>
      <c r="X111" s="1" t="n"/>
      <c r="Y111" s="56" t="n"/>
      <c r="Z111" s="57" t="n"/>
      <c r="AA111" s="56" t="n"/>
      <c r="AB111" s="56" t="n"/>
      <c r="AC111" s="57" t="n"/>
      <c r="AD111" s="56" t="n"/>
      <c r="AE111" s="56" t="n"/>
      <c r="AF111" s="1" t="n"/>
      <c r="AG111" s="56" t="n"/>
      <c r="AH111" s="1" t="n"/>
      <c r="AI111" s="56" t="n"/>
      <c r="AJ111" s="1" t="n"/>
      <c r="AK111" s="56" t="n"/>
      <c r="AL111" s="56" t="n"/>
      <c r="AM111" s="1" t="n"/>
      <c r="AN111" s="1" t="n"/>
      <c r="AO111" s="1" t="n"/>
      <c r="AP111" s="1" t="n"/>
      <c r="AQ111" s="1" t="n"/>
      <c r="AR111" s="1" t="n"/>
    </row>
    <row r="112" ht="15.75" customHeight="1" s="9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54" t="n"/>
      <c r="O112" s="54" t="n"/>
      <c r="P112" s="54" t="n"/>
      <c r="Q112" s="55" t="n"/>
      <c r="R112" s="54" t="n"/>
      <c r="S112" s="55" t="n"/>
      <c r="T112" s="55" t="n"/>
      <c r="U112" s="55" t="n"/>
      <c r="V112" s="55" t="n"/>
      <c r="W112" s="56" t="n"/>
      <c r="X112" s="1" t="n"/>
      <c r="Y112" s="56" t="n"/>
      <c r="Z112" s="57" t="n"/>
      <c r="AA112" s="56" t="n"/>
      <c r="AB112" s="56" t="n"/>
      <c r="AC112" s="57" t="n"/>
      <c r="AD112" s="56" t="n"/>
      <c r="AE112" s="56" t="n"/>
      <c r="AF112" s="1" t="n"/>
      <c r="AG112" s="56" t="n"/>
      <c r="AH112" s="1" t="n"/>
      <c r="AI112" s="56" t="n"/>
      <c r="AJ112" s="1" t="n"/>
      <c r="AK112" s="56" t="n"/>
      <c r="AL112" s="56" t="n"/>
      <c r="AM112" s="1" t="n"/>
      <c r="AN112" s="1" t="n"/>
      <c r="AO112" s="1" t="n"/>
      <c r="AP112" s="1" t="n"/>
      <c r="AQ112" s="1" t="n"/>
      <c r="AR112" s="1" t="n"/>
    </row>
    <row r="113" ht="15.75" customHeight="1" s="9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54" t="n"/>
      <c r="O113" s="54" t="n"/>
      <c r="P113" s="54" t="n"/>
      <c r="Q113" s="55" t="n"/>
      <c r="R113" s="54" t="n"/>
      <c r="S113" s="55" t="n"/>
      <c r="T113" s="55" t="n"/>
      <c r="U113" s="55" t="n"/>
      <c r="V113" s="55" t="n"/>
      <c r="W113" s="56" t="n"/>
      <c r="X113" s="1" t="n"/>
      <c r="Y113" s="56" t="n"/>
      <c r="Z113" s="57" t="n"/>
      <c r="AA113" s="56" t="n"/>
      <c r="AB113" s="56" t="n"/>
      <c r="AC113" s="57" t="n"/>
      <c r="AD113" s="56" t="n"/>
      <c r="AE113" s="56" t="n"/>
      <c r="AF113" s="1" t="n"/>
      <c r="AG113" s="56" t="n"/>
      <c r="AH113" s="1" t="n"/>
      <c r="AI113" s="56" t="n"/>
      <c r="AJ113" s="1" t="n"/>
      <c r="AK113" s="56" t="n"/>
      <c r="AL113" s="56" t="n"/>
      <c r="AM113" s="1" t="n"/>
      <c r="AN113" s="1" t="n"/>
      <c r="AO113" s="1" t="n"/>
      <c r="AP113" s="1" t="n"/>
      <c r="AQ113" s="1" t="n"/>
      <c r="AR113" s="1" t="n"/>
    </row>
    <row r="114" ht="15.75" customHeight="1" s="9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54" t="n"/>
      <c r="O114" s="54" t="n"/>
      <c r="P114" s="54" t="n"/>
      <c r="Q114" s="55" t="n"/>
      <c r="R114" s="54" t="n"/>
      <c r="S114" s="55" t="n"/>
      <c r="T114" s="55" t="n"/>
      <c r="U114" s="55" t="n"/>
      <c r="V114" s="55" t="n"/>
      <c r="W114" s="56" t="n"/>
      <c r="X114" s="1" t="n"/>
      <c r="Y114" s="56" t="n"/>
      <c r="Z114" s="57" t="n"/>
      <c r="AA114" s="56" t="n"/>
      <c r="AB114" s="56" t="n"/>
      <c r="AC114" s="57" t="n"/>
      <c r="AD114" s="56" t="n"/>
      <c r="AE114" s="56" t="n"/>
      <c r="AF114" s="1" t="n"/>
      <c r="AG114" s="56" t="n"/>
      <c r="AH114" s="1" t="n"/>
      <c r="AI114" s="56" t="n"/>
      <c r="AJ114" s="1" t="n"/>
      <c r="AK114" s="56" t="n"/>
      <c r="AL114" s="56" t="n"/>
      <c r="AM114" s="1" t="n"/>
      <c r="AN114" s="1" t="n"/>
      <c r="AO114" s="1" t="n"/>
      <c r="AP114" s="1" t="n"/>
      <c r="AQ114" s="1" t="n"/>
      <c r="AR114" s="1" t="n"/>
    </row>
    <row r="115" ht="15.75" customHeight="1" s="9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54" t="n"/>
      <c r="O115" s="54" t="n"/>
      <c r="P115" s="54" t="n"/>
      <c r="Q115" s="55" t="n"/>
      <c r="R115" s="54" t="n"/>
      <c r="S115" s="55" t="n"/>
      <c r="T115" s="55" t="n"/>
      <c r="U115" s="55" t="n"/>
      <c r="V115" s="55" t="n"/>
      <c r="W115" s="56" t="n"/>
      <c r="X115" s="1" t="n"/>
      <c r="Y115" s="56" t="n"/>
      <c r="Z115" s="57" t="n"/>
      <c r="AA115" s="56" t="n"/>
      <c r="AB115" s="56" t="n"/>
      <c r="AC115" s="57" t="n"/>
      <c r="AD115" s="56" t="n"/>
      <c r="AE115" s="56" t="n"/>
      <c r="AF115" s="1" t="n"/>
      <c r="AG115" s="56" t="n"/>
      <c r="AH115" s="1" t="n"/>
      <c r="AI115" s="56" t="n"/>
      <c r="AJ115" s="1" t="n"/>
      <c r="AK115" s="56" t="n"/>
      <c r="AL115" s="56" t="n"/>
      <c r="AM115" s="1" t="n"/>
      <c r="AN115" s="1" t="n"/>
      <c r="AO115" s="1" t="n"/>
      <c r="AP115" s="1" t="n"/>
      <c r="AQ115" s="1" t="n"/>
      <c r="AR115" s="1" t="n"/>
    </row>
    <row r="116" ht="15.75" customHeight="1" s="9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54" t="n"/>
      <c r="O116" s="54" t="n"/>
      <c r="P116" s="54" t="n"/>
      <c r="Q116" s="55" t="n"/>
      <c r="R116" s="54" t="n"/>
      <c r="S116" s="55" t="n"/>
      <c r="T116" s="55" t="n"/>
      <c r="U116" s="55" t="n"/>
      <c r="V116" s="55" t="n"/>
      <c r="W116" s="56" t="n"/>
      <c r="X116" s="1" t="n"/>
      <c r="Y116" s="56" t="n"/>
      <c r="Z116" s="57" t="n"/>
      <c r="AA116" s="56" t="n"/>
      <c r="AB116" s="56" t="n"/>
      <c r="AC116" s="57" t="n"/>
      <c r="AD116" s="56" t="n"/>
      <c r="AE116" s="56" t="n"/>
      <c r="AF116" s="1" t="n"/>
      <c r="AG116" s="56" t="n"/>
      <c r="AH116" s="1" t="n"/>
      <c r="AI116" s="56" t="n"/>
      <c r="AJ116" s="1" t="n"/>
      <c r="AK116" s="56" t="n"/>
      <c r="AL116" s="56" t="n"/>
      <c r="AM116" s="1" t="n"/>
      <c r="AN116" s="1" t="n"/>
      <c r="AO116" s="1" t="n"/>
      <c r="AP116" s="1" t="n"/>
      <c r="AQ116" s="1" t="n"/>
      <c r="AR116" s="1" t="n"/>
    </row>
    <row r="117" ht="15.75" customHeight="1" s="9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54" t="n"/>
      <c r="O117" s="54" t="n"/>
      <c r="P117" s="54" t="n"/>
      <c r="Q117" s="55" t="n"/>
      <c r="R117" s="54" t="n"/>
      <c r="S117" s="55" t="n"/>
      <c r="T117" s="55" t="n"/>
      <c r="U117" s="55" t="n"/>
      <c r="V117" s="55" t="n"/>
      <c r="W117" s="56" t="n"/>
      <c r="X117" s="1" t="n"/>
      <c r="Y117" s="56" t="n"/>
      <c r="Z117" s="57" t="n"/>
      <c r="AA117" s="56" t="n"/>
      <c r="AB117" s="56" t="n"/>
      <c r="AC117" s="57" t="n"/>
      <c r="AD117" s="56" t="n"/>
      <c r="AE117" s="56" t="n"/>
      <c r="AF117" s="1" t="n"/>
      <c r="AG117" s="56" t="n"/>
      <c r="AH117" s="1" t="n"/>
      <c r="AI117" s="56" t="n"/>
      <c r="AJ117" s="1" t="n"/>
      <c r="AK117" s="56" t="n"/>
      <c r="AL117" s="56" t="n"/>
      <c r="AM117" s="1" t="n"/>
      <c r="AN117" s="1" t="n"/>
      <c r="AO117" s="1" t="n"/>
      <c r="AP117" s="1" t="n"/>
      <c r="AQ117" s="1" t="n"/>
      <c r="AR117" s="1" t="n"/>
    </row>
    <row r="118" ht="15.75" customHeight="1" s="9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54" t="n"/>
      <c r="O118" s="54" t="n"/>
      <c r="P118" s="54" t="n"/>
      <c r="Q118" s="55" t="n"/>
      <c r="R118" s="54" t="n"/>
      <c r="S118" s="55" t="n"/>
      <c r="T118" s="55" t="n"/>
      <c r="U118" s="55" t="n"/>
      <c r="V118" s="55" t="n"/>
      <c r="W118" s="56" t="n"/>
      <c r="X118" s="1" t="n"/>
      <c r="Y118" s="56" t="n"/>
      <c r="Z118" s="57" t="n"/>
      <c r="AA118" s="56" t="n"/>
      <c r="AB118" s="56" t="n"/>
      <c r="AC118" s="57" t="n"/>
      <c r="AD118" s="56" t="n"/>
      <c r="AE118" s="56" t="n"/>
      <c r="AF118" s="1" t="n"/>
      <c r="AG118" s="56" t="n"/>
      <c r="AH118" s="1" t="n"/>
      <c r="AI118" s="56" t="n"/>
      <c r="AJ118" s="1" t="n"/>
      <c r="AK118" s="56" t="n"/>
      <c r="AL118" s="56" t="n"/>
      <c r="AM118" s="1" t="n"/>
      <c r="AN118" s="1" t="n"/>
      <c r="AO118" s="1" t="n"/>
      <c r="AP118" s="1" t="n"/>
      <c r="AQ118" s="1" t="n"/>
      <c r="AR118" s="1" t="n"/>
    </row>
    <row r="119" ht="15.75" customHeight="1" s="9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54" t="n"/>
      <c r="O119" s="54" t="n"/>
      <c r="P119" s="54" t="n"/>
      <c r="Q119" s="55" t="n"/>
      <c r="R119" s="54" t="n"/>
      <c r="S119" s="55" t="n"/>
      <c r="T119" s="55" t="n"/>
      <c r="U119" s="55" t="n"/>
      <c r="V119" s="55" t="n"/>
      <c r="W119" s="56" t="n"/>
      <c r="X119" s="1" t="n"/>
      <c r="Y119" s="56" t="n"/>
      <c r="Z119" s="57" t="n"/>
      <c r="AA119" s="56" t="n"/>
      <c r="AB119" s="56" t="n"/>
      <c r="AC119" s="57" t="n"/>
      <c r="AD119" s="56" t="n"/>
      <c r="AE119" s="56" t="n"/>
      <c r="AF119" s="1" t="n"/>
      <c r="AG119" s="56" t="n"/>
      <c r="AH119" s="1" t="n"/>
      <c r="AI119" s="56" t="n"/>
      <c r="AJ119" s="1" t="n"/>
      <c r="AK119" s="56" t="n"/>
      <c r="AL119" s="56" t="n"/>
      <c r="AM119" s="1" t="n"/>
      <c r="AN119" s="1" t="n"/>
      <c r="AO119" s="1" t="n"/>
      <c r="AP119" s="1" t="n"/>
      <c r="AQ119" s="1" t="n"/>
      <c r="AR119" s="1" t="n"/>
    </row>
    <row r="120" ht="15.75" customHeight="1" s="9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54" t="n"/>
      <c r="O120" s="54" t="n"/>
      <c r="P120" s="54" t="n"/>
      <c r="Q120" s="55" t="n"/>
      <c r="R120" s="54" t="n"/>
      <c r="S120" s="55" t="n"/>
      <c r="T120" s="55" t="n"/>
      <c r="U120" s="55" t="n"/>
      <c r="V120" s="55" t="n"/>
      <c r="W120" s="56" t="n"/>
      <c r="X120" s="1" t="n"/>
      <c r="Y120" s="56" t="n"/>
      <c r="Z120" s="57" t="n"/>
      <c r="AA120" s="56" t="n"/>
      <c r="AB120" s="56" t="n"/>
      <c r="AC120" s="57" t="n"/>
      <c r="AD120" s="56" t="n"/>
      <c r="AE120" s="56" t="n"/>
      <c r="AF120" s="1" t="n"/>
      <c r="AG120" s="56" t="n"/>
      <c r="AH120" s="1" t="n"/>
      <c r="AI120" s="56" t="n"/>
      <c r="AJ120" s="1" t="n"/>
      <c r="AK120" s="56" t="n"/>
      <c r="AL120" s="56" t="n"/>
      <c r="AM120" s="1" t="n"/>
      <c r="AN120" s="1" t="n"/>
      <c r="AO120" s="1" t="n"/>
      <c r="AP120" s="1" t="n"/>
      <c r="AQ120" s="1" t="n"/>
      <c r="AR120" s="1" t="n"/>
    </row>
    <row r="121" ht="15.75" customHeight="1" s="9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54" t="n"/>
      <c r="O121" s="54" t="n"/>
      <c r="P121" s="54" t="n"/>
      <c r="Q121" s="55" t="n"/>
      <c r="R121" s="54" t="n"/>
      <c r="S121" s="55" t="n"/>
      <c r="T121" s="55" t="n"/>
      <c r="U121" s="55" t="n"/>
      <c r="V121" s="55" t="n"/>
      <c r="W121" s="56" t="n"/>
      <c r="X121" s="1" t="n"/>
      <c r="Y121" s="56" t="n"/>
      <c r="Z121" s="57" t="n"/>
      <c r="AA121" s="56" t="n"/>
      <c r="AB121" s="56" t="n"/>
      <c r="AC121" s="57" t="n"/>
      <c r="AD121" s="56" t="n"/>
      <c r="AE121" s="56" t="n"/>
      <c r="AF121" s="1" t="n"/>
      <c r="AG121" s="56" t="n"/>
      <c r="AH121" s="1" t="n"/>
      <c r="AI121" s="56" t="n"/>
      <c r="AJ121" s="1" t="n"/>
      <c r="AK121" s="56" t="n"/>
      <c r="AL121" s="56" t="n"/>
      <c r="AM121" s="1" t="n"/>
      <c r="AN121" s="1" t="n"/>
      <c r="AO121" s="1" t="n"/>
      <c r="AP121" s="1" t="n"/>
      <c r="AQ121" s="1" t="n"/>
      <c r="AR121" s="1" t="n"/>
    </row>
    <row r="122" ht="15.75" customHeight="1" s="9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54" t="n"/>
      <c r="O122" s="54" t="n"/>
      <c r="P122" s="54" t="n"/>
      <c r="Q122" s="55" t="n"/>
      <c r="R122" s="54" t="n"/>
      <c r="S122" s="55" t="n"/>
      <c r="T122" s="55" t="n"/>
      <c r="U122" s="55" t="n"/>
      <c r="V122" s="55" t="n"/>
      <c r="W122" s="56" t="n"/>
      <c r="X122" s="1" t="n"/>
      <c r="Y122" s="56" t="n"/>
      <c r="Z122" s="57" t="n"/>
      <c r="AA122" s="56" t="n"/>
      <c r="AB122" s="56" t="n"/>
      <c r="AC122" s="57" t="n"/>
      <c r="AD122" s="56" t="n"/>
      <c r="AE122" s="56" t="n"/>
      <c r="AF122" s="1" t="n"/>
      <c r="AG122" s="56" t="n"/>
      <c r="AH122" s="1" t="n"/>
      <c r="AI122" s="56" t="n"/>
      <c r="AJ122" s="1" t="n"/>
      <c r="AK122" s="56" t="n"/>
      <c r="AL122" s="56" t="n"/>
      <c r="AM122" s="1" t="n"/>
      <c r="AN122" s="1" t="n"/>
      <c r="AO122" s="1" t="n"/>
      <c r="AP122" s="1" t="n"/>
      <c r="AQ122" s="1" t="n"/>
      <c r="AR122" s="1" t="n"/>
    </row>
    <row r="123" ht="15.75" customHeight="1" s="9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54" t="n"/>
      <c r="O123" s="54" t="n"/>
      <c r="P123" s="54" t="n"/>
      <c r="Q123" s="55" t="n"/>
      <c r="R123" s="54" t="n"/>
      <c r="S123" s="55" t="n"/>
      <c r="T123" s="55" t="n"/>
      <c r="U123" s="55" t="n"/>
      <c r="V123" s="55" t="n"/>
      <c r="W123" s="56" t="n"/>
      <c r="X123" s="1" t="n"/>
      <c r="Y123" s="56" t="n"/>
      <c r="Z123" s="57" t="n"/>
      <c r="AA123" s="56" t="n"/>
      <c r="AB123" s="56" t="n"/>
      <c r="AC123" s="57" t="n"/>
      <c r="AD123" s="56" t="n"/>
      <c r="AE123" s="56" t="n"/>
      <c r="AF123" s="1" t="n"/>
      <c r="AG123" s="56" t="n"/>
      <c r="AH123" s="1" t="n"/>
      <c r="AI123" s="56" t="n"/>
      <c r="AJ123" s="1" t="n"/>
      <c r="AK123" s="56" t="n"/>
      <c r="AL123" s="56" t="n"/>
      <c r="AM123" s="1" t="n"/>
      <c r="AN123" s="1" t="n"/>
      <c r="AO123" s="1" t="n"/>
      <c r="AP123" s="1" t="n"/>
      <c r="AQ123" s="1" t="n"/>
      <c r="AR123" s="1" t="n"/>
    </row>
    <row r="124" ht="15.75" customHeight="1" s="9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54" t="n"/>
      <c r="O124" s="54" t="n"/>
      <c r="P124" s="54" t="n"/>
      <c r="Q124" s="55" t="n"/>
      <c r="R124" s="54" t="n"/>
      <c r="S124" s="55" t="n"/>
      <c r="T124" s="55" t="n"/>
      <c r="U124" s="55" t="n"/>
      <c r="V124" s="55" t="n"/>
      <c r="W124" s="56" t="n"/>
      <c r="X124" s="1" t="n"/>
      <c r="Y124" s="56" t="n"/>
      <c r="Z124" s="57" t="n"/>
      <c r="AA124" s="56" t="n"/>
      <c r="AB124" s="56" t="n"/>
      <c r="AC124" s="57" t="n"/>
      <c r="AD124" s="56" t="n"/>
      <c r="AE124" s="56" t="n"/>
      <c r="AF124" s="1" t="n"/>
      <c r="AG124" s="56" t="n"/>
      <c r="AH124" s="1" t="n"/>
      <c r="AI124" s="56" t="n"/>
      <c r="AJ124" s="1" t="n"/>
      <c r="AK124" s="56" t="n"/>
      <c r="AL124" s="56" t="n"/>
      <c r="AM124" s="1" t="n"/>
      <c r="AN124" s="1" t="n"/>
      <c r="AO124" s="1" t="n"/>
      <c r="AP124" s="1" t="n"/>
      <c r="AQ124" s="1" t="n"/>
      <c r="AR124" s="1" t="n"/>
    </row>
    <row r="125" ht="15.75" customHeight="1" s="9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54" t="n"/>
      <c r="O125" s="54" t="n"/>
      <c r="P125" s="54" t="n"/>
      <c r="Q125" s="55" t="n"/>
      <c r="R125" s="54" t="n"/>
      <c r="S125" s="55" t="n"/>
      <c r="T125" s="55" t="n"/>
      <c r="U125" s="55" t="n"/>
      <c r="V125" s="55" t="n"/>
      <c r="W125" s="56" t="n"/>
      <c r="X125" s="1" t="n"/>
      <c r="Y125" s="56" t="n"/>
      <c r="Z125" s="57" t="n"/>
      <c r="AA125" s="56" t="n"/>
      <c r="AB125" s="56" t="n"/>
      <c r="AC125" s="57" t="n"/>
      <c r="AD125" s="56" t="n"/>
      <c r="AE125" s="56" t="n"/>
      <c r="AF125" s="1" t="n"/>
      <c r="AG125" s="56" t="n"/>
      <c r="AH125" s="1" t="n"/>
      <c r="AI125" s="56" t="n"/>
      <c r="AJ125" s="1" t="n"/>
      <c r="AK125" s="56" t="n"/>
      <c r="AL125" s="56" t="n"/>
      <c r="AM125" s="1" t="n"/>
      <c r="AN125" s="1" t="n"/>
      <c r="AO125" s="1" t="n"/>
      <c r="AP125" s="1" t="n"/>
      <c r="AQ125" s="1" t="n"/>
      <c r="AR125" s="1" t="n"/>
    </row>
    <row r="126" ht="15.75" customHeight="1" s="9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54" t="n"/>
      <c r="O126" s="54" t="n"/>
      <c r="P126" s="54" t="n"/>
      <c r="Q126" s="55" t="n"/>
      <c r="R126" s="54" t="n"/>
      <c r="S126" s="55" t="n"/>
      <c r="T126" s="55" t="n"/>
      <c r="U126" s="55" t="n"/>
      <c r="V126" s="55" t="n"/>
      <c r="W126" s="56" t="n"/>
      <c r="X126" s="1" t="n"/>
      <c r="Y126" s="56" t="n"/>
      <c r="Z126" s="57" t="n"/>
      <c r="AA126" s="56" t="n"/>
      <c r="AB126" s="56" t="n"/>
      <c r="AC126" s="57" t="n"/>
      <c r="AD126" s="56" t="n"/>
      <c r="AE126" s="56" t="n"/>
      <c r="AF126" s="1" t="n"/>
      <c r="AG126" s="56" t="n"/>
      <c r="AH126" s="1" t="n"/>
      <c r="AI126" s="56" t="n"/>
      <c r="AJ126" s="1" t="n"/>
      <c r="AK126" s="56" t="n"/>
      <c r="AL126" s="56" t="n"/>
      <c r="AM126" s="1" t="n"/>
      <c r="AN126" s="1" t="n"/>
      <c r="AO126" s="1" t="n"/>
      <c r="AP126" s="1" t="n"/>
      <c r="AQ126" s="1" t="n"/>
      <c r="AR126" s="1" t="n"/>
    </row>
    <row r="127" ht="15.75" customHeight="1" s="9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54" t="n"/>
      <c r="O127" s="54" t="n"/>
      <c r="P127" s="54" t="n"/>
      <c r="Q127" s="55" t="n"/>
      <c r="R127" s="54" t="n"/>
      <c r="S127" s="55" t="n"/>
      <c r="T127" s="55" t="n"/>
      <c r="U127" s="55" t="n"/>
      <c r="V127" s="55" t="n"/>
      <c r="W127" s="56" t="n"/>
      <c r="X127" s="1" t="n"/>
      <c r="Y127" s="56" t="n"/>
      <c r="Z127" s="57" t="n"/>
      <c r="AA127" s="56" t="n"/>
      <c r="AB127" s="56" t="n"/>
      <c r="AC127" s="57" t="n"/>
      <c r="AD127" s="56" t="n"/>
      <c r="AE127" s="56" t="n"/>
      <c r="AF127" s="1" t="n"/>
      <c r="AG127" s="56" t="n"/>
      <c r="AH127" s="1" t="n"/>
      <c r="AI127" s="56" t="n"/>
      <c r="AJ127" s="1" t="n"/>
      <c r="AK127" s="56" t="n"/>
      <c r="AL127" s="56" t="n"/>
      <c r="AM127" s="1" t="n"/>
      <c r="AN127" s="1" t="n"/>
      <c r="AO127" s="1" t="n"/>
      <c r="AP127" s="1" t="n"/>
      <c r="AQ127" s="1" t="n"/>
      <c r="AR127" s="1" t="n"/>
    </row>
    <row r="128" ht="15.75" customHeight="1" s="9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54" t="n"/>
      <c r="O128" s="54" t="n"/>
      <c r="P128" s="54" t="n"/>
      <c r="Q128" s="55" t="n"/>
      <c r="R128" s="54" t="n"/>
      <c r="S128" s="55" t="n"/>
      <c r="T128" s="55" t="n"/>
      <c r="U128" s="55" t="n"/>
      <c r="V128" s="55" t="n"/>
      <c r="W128" s="56" t="n"/>
      <c r="X128" s="1" t="n"/>
      <c r="Y128" s="56" t="n"/>
      <c r="Z128" s="57" t="n"/>
      <c r="AA128" s="56" t="n"/>
      <c r="AB128" s="56" t="n"/>
      <c r="AC128" s="57" t="n"/>
      <c r="AD128" s="56" t="n"/>
      <c r="AE128" s="56" t="n"/>
      <c r="AF128" s="1" t="n"/>
      <c r="AG128" s="56" t="n"/>
      <c r="AH128" s="1" t="n"/>
      <c r="AI128" s="56" t="n"/>
      <c r="AJ128" s="1" t="n"/>
      <c r="AK128" s="56" t="n"/>
      <c r="AL128" s="56" t="n"/>
      <c r="AM128" s="1" t="n"/>
      <c r="AN128" s="1" t="n"/>
      <c r="AO128" s="1" t="n"/>
      <c r="AP128" s="1" t="n"/>
      <c r="AQ128" s="1" t="n"/>
      <c r="AR128" s="1" t="n"/>
    </row>
    <row r="129" ht="15.75" customHeight="1" s="9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54" t="n"/>
      <c r="O129" s="54" t="n"/>
      <c r="P129" s="54" t="n"/>
      <c r="Q129" s="55" t="n"/>
      <c r="R129" s="54" t="n"/>
      <c r="S129" s="55" t="n"/>
      <c r="T129" s="55" t="n"/>
      <c r="U129" s="55" t="n"/>
      <c r="V129" s="55" t="n"/>
      <c r="W129" s="56" t="n"/>
      <c r="X129" s="1" t="n"/>
      <c r="Y129" s="56" t="n"/>
      <c r="Z129" s="57" t="n"/>
      <c r="AA129" s="56" t="n"/>
      <c r="AB129" s="56" t="n"/>
      <c r="AC129" s="57" t="n"/>
      <c r="AD129" s="56" t="n"/>
      <c r="AE129" s="56" t="n"/>
      <c r="AF129" s="1" t="n"/>
      <c r="AG129" s="56" t="n"/>
      <c r="AH129" s="1" t="n"/>
      <c r="AI129" s="56" t="n"/>
      <c r="AJ129" s="1" t="n"/>
      <c r="AK129" s="56" t="n"/>
      <c r="AL129" s="56" t="n"/>
      <c r="AM129" s="1" t="n"/>
      <c r="AN129" s="1" t="n"/>
      <c r="AO129" s="1" t="n"/>
      <c r="AP129" s="1" t="n"/>
      <c r="AQ129" s="1" t="n"/>
      <c r="AR129" s="1" t="n"/>
    </row>
    <row r="130" ht="15.75" customHeight="1" s="9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54" t="n"/>
      <c r="O130" s="54" t="n"/>
      <c r="P130" s="54" t="n"/>
      <c r="Q130" s="55" t="n"/>
      <c r="R130" s="54" t="n"/>
      <c r="S130" s="55" t="n"/>
      <c r="T130" s="55" t="n"/>
      <c r="U130" s="55" t="n"/>
      <c r="V130" s="55" t="n"/>
      <c r="W130" s="56" t="n"/>
      <c r="X130" s="1" t="n"/>
      <c r="Y130" s="56" t="n"/>
      <c r="Z130" s="57" t="n"/>
      <c r="AA130" s="56" t="n"/>
      <c r="AB130" s="56" t="n"/>
      <c r="AC130" s="57" t="n"/>
      <c r="AD130" s="56" t="n"/>
      <c r="AE130" s="56" t="n"/>
      <c r="AF130" s="1" t="n"/>
      <c r="AG130" s="56" t="n"/>
      <c r="AH130" s="1" t="n"/>
      <c r="AI130" s="56" t="n"/>
      <c r="AJ130" s="1" t="n"/>
      <c r="AK130" s="56" t="n"/>
      <c r="AL130" s="56" t="n"/>
      <c r="AM130" s="1" t="n"/>
      <c r="AN130" s="1" t="n"/>
      <c r="AO130" s="1" t="n"/>
      <c r="AP130" s="1" t="n"/>
      <c r="AQ130" s="1" t="n"/>
      <c r="AR130" s="1" t="n"/>
    </row>
    <row r="131" ht="15.75" customHeight="1" s="9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54" t="n"/>
      <c r="O131" s="54" t="n"/>
      <c r="P131" s="54" t="n"/>
      <c r="Q131" s="55" t="n"/>
      <c r="R131" s="54" t="n"/>
      <c r="S131" s="55" t="n"/>
      <c r="T131" s="55" t="n"/>
      <c r="U131" s="55" t="n"/>
      <c r="V131" s="55" t="n"/>
      <c r="W131" s="56" t="n"/>
      <c r="X131" s="1" t="n"/>
      <c r="Y131" s="56" t="n"/>
      <c r="Z131" s="57" t="n"/>
      <c r="AA131" s="56" t="n"/>
      <c r="AB131" s="56" t="n"/>
      <c r="AC131" s="57" t="n"/>
      <c r="AD131" s="56" t="n"/>
      <c r="AE131" s="56" t="n"/>
      <c r="AF131" s="1" t="n"/>
      <c r="AG131" s="56" t="n"/>
      <c r="AH131" s="1" t="n"/>
      <c r="AI131" s="56" t="n"/>
      <c r="AJ131" s="1" t="n"/>
      <c r="AK131" s="56" t="n"/>
      <c r="AL131" s="56" t="n"/>
      <c r="AM131" s="1" t="n"/>
      <c r="AN131" s="1" t="n"/>
      <c r="AO131" s="1" t="n"/>
      <c r="AP131" s="1" t="n"/>
      <c r="AQ131" s="1" t="n"/>
      <c r="AR131" s="1" t="n"/>
    </row>
    <row r="132" ht="15.75" customHeight="1" s="9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54" t="n"/>
      <c r="O132" s="54" t="n"/>
      <c r="P132" s="54" t="n"/>
      <c r="Q132" s="55" t="n"/>
      <c r="R132" s="54" t="n"/>
      <c r="S132" s="55" t="n"/>
      <c r="T132" s="55" t="n"/>
      <c r="U132" s="55" t="n"/>
      <c r="V132" s="55" t="n"/>
      <c r="W132" s="56" t="n"/>
      <c r="X132" s="1" t="n"/>
      <c r="Y132" s="56" t="n"/>
      <c r="Z132" s="57" t="n"/>
      <c r="AA132" s="56" t="n"/>
      <c r="AB132" s="56" t="n"/>
      <c r="AC132" s="57" t="n"/>
      <c r="AD132" s="56" t="n"/>
      <c r="AE132" s="56" t="n"/>
      <c r="AF132" s="1" t="n"/>
      <c r="AG132" s="56" t="n"/>
      <c r="AH132" s="1" t="n"/>
      <c r="AI132" s="56" t="n"/>
      <c r="AJ132" s="1" t="n"/>
      <c r="AK132" s="56" t="n"/>
      <c r="AL132" s="56" t="n"/>
      <c r="AM132" s="1" t="n"/>
      <c r="AN132" s="1" t="n"/>
      <c r="AO132" s="1" t="n"/>
      <c r="AP132" s="1" t="n"/>
      <c r="AQ132" s="1" t="n"/>
      <c r="AR132" s="1" t="n"/>
    </row>
    <row r="133" ht="15.75" customHeight="1" s="9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54" t="n"/>
      <c r="O133" s="54" t="n"/>
      <c r="P133" s="54" t="n"/>
      <c r="Q133" s="55" t="n"/>
      <c r="R133" s="54" t="n"/>
      <c r="S133" s="55" t="n"/>
      <c r="T133" s="55" t="n"/>
      <c r="U133" s="55" t="n"/>
      <c r="V133" s="55" t="n"/>
      <c r="W133" s="56" t="n"/>
      <c r="X133" s="1" t="n"/>
      <c r="Y133" s="56" t="n"/>
      <c r="Z133" s="57" t="n"/>
      <c r="AA133" s="56" t="n"/>
      <c r="AB133" s="56" t="n"/>
      <c r="AC133" s="57" t="n"/>
      <c r="AD133" s="56" t="n"/>
      <c r="AE133" s="56" t="n"/>
      <c r="AF133" s="1" t="n"/>
      <c r="AG133" s="56" t="n"/>
      <c r="AH133" s="1" t="n"/>
      <c r="AI133" s="56" t="n"/>
      <c r="AJ133" s="1" t="n"/>
      <c r="AK133" s="56" t="n"/>
      <c r="AL133" s="56" t="n"/>
      <c r="AM133" s="1" t="n"/>
      <c r="AN133" s="1" t="n"/>
      <c r="AO133" s="1" t="n"/>
      <c r="AP133" s="1" t="n"/>
      <c r="AQ133" s="1" t="n"/>
      <c r="AR133" s="1" t="n"/>
    </row>
    <row r="134" ht="15.75" customHeight="1" s="9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54" t="n"/>
      <c r="O134" s="54" t="n"/>
      <c r="P134" s="54" t="n"/>
      <c r="Q134" s="55" t="n"/>
      <c r="R134" s="54" t="n"/>
      <c r="S134" s="55" t="n"/>
      <c r="T134" s="55" t="n"/>
      <c r="U134" s="55" t="n"/>
      <c r="V134" s="55" t="n"/>
      <c r="W134" s="56" t="n"/>
      <c r="X134" s="1" t="n"/>
      <c r="Y134" s="56" t="n"/>
      <c r="Z134" s="57" t="n"/>
      <c r="AA134" s="56" t="n"/>
      <c r="AB134" s="56" t="n"/>
      <c r="AC134" s="57" t="n"/>
      <c r="AD134" s="56" t="n"/>
      <c r="AE134" s="56" t="n"/>
      <c r="AF134" s="1" t="n"/>
      <c r="AG134" s="56" t="n"/>
      <c r="AH134" s="1" t="n"/>
      <c r="AI134" s="56" t="n"/>
      <c r="AJ134" s="1" t="n"/>
      <c r="AK134" s="56" t="n"/>
      <c r="AL134" s="56" t="n"/>
      <c r="AM134" s="1" t="n"/>
      <c r="AN134" s="1" t="n"/>
      <c r="AO134" s="1" t="n"/>
      <c r="AP134" s="1" t="n"/>
      <c r="AQ134" s="1" t="n"/>
      <c r="AR134" s="1" t="n"/>
    </row>
    <row r="135" ht="15.75" customHeight="1" s="9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54" t="n"/>
      <c r="O135" s="54" t="n"/>
      <c r="P135" s="54" t="n"/>
      <c r="Q135" s="55" t="n"/>
      <c r="R135" s="54" t="n"/>
      <c r="S135" s="55" t="n"/>
      <c r="T135" s="55" t="n"/>
      <c r="U135" s="55" t="n"/>
      <c r="V135" s="55" t="n"/>
      <c r="W135" s="56" t="n"/>
      <c r="X135" s="1" t="n"/>
      <c r="Y135" s="56" t="n"/>
      <c r="Z135" s="57" t="n"/>
      <c r="AA135" s="56" t="n"/>
      <c r="AB135" s="56" t="n"/>
      <c r="AC135" s="57" t="n"/>
      <c r="AD135" s="56" t="n"/>
      <c r="AE135" s="56" t="n"/>
      <c r="AF135" s="1" t="n"/>
      <c r="AG135" s="56" t="n"/>
      <c r="AH135" s="1" t="n"/>
      <c r="AI135" s="56" t="n"/>
      <c r="AJ135" s="1" t="n"/>
      <c r="AK135" s="56" t="n"/>
      <c r="AL135" s="56" t="n"/>
      <c r="AM135" s="1" t="n"/>
      <c r="AN135" s="1" t="n"/>
      <c r="AO135" s="1" t="n"/>
      <c r="AP135" s="1" t="n"/>
      <c r="AQ135" s="1" t="n"/>
      <c r="AR135" s="1" t="n"/>
    </row>
    <row r="136" ht="15.75" customHeight="1" s="9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54" t="n"/>
      <c r="O136" s="54" t="n"/>
      <c r="P136" s="54" t="n"/>
      <c r="Q136" s="55" t="n"/>
      <c r="R136" s="54" t="n"/>
      <c r="S136" s="55" t="n"/>
      <c r="T136" s="55" t="n"/>
      <c r="U136" s="55" t="n"/>
      <c r="V136" s="55" t="n"/>
      <c r="W136" s="56" t="n"/>
      <c r="X136" s="1" t="n"/>
      <c r="Y136" s="56" t="n"/>
      <c r="Z136" s="57" t="n"/>
      <c r="AA136" s="56" t="n"/>
      <c r="AB136" s="56" t="n"/>
      <c r="AC136" s="57" t="n"/>
      <c r="AD136" s="56" t="n"/>
      <c r="AE136" s="56" t="n"/>
      <c r="AF136" s="1" t="n"/>
      <c r="AG136" s="56" t="n"/>
      <c r="AH136" s="1" t="n"/>
      <c r="AI136" s="56" t="n"/>
      <c r="AJ136" s="1" t="n"/>
      <c r="AK136" s="56" t="n"/>
      <c r="AL136" s="56" t="n"/>
      <c r="AM136" s="1" t="n"/>
      <c r="AN136" s="1" t="n"/>
      <c r="AO136" s="1" t="n"/>
      <c r="AP136" s="1" t="n"/>
      <c r="AQ136" s="1" t="n"/>
      <c r="AR136" s="1" t="n"/>
    </row>
    <row r="137" ht="15.75" customHeight="1" s="9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54" t="n"/>
      <c r="O137" s="54" t="n"/>
      <c r="P137" s="54" t="n"/>
      <c r="Q137" s="55" t="n"/>
      <c r="R137" s="54" t="n"/>
      <c r="S137" s="55" t="n"/>
      <c r="T137" s="55" t="n"/>
      <c r="U137" s="55" t="n"/>
      <c r="V137" s="55" t="n"/>
      <c r="W137" s="56" t="n"/>
      <c r="X137" s="1" t="n"/>
      <c r="Y137" s="56" t="n"/>
      <c r="Z137" s="57" t="n"/>
      <c r="AA137" s="56" t="n"/>
      <c r="AB137" s="56" t="n"/>
      <c r="AC137" s="57" t="n"/>
      <c r="AD137" s="56" t="n"/>
      <c r="AE137" s="56" t="n"/>
      <c r="AF137" s="1" t="n"/>
      <c r="AG137" s="56" t="n"/>
      <c r="AH137" s="1" t="n"/>
      <c r="AI137" s="56" t="n"/>
      <c r="AJ137" s="1" t="n"/>
      <c r="AK137" s="56" t="n"/>
      <c r="AL137" s="56" t="n"/>
      <c r="AM137" s="1" t="n"/>
      <c r="AN137" s="1" t="n"/>
      <c r="AO137" s="1" t="n"/>
      <c r="AP137" s="1" t="n"/>
      <c r="AQ137" s="1" t="n"/>
      <c r="AR137" s="1" t="n"/>
    </row>
    <row r="138" ht="15.75" customHeight="1" s="9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54" t="n"/>
      <c r="O138" s="54" t="n"/>
      <c r="P138" s="54" t="n"/>
      <c r="Q138" s="55" t="n"/>
      <c r="R138" s="54" t="n"/>
      <c r="S138" s="55" t="n"/>
      <c r="T138" s="55" t="n"/>
      <c r="U138" s="55" t="n"/>
      <c r="V138" s="55" t="n"/>
      <c r="W138" s="56" t="n"/>
      <c r="X138" s="1" t="n"/>
      <c r="Y138" s="56" t="n"/>
      <c r="Z138" s="57" t="n"/>
      <c r="AA138" s="56" t="n"/>
      <c r="AB138" s="56" t="n"/>
      <c r="AC138" s="57" t="n"/>
      <c r="AD138" s="56" t="n"/>
      <c r="AE138" s="56" t="n"/>
      <c r="AF138" s="1" t="n"/>
      <c r="AG138" s="56" t="n"/>
      <c r="AH138" s="1" t="n"/>
      <c r="AI138" s="56" t="n"/>
      <c r="AJ138" s="1" t="n"/>
      <c r="AK138" s="56" t="n"/>
      <c r="AL138" s="56" t="n"/>
      <c r="AM138" s="1" t="n"/>
      <c r="AN138" s="1" t="n"/>
      <c r="AO138" s="1" t="n"/>
      <c r="AP138" s="1" t="n"/>
      <c r="AQ138" s="1" t="n"/>
      <c r="AR138" s="1" t="n"/>
    </row>
    <row r="139" ht="15.75" customHeight="1" s="9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54" t="n"/>
      <c r="O139" s="54" t="n"/>
      <c r="P139" s="54" t="n"/>
      <c r="Q139" s="55" t="n"/>
      <c r="R139" s="54" t="n"/>
      <c r="S139" s="55" t="n"/>
      <c r="T139" s="55" t="n"/>
      <c r="U139" s="55" t="n"/>
      <c r="V139" s="55" t="n"/>
      <c r="W139" s="56" t="n"/>
      <c r="X139" s="1" t="n"/>
      <c r="Y139" s="56" t="n"/>
      <c r="Z139" s="57" t="n"/>
      <c r="AA139" s="56" t="n"/>
      <c r="AB139" s="56" t="n"/>
      <c r="AC139" s="57" t="n"/>
      <c r="AD139" s="56" t="n"/>
      <c r="AE139" s="56" t="n"/>
      <c r="AF139" s="1" t="n"/>
      <c r="AG139" s="56" t="n"/>
      <c r="AH139" s="1" t="n"/>
      <c r="AI139" s="56" t="n"/>
      <c r="AJ139" s="1" t="n"/>
      <c r="AK139" s="56" t="n"/>
      <c r="AL139" s="56" t="n"/>
      <c r="AM139" s="1" t="n"/>
      <c r="AN139" s="1" t="n"/>
      <c r="AO139" s="1" t="n"/>
      <c r="AP139" s="1" t="n"/>
      <c r="AQ139" s="1" t="n"/>
      <c r="AR139" s="1" t="n"/>
    </row>
    <row r="140" ht="15.75" customHeight="1" s="9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54" t="n"/>
      <c r="O140" s="54" t="n"/>
      <c r="P140" s="54" t="n"/>
      <c r="Q140" s="55" t="n"/>
      <c r="R140" s="54" t="n"/>
      <c r="S140" s="55" t="n"/>
      <c r="T140" s="55" t="n"/>
      <c r="U140" s="55" t="n"/>
      <c r="V140" s="55" t="n"/>
      <c r="W140" s="56" t="n"/>
      <c r="X140" s="1" t="n"/>
      <c r="Y140" s="56" t="n"/>
      <c r="Z140" s="57" t="n"/>
      <c r="AA140" s="56" t="n"/>
      <c r="AB140" s="56" t="n"/>
      <c r="AC140" s="57" t="n"/>
      <c r="AD140" s="56" t="n"/>
      <c r="AE140" s="56" t="n"/>
      <c r="AF140" s="1" t="n"/>
      <c r="AG140" s="56" t="n"/>
      <c r="AH140" s="1" t="n"/>
      <c r="AI140" s="56" t="n"/>
      <c r="AJ140" s="1" t="n"/>
      <c r="AK140" s="56" t="n"/>
      <c r="AL140" s="56" t="n"/>
      <c r="AM140" s="1" t="n"/>
      <c r="AN140" s="1" t="n"/>
      <c r="AO140" s="1" t="n"/>
      <c r="AP140" s="1" t="n"/>
      <c r="AQ140" s="1" t="n"/>
      <c r="AR140" s="1" t="n"/>
    </row>
    <row r="141" ht="15.75" customHeight="1" s="9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54" t="n"/>
      <c r="O141" s="54" t="n"/>
      <c r="P141" s="54" t="n"/>
      <c r="Q141" s="55" t="n"/>
      <c r="R141" s="54" t="n"/>
      <c r="S141" s="55" t="n"/>
      <c r="T141" s="55" t="n"/>
      <c r="U141" s="55" t="n"/>
      <c r="V141" s="55" t="n"/>
      <c r="W141" s="56" t="n"/>
      <c r="X141" s="1" t="n"/>
      <c r="Y141" s="56" t="n"/>
      <c r="Z141" s="57" t="n"/>
      <c r="AA141" s="56" t="n"/>
      <c r="AB141" s="56" t="n"/>
      <c r="AC141" s="57" t="n"/>
      <c r="AD141" s="56" t="n"/>
      <c r="AE141" s="56" t="n"/>
      <c r="AF141" s="1" t="n"/>
      <c r="AG141" s="56" t="n"/>
      <c r="AH141" s="1" t="n"/>
      <c r="AI141" s="56" t="n"/>
      <c r="AJ141" s="1" t="n"/>
      <c r="AK141" s="56" t="n"/>
      <c r="AL141" s="56" t="n"/>
      <c r="AM141" s="1" t="n"/>
      <c r="AN141" s="1" t="n"/>
      <c r="AO141" s="1" t="n"/>
      <c r="AP141" s="1" t="n"/>
      <c r="AQ141" s="1" t="n"/>
      <c r="AR141" s="1" t="n"/>
    </row>
    <row r="142" ht="15.75" customHeight="1" s="9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54" t="n"/>
      <c r="O142" s="54" t="n"/>
      <c r="P142" s="54" t="n"/>
      <c r="Q142" s="55" t="n"/>
      <c r="R142" s="54" t="n"/>
      <c r="S142" s="55" t="n"/>
      <c r="T142" s="55" t="n"/>
      <c r="U142" s="55" t="n"/>
      <c r="V142" s="55" t="n"/>
      <c r="W142" s="56" t="n"/>
      <c r="X142" s="1" t="n"/>
      <c r="Y142" s="56" t="n"/>
      <c r="Z142" s="57" t="n"/>
      <c r="AA142" s="56" t="n"/>
      <c r="AB142" s="56" t="n"/>
      <c r="AC142" s="57" t="n"/>
      <c r="AD142" s="56" t="n"/>
      <c r="AE142" s="56" t="n"/>
      <c r="AF142" s="1" t="n"/>
      <c r="AG142" s="56" t="n"/>
      <c r="AH142" s="1" t="n"/>
      <c r="AI142" s="56" t="n"/>
      <c r="AJ142" s="1" t="n"/>
      <c r="AK142" s="56" t="n"/>
      <c r="AL142" s="56" t="n"/>
      <c r="AM142" s="1" t="n"/>
      <c r="AN142" s="1" t="n"/>
      <c r="AO142" s="1" t="n"/>
      <c r="AP142" s="1" t="n"/>
      <c r="AQ142" s="1" t="n"/>
      <c r="AR142" s="1" t="n"/>
    </row>
    <row r="143" ht="15.75" customHeight="1" s="9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54" t="n"/>
      <c r="O143" s="54" t="n"/>
      <c r="P143" s="54" t="n"/>
      <c r="Q143" s="55" t="n"/>
      <c r="R143" s="54" t="n"/>
      <c r="S143" s="55" t="n"/>
      <c r="T143" s="55" t="n"/>
      <c r="U143" s="55" t="n"/>
      <c r="V143" s="55" t="n"/>
      <c r="W143" s="56" t="n"/>
      <c r="X143" s="1" t="n"/>
      <c r="Y143" s="56" t="n"/>
      <c r="Z143" s="57" t="n"/>
      <c r="AA143" s="56" t="n"/>
      <c r="AB143" s="56" t="n"/>
      <c r="AC143" s="57" t="n"/>
      <c r="AD143" s="56" t="n"/>
      <c r="AE143" s="56" t="n"/>
      <c r="AF143" s="1" t="n"/>
      <c r="AG143" s="56" t="n"/>
      <c r="AH143" s="1" t="n"/>
      <c r="AI143" s="56" t="n"/>
      <c r="AJ143" s="1" t="n"/>
      <c r="AK143" s="56" t="n"/>
      <c r="AL143" s="56" t="n"/>
      <c r="AM143" s="1" t="n"/>
      <c r="AN143" s="1" t="n"/>
      <c r="AO143" s="1" t="n"/>
      <c r="AP143" s="1" t="n"/>
      <c r="AQ143" s="1" t="n"/>
      <c r="AR143" s="1" t="n"/>
    </row>
    <row r="144" ht="15.75" customHeight="1" s="9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54" t="n"/>
      <c r="O144" s="54" t="n"/>
      <c r="P144" s="54" t="n"/>
      <c r="Q144" s="55" t="n"/>
      <c r="R144" s="54" t="n"/>
      <c r="S144" s="55" t="n"/>
      <c r="T144" s="55" t="n"/>
      <c r="U144" s="55" t="n"/>
      <c r="V144" s="55" t="n"/>
      <c r="W144" s="56" t="n"/>
      <c r="X144" s="1" t="n"/>
      <c r="Y144" s="56" t="n"/>
      <c r="Z144" s="57" t="n"/>
      <c r="AA144" s="56" t="n"/>
      <c r="AB144" s="56" t="n"/>
      <c r="AC144" s="57" t="n"/>
      <c r="AD144" s="56" t="n"/>
      <c r="AE144" s="56" t="n"/>
      <c r="AF144" s="1" t="n"/>
      <c r="AG144" s="56" t="n"/>
      <c r="AH144" s="1" t="n"/>
      <c r="AI144" s="56" t="n"/>
      <c r="AJ144" s="1" t="n"/>
      <c r="AK144" s="56" t="n"/>
      <c r="AL144" s="56" t="n"/>
      <c r="AM144" s="1" t="n"/>
      <c r="AN144" s="1" t="n"/>
      <c r="AO144" s="1" t="n"/>
      <c r="AP144" s="1" t="n"/>
      <c r="AQ144" s="1" t="n"/>
      <c r="AR144" s="1" t="n"/>
    </row>
    <row r="145" ht="15.75" customHeight="1" s="9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54" t="n"/>
      <c r="O145" s="54" t="n"/>
      <c r="P145" s="54" t="n"/>
      <c r="Q145" s="55" t="n"/>
      <c r="R145" s="54" t="n"/>
      <c r="S145" s="55" t="n"/>
      <c r="T145" s="55" t="n"/>
      <c r="U145" s="55" t="n"/>
      <c r="V145" s="55" t="n"/>
      <c r="W145" s="56" t="n"/>
      <c r="X145" s="1" t="n"/>
      <c r="Y145" s="56" t="n"/>
      <c r="Z145" s="57" t="n"/>
      <c r="AA145" s="56" t="n"/>
      <c r="AB145" s="56" t="n"/>
      <c r="AC145" s="57" t="n"/>
      <c r="AD145" s="56" t="n"/>
      <c r="AE145" s="56" t="n"/>
      <c r="AF145" s="1" t="n"/>
      <c r="AG145" s="56" t="n"/>
      <c r="AH145" s="1" t="n"/>
      <c r="AI145" s="56" t="n"/>
      <c r="AJ145" s="1" t="n"/>
      <c r="AK145" s="56" t="n"/>
      <c r="AL145" s="56" t="n"/>
      <c r="AM145" s="1" t="n"/>
      <c r="AN145" s="1" t="n"/>
      <c r="AO145" s="1" t="n"/>
      <c r="AP145" s="1" t="n"/>
      <c r="AQ145" s="1" t="n"/>
      <c r="AR145" s="1" t="n"/>
    </row>
    <row r="146" ht="15.75" customHeight="1" s="9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54" t="n"/>
      <c r="O146" s="54" t="n"/>
      <c r="P146" s="54" t="n"/>
      <c r="Q146" s="55" t="n"/>
      <c r="R146" s="54" t="n"/>
      <c r="S146" s="55" t="n"/>
      <c r="T146" s="55" t="n"/>
      <c r="U146" s="55" t="n"/>
      <c r="V146" s="55" t="n"/>
      <c r="W146" s="56" t="n"/>
      <c r="X146" s="1" t="n"/>
      <c r="Y146" s="56" t="n"/>
      <c r="Z146" s="57" t="n"/>
      <c r="AA146" s="56" t="n"/>
      <c r="AB146" s="56" t="n"/>
      <c r="AC146" s="57" t="n"/>
      <c r="AD146" s="56" t="n"/>
      <c r="AE146" s="56" t="n"/>
      <c r="AF146" s="1" t="n"/>
      <c r="AG146" s="56" t="n"/>
      <c r="AH146" s="1" t="n"/>
      <c r="AI146" s="56" t="n"/>
      <c r="AJ146" s="1" t="n"/>
      <c r="AK146" s="56" t="n"/>
      <c r="AL146" s="56" t="n"/>
      <c r="AM146" s="1" t="n"/>
      <c r="AN146" s="1" t="n"/>
      <c r="AO146" s="1" t="n"/>
      <c r="AP146" s="1" t="n"/>
      <c r="AQ146" s="1" t="n"/>
      <c r="AR146" s="1" t="n"/>
    </row>
    <row r="147" ht="15.75" customHeight="1" s="9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54" t="n"/>
      <c r="O147" s="54" t="n"/>
      <c r="P147" s="54" t="n"/>
      <c r="Q147" s="55" t="n"/>
      <c r="R147" s="54" t="n"/>
      <c r="S147" s="55" t="n"/>
      <c r="T147" s="55" t="n"/>
      <c r="U147" s="55" t="n"/>
      <c r="V147" s="55" t="n"/>
      <c r="W147" s="56" t="n"/>
      <c r="X147" s="1" t="n"/>
      <c r="Y147" s="56" t="n"/>
      <c r="Z147" s="57" t="n"/>
      <c r="AA147" s="56" t="n"/>
      <c r="AB147" s="56" t="n"/>
      <c r="AC147" s="57" t="n"/>
      <c r="AD147" s="56" t="n"/>
      <c r="AE147" s="56" t="n"/>
      <c r="AF147" s="1" t="n"/>
      <c r="AG147" s="56" t="n"/>
      <c r="AH147" s="1" t="n"/>
      <c r="AI147" s="56" t="n"/>
      <c r="AJ147" s="1" t="n"/>
      <c r="AK147" s="56" t="n"/>
      <c r="AL147" s="56" t="n"/>
      <c r="AM147" s="1" t="n"/>
      <c r="AN147" s="1" t="n"/>
      <c r="AO147" s="1" t="n"/>
      <c r="AP147" s="1" t="n"/>
      <c r="AQ147" s="1" t="n"/>
      <c r="AR147" s="1" t="n"/>
    </row>
    <row r="148" ht="15.75" customHeight="1" s="9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54" t="n"/>
      <c r="O148" s="54" t="n"/>
      <c r="P148" s="54" t="n"/>
      <c r="Q148" s="55" t="n"/>
      <c r="R148" s="54" t="n"/>
      <c r="S148" s="55" t="n"/>
      <c r="T148" s="55" t="n"/>
      <c r="U148" s="55" t="n"/>
      <c r="V148" s="55" t="n"/>
      <c r="W148" s="56" t="n"/>
      <c r="X148" s="1" t="n"/>
      <c r="Y148" s="56" t="n"/>
      <c r="Z148" s="57" t="n"/>
      <c r="AA148" s="56" t="n"/>
      <c r="AB148" s="56" t="n"/>
      <c r="AC148" s="57" t="n"/>
      <c r="AD148" s="56" t="n"/>
      <c r="AE148" s="56" t="n"/>
      <c r="AF148" s="1" t="n"/>
      <c r="AG148" s="56" t="n"/>
      <c r="AH148" s="1" t="n"/>
      <c r="AI148" s="56" t="n"/>
      <c r="AJ148" s="1" t="n"/>
      <c r="AK148" s="56" t="n"/>
      <c r="AL148" s="56" t="n"/>
      <c r="AM148" s="1" t="n"/>
      <c r="AN148" s="1" t="n"/>
      <c r="AO148" s="1" t="n"/>
      <c r="AP148" s="1" t="n"/>
      <c r="AQ148" s="1" t="n"/>
      <c r="AR148" s="1" t="n"/>
    </row>
    <row r="149" ht="15.75" customHeight="1" s="9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54" t="n"/>
      <c r="O149" s="54" t="n"/>
      <c r="P149" s="54" t="n"/>
      <c r="Q149" s="55" t="n"/>
      <c r="R149" s="54" t="n"/>
      <c r="S149" s="55" t="n"/>
      <c r="T149" s="55" t="n"/>
      <c r="U149" s="55" t="n"/>
      <c r="V149" s="55" t="n"/>
      <c r="W149" s="56" t="n"/>
      <c r="X149" s="1" t="n"/>
      <c r="Y149" s="56" t="n"/>
      <c r="Z149" s="57" t="n"/>
      <c r="AA149" s="56" t="n"/>
      <c r="AB149" s="56" t="n"/>
      <c r="AC149" s="57" t="n"/>
      <c r="AD149" s="56" t="n"/>
      <c r="AE149" s="56" t="n"/>
      <c r="AF149" s="1" t="n"/>
      <c r="AG149" s="56" t="n"/>
      <c r="AH149" s="1" t="n"/>
      <c r="AI149" s="56" t="n"/>
      <c r="AJ149" s="1" t="n"/>
      <c r="AK149" s="56" t="n"/>
      <c r="AL149" s="56" t="n"/>
      <c r="AM149" s="1" t="n"/>
      <c r="AN149" s="1" t="n"/>
      <c r="AO149" s="1" t="n"/>
      <c r="AP149" s="1" t="n"/>
      <c r="AQ149" s="1" t="n"/>
      <c r="AR149" s="1" t="n"/>
    </row>
    <row r="150" ht="15.75" customHeight="1" s="9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54" t="n"/>
      <c r="O150" s="54" t="n"/>
      <c r="P150" s="54" t="n"/>
      <c r="Q150" s="55" t="n"/>
      <c r="R150" s="54" t="n"/>
      <c r="S150" s="55" t="n"/>
      <c r="T150" s="55" t="n"/>
      <c r="U150" s="55" t="n"/>
      <c r="V150" s="55" t="n"/>
      <c r="W150" s="56" t="n"/>
      <c r="X150" s="1" t="n"/>
      <c r="Y150" s="56" t="n"/>
      <c r="Z150" s="57" t="n"/>
      <c r="AA150" s="56" t="n"/>
      <c r="AB150" s="56" t="n"/>
      <c r="AC150" s="57" t="n"/>
      <c r="AD150" s="56" t="n"/>
      <c r="AE150" s="56" t="n"/>
      <c r="AF150" s="1" t="n"/>
      <c r="AG150" s="56" t="n"/>
      <c r="AH150" s="1" t="n"/>
      <c r="AI150" s="56" t="n"/>
      <c r="AJ150" s="1" t="n"/>
      <c r="AK150" s="56" t="n"/>
      <c r="AL150" s="56" t="n"/>
      <c r="AM150" s="1" t="n"/>
      <c r="AN150" s="1" t="n"/>
      <c r="AO150" s="1" t="n"/>
      <c r="AP150" s="1" t="n"/>
      <c r="AQ150" s="1" t="n"/>
      <c r="AR150" s="1" t="n"/>
    </row>
    <row r="151" ht="15.75" customHeight="1" s="9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54" t="n"/>
      <c r="O151" s="54" t="n"/>
      <c r="P151" s="54" t="n"/>
      <c r="Q151" s="55" t="n"/>
      <c r="R151" s="54" t="n"/>
      <c r="S151" s="55" t="n"/>
      <c r="T151" s="55" t="n"/>
      <c r="U151" s="55" t="n"/>
      <c r="V151" s="55" t="n"/>
      <c r="W151" s="56" t="n"/>
      <c r="X151" s="1" t="n"/>
      <c r="Y151" s="56" t="n"/>
      <c r="Z151" s="57" t="n"/>
      <c r="AA151" s="56" t="n"/>
      <c r="AB151" s="56" t="n"/>
      <c r="AC151" s="57" t="n"/>
      <c r="AD151" s="56" t="n"/>
      <c r="AE151" s="56" t="n"/>
      <c r="AF151" s="1" t="n"/>
      <c r="AG151" s="56" t="n"/>
      <c r="AH151" s="1" t="n"/>
      <c r="AI151" s="56" t="n"/>
      <c r="AJ151" s="1" t="n"/>
      <c r="AK151" s="56" t="n"/>
      <c r="AL151" s="56" t="n"/>
      <c r="AM151" s="1" t="n"/>
      <c r="AN151" s="1" t="n"/>
      <c r="AO151" s="1" t="n"/>
      <c r="AP151" s="1" t="n"/>
      <c r="AQ151" s="1" t="n"/>
      <c r="AR151" s="1" t="n"/>
    </row>
    <row r="152" ht="15.75" customHeight="1" s="9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54" t="n"/>
      <c r="O152" s="54" t="n"/>
      <c r="P152" s="54" t="n"/>
      <c r="Q152" s="55" t="n"/>
      <c r="R152" s="54" t="n"/>
      <c r="S152" s="55" t="n"/>
      <c r="T152" s="55" t="n"/>
      <c r="U152" s="55" t="n"/>
      <c r="V152" s="55" t="n"/>
      <c r="W152" s="56" t="n"/>
      <c r="X152" s="1" t="n"/>
      <c r="Y152" s="56" t="n"/>
      <c r="Z152" s="57" t="n"/>
      <c r="AA152" s="56" t="n"/>
      <c r="AB152" s="56" t="n"/>
      <c r="AC152" s="57" t="n"/>
      <c r="AD152" s="56" t="n"/>
      <c r="AE152" s="56" t="n"/>
      <c r="AF152" s="1" t="n"/>
      <c r="AG152" s="56" t="n"/>
      <c r="AH152" s="1" t="n"/>
      <c r="AI152" s="56" t="n"/>
      <c r="AJ152" s="1" t="n"/>
      <c r="AK152" s="56" t="n"/>
      <c r="AL152" s="56" t="n"/>
      <c r="AM152" s="1" t="n"/>
      <c r="AN152" s="1" t="n"/>
      <c r="AO152" s="1" t="n"/>
      <c r="AP152" s="1" t="n"/>
      <c r="AQ152" s="1" t="n"/>
      <c r="AR152" s="1" t="n"/>
    </row>
    <row r="153" ht="15.75" customHeight="1" s="9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54" t="n"/>
      <c r="O153" s="54" t="n"/>
      <c r="P153" s="54" t="n"/>
      <c r="Q153" s="55" t="n"/>
      <c r="R153" s="54" t="n"/>
      <c r="S153" s="55" t="n"/>
      <c r="T153" s="55" t="n"/>
      <c r="U153" s="55" t="n"/>
      <c r="V153" s="55" t="n"/>
      <c r="W153" s="56" t="n"/>
      <c r="X153" s="1" t="n"/>
      <c r="Y153" s="56" t="n"/>
      <c r="Z153" s="57" t="n"/>
      <c r="AA153" s="56" t="n"/>
      <c r="AB153" s="56" t="n"/>
      <c r="AC153" s="57" t="n"/>
      <c r="AD153" s="56" t="n"/>
      <c r="AE153" s="56" t="n"/>
      <c r="AF153" s="1" t="n"/>
      <c r="AG153" s="56" t="n"/>
      <c r="AH153" s="1" t="n"/>
      <c r="AI153" s="56" t="n"/>
      <c r="AJ153" s="1" t="n"/>
      <c r="AK153" s="56" t="n"/>
      <c r="AL153" s="56" t="n"/>
      <c r="AM153" s="1" t="n"/>
      <c r="AN153" s="1" t="n"/>
      <c r="AO153" s="1" t="n"/>
      <c r="AP153" s="1" t="n"/>
      <c r="AQ153" s="1" t="n"/>
      <c r="AR153" s="1" t="n"/>
    </row>
    <row r="154" ht="15.75" customHeight="1" s="9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54" t="n"/>
      <c r="O154" s="54" t="n"/>
      <c r="P154" s="54" t="n"/>
      <c r="Q154" s="55" t="n"/>
      <c r="R154" s="54" t="n"/>
      <c r="S154" s="55" t="n"/>
      <c r="T154" s="55" t="n"/>
      <c r="U154" s="55" t="n"/>
      <c r="V154" s="55" t="n"/>
      <c r="W154" s="56" t="n"/>
      <c r="X154" s="1" t="n"/>
      <c r="Y154" s="56" t="n"/>
      <c r="Z154" s="57" t="n"/>
      <c r="AA154" s="56" t="n"/>
      <c r="AB154" s="56" t="n"/>
      <c r="AC154" s="57" t="n"/>
      <c r="AD154" s="56" t="n"/>
      <c r="AE154" s="56" t="n"/>
      <c r="AF154" s="1" t="n"/>
      <c r="AG154" s="56" t="n"/>
      <c r="AH154" s="1" t="n"/>
      <c r="AI154" s="56" t="n"/>
      <c r="AJ154" s="1" t="n"/>
      <c r="AK154" s="56" t="n"/>
      <c r="AL154" s="56" t="n"/>
      <c r="AM154" s="1" t="n"/>
      <c r="AN154" s="1" t="n"/>
      <c r="AO154" s="1" t="n"/>
      <c r="AP154" s="1" t="n"/>
      <c r="AQ154" s="1" t="n"/>
      <c r="AR154" s="1" t="n"/>
    </row>
    <row r="155" ht="15.75" customHeight="1" s="9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54" t="n"/>
      <c r="O155" s="54" t="n"/>
      <c r="P155" s="54" t="n"/>
      <c r="Q155" s="55" t="n"/>
      <c r="R155" s="54" t="n"/>
      <c r="S155" s="55" t="n"/>
      <c r="T155" s="55" t="n"/>
      <c r="U155" s="55" t="n"/>
      <c r="V155" s="55" t="n"/>
      <c r="W155" s="56" t="n"/>
      <c r="X155" s="1" t="n"/>
      <c r="Y155" s="56" t="n"/>
      <c r="Z155" s="57" t="n"/>
      <c r="AA155" s="56" t="n"/>
      <c r="AB155" s="56" t="n"/>
      <c r="AC155" s="57" t="n"/>
      <c r="AD155" s="56" t="n"/>
      <c r="AE155" s="56" t="n"/>
      <c r="AF155" s="1" t="n"/>
      <c r="AG155" s="56" t="n"/>
      <c r="AH155" s="1" t="n"/>
      <c r="AI155" s="56" t="n"/>
      <c r="AJ155" s="1" t="n"/>
      <c r="AK155" s="56" t="n"/>
      <c r="AL155" s="56" t="n"/>
      <c r="AM155" s="1" t="n"/>
      <c r="AN155" s="1" t="n"/>
      <c r="AO155" s="1" t="n"/>
      <c r="AP155" s="1" t="n"/>
      <c r="AQ155" s="1" t="n"/>
      <c r="AR155" s="1" t="n"/>
    </row>
    <row r="156" ht="15.75" customHeight="1" s="9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54" t="n"/>
      <c r="O156" s="54" t="n"/>
      <c r="P156" s="54" t="n"/>
      <c r="Q156" s="55" t="n"/>
      <c r="R156" s="54" t="n"/>
      <c r="S156" s="55" t="n"/>
      <c r="T156" s="55" t="n"/>
      <c r="U156" s="55" t="n"/>
      <c r="V156" s="55" t="n"/>
      <c r="W156" s="56" t="n"/>
      <c r="X156" s="1" t="n"/>
      <c r="Y156" s="56" t="n"/>
      <c r="Z156" s="57" t="n"/>
      <c r="AA156" s="56" t="n"/>
      <c r="AB156" s="56" t="n"/>
      <c r="AC156" s="57" t="n"/>
      <c r="AD156" s="56" t="n"/>
      <c r="AE156" s="56" t="n"/>
      <c r="AF156" s="1" t="n"/>
      <c r="AG156" s="56" t="n"/>
      <c r="AH156" s="1" t="n"/>
      <c r="AI156" s="56" t="n"/>
      <c r="AJ156" s="1" t="n"/>
      <c r="AK156" s="56" t="n"/>
      <c r="AL156" s="56" t="n"/>
      <c r="AM156" s="1" t="n"/>
      <c r="AN156" s="1" t="n"/>
      <c r="AO156" s="1" t="n"/>
      <c r="AP156" s="1" t="n"/>
      <c r="AQ156" s="1" t="n"/>
      <c r="AR156" s="1" t="n"/>
    </row>
    <row r="157" ht="15.75" customHeight="1" s="9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54" t="n"/>
      <c r="O157" s="54" t="n"/>
      <c r="P157" s="54" t="n"/>
      <c r="Q157" s="55" t="n"/>
      <c r="R157" s="54" t="n"/>
      <c r="S157" s="55" t="n"/>
      <c r="T157" s="55" t="n"/>
      <c r="U157" s="55" t="n"/>
      <c r="V157" s="55" t="n"/>
      <c r="W157" s="56" t="n"/>
      <c r="X157" s="1" t="n"/>
      <c r="Y157" s="56" t="n"/>
      <c r="Z157" s="57" t="n"/>
      <c r="AA157" s="56" t="n"/>
      <c r="AB157" s="56" t="n"/>
      <c r="AC157" s="57" t="n"/>
      <c r="AD157" s="56" t="n"/>
      <c r="AE157" s="56" t="n"/>
      <c r="AF157" s="1" t="n"/>
      <c r="AG157" s="56" t="n"/>
      <c r="AH157" s="1" t="n"/>
      <c r="AI157" s="56" t="n"/>
      <c r="AJ157" s="1" t="n"/>
      <c r="AK157" s="56" t="n"/>
      <c r="AL157" s="56" t="n"/>
      <c r="AM157" s="1" t="n"/>
      <c r="AN157" s="1" t="n"/>
      <c r="AO157" s="1" t="n"/>
      <c r="AP157" s="1" t="n"/>
      <c r="AQ157" s="1" t="n"/>
      <c r="AR157" s="1" t="n"/>
    </row>
    <row r="158" ht="15.75" customHeight="1" s="9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54" t="n"/>
      <c r="O158" s="54" t="n"/>
      <c r="P158" s="54" t="n"/>
      <c r="Q158" s="55" t="n"/>
      <c r="R158" s="54" t="n"/>
      <c r="S158" s="55" t="n"/>
      <c r="T158" s="55" t="n"/>
      <c r="U158" s="55" t="n"/>
      <c r="V158" s="55" t="n"/>
      <c r="W158" s="56" t="n"/>
      <c r="X158" s="1" t="n"/>
      <c r="Y158" s="56" t="n"/>
      <c r="Z158" s="57" t="n"/>
      <c r="AA158" s="56" t="n"/>
      <c r="AB158" s="56" t="n"/>
      <c r="AC158" s="57" t="n"/>
      <c r="AD158" s="56" t="n"/>
      <c r="AE158" s="56" t="n"/>
      <c r="AF158" s="1" t="n"/>
      <c r="AG158" s="56" t="n"/>
      <c r="AH158" s="1" t="n"/>
      <c r="AI158" s="56" t="n"/>
      <c r="AJ158" s="1" t="n"/>
      <c r="AK158" s="56" t="n"/>
      <c r="AL158" s="56" t="n"/>
      <c r="AM158" s="1" t="n"/>
      <c r="AN158" s="1" t="n"/>
      <c r="AO158" s="1" t="n"/>
      <c r="AP158" s="1" t="n"/>
      <c r="AQ158" s="1" t="n"/>
      <c r="AR158" s="1" t="n"/>
    </row>
    <row r="159" ht="15.75" customHeight="1" s="9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54" t="n"/>
      <c r="O159" s="54" t="n"/>
      <c r="P159" s="54" t="n"/>
      <c r="Q159" s="55" t="n"/>
      <c r="R159" s="54" t="n"/>
      <c r="S159" s="55" t="n"/>
      <c r="T159" s="55" t="n"/>
      <c r="U159" s="55" t="n"/>
      <c r="V159" s="55" t="n"/>
      <c r="W159" s="56" t="n"/>
      <c r="X159" s="1" t="n"/>
      <c r="Y159" s="56" t="n"/>
      <c r="Z159" s="57" t="n"/>
      <c r="AA159" s="56" t="n"/>
      <c r="AB159" s="56" t="n"/>
      <c r="AC159" s="57" t="n"/>
      <c r="AD159" s="56" t="n"/>
      <c r="AE159" s="56" t="n"/>
      <c r="AF159" s="1" t="n"/>
      <c r="AG159" s="56" t="n"/>
      <c r="AH159" s="1" t="n"/>
      <c r="AI159" s="56" t="n"/>
      <c r="AJ159" s="1" t="n"/>
      <c r="AK159" s="56" t="n"/>
      <c r="AL159" s="56" t="n"/>
      <c r="AM159" s="1" t="n"/>
      <c r="AN159" s="1" t="n"/>
      <c r="AO159" s="1" t="n"/>
      <c r="AP159" s="1" t="n"/>
      <c r="AQ159" s="1" t="n"/>
      <c r="AR159" s="1" t="n"/>
    </row>
    <row r="160" ht="15.75" customHeight="1" s="9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54" t="n"/>
      <c r="O160" s="54" t="n"/>
      <c r="P160" s="54" t="n"/>
      <c r="Q160" s="55" t="n"/>
      <c r="R160" s="54" t="n"/>
      <c r="S160" s="55" t="n"/>
      <c r="T160" s="55" t="n"/>
      <c r="U160" s="55" t="n"/>
      <c r="V160" s="55" t="n"/>
      <c r="W160" s="56" t="n"/>
      <c r="X160" s="1" t="n"/>
      <c r="Y160" s="56" t="n"/>
      <c r="Z160" s="57" t="n"/>
      <c r="AA160" s="56" t="n"/>
      <c r="AB160" s="56" t="n"/>
      <c r="AC160" s="57" t="n"/>
      <c r="AD160" s="56" t="n"/>
      <c r="AE160" s="56" t="n"/>
      <c r="AF160" s="1" t="n"/>
      <c r="AG160" s="56" t="n"/>
      <c r="AH160" s="1" t="n"/>
      <c r="AI160" s="56" t="n"/>
      <c r="AJ160" s="1" t="n"/>
      <c r="AK160" s="56" t="n"/>
      <c r="AL160" s="56" t="n"/>
      <c r="AM160" s="1" t="n"/>
      <c r="AN160" s="1" t="n"/>
      <c r="AO160" s="1" t="n"/>
      <c r="AP160" s="1" t="n"/>
      <c r="AQ160" s="1" t="n"/>
      <c r="AR160" s="1" t="n"/>
    </row>
    <row r="161" ht="15.75" customHeight="1" s="9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54" t="n"/>
      <c r="O161" s="54" t="n"/>
      <c r="P161" s="54" t="n"/>
      <c r="Q161" s="55" t="n"/>
      <c r="R161" s="54" t="n"/>
      <c r="S161" s="55" t="n"/>
      <c r="T161" s="55" t="n"/>
      <c r="U161" s="55" t="n"/>
      <c r="V161" s="55" t="n"/>
      <c r="W161" s="56" t="n"/>
      <c r="X161" s="1" t="n"/>
      <c r="Y161" s="56" t="n"/>
      <c r="Z161" s="57" t="n"/>
      <c r="AA161" s="56" t="n"/>
      <c r="AB161" s="56" t="n"/>
      <c r="AC161" s="57" t="n"/>
      <c r="AD161" s="56" t="n"/>
      <c r="AE161" s="56" t="n"/>
      <c r="AF161" s="1" t="n"/>
      <c r="AG161" s="56" t="n"/>
      <c r="AH161" s="1" t="n"/>
      <c r="AI161" s="56" t="n"/>
      <c r="AJ161" s="1" t="n"/>
      <c r="AK161" s="56" t="n"/>
      <c r="AL161" s="56" t="n"/>
      <c r="AM161" s="1" t="n"/>
      <c r="AN161" s="1" t="n"/>
      <c r="AO161" s="1" t="n"/>
      <c r="AP161" s="1" t="n"/>
      <c r="AQ161" s="1" t="n"/>
      <c r="AR161" s="1" t="n"/>
    </row>
    <row r="162" ht="15.75" customHeight="1" s="9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54" t="n"/>
      <c r="O162" s="54" t="n"/>
      <c r="P162" s="54" t="n"/>
      <c r="Q162" s="55" t="n"/>
      <c r="R162" s="54" t="n"/>
      <c r="S162" s="55" t="n"/>
      <c r="T162" s="55" t="n"/>
      <c r="U162" s="55" t="n"/>
      <c r="V162" s="55" t="n"/>
      <c r="W162" s="56" t="n"/>
      <c r="X162" s="1" t="n"/>
      <c r="Y162" s="56" t="n"/>
      <c r="Z162" s="57" t="n"/>
      <c r="AA162" s="56" t="n"/>
      <c r="AB162" s="56" t="n"/>
      <c r="AC162" s="57" t="n"/>
      <c r="AD162" s="56" t="n"/>
      <c r="AE162" s="56" t="n"/>
      <c r="AF162" s="1" t="n"/>
      <c r="AG162" s="56" t="n"/>
      <c r="AH162" s="1" t="n"/>
      <c r="AI162" s="56" t="n"/>
      <c r="AJ162" s="1" t="n"/>
      <c r="AK162" s="56" t="n"/>
      <c r="AL162" s="56" t="n"/>
      <c r="AM162" s="1" t="n"/>
      <c r="AN162" s="1" t="n"/>
      <c r="AO162" s="1" t="n"/>
      <c r="AP162" s="1" t="n"/>
      <c r="AQ162" s="1" t="n"/>
      <c r="AR162" s="1" t="n"/>
    </row>
    <row r="163" ht="15.75" customHeight="1" s="9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54" t="n"/>
      <c r="O163" s="54" t="n"/>
      <c r="P163" s="54" t="n"/>
      <c r="Q163" s="55" t="n"/>
      <c r="R163" s="54" t="n"/>
      <c r="S163" s="55" t="n"/>
      <c r="T163" s="55" t="n"/>
      <c r="U163" s="55" t="n"/>
      <c r="V163" s="55" t="n"/>
      <c r="W163" s="56" t="n"/>
      <c r="X163" s="1" t="n"/>
      <c r="Y163" s="56" t="n"/>
      <c r="Z163" s="57" t="n"/>
      <c r="AA163" s="56" t="n"/>
      <c r="AB163" s="56" t="n"/>
      <c r="AC163" s="57" t="n"/>
      <c r="AD163" s="56" t="n"/>
      <c r="AE163" s="56" t="n"/>
      <c r="AF163" s="1" t="n"/>
      <c r="AG163" s="56" t="n"/>
      <c r="AH163" s="1" t="n"/>
      <c r="AI163" s="56" t="n"/>
      <c r="AJ163" s="1" t="n"/>
      <c r="AK163" s="56" t="n"/>
      <c r="AL163" s="56" t="n"/>
      <c r="AM163" s="1" t="n"/>
      <c r="AN163" s="1" t="n"/>
      <c r="AO163" s="1" t="n"/>
      <c r="AP163" s="1" t="n"/>
      <c r="AQ163" s="1" t="n"/>
      <c r="AR163" s="1" t="n"/>
    </row>
    <row r="164" ht="15.75" customHeight="1" s="9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54" t="n"/>
      <c r="O164" s="54" t="n"/>
      <c r="P164" s="54" t="n"/>
      <c r="Q164" s="55" t="n"/>
      <c r="R164" s="54" t="n"/>
      <c r="S164" s="55" t="n"/>
      <c r="T164" s="55" t="n"/>
      <c r="U164" s="55" t="n"/>
      <c r="V164" s="55" t="n"/>
      <c r="W164" s="56" t="n"/>
      <c r="X164" s="1" t="n"/>
      <c r="Y164" s="56" t="n"/>
      <c r="Z164" s="57" t="n"/>
      <c r="AA164" s="56" t="n"/>
      <c r="AB164" s="56" t="n"/>
      <c r="AC164" s="57" t="n"/>
      <c r="AD164" s="56" t="n"/>
      <c r="AE164" s="56" t="n"/>
      <c r="AF164" s="1" t="n"/>
      <c r="AG164" s="56" t="n"/>
      <c r="AH164" s="1" t="n"/>
      <c r="AI164" s="56" t="n"/>
      <c r="AJ164" s="1" t="n"/>
      <c r="AK164" s="56" t="n"/>
      <c r="AL164" s="56" t="n"/>
      <c r="AM164" s="1" t="n"/>
      <c r="AN164" s="1" t="n"/>
      <c r="AO164" s="1" t="n"/>
      <c r="AP164" s="1" t="n"/>
      <c r="AQ164" s="1" t="n"/>
      <c r="AR164" s="1" t="n"/>
    </row>
    <row r="165" ht="15.75" customHeight="1" s="9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54" t="n"/>
      <c r="O165" s="54" t="n"/>
      <c r="P165" s="54" t="n"/>
      <c r="Q165" s="55" t="n"/>
      <c r="R165" s="54" t="n"/>
      <c r="S165" s="55" t="n"/>
      <c r="T165" s="55" t="n"/>
      <c r="U165" s="55" t="n"/>
      <c r="V165" s="55" t="n"/>
      <c r="W165" s="56" t="n"/>
      <c r="X165" s="1" t="n"/>
      <c r="Y165" s="56" t="n"/>
      <c r="Z165" s="57" t="n"/>
      <c r="AA165" s="56" t="n"/>
      <c r="AB165" s="56" t="n"/>
      <c r="AC165" s="57" t="n"/>
      <c r="AD165" s="56" t="n"/>
      <c r="AE165" s="56" t="n"/>
      <c r="AF165" s="1" t="n"/>
      <c r="AG165" s="56" t="n"/>
      <c r="AH165" s="1" t="n"/>
      <c r="AI165" s="56" t="n"/>
      <c r="AJ165" s="1" t="n"/>
      <c r="AK165" s="56" t="n"/>
      <c r="AL165" s="56" t="n"/>
      <c r="AM165" s="1" t="n"/>
      <c r="AN165" s="1" t="n"/>
      <c r="AO165" s="1" t="n"/>
      <c r="AP165" s="1" t="n"/>
      <c r="AQ165" s="1" t="n"/>
      <c r="AR165" s="1" t="n"/>
    </row>
    <row r="166" ht="15.75" customHeight="1" s="9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54" t="n"/>
      <c r="O166" s="54" t="n"/>
      <c r="P166" s="54" t="n"/>
      <c r="Q166" s="55" t="n"/>
      <c r="R166" s="54" t="n"/>
      <c r="S166" s="55" t="n"/>
      <c r="T166" s="55" t="n"/>
      <c r="U166" s="55" t="n"/>
      <c r="V166" s="55" t="n"/>
      <c r="W166" s="56" t="n"/>
      <c r="X166" s="1" t="n"/>
      <c r="Y166" s="56" t="n"/>
      <c r="Z166" s="57" t="n"/>
      <c r="AA166" s="56" t="n"/>
      <c r="AB166" s="56" t="n"/>
      <c r="AC166" s="57" t="n"/>
      <c r="AD166" s="56" t="n"/>
      <c r="AE166" s="56" t="n"/>
      <c r="AF166" s="1" t="n"/>
      <c r="AG166" s="56" t="n"/>
      <c r="AH166" s="1" t="n"/>
      <c r="AI166" s="56" t="n"/>
      <c r="AJ166" s="1" t="n"/>
      <c r="AK166" s="56" t="n"/>
      <c r="AL166" s="56" t="n"/>
      <c r="AM166" s="1" t="n"/>
      <c r="AN166" s="1" t="n"/>
      <c r="AO166" s="1" t="n"/>
      <c r="AP166" s="1" t="n"/>
      <c r="AQ166" s="1" t="n"/>
      <c r="AR166" s="1" t="n"/>
    </row>
    <row r="167" ht="15.75" customHeight="1" s="9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54" t="n"/>
      <c r="O167" s="54" t="n"/>
      <c r="P167" s="54" t="n"/>
      <c r="Q167" s="55" t="n"/>
      <c r="R167" s="54" t="n"/>
      <c r="S167" s="55" t="n"/>
      <c r="T167" s="55" t="n"/>
      <c r="U167" s="55" t="n"/>
      <c r="V167" s="55" t="n"/>
      <c r="W167" s="56" t="n"/>
      <c r="X167" s="1" t="n"/>
      <c r="Y167" s="56" t="n"/>
      <c r="Z167" s="57" t="n"/>
      <c r="AA167" s="56" t="n"/>
      <c r="AB167" s="56" t="n"/>
      <c r="AC167" s="57" t="n"/>
      <c r="AD167" s="56" t="n"/>
      <c r="AE167" s="56" t="n"/>
      <c r="AF167" s="1" t="n"/>
      <c r="AG167" s="56" t="n"/>
      <c r="AH167" s="1" t="n"/>
      <c r="AI167" s="56" t="n"/>
      <c r="AJ167" s="1" t="n"/>
      <c r="AK167" s="56" t="n"/>
      <c r="AL167" s="56" t="n"/>
      <c r="AM167" s="1" t="n"/>
      <c r="AN167" s="1" t="n"/>
      <c r="AO167" s="1" t="n"/>
      <c r="AP167" s="1" t="n"/>
      <c r="AQ167" s="1" t="n"/>
      <c r="AR167" s="1" t="n"/>
    </row>
    <row r="168" ht="15.75" customHeight="1" s="9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54" t="n"/>
      <c r="O168" s="54" t="n"/>
      <c r="P168" s="54" t="n"/>
      <c r="Q168" s="55" t="n"/>
      <c r="R168" s="54" t="n"/>
      <c r="S168" s="55" t="n"/>
      <c r="T168" s="55" t="n"/>
      <c r="U168" s="55" t="n"/>
      <c r="V168" s="55" t="n"/>
      <c r="W168" s="56" t="n"/>
      <c r="X168" s="1" t="n"/>
      <c r="Y168" s="56" t="n"/>
      <c r="Z168" s="57" t="n"/>
      <c r="AA168" s="56" t="n"/>
      <c r="AB168" s="56" t="n"/>
      <c r="AC168" s="57" t="n"/>
      <c r="AD168" s="56" t="n"/>
      <c r="AE168" s="56" t="n"/>
      <c r="AF168" s="1" t="n"/>
      <c r="AG168" s="56" t="n"/>
      <c r="AH168" s="1" t="n"/>
      <c r="AI168" s="56" t="n"/>
      <c r="AJ168" s="1" t="n"/>
      <c r="AK168" s="56" t="n"/>
      <c r="AL168" s="56" t="n"/>
      <c r="AM168" s="1" t="n"/>
      <c r="AN168" s="1" t="n"/>
      <c r="AO168" s="1" t="n"/>
      <c r="AP168" s="1" t="n"/>
      <c r="AQ168" s="1" t="n"/>
      <c r="AR168" s="1" t="n"/>
    </row>
    <row r="169" ht="15.75" customHeight="1" s="9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54" t="n"/>
      <c r="O169" s="54" t="n"/>
      <c r="P169" s="54" t="n"/>
      <c r="Q169" s="55" t="n"/>
      <c r="R169" s="54" t="n"/>
      <c r="S169" s="55" t="n"/>
      <c r="T169" s="55" t="n"/>
      <c r="U169" s="55" t="n"/>
      <c r="V169" s="55" t="n"/>
      <c r="W169" s="56" t="n"/>
      <c r="X169" s="1" t="n"/>
      <c r="Y169" s="56" t="n"/>
      <c r="Z169" s="57" t="n"/>
      <c r="AA169" s="56" t="n"/>
      <c r="AB169" s="56" t="n"/>
      <c r="AC169" s="57" t="n"/>
      <c r="AD169" s="56" t="n"/>
      <c r="AE169" s="56" t="n"/>
      <c r="AF169" s="1" t="n"/>
      <c r="AG169" s="56" t="n"/>
      <c r="AH169" s="1" t="n"/>
      <c r="AI169" s="56" t="n"/>
      <c r="AJ169" s="1" t="n"/>
      <c r="AK169" s="56" t="n"/>
      <c r="AL169" s="56" t="n"/>
      <c r="AM169" s="1" t="n"/>
      <c r="AN169" s="1" t="n"/>
      <c r="AO169" s="1" t="n"/>
      <c r="AP169" s="1" t="n"/>
      <c r="AQ169" s="1" t="n"/>
      <c r="AR169" s="1" t="n"/>
    </row>
    <row r="170" ht="15.75" customHeight="1" s="9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54" t="n"/>
      <c r="O170" s="54" t="n"/>
      <c r="P170" s="54" t="n"/>
      <c r="Q170" s="55" t="n"/>
      <c r="R170" s="54" t="n"/>
      <c r="S170" s="55" t="n"/>
      <c r="T170" s="55" t="n"/>
      <c r="U170" s="55" t="n"/>
      <c r="V170" s="55" t="n"/>
      <c r="W170" s="56" t="n"/>
      <c r="X170" s="1" t="n"/>
      <c r="Y170" s="56" t="n"/>
      <c r="Z170" s="57" t="n"/>
      <c r="AA170" s="56" t="n"/>
      <c r="AB170" s="56" t="n"/>
      <c r="AC170" s="57" t="n"/>
      <c r="AD170" s="56" t="n"/>
      <c r="AE170" s="56" t="n"/>
      <c r="AF170" s="1" t="n"/>
      <c r="AG170" s="56" t="n"/>
      <c r="AH170" s="1" t="n"/>
      <c r="AI170" s="56" t="n"/>
      <c r="AJ170" s="1" t="n"/>
      <c r="AK170" s="56" t="n"/>
      <c r="AL170" s="56" t="n"/>
      <c r="AM170" s="1" t="n"/>
      <c r="AN170" s="1" t="n"/>
      <c r="AO170" s="1" t="n"/>
      <c r="AP170" s="1" t="n"/>
      <c r="AQ170" s="1" t="n"/>
      <c r="AR170" s="1" t="n"/>
    </row>
    <row r="171" ht="15.75" customHeight="1" s="9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54" t="n"/>
      <c r="O171" s="54" t="n"/>
      <c r="P171" s="54" t="n"/>
      <c r="Q171" s="55" t="n"/>
      <c r="R171" s="54" t="n"/>
      <c r="S171" s="55" t="n"/>
      <c r="T171" s="55" t="n"/>
      <c r="U171" s="55" t="n"/>
      <c r="V171" s="55" t="n"/>
      <c r="W171" s="56" t="n"/>
      <c r="X171" s="1" t="n"/>
      <c r="Y171" s="56" t="n"/>
      <c r="Z171" s="57" t="n"/>
      <c r="AA171" s="56" t="n"/>
      <c r="AB171" s="56" t="n"/>
      <c r="AC171" s="57" t="n"/>
      <c r="AD171" s="56" t="n"/>
      <c r="AE171" s="56" t="n"/>
      <c r="AF171" s="1" t="n"/>
      <c r="AG171" s="56" t="n"/>
      <c r="AH171" s="1" t="n"/>
      <c r="AI171" s="56" t="n"/>
      <c r="AJ171" s="1" t="n"/>
      <c r="AK171" s="56" t="n"/>
      <c r="AL171" s="56" t="n"/>
      <c r="AM171" s="1" t="n"/>
      <c r="AN171" s="1" t="n"/>
      <c r="AO171" s="1" t="n"/>
      <c r="AP171" s="1" t="n"/>
      <c r="AQ171" s="1" t="n"/>
      <c r="AR171" s="1" t="n"/>
    </row>
    <row r="172" ht="15.75" customHeight="1" s="9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54" t="n"/>
      <c r="O172" s="54" t="n"/>
      <c r="P172" s="54" t="n"/>
      <c r="Q172" s="55" t="n"/>
      <c r="R172" s="54" t="n"/>
      <c r="S172" s="55" t="n"/>
      <c r="T172" s="55" t="n"/>
      <c r="U172" s="55" t="n"/>
      <c r="V172" s="55" t="n"/>
      <c r="W172" s="56" t="n"/>
      <c r="X172" s="1" t="n"/>
      <c r="Y172" s="56" t="n"/>
      <c r="Z172" s="57" t="n"/>
      <c r="AA172" s="56" t="n"/>
      <c r="AB172" s="56" t="n"/>
      <c r="AC172" s="57" t="n"/>
      <c r="AD172" s="56" t="n"/>
      <c r="AE172" s="56" t="n"/>
      <c r="AF172" s="1" t="n"/>
      <c r="AG172" s="56" t="n"/>
      <c r="AH172" s="1" t="n"/>
      <c r="AI172" s="56" t="n"/>
      <c r="AJ172" s="1" t="n"/>
      <c r="AK172" s="56" t="n"/>
      <c r="AL172" s="56" t="n"/>
      <c r="AM172" s="1" t="n"/>
      <c r="AN172" s="1" t="n"/>
      <c r="AO172" s="1" t="n"/>
      <c r="AP172" s="1" t="n"/>
      <c r="AQ172" s="1" t="n"/>
      <c r="AR172" s="1" t="n"/>
    </row>
    <row r="173" ht="15.75" customHeight="1" s="9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54" t="n"/>
      <c r="O173" s="54" t="n"/>
      <c r="P173" s="54" t="n"/>
      <c r="Q173" s="55" t="n"/>
      <c r="R173" s="54" t="n"/>
      <c r="S173" s="55" t="n"/>
      <c r="T173" s="55" t="n"/>
      <c r="U173" s="55" t="n"/>
      <c r="V173" s="55" t="n"/>
      <c r="W173" s="56" t="n"/>
      <c r="X173" s="1" t="n"/>
      <c r="Y173" s="56" t="n"/>
      <c r="Z173" s="57" t="n"/>
      <c r="AA173" s="56" t="n"/>
      <c r="AB173" s="56" t="n"/>
      <c r="AC173" s="57" t="n"/>
      <c r="AD173" s="56" t="n"/>
      <c r="AE173" s="56" t="n"/>
      <c r="AF173" s="1" t="n"/>
      <c r="AG173" s="56" t="n"/>
      <c r="AH173" s="1" t="n"/>
      <c r="AI173" s="56" t="n"/>
      <c r="AJ173" s="1" t="n"/>
      <c r="AK173" s="56" t="n"/>
      <c r="AL173" s="56" t="n"/>
      <c r="AM173" s="1" t="n"/>
      <c r="AN173" s="1" t="n"/>
      <c r="AO173" s="1" t="n"/>
      <c r="AP173" s="1" t="n"/>
      <c r="AQ173" s="1" t="n"/>
      <c r="AR173" s="1" t="n"/>
    </row>
    <row r="174" ht="15.75" customHeight="1" s="9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54" t="n"/>
      <c r="O174" s="54" t="n"/>
      <c r="P174" s="54" t="n"/>
      <c r="Q174" s="55" t="n"/>
      <c r="R174" s="54" t="n"/>
      <c r="S174" s="55" t="n"/>
      <c r="T174" s="55" t="n"/>
      <c r="U174" s="55" t="n"/>
      <c r="V174" s="55" t="n"/>
      <c r="W174" s="56" t="n"/>
      <c r="X174" s="1" t="n"/>
      <c r="Y174" s="56" t="n"/>
      <c r="Z174" s="57" t="n"/>
      <c r="AA174" s="56" t="n"/>
      <c r="AB174" s="56" t="n"/>
      <c r="AC174" s="57" t="n"/>
      <c r="AD174" s="56" t="n"/>
      <c r="AE174" s="56" t="n"/>
      <c r="AF174" s="1" t="n"/>
      <c r="AG174" s="56" t="n"/>
      <c r="AH174" s="1" t="n"/>
      <c r="AI174" s="56" t="n"/>
      <c r="AJ174" s="1" t="n"/>
      <c r="AK174" s="56" t="n"/>
      <c r="AL174" s="56" t="n"/>
      <c r="AM174" s="1" t="n"/>
      <c r="AN174" s="1" t="n"/>
      <c r="AO174" s="1" t="n"/>
      <c r="AP174" s="1" t="n"/>
      <c r="AQ174" s="1" t="n"/>
      <c r="AR174" s="1" t="n"/>
    </row>
    <row r="175" ht="15.75" customHeight="1" s="9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54" t="n"/>
      <c r="O175" s="54" t="n"/>
      <c r="P175" s="54" t="n"/>
      <c r="Q175" s="55" t="n"/>
      <c r="R175" s="54" t="n"/>
      <c r="S175" s="55" t="n"/>
      <c r="T175" s="55" t="n"/>
      <c r="U175" s="55" t="n"/>
      <c r="V175" s="55" t="n"/>
      <c r="W175" s="56" t="n"/>
      <c r="X175" s="1" t="n"/>
      <c r="Y175" s="56" t="n"/>
      <c r="Z175" s="57" t="n"/>
      <c r="AA175" s="56" t="n"/>
      <c r="AB175" s="56" t="n"/>
      <c r="AC175" s="57" t="n"/>
      <c r="AD175" s="56" t="n"/>
      <c r="AE175" s="56" t="n"/>
      <c r="AF175" s="1" t="n"/>
      <c r="AG175" s="56" t="n"/>
      <c r="AH175" s="1" t="n"/>
      <c r="AI175" s="56" t="n"/>
      <c r="AJ175" s="1" t="n"/>
      <c r="AK175" s="56" t="n"/>
      <c r="AL175" s="56" t="n"/>
      <c r="AM175" s="1" t="n"/>
      <c r="AN175" s="1" t="n"/>
      <c r="AO175" s="1" t="n"/>
      <c r="AP175" s="1" t="n"/>
      <c r="AQ175" s="1" t="n"/>
      <c r="AR175" s="1" t="n"/>
    </row>
    <row r="176" ht="15.75" customHeight="1" s="9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54" t="n"/>
      <c r="O176" s="54" t="n"/>
      <c r="P176" s="54" t="n"/>
      <c r="Q176" s="55" t="n"/>
      <c r="R176" s="54" t="n"/>
      <c r="S176" s="55" t="n"/>
      <c r="T176" s="55" t="n"/>
      <c r="U176" s="55" t="n"/>
      <c r="V176" s="55" t="n"/>
      <c r="W176" s="56" t="n"/>
      <c r="X176" s="1" t="n"/>
      <c r="Y176" s="56" t="n"/>
      <c r="Z176" s="57" t="n"/>
      <c r="AA176" s="56" t="n"/>
      <c r="AB176" s="56" t="n"/>
      <c r="AC176" s="57" t="n"/>
      <c r="AD176" s="56" t="n"/>
      <c r="AE176" s="56" t="n"/>
      <c r="AF176" s="1" t="n"/>
      <c r="AG176" s="56" t="n"/>
      <c r="AH176" s="1" t="n"/>
      <c r="AI176" s="56" t="n"/>
      <c r="AJ176" s="1" t="n"/>
      <c r="AK176" s="56" t="n"/>
      <c r="AL176" s="56" t="n"/>
      <c r="AM176" s="1" t="n"/>
      <c r="AN176" s="1" t="n"/>
      <c r="AO176" s="1" t="n"/>
      <c r="AP176" s="1" t="n"/>
      <c r="AQ176" s="1" t="n"/>
      <c r="AR176" s="1" t="n"/>
    </row>
    <row r="177" ht="15.75" customHeight="1" s="9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54" t="n"/>
      <c r="O177" s="54" t="n"/>
      <c r="P177" s="54" t="n"/>
      <c r="Q177" s="55" t="n"/>
      <c r="R177" s="54" t="n"/>
      <c r="S177" s="55" t="n"/>
      <c r="T177" s="55" t="n"/>
      <c r="U177" s="55" t="n"/>
      <c r="V177" s="55" t="n"/>
      <c r="W177" s="56" t="n"/>
      <c r="X177" s="1" t="n"/>
      <c r="Y177" s="56" t="n"/>
      <c r="Z177" s="57" t="n"/>
      <c r="AA177" s="56" t="n"/>
      <c r="AB177" s="56" t="n"/>
      <c r="AC177" s="57" t="n"/>
      <c r="AD177" s="56" t="n"/>
      <c r="AE177" s="56" t="n"/>
      <c r="AF177" s="1" t="n"/>
      <c r="AG177" s="56" t="n"/>
      <c r="AH177" s="1" t="n"/>
      <c r="AI177" s="56" t="n"/>
      <c r="AJ177" s="1" t="n"/>
      <c r="AK177" s="56" t="n"/>
      <c r="AL177" s="56" t="n"/>
      <c r="AM177" s="1" t="n"/>
      <c r="AN177" s="1" t="n"/>
      <c r="AO177" s="1" t="n"/>
      <c r="AP177" s="1" t="n"/>
      <c r="AQ177" s="1" t="n"/>
      <c r="AR177" s="1" t="n"/>
    </row>
    <row r="178" ht="15.75" customHeight="1" s="9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54" t="n"/>
      <c r="O178" s="54" t="n"/>
      <c r="P178" s="54" t="n"/>
      <c r="Q178" s="55" t="n"/>
      <c r="R178" s="54" t="n"/>
      <c r="S178" s="55" t="n"/>
      <c r="T178" s="55" t="n"/>
      <c r="U178" s="55" t="n"/>
      <c r="V178" s="55" t="n"/>
      <c r="W178" s="56" t="n"/>
      <c r="X178" s="1" t="n"/>
      <c r="Y178" s="56" t="n"/>
      <c r="Z178" s="57" t="n"/>
      <c r="AA178" s="56" t="n"/>
      <c r="AB178" s="56" t="n"/>
      <c r="AC178" s="57" t="n"/>
      <c r="AD178" s="56" t="n"/>
      <c r="AE178" s="56" t="n"/>
      <c r="AF178" s="1" t="n"/>
      <c r="AG178" s="56" t="n"/>
      <c r="AH178" s="1" t="n"/>
      <c r="AI178" s="56" t="n"/>
      <c r="AJ178" s="1" t="n"/>
      <c r="AK178" s="56" t="n"/>
      <c r="AL178" s="56" t="n"/>
      <c r="AM178" s="1" t="n"/>
      <c r="AN178" s="1" t="n"/>
      <c r="AO178" s="1" t="n"/>
      <c r="AP178" s="1" t="n"/>
      <c r="AQ178" s="1" t="n"/>
      <c r="AR178" s="1" t="n"/>
    </row>
    <row r="179" ht="15.75" customHeight="1" s="9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54" t="n"/>
      <c r="O179" s="54" t="n"/>
      <c r="P179" s="54" t="n"/>
      <c r="Q179" s="55" t="n"/>
      <c r="R179" s="54" t="n"/>
      <c r="S179" s="55" t="n"/>
      <c r="T179" s="55" t="n"/>
      <c r="U179" s="55" t="n"/>
      <c r="V179" s="55" t="n"/>
      <c r="W179" s="56" t="n"/>
      <c r="X179" s="1" t="n"/>
      <c r="Y179" s="56" t="n"/>
      <c r="Z179" s="57" t="n"/>
      <c r="AA179" s="56" t="n"/>
      <c r="AB179" s="56" t="n"/>
      <c r="AC179" s="57" t="n"/>
      <c r="AD179" s="56" t="n"/>
      <c r="AE179" s="56" t="n"/>
      <c r="AF179" s="1" t="n"/>
      <c r="AG179" s="56" t="n"/>
      <c r="AH179" s="1" t="n"/>
      <c r="AI179" s="56" t="n"/>
      <c r="AJ179" s="1" t="n"/>
      <c r="AK179" s="56" t="n"/>
      <c r="AL179" s="56" t="n"/>
      <c r="AM179" s="1" t="n"/>
      <c r="AN179" s="1" t="n"/>
      <c r="AO179" s="1" t="n"/>
      <c r="AP179" s="1" t="n"/>
      <c r="AQ179" s="1" t="n"/>
      <c r="AR179" s="1" t="n"/>
    </row>
    <row r="180" ht="15.75" customHeight="1" s="9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54" t="n"/>
      <c r="O180" s="54" t="n"/>
      <c r="P180" s="54" t="n"/>
      <c r="Q180" s="55" t="n"/>
      <c r="R180" s="54" t="n"/>
      <c r="S180" s="55" t="n"/>
      <c r="T180" s="55" t="n"/>
      <c r="U180" s="55" t="n"/>
      <c r="V180" s="55" t="n"/>
      <c r="W180" s="56" t="n"/>
      <c r="X180" s="1" t="n"/>
      <c r="Y180" s="56" t="n"/>
      <c r="Z180" s="57" t="n"/>
      <c r="AA180" s="56" t="n"/>
      <c r="AB180" s="56" t="n"/>
      <c r="AC180" s="57" t="n"/>
      <c r="AD180" s="56" t="n"/>
      <c r="AE180" s="56" t="n"/>
      <c r="AF180" s="1" t="n"/>
      <c r="AG180" s="56" t="n"/>
      <c r="AH180" s="1" t="n"/>
      <c r="AI180" s="56" t="n"/>
      <c r="AJ180" s="1" t="n"/>
      <c r="AK180" s="56" t="n"/>
      <c r="AL180" s="56" t="n"/>
      <c r="AM180" s="1" t="n"/>
      <c r="AN180" s="1" t="n"/>
      <c r="AO180" s="1" t="n"/>
      <c r="AP180" s="1" t="n"/>
      <c r="AQ180" s="1" t="n"/>
      <c r="AR180" s="1" t="n"/>
    </row>
    <row r="181" ht="15.75" customHeight="1" s="9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54" t="n"/>
      <c r="O181" s="54" t="n"/>
      <c r="P181" s="54" t="n"/>
      <c r="Q181" s="55" t="n"/>
      <c r="R181" s="54" t="n"/>
      <c r="S181" s="55" t="n"/>
      <c r="T181" s="55" t="n"/>
      <c r="U181" s="55" t="n"/>
      <c r="V181" s="55" t="n"/>
      <c r="W181" s="56" t="n"/>
      <c r="X181" s="1" t="n"/>
      <c r="Y181" s="56" t="n"/>
      <c r="Z181" s="57" t="n"/>
      <c r="AA181" s="56" t="n"/>
      <c r="AB181" s="56" t="n"/>
      <c r="AC181" s="57" t="n"/>
      <c r="AD181" s="56" t="n"/>
      <c r="AE181" s="56" t="n"/>
      <c r="AF181" s="1" t="n"/>
      <c r="AG181" s="56" t="n"/>
      <c r="AH181" s="1" t="n"/>
      <c r="AI181" s="56" t="n"/>
      <c r="AJ181" s="1" t="n"/>
      <c r="AK181" s="56" t="n"/>
      <c r="AL181" s="56" t="n"/>
      <c r="AM181" s="1" t="n"/>
      <c r="AN181" s="1" t="n"/>
      <c r="AO181" s="1" t="n"/>
      <c r="AP181" s="1" t="n"/>
      <c r="AQ181" s="1" t="n"/>
      <c r="AR181" s="1" t="n"/>
    </row>
    <row r="182" ht="15.75" customHeight="1" s="9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54" t="n"/>
      <c r="O182" s="54" t="n"/>
      <c r="P182" s="54" t="n"/>
      <c r="Q182" s="55" t="n"/>
      <c r="R182" s="54" t="n"/>
      <c r="S182" s="55" t="n"/>
      <c r="T182" s="55" t="n"/>
      <c r="U182" s="55" t="n"/>
      <c r="V182" s="55" t="n"/>
      <c r="W182" s="56" t="n"/>
      <c r="X182" s="1" t="n"/>
      <c r="Y182" s="56" t="n"/>
      <c r="Z182" s="57" t="n"/>
      <c r="AA182" s="56" t="n"/>
      <c r="AB182" s="56" t="n"/>
      <c r="AC182" s="57" t="n"/>
      <c r="AD182" s="56" t="n"/>
      <c r="AE182" s="56" t="n"/>
      <c r="AF182" s="1" t="n"/>
      <c r="AG182" s="56" t="n"/>
      <c r="AH182" s="1" t="n"/>
      <c r="AI182" s="56" t="n"/>
      <c r="AJ182" s="1" t="n"/>
      <c r="AK182" s="56" t="n"/>
      <c r="AL182" s="56" t="n"/>
      <c r="AM182" s="1" t="n"/>
      <c r="AN182" s="1" t="n"/>
      <c r="AO182" s="1" t="n"/>
      <c r="AP182" s="1" t="n"/>
      <c r="AQ182" s="1" t="n"/>
      <c r="AR182" s="1" t="n"/>
    </row>
    <row r="183" ht="15.75" customHeight="1" s="9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54" t="n"/>
      <c r="O183" s="54" t="n"/>
      <c r="P183" s="54" t="n"/>
      <c r="Q183" s="55" t="n"/>
      <c r="R183" s="54" t="n"/>
      <c r="S183" s="55" t="n"/>
      <c r="T183" s="55" t="n"/>
      <c r="U183" s="55" t="n"/>
      <c r="V183" s="55" t="n"/>
      <c r="W183" s="56" t="n"/>
      <c r="X183" s="1" t="n"/>
      <c r="Y183" s="56" t="n"/>
      <c r="Z183" s="57" t="n"/>
      <c r="AA183" s="56" t="n"/>
      <c r="AB183" s="56" t="n"/>
      <c r="AC183" s="57" t="n"/>
      <c r="AD183" s="56" t="n"/>
      <c r="AE183" s="56" t="n"/>
      <c r="AF183" s="1" t="n"/>
      <c r="AG183" s="56" t="n"/>
      <c r="AH183" s="1" t="n"/>
      <c r="AI183" s="56" t="n"/>
      <c r="AJ183" s="1" t="n"/>
      <c r="AK183" s="56" t="n"/>
      <c r="AL183" s="56" t="n"/>
      <c r="AM183" s="1" t="n"/>
      <c r="AN183" s="1" t="n"/>
      <c r="AO183" s="1" t="n"/>
      <c r="AP183" s="1" t="n"/>
      <c r="AQ183" s="1" t="n"/>
      <c r="AR183" s="1" t="n"/>
    </row>
    <row r="184" ht="15.75" customHeight="1" s="9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54" t="n"/>
      <c r="O184" s="54" t="n"/>
      <c r="P184" s="54" t="n"/>
      <c r="Q184" s="55" t="n"/>
      <c r="R184" s="54" t="n"/>
      <c r="S184" s="55" t="n"/>
      <c r="T184" s="55" t="n"/>
      <c r="U184" s="55" t="n"/>
      <c r="V184" s="55" t="n"/>
      <c r="W184" s="56" t="n"/>
      <c r="X184" s="1" t="n"/>
      <c r="Y184" s="56" t="n"/>
      <c r="Z184" s="57" t="n"/>
      <c r="AA184" s="56" t="n"/>
      <c r="AB184" s="56" t="n"/>
      <c r="AC184" s="57" t="n"/>
      <c r="AD184" s="56" t="n"/>
      <c r="AE184" s="56" t="n"/>
      <c r="AF184" s="1" t="n"/>
      <c r="AG184" s="56" t="n"/>
      <c r="AH184" s="1" t="n"/>
      <c r="AI184" s="56" t="n"/>
      <c r="AJ184" s="1" t="n"/>
      <c r="AK184" s="56" t="n"/>
      <c r="AL184" s="56" t="n"/>
      <c r="AM184" s="1" t="n"/>
      <c r="AN184" s="1" t="n"/>
      <c r="AO184" s="1" t="n"/>
      <c r="AP184" s="1" t="n"/>
      <c r="AQ184" s="1" t="n"/>
      <c r="AR184" s="1" t="n"/>
    </row>
    <row r="185" ht="15.75" customHeight="1" s="9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54" t="n"/>
      <c r="O185" s="54" t="n"/>
      <c r="P185" s="54" t="n"/>
      <c r="Q185" s="55" t="n"/>
      <c r="R185" s="54" t="n"/>
      <c r="S185" s="55" t="n"/>
      <c r="T185" s="55" t="n"/>
      <c r="U185" s="55" t="n"/>
      <c r="V185" s="55" t="n"/>
      <c r="W185" s="56" t="n"/>
      <c r="X185" s="1" t="n"/>
      <c r="Y185" s="56" t="n"/>
      <c r="Z185" s="57" t="n"/>
      <c r="AA185" s="56" t="n"/>
      <c r="AB185" s="56" t="n"/>
      <c r="AC185" s="57" t="n"/>
      <c r="AD185" s="56" t="n"/>
      <c r="AE185" s="56" t="n"/>
      <c r="AF185" s="1" t="n"/>
      <c r="AG185" s="56" t="n"/>
      <c r="AH185" s="1" t="n"/>
      <c r="AI185" s="56" t="n"/>
      <c r="AJ185" s="1" t="n"/>
      <c r="AK185" s="56" t="n"/>
      <c r="AL185" s="56" t="n"/>
      <c r="AM185" s="1" t="n"/>
      <c r="AN185" s="1" t="n"/>
      <c r="AO185" s="1" t="n"/>
      <c r="AP185" s="1" t="n"/>
      <c r="AQ185" s="1" t="n"/>
      <c r="AR185" s="1" t="n"/>
    </row>
    <row r="186" ht="15.75" customHeight="1" s="9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54" t="n"/>
      <c r="O186" s="54" t="n"/>
      <c r="P186" s="54" t="n"/>
      <c r="Q186" s="55" t="n"/>
      <c r="R186" s="54" t="n"/>
      <c r="S186" s="55" t="n"/>
      <c r="T186" s="55" t="n"/>
      <c r="U186" s="55" t="n"/>
      <c r="V186" s="55" t="n"/>
      <c r="W186" s="56" t="n"/>
      <c r="X186" s="1" t="n"/>
      <c r="Y186" s="56" t="n"/>
      <c r="Z186" s="57" t="n"/>
      <c r="AA186" s="56" t="n"/>
      <c r="AB186" s="56" t="n"/>
      <c r="AC186" s="57" t="n"/>
      <c r="AD186" s="56" t="n"/>
      <c r="AE186" s="56" t="n"/>
      <c r="AF186" s="1" t="n"/>
      <c r="AG186" s="56" t="n"/>
      <c r="AH186" s="1" t="n"/>
      <c r="AI186" s="56" t="n"/>
      <c r="AJ186" s="1" t="n"/>
      <c r="AK186" s="56" t="n"/>
      <c r="AL186" s="56" t="n"/>
      <c r="AM186" s="1" t="n"/>
      <c r="AN186" s="1" t="n"/>
      <c r="AO186" s="1" t="n"/>
      <c r="AP186" s="1" t="n"/>
      <c r="AQ186" s="1" t="n"/>
      <c r="AR186" s="1" t="n"/>
    </row>
    <row r="187" ht="15.75" customHeight="1" s="9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54" t="n"/>
      <c r="O187" s="54" t="n"/>
      <c r="P187" s="54" t="n"/>
      <c r="Q187" s="55" t="n"/>
      <c r="R187" s="54" t="n"/>
      <c r="S187" s="55" t="n"/>
      <c r="T187" s="55" t="n"/>
      <c r="U187" s="55" t="n"/>
      <c r="V187" s="55" t="n"/>
      <c r="W187" s="56" t="n"/>
      <c r="X187" s="1" t="n"/>
      <c r="Y187" s="56" t="n"/>
      <c r="Z187" s="57" t="n"/>
      <c r="AA187" s="56" t="n"/>
      <c r="AB187" s="56" t="n"/>
      <c r="AC187" s="57" t="n"/>
      <c r="AD187" s="56" t="n"/>
      <c r="AE187" s="56" t="n"/>
      <c r="AF187" s="1" t="n"/>
      <c r="AG187" s="56" t="n"/>
      <c r="AH187" s="1" t="n"/>
      <c r="AI187" s="56" t="n"/>
      <c r="AJ187" s="1" t="n"/>
      <c r="AK187" s="56" t="n"/>
      <c r="AL187" s="56" t="n"/>
      <c r="AM187" s="1" t="n"/>
      <c r="AN187" s="1" t="n"/>
      <c r="AO187" s="1" t="n"/>
      <c r="AP187" s="1" t="n"/>
      <c r="AQ187" s="1" t="n"/>
      <c r="AR187" s="1" t="n"/>
    </row>
    <row r="188" ht="15.75" customHeight="1" s="9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54" t="n"/>
      <c r="O188" s="54" t="n"/>
      <c r="P188" s="54" t="n"/>
      <c r="Q188" s="55" t="n"/>
      <c r="R188" s="54" t="n"/>
      <c r="S188" s="55" t="n"/>
      <c r="T188" s="55" t="n"/>
      <c r="U188" s="55" t="n"/>
      <c r="V188" s="55" t="n"/>
      <c r="W188" s="56" t="n"/>
      <c r="X188" s="1" t="n"/>
      <c r="Y188" s="56" t="n"/>
      <c r="Z188" s="57" t="n"/>
      <c r="AA188" s="56" t="n"/>
      <c r="AB188" s="56" t="n"/>
      <c r="AC188" s="57" t="n"/>
      <c r="AD188" s="56" t="n"/>
      <c r="AE188" s="56" t="n"/>
      <c r="AF188" s="1" t="n"/>
      <c r="AG188" s="56" t="n"/>
      <c r="AH188" s="1" t="n"/>
      <c r="AI188" s="56" t="n"/>
      <c r="AJ188" s="1" t="n"/>
      <c r="AK188" s="56" t="n"/>
      <c r="AL188" s="56" t="n"/>
      <c r="AM188" s="1" t="n"/>
      <c r="AN188" s="1" t="n"/>
      <c r="AO188" s="1" t="n"/>
      <c r="AP188" s="1" t="n"/>
      <c r="AQ188" s="1" t="n"/>
      <c r="AR188" s="1" t="n"/>
    </row>
    <row r="189" ht="15.75" customHeight="1" s="9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54" t="n"/>
      <c r="O189" s="54" t="n"/>
      <c r="P189" s="54" t="n"/>
      <c r="Q189" s="55" t="n"/>
      <c r="R189" s="54" t="n"/>
      <c r="S189" s="55" t="n"/>
      <c r="T189" s="55" t="n"/>
      <c r="U189" s="55" t="n"/>
      <c r="V189" s="55" t="n"/>
      <c r="W189" s="56" t="n"/>
      <c r="X189" s="1" t="n"/>
      <c r="Y189" s="56" t="n"/>
      <c r="Z189" s="57" t="n"/>
      <c r="AA189" s="56" t="n"/>
      <c r="AB189" s="56" t="n"/>
      <c r="AC189" s="57" t="n"/>
      <c r="AD189" s="56" t="n"/>
      <c r="AE189" s="56" t="n"/>
      <c r="AF189" s="1" t="n"/>
      <c r="AG189" s="56" t="n"/>
      <c r="AH189" s="1" t="n"/>
      <c r="AI189" s="56" t="n"/>
      <c r="AJ189" s="1" t="n"/>
      <c r="AK189" s="56" t="n"/>
      <c r="AL189" s="56" t="n"/>
      <c r="AM189" s="1" t="n"/>
      <c r="AN189" s="1" t="n"/>
      <c r="AO189" s="1" t="n"/>
      <c r="AP189" s="1" t="n"/>
      <c r="AQ189" s="1" t="n"/>
      <c r="AR189" s="1" t="n"/>
    </row>
    <row r="190" ht="15.75" customHeight="1" s="9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54" t="n"/>
      <c r="O190" s="54" t="n"/>
      <c r="P190" s="54" t="n"/>
      <c r="Q190" s="55" t="n"/>
      <c r="R190" s="54" t="n"/>
      <c r="S190" s="55" t="n"/>
      <c r="T190" s="55" t="n"/>
      <c r="U190" s="55" t="n"/>
      <c r="V190" s="55" t="n"/>
      <c r="W190" s="56" t="n"/>
      <c r="X190" s="1" t="n"/>
      <c r="Y190" s="56" t="n"/>
      <c r="Z190" s="57" t="n"/>
      <c r="AA190" s="56" t="n"/>
      <c r="AB190" s="56" t="n"/>
      <c r="AC190" s="57" t="n"/>
      <c r="AD190" s="56" t="n"/>
      <c r="AE190" s="56" t="n"/>
      <c r="AF190" s="1" t="n"/>
      <c r="AG190" s="56" t="n"/>
      <c r="AH190" s="1" t="n"/>
      <c r="AI190" s="56" t="n"/>
      <c r="AJ190" s="1" t="n"/>
      <c r="AK190" s="56" t="n"/>
      <c r="AL190" s="56" t="n"/>
      <c r="AM190" s="1" t="n"/>
      <c r="AN190" s="1" t="n"/>
      <c r="AO190" s="1" t="n"/>
      <c r="AP190" s="1" t="n"/>
      <c r="AQ190" s="1" t="n"/>
      <c r="AR190" s="1" t="n"/>
    </row>
    <row r="191" ht="15.75" customHeight="1" s="9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54" t="n"/>
      <c r="O191" s="54" t="n"/>
      <c r="P191" s="54" t="n"/>
      <c r="Q191" s="55" t="n"/>
      <c r="R191" s="54" t="n"/>
      <c r="S191" s="55" t="n"/>
      <c r="T191" s="55" t="n"/>
      <c r="U191" s="55" t="n"/>
      <c r="V191" s="55" t="n"/>
      <c r="W191" s="56" t="n"/>
      <c r="X191" s="1" t="n"/>
      <c r="Y191" s="56" t="n"/>
      <c r="Z191" s="57" t="n"/>
      <c r="AA191" s="56" t="n"/>
      <c r="AB191" s="56" t="n"/>
      <c r="AC191" s="57" t="n"/>
      <c r="AD191" s="56" t="n"/>
      <c r="AE191" s="56" t="n"/>
      <c r="AF191" s="1" t="n"/>
      <c r="AG191" s="56" t="n"/>
      <c r="AH191" s="1" t="n"/>
      <c r="AI191" s="56" t="n"/>
      <c r="AJ191" s="1" t="n"/>
      <c r="AK191" s="56" t="n"/>
      <c r="AL191" s="56" t="n"/>
      <c r="AM191" s="1" t="n"/>
      <c r="AN191" s="1" t="n"/>
      <c r="AO191" s="1" t="n"/>
      <c r="AP191" s="1" t="n"/>
      <c r="AQ191" s="1" t="n"/>
      <c r="AR191" s="1" t="n"/>
    </row>
    <row r="192" ht="15.75" customHeight="1" s="9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54" t="n"/>
      <c r="O192" s="54" t="n"/>
      <c r="P192" s="54" t="n"/>
      <c r="Q192" s="55" t="n"/>
      <c r="R192" s="54" t="n"/>
      <c r="S192" s="55" t="n"/>
      <c r="T192" s="55" t="n"/>
      <c r="U192" s="55" t="n"/>
      <c r="V192" s="55" t="n"/>
      <c r="W192" s="56" t="n"/>
      <c r="X192" s="1" t="n"/>
      <c r="Y192" s="56" t="n"/>
      <c r="Z192" s="57" t="n"/>
      <c r="AA192" s="56" t="n"/>
      <c r="AB192" s="56" t="n"/>
      <c r="AC192" s="57" t="n"/>
      <c r="AD192" s="56" t="n"/>
      <c r="AE192" s="56" t="n"/>
      <c r="AF192" s="1" t="n"/>
      <c r="AG192" s="56" t="n"/>
      <c r="AH192" s="1" t="n"/>
      <c r="AI192" s="56" t="n"/>
      <c r="AJ192" s="1" t="n"/>
      <c r="AK192" s="56" t="n"/>
      <c r="AL192" s="56" t="n"/>
      <c r="AM192" s="1" t="n"/>
      <c r="AN192" s="1" t="n"/>
      <c r="AO192" s="1" t="n"/>
      <c r="AP192" s="1" t="n"/>
      <c r="AQ192" s="1" t="n"/>
      <c r="AR192" s="1" t="n"/>
    </row>
    <row r="193" ht="15.75" customHeight="1" s="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54" t="n"/>
      <c r="O193" s="54" t="n"/>
      <c r="P193" s="54" t="n"/>
      <c r="Q193" s="55" t="n"/>
      <c r="R193" s="54" t="n"/>
      <c r="S193" s="55" t="n"/>
      <c r="T193" s="55" t="n"/>
      <c r="U193" s="55" t="n"/>
      <c r="V193" s="55" t="n"/>
      <c r="W193" s="56" t="n"/>
      <c r="X193" s="1" t="n"/>
      <c r="Y193" s="56" t="n"/>
      <c r="Z193" s="57" t="n"/>
      <c r="AA193" s="56" t="n"/>
      <c r="AB193" s="56" t="n"/>
      <c r="AC193" s="57" t="n"/>
      <c r="AD193" s="56" t="n"/>
      <c r="AE193" s="56" t="n"/>
      <c r="AF193" s="1" t="n"/>
      <c r="AG193" s="56" t="n"/>
      <c r="AH193" s="1" t="n"/>
      <c r="AI193" s="56" t="n"/>
      <c r="AJ193" s="1" t="n"/>
      <c r="AK193" s="56" t="n"/>
      <c r="AL193" s="56" t="n"/>
      <c r="AM193" s="1" t="n"/>
      <c r="AN193" s="1" t="n"/>
      <c r="AO193" s="1" t="n"/>
      <c r="AP193" s="1" t="n"/>
      <c r="AQ193" s="1" t="n"/>
      <c r="AR193" s="1" t="n"/>
    </row>
    <row r="194" ht="15.75" customHeight="1" s="9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54" t="n"/>
      <c r="O194" s="54" t="n"/>
      <c r="P194" s="54" t="n"/>
      <c r="Q194" s="55" t="n"/>
      <c r="R194" s="54" t="n"/>
      <c r="S194" s="55" t="n"/>
      <c r="T194" s="55" t="n"/>
      <c r="U194" s="55" t="n"/>
      <c r="V194" s="55" t="n"/>
      <c r="W194" s="56" t="n"/>
      <c r="X194" s="1" t="n"/>
      <c r="Y194" s="56" t="n"/>
      <c r="Z194" s="57" t="n"/>
      <c r="AA194" s="56" t="n"/>
      <c r="AB194" s="56" t="n"/>
      <c r="AC194" s="57" t="n"/>
      <c r="AD194" s="56" t="n"/>
      <c r="AE194" s="56" t="n"/>
      <c r="AF194" s="1" t="n"/>
      <c r="AG194" s="56" t="n"/>
      <c r="AH194" s="1" t="n"/>
      <c r="AI194" s="56" t="n"/>
      <c r="AJ194" s="1" t="n"/>
      <c r="AK194" s="56" t="n"/>
      <c r="AL194" s="56" t="n"/>
      <c r="AM194" s="1" t="n"/>
      <c r="AN194" s="1" t="n"/>
      <c r="AO194" s="1" t="n"/>
      <c r="AP194" s="1" t="n"/>
      <c r="AQ194" s="1" t="n"/>
      <c r="AR194" s="1" t="n"/>
    </row>
    <row r="195" ht="15.75" customHeight="1" s="9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54" t="n"/>
      <c r="O195" s="54" t="n"/>
      <c r="P195" s="54" t="n"/>
      <c r="Q195" s="55" t="n"/>
      <c r="R195" s="54" t="n"/>
      <c r="S195" s="55" t="n"/>
      <c r="T195" s="55" t="n"/>
      <c r="U195" s="55" t="n"/>
      <c r="V195" s="55" t="n"/>
      <c r="W195" s="56" t="n"/>
      <c r="X195" s="1" t="n"/>
      <c r="Y195" s="56" t="n"/>
      <c r="Z195" s="57" t="n"/>
      <c r="AA195" s="56" t="n"/>
      <c r="AB195" s="56" t="n"/>
      <c r="AC195" s="57" t="n"/>
      <c r="AD195" s="56" t="n"/>
      <c r="AE195" s="56" t="n"/>
      <c r="AF195" s="1" t="n"/>
      <c r="AG195" s="56" t="n"/>
      <c r="AH195" s="1" t="n"/>
      <c r="AI195" s="56" t="n"/>
      <c r="AJ195" s="1" t="n"/>
      <c r="AK195" s="56" t="n"/>
      <c r="AL195" s="56" t="n"/>
      <c r="AM195" s="1" t="n"/>
      <c r="AN195" s="1" t="n"/>
      <c r="AO195" s="1" t="n"/>
      <c r="AP195" s="1" t="n"/>
      <c r="AQ195" s="1" t="n"/>
      <c r="AR195" s="1" t="n"/>
    </row>
    <row r="196" ht="15.75" customHeight="1" s="9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54" t="n"/>
      <c r="O196" s="54" t="n"/>
      <c r="P196" s="54" t="n"/>
      <c r="Q196" s="55" t="n"/>
      <c r="R196" s="54" t="n"/>
      <c r="S196" s="55" t="n"/>
      <c r="T196" s="55" t="n"/>
      <c r="U196" s="55" t="n"/>
      <c r="V196" s="55" t="n"/>
      <c r="W196" s="56" t="n"/>
      <c r="X196" s="1" t="n"/>
      <c r="Y196" s="56" t="n"/>
      <c r="Z196" s="57" t="n"/>
      <c r="AA196" s="56" t="n"/>
      <c r="AB196" s="56" t="n"/>
      <c r="AC196" s="57" t="n"/>
      <c r="AD196" s="56" t="n"/>
      <c r="AE196" s="56" t="n"/>
      <c r="AF196" s="1" t="n"/>
      <c r="AG196" s="56" t="n"/>
      <c r="AH196" s="1" t="n"/>
      <c r="AI196" s="56" t="n"/>
      <c r="AJ196" s="1" t="n"/>
      <c r="AK196" s="56" t="n"/>
      <c r="AL196" s="56" t="n"/>
      <c r="AM196" s="1" t="n"/>
      <c r="AN196" s="1" t="n"/>
      <c r="AO196" s="1" t="n"/>
      <c r="AP196" s="1" t="n"/>
      <c r="AQ196" s="1" t="n"/>
      <c r="AR196" s="1" t="n"/>
    </row>
    <row r="197" ht="15.75" customHeight="1" s="9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54" t="n"/>
      <c r="O197" s="54" t="n"/>
      <c r="P197" s="54" t="n"/>
      <c r="Q197" s="55" t="n"/>
      <c r="R197" s="54" t="n"/>
      <c r="S197" s="55" t="n"/>
      <c r="T197" s="55" t="n"/>
      <c r="U197" s="55" t="n"/>
      <c r="V197" s="55" t="n"/>
      <c r="W197" s="56" t="n"/>
      <c r="X197" s="1" t="n"/>
      <c r="Y197" s="56" t="n"/>
      <c r="Z197" s="57" t="n"/>
      <c r="AA197" s="56" t="n"/>
      <c r="AB197" s="56" t="n"/>
      <c r="AC197" s="57" t="n"/>
      <c r="AD197" s="56" t="n"/>
      <c r="AE197" s="56" t="n"/>
      <c r="AF197" s="1" t="n"/>
      <c r="AG197" s="56" t="n"/>
      <c r="AH197" s="1" t="n"/>
      <c r="AI197" s="56" t="n"/>
      <c r="AJ197" s="1" t="n"/>
      <c r="AK197" s="56" t="n"/>
      <c r="AL197" s="56" t="n"/>
      <c r="AM197" s="1" t="n"/>
      <c r="AN197" s="1" t="n"/>
      <c r="AO197" s="1" t="n"/>
      <c r="AP197" s="1" t="n"/>
      <c r="AQ197" s="1" t="n"/>
      <c r="AR197" s="1" t="n"/>
    </row>
    <row r="198" ht="15.75" customHeight="1" s="9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54" t="n"/>
      <c r="O198" s="54" t="n"/>
      <c r="P198" s="54" t="n"/>
      <c r="Q198" s="55" t="n"/>
      <c r="R198" s="54" t="n"/>
      <c r="S198" s="55" t="n"/>
      <c r="T198" s="55" t="n"/>
      <c r="U198" s="55" t="n"/>
      <c r="V198" s="55" t="n"/>
      <c r="W198" s="56" t="n"/>
      <c r="X198" s="1" t="n"/>
      <c r="Y198" s="56" t="n"/>
      <c r="Z198" s="57" t="n"/>
      <c r="AA198" s="56" t="n"/>
      <c r="AB198" s="56" t="n"/>
      <c r="AC198" s="57" t="n"/>
      <c r="AD198" s="56" t="n"/>
      <c r="AE198" s="56" t="n"/>
      <c r="AF198" s="1" t="n"/>
      <c r="AG198" s="56" t="n"/>
      <c r="AH198" s="1" t="n"/>
      <c r="AI198" s="56" t="n"/>
      <c r="AJ198" s="1" t="n"/>
      <c r="AK198" s="56" t="n"/>
      <c r="AL198" s="56" t="n"/>
      <c r="AM198" s="1" t="n"/>
      <c r="AN198" s="1" t="n"/>
      <c r="AO198" s="1" t="n"/>
      <c r="AP198" s="1" t="n"/>
      <c r="AQ198" s="1" t="n"/>
      <c r="AR198" s="1" t="n"/>
    </row>
    <row r="199" ht="15.75" customHeight="1" s="9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54" t="n"/>
      <c r="O199" s="54" t="n"/>
      <c r="P199" s="54" t="n"/>
      <c r="Q199" s="55" t="n"/>
      <c r="R199" s="54" t="n"/>
      <c r="S199" s="55" t="n"/>
      <c r="T199" s="55" t="n"/>
      <c r="U199" s="55" t="n"/>
      <c r="V199" s="55" t="n"/>
      <c r="W199" s="56" t="n"/>
      <c r="X199" s="1" t="n"/>
      <c r="Y199" s="56" t="n"/>
      <c r="Z199" s="57" t="n"/>
      <c r="AA199" s="56" t="n"/>
      <c r="AB199" s="56" t="n"/>
      <c r="AC199" s="57" t="n"/>
      <c r="AD199" s="56" t="n"/>
      <c r="AE199" s="56" t="n"/>
      <c r="AF199" s="1" t="n"/>
      <c r="AG199" s="56" t="n"/>
      <c r="AH199" s="1" t="n"/>
      <c r="AI199" s="56" t="n"/>
      <c r="AJ199" s="1" t="n"/>
      <c r="AK199" s="56" t="n"/>
      <c r="AL199" s="56" t="n"/>
      <c r="AM199" s="1" t="n"/>
      <c r="AN199" s="1" t="n"/>
      <c r="AO199" s="1" t="n"/>
      <c r="AP199" s="1" t="n"/>
      <c r="AQ199" s="1" t="n"/>
      <c r="AR199" s="1" t="n"/>
    </row>
    <row r="200" ht="15.75" customHeight="1" s="9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54" t="n"/>
      <c r="O200" s="54" t="n"/>
      <c r="P200" s="54" t="n"/>
      <c r="Q200" s="55" t="n"/>
      <c r="R200" s="54" t="n"/>
      <c r="S200" s="55" t="n"/>
      <c r="T200" s="55" t="n"/>
      <c r="U200" s="55" t="n"/>
      <c r="V200" s="55" t="n"/>
      <c r="W200" s="56" t="n"/>
      <c r="X200" s="1" t="n"/>
      <c r="Y200" s="56" t="n"/>
      <c r="Z200" s="57" t="n"/>
      <c r="AA200" s="56" t="n"/>
      <c r="AB200" s="56" t="n"/>
      <c r="AC200" s="57" t="n"/>
      <c r="AD200" s="56" t="n"/>
      <c r="AE200" s="56" t="n"/>
      <c r="AF200" s="1" t="n"/>
      <c r="AG200" s="56" t="n"/>
      <c r="AH200" s="1" t="n"/>
      <c r="AI200" s="56" t="n"/>
      <c r="AJ200" s="1" t="n"/>
      <c r="AK200" s="56" t="n"/>
      <c r="AL200" s="56" t="n"/>
      <c r="AM200" s="1" t="n"/>
      <c r="AN200" s="1" t="n"/>
      <c r="AO200" s="1" t="n"/>
      <c r="AP200" s="1" t="n"/>
      <c r="AQ200" s="1" t="n"/>
      <c r="AR200" s="1" t="n"/>
    </row>
    <row r="201" ht="15.75" customHeight="1" s="9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54" t="n"/>
      <c r="O201" s="54" t="n"/>
      <c r="P201" s="54" t="n"/>
      <c r="Q201" s="55" t="n"/>
      <c r="R201" s="54" t="n"/>
      <c r="S201" s="55" t="n"/>
      <c r="T201" s="55" t="n"/>
      <c r="U201" s="55" t="n"/>
      <c r="V201" s="55" t="n"/>
      <c r="W201" s="56" t="n"/>
      <c r="X201" s="1" t="n"/>
      <c r="Y201" s="56" t="n"/>
      <c r="Z201" s="57" t="n"/>
      <c r="AA201" s="56" t="n"/>
      <c r="AB201" s="56" t="n"/>
      <c r="AC201" s="57" t="n"/>
      <c r="AD201" s="56" t="n"/>
      <c r="AE201" s="56" t="n"/>
      <c r="AF201" s="1" t="n"/>
      <c r="AG201" s="56" t="n"/>
      <c r="AH201" s="1" t="n"/>
      <c r="AI201" s="56" t="n"/>
      <c r="AJ201" s="1" t="n"/>
      <c r="AK201" s="56" t="n"/>
      <c r="AL201" s="56" t="n"/>
      <c r="AM201" s="1" t="n"/>
      <c r="AN201" s="1" t="n"/>
      <c r="AO201" s="1" t="n"/>
      <c r="AP201" s="1" t="n"/>
      <c r="AQ201" s="1" t="n"/>
      <c r="AR201" s="1" t="n"/>
    </row>
    <row r="202" ht="15.75" customHeight="1" s="9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54" t="n"/>
      <c r="O202" s="54" t="n"/>
      <c r="P202" s="54" t="n"/>
      <c r="Q202" s="55" t="n"/>
      <c r="R202" s="54" t="n"/>
      <c r="S202" s="55" t="n"/>
      <c r="T202" s="55" t="n"/>
      <c r="U202" s="55" t="n"/>
      <c r="V202" s="55" t="n"/>
      <c r="W202" s="56" t="n"/>
      <c r="X202" s="1" t="n"/>
      <c r="Y202" s="56" t="n"/>
      <c r="Z202" s="57" t="n"/>
      <c r="AA202" s="56" t="n"/>
      <c r="AB202" s="56" t="n"/>
      <c r="AC202" s="57" t="n"/>
      <c r="AD202" s="56" t="n"/>
      <c r="AE202" s="56" t="n"/>
      <c r="AF202" s="1" t="n"/>
      <c r="AG202" s="56" t="n"/>
      <c r="AH202" s="1" t="n"/>
      <c r="AI202" s="56" t="n"/>
      <c r="AJ202" s="1" t="n"/>
      <c r="AK202" s="56" t="n"/>
      <c r="AL202" s="56" t="n"/>
      <c r="AM202" s="1" t="n"/>
      <c r="AN202" s="1" t="n"/>
      <c r="AO202" s="1" t="n"/>
      <c r="AP202" s="1" t="n"/>
      <c r="AQ202" s="1" t="n"/>
      <c r="AR202" s="1" t="n"/>
    </row>
    <row r="203" ht="15.75" customHeight="1" s="9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54" t="n"/>
      <c r="O203" s="54" t="n"/>
      <c r="P203" s="54" t="n"/>
      <c r="Q203" s="55" t="n"/>
      <c r="R203" s="54" t="n"/>
      <c r="S203" s="55" t="n"/>
      <c r="T203" s="55" t="n"/>
      <c r="U203" s="55" t="n"/>
      <c r="V203" s="55" t="n"/>
      <c r="W203" s="56" t="n"/>
      <c r="X203" s="1" t="n"/>
      <c r="Y203" s="56" t="n"/>
      <c r="Z203" s="57" t="n"/>
      <c r="AA203" s="56" t="n"/>
      <c r="AB203" s="56" t="n"/>
      <c r="AC203" s="57" t="n"/>
      <c r="AD203" s="56" t="n"/>
      <c r="AE203" s="56" t="n"/>
      <c r="AF203" s="1" t="n"/>
      <c r="AG203" s="56" t="n"/>
      <c r="AH203" s="1" t="n"/>
      <c r="AI203" s="56" t="n"/>
      <c r="AJ203" s="1" t="n"/>
      <c r="AK203" s="56" t="n"/>
      <c r="AL203" s="56" t="n"/>
      <c r="AM203" s="1" t="n"/>
      <c r="AN203" s="1" t="n"/>
      <c r="AO203" s="1" t="n"/>
      <c r="AP203" s="1" t="n"/>
      <c r="AQ203" s="1" t="n"/>
      <c r="AR203" s="1" t="n"/>
    </row>
    <row r="204" ht="15.75" customHeight="1" s="9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54" t="n"/>
      <c r="O204" s="54" t="n"/>
      <c r="P204" s="54" t="n"/>
      <c r="Q204" s="55" t="n"/>
      <c r="R204" s="54" t="n"/>
      <c r="S204" s="55" t="n"/>
      <c r="T204" s="55" t="n"/>
      <c r="U204" s="55" t="n"/>
      <c r="V204" s="55" t="n"/>
      <c r="W204" s="56" t="n"/>
      <c r="X204" s="1" t="n"/>
      <c r="Y204" s="56" t="n"/>
      <c r="Z204" s="57" t="n"/>
      <c r="AA204" s="56" t="n"/>
      <c r="AB204" s="56" t="n"/>
      <c r="AC204" s="57" t="n"/>
      <c r="AD204" s="56" t="n"/>
      <c r="AE204" s="56" t="n"/>
      <c r="AF204" s="1" t="n"/>
      <c r="AG204" s="56" t="n"/>
      <c r="AH204" s="1" t="n"/>
      <c r="AI204" s="56" t="n"/>
      <c r="AJ204" s="1" t="n"/>
      <c r="AK204" s="56" t="n"/>
      <c r="AL204" s="56" t="n"/>
      <c r="AM204" s="1" t="n"/>
      <c r="AN204" s="1" t="n"/>
      <c r="AO204" s="1" t="n"/>
      <c r="AP204" s="1" t="n"/>
      <c r="AQ204" s="1" t="n"/>
      <c r="AR204" s="1" t="n"/>
    </row>
    <row r="205" ht="15.75" customHeight="1" s="9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54" t="n"/>
      <c r="O205" s="54" t="n"/>
      <c r="P205" s="54" t="n"/>
      <c r="Q205" s="55" t="n"/>
      <c r="R205" s="54" t="n"/>
      <c r="S205" s="55" t="n"/>
      <c r="T205" s="55" t="n"/>
      <c r="U205" s="55" t="n"/>
      <c r="V205" s="55" t="n"/>
      <c r="W205" s="56" t="n"/>
      <c r="X205" s="1" t="n"/>
      <c r="Y205" s="56" t="n"/>
      <c r="Z205" s="57" t="n"/>
      <c r="AA205" s="56" t="n"/>
      <c r="AB205" s="56" t="n"/>
      <c r="AC205" s="57" t="n"/>
      <c r="AD205" s="56" t="n"/>
      <c r="AE205" s="56" t="n"/>
      <c r="AF205" s="1" t="n"/>
      <c r="AG205" s="56" t="n"/>
      <c r="AH205" s="1" t="n"/>
      <c r="AI205" s="56" t="n"/>
      <c r="AJ205" s="1" t="n"/>
      <c r="AK205" s="56" t="n"/>
      <c r="AL205" s="56" t="n"/>
      <c r="AM205" s="1" t="n"/>
      <c r="AN205" s="1" t="n"/>
      <c r="AO205" s="1" t="n"/>
      <c r="AP205" s="1" t="n"/>
      <c r="AQ205" s="1" t="n"/>
      <c r="AR205" s="1" t="n"/>
    </row>
    <row r="206" ht="15.75" customHeight="1" s="9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54" t="n"/>
      <c r="O206" s="54" t="n"/>
      <c r="P206" s="54" t="n"/>
      <c r="Q206" s="55" t="n"/>
      <c r="R206" s="54" t="n"/>
      <c r="S206" s="55" t="n"/>
      <c r="T206" s="55" t="n"/>
      <c r="U206" s="55" t="n"/>
      <c r="V206" s="55" t="n"/>
      <c r="W206" s="56" t="n"/>
      <c r="X206" s="1" t="n"/>
      <c r="Y206" s="56" t="n"/>
      <c r="Z206" s="57" t="n"/>
      <c r="AA206" s="56" t="n"/>
      <c r="AB206" s="56" t="n"/>
      <c r="AC206" s="57" t="n"/>
      <c r="AD206" s="56" t="n"/>
      <c r="AE206" s="56" t="n"/>
      <c r="AF206" s="1" t="n"/>
      <c r="AG206" s="56" t="n"/>
      <c r="AH206" s="1" t="n"/>
      <c r="AI206" s="56" t="n"/>
      <c r="AJ206" s="1" t="n"/>
      <c r="AK206" s="56" t="n"/>
      <c r="AL206" s="56" t="n"/>
      <c r="AM206" s="1" t="n"/>
      <c r="AN206" s="1" t="n"/>
      <c r="AO206" s="1" t="n"/>
      <c r="AP206" s="1" t="n"/>
      <c r="AQ206" s="1" t="n"/>
      <c r="AR206" s="1" t="n"/>
    </row>
    <row r="207" ht="15.75" customHeight="1" s="9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54" t="n"/>
      <c r="O207" s="54" t="n"/>
      <c r="P207" s="54" t="n"/>
      <c r="Q207" s="55" t="n"/>
      <c r="R207" s="54" t="n"/>
      <c r="S207" s="55" t="n"/>
      <c r="T207" s="55" t="n"/>
      <c r="U207" s="55" t="n"/>
      <c r="V207" s="55" t="n"/>
      <c r="W207" s="56" t="n"/>
      <c r="X207" s="1" t="n"/>
      <c r="Y207" s="56" t="n"/>
      <c r="Z207" s="57" t="n"/>
      <c r="AA207" s="56" t="n"/>
      <c r="AB207" s="56" t="n"/>
      <c r="AC207" s="57" t="n"/>
      <c r="AD207" s="56" t="n"/>
      <c r="AE207" s="56" t="n"/>
      <c r="AF207" s="1" t="n"/>
      <c r="AG207" s="56" t="n"/>
      <c r="AH207" s="1" t="n"/>
      <c r="AI207" s="56" t="n"/>
      <c r="AJ207" s="1" t="n"/>
      <c r="AK207" s="56" t="n"/>
      <c r="AL207" s="56" t="n"/>
      <c r="AM207" s="1" t="n"/>
      <c r="AN207" s="1" t="n"/>
      <c r="AO207" s="1" t="n"/>
      <c r="AP207" s="1" t="n"/>
      <c r="AQ207" s="1" t="n"/>
      <c r="AR207" s="1" t="n"/>
    </row>
    <row r="208" ht="15.75" customHeight="1" s="9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54" t="n"/>
      <c r="O208" s="54" t="n"/>
      <c r="P208" s="54" t="n"/>
      <c r="Q208" s="55" t="n"/>
      <c r="R208" s="54" t="n"/>
      <c r="S208" s="55" t="n"/>
      <c r="T208" s="55" t="n"/>
      <c r="U208" s="55" t="n"/>
      <c r="V208" s="55" t="n"/>
      <c r="W208" s="56" t="n"/>
      <c r="X208" s="1" t="n"/>
      <c r="Y208" s="56" t="n"/>
      <c r="Z208" s="57" t="n"/>
      <c r="AA208" s="56" t="n"/>
      <c r="AB208" s="56" t="n"/>
      <c r="AC208" s="57" t="n"/>
      <c r="AD208" s="56" t="n"/>
      <c r="AE208" s="56" t="n"/>
      <c r="AF208" s="1" t="n"/>
      <c r="AG208" s="56" t="n"/>
      <c r="AH208" s="1" t="n"/>
      <c r="AI208" s="56" t="n"/>
      <c r="AJ208" s="1" t="n"/>
      <c r="AK208" s="56" t="n"/>
      <c r="AL208" s="56" t="n"/>
      <c r="AM208" s="1" t="n"/>
      <c r="AN208" s="1" t="n"/>
      <c r="AO208" s="1" t="n"/>
      <c r="AP208" s="1" t="n"/>
      <c r="AQ208" s="1" t="n"/>
      <c r="AR208" s="1" t="n"/>
    </row>
    <row r="209" ht="15.75" customHeight="1" s="9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54" t="n"/>
      <c r="O209" s="54" t="n"/>
      <c r="P209" s="54" t="n"/>
      <c r="Q209" s="55" t="n"/>
      <c r="R209" s="54" t="n"/>
      <c r="S209" s="55" t="n"/>
      <c r="T209" s="55" t="n"/>
      <c r="U209" s="55" t="n"/>
      <c r="V209" s="55" t="n"/>
      <c r="W209" s="56" t="n"/>
      <c r="X209" s="1" t="n"/>
      <c r="Y209" s="56" t="n"/>
      <c r="Z209" s="57" t="n"/>
      <c r="AA209" s="56" t="n"/>
      <c r="AB209" s="56" t="n"/>
      <c r="AC209" s="57" t="n"/>
      <c r="AD209" s="56" t="n"/>
      <c r="AE209" s="56" t="n"/>
      <c r="AF209" s="1" t="n"/>
      <c r="AG209" s="56" t="n"/>
      <c r="AH209" s="1" t="n"/>
      <c r="AI209" s="56" t="n"/>
      <c r="AJ209" s="1" t="n"/>
      <c r="AK209" s="56" t="n"/>
      <c r="AL209" s="56" t="n"/>
      <c r="AM209" s="1" t="n"/>
      <c r="AN209" s="1" t="n"/>
      <c r="AO209" s="1" t="n"/>
      <c r="AP209" s="1" t="n"/>
      <c r="AQ209" s="1" t="n"/>
      <c r="AR209" s="1" t="n"/>
    </row>
    <row r="210" ht="15.75" customHeight="1" s="9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54" t="n"/>
      <c r="O210" s="54" t="n"/>
      <c r="P210" s="54" t="n"/>
      <c r="Q210" s="55" t="n"/>
      <c r="R210" s="54" t="n"/>
      <c r="S210" s="55" t="n"/>
      <c r="T210" s="55" t="n"/>
      <c r="U210" s="55" t="n"/>
      <c r="V210" s="55" t="n"/>
      <c r="W210" s="56" t="n"/>
      <c r="X210" s="1" t="n"/>
      <c r="Y210" s="56" t="n"/>
      <c r="Z210" s="57" t="n"/>
      <c r="AA210" s="56" t="n"/>
      <c r="AB210" s="56" t="n"/>
      <c r="AC210" s="57" t="n"/>
      <c r="AD210" s="56" t="n"/>
      <c r="AE210" s="56" t="n"/>
      <c r="AF210" s="1" t="n"/>
      <c r="AG210" s="56" t="n"/>
      <c r="AH210" s="1" t="n"/>
      <c r="AI210" s="56" t="n"/>
      <c r="AJ210" s="1" t="n"/>
      <c r="AK210" s="56" t="n"/>
      <c r="AL210" s="56" t="n"/>
      <c r="AM210" s="1" t="n"/>
      <c r="AN210" s="1" t="n"/>
      <c r="AO210" s="1" t="n"/>
      <c r="AP210" s="1" t="n"/>
      <c r="AQ210" s="1" t="n"/>
      <c r="AR210" s="1" t="n"/>
    </row>
    <row r="211" ht="15.75" customHeight="1" s="9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54" t="n"/>
      <c r="O211" s="54" t="n"/>
      <c r="P211" s="54" t="n"/>
      <c r="Q211" s="55" t="n"/>
      <c r="R211" s="54" t="n"/>
      <c r="S211" s="55" t="n"/>
      <c r="T211" s="55" t="n"/>
      <c r="U211" s="55" t="n"/>
      <c r="V211" s="55" t="n"/>
      <c r="W211" s="56" t="n"/>
      <c r="X211" s="1" t="n"/>
      <c r="Y211" s="56" t="n"/>
      <c r="Z211" s="57" t="n"/>
      <c r="AA211" s="56" t="n"/>
      <c r="AB211" s="56" t="n"/>
      <c r="AC211" s="57" t="n"/>
      <c r="AD211" s="56" t="n"/>
      <c r="AE211" s="56" t="n"/>
      <c r="AF211" s="1" t="n"/>
      <c r="AG211" s="56" t="n"/>
      <c r="AH211" s="1" t="n"/>
      <c r="AI211" s="56" t="n"/>
      <c r="AJ211" s="1" t="n"/>
      <c r="AK211" s="56" t="n"/>
      <c r="AL211" s="56" t="n"/>
      <c r="AM211" s="1" t="n"/>
      <c r="AN211" s="1" t="n"/>
      <c r="AO211" s="1" t="n"/>
      <c r="AP211" s="1" t="n"/>
      <c r="AQ211" s="1" t="n"/>
      <c r="AR211" s="1" t="n"/>
    </row>
    <row r="212" ht="15.75" customHeight="1" s="9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54" t="n"/>
      <c r="O212" s="54" t="n"/>
      <c r="P212" s="54" t="n"/>
      <c r="Q212" s="55" t="n"/>
      <c r="R212" s="54" t="n"/>
      <c r="S212" s="55" t="n"/>
      <c r="T212" s="55" t="n"/>
      <c r="U212" s="55" t="n"/>
      <c r="V212" s="55" t="n"/>
      <c r="W212" s="56" t="n"/>
      <c r="X212" s="1" t="n"/>
      <c r="Y212" s="56" t="n"/>
      <c r="Z212" s="57" t="n"/>
      <c r="AA212" s="56" t="n"/>
      <c r="AB212" s="56" t="n"/>
      <c r="AC212" s="57" t="n"/>
      <c r="AD212" s="56" t="n"/>
      <c r="AE212" s="56" t="n"/>
      <c r="AF212" s="1" t="n"/>
      <c r="AG212" s="56" t="n"/>
      <c r="AH212" s="1" t="n"/>
      <c r="AI212" s="56" t="n"/>
      <c r="AJ212" s="1" t="n"/>
      <c r="AK212" s="56" t="n"/>
      <c r="AL212" s="56" t="n"/>
      <c r="AM212" s="1" t="n"/>
      <c r="AN212" s="1" t="n"/>
      <c r="AO212" s="1" t="n"/>
      <c r="AP212" s="1" t="n"/>
      <c r="AQ212" s="1" t="n"/>
      <c r="AR212" s="1" t="n"/>
    </row>
    <row r="213" ht="15.75" customHeight="1" s="9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54" t="n"/>
      <c r="O213" s="54" t="n"/>
      <c r="P213" s="54" t="n"/>
      <c r="Q213" s="55" t="n"/>
      <c r="R213" s="54" t="n"/>
      <c r="S213" s="55" t="n"/>
      <c r="T213" s="55" t="n"/>
      <c r="U213" s="55" t="n"/>
      <c r="V213" s="55" t="n"/>
      <c r="W213" s="56" t="n"/>
      <c r="X213" s="1" t="n"/>
      <c r="Y213" s="56" t="n"/>
      <c r="Z213" s="57" t="n"/>
      <c r="AA213" s="56" t="n"/>
      <c r="AB213" s="56" t="n"/>
      <c r="AC213" s="57" t="n"/>
      <c r="AD213" s="56" t="n"/>
      <c r="AE213" s="56" t="n"/>
      <c r="AF213" s="1" t="n"/>
      <c r="AG213" s="56" t="n"/>
      <c r="AH213" s="1" t="n"/>
      <c r="AI213" s="56" t="n"/>
      <c r="AJ213" s="1" t="n"/>
      <c r="AK213" s="56" t="n"/>
      <c r="AL213" s="56" t="n"/>
      <c r="AM213" s="1" t="n"/>
      <c r="AN213" s="1" t="n"/>
      <c r="AO213" s="1" t="n"/>
      <c r="AP213" s="1" t="n"/>
      <c r="AQ213" s="1" t="n"/>
      <c r="AR213" s="1" t="n"/>
    </row>
    <row r="214" ht="15.75" customHeight="1" s="9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54" t="n"/>
      <c r="O214" s="54" t="n"/>
      <c r="P214" s="54" t="n"/>
      <c r="Q214" s="55" t="n"/>
      <c r="R214" s="54" t="n"/>
      <c r="S214" s="55" t="n"/>
      <c r="T214" s="55" t="n"/>
      <c r="U214" s="55" t="n"/>
      <c r="V214" s="55" t="n"/>
      <c r="W214" s="56" t="n"/>
      <c r="X214" s="1" t="n"/>
      <c r="Y214" s="56" t="n"/>
      <c r="Z214" s="57" t="n"/>
      <c r="AA214" s="56" t="n"/>
      <c r="AB214" s="56" t="n"/>
      <c r="AC214" s="57" t="n"/>
      <c r="AD214" s="56" t="n"/>
      <c r="AE214" s="56" t="n"/>
      <c r="AF214" s="1" t="n"/>
      <c r="AG214" s="56" t="n"/>
      <c r="AH214" s="1" t="n"/>
      <c r="AI214" s="56" t="n"/>
      <c r="AJ214" s="1" t="n"/>
      <c r="AK214" s="56" t="n"/>
      <c r="AL214" s="56" t="n"/>
      <c r="AM214" s="1" t="n"/>
      <c r="AN214" s="1" t="n"/>
      <c r="AO214" s="1" t="n"/>
      <c r="AP214" s="1" t="n"/>
      <c r="AQ214" s="1" t="n"/>
      <c r="AR214" s="1" t="n"/>
    </row>
    <row r="215" ht="15.75" customHeight="1" s="9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54" t="n"/>
      <c r="O215" s="54" t="n"/>
      <c r="P215" s="54" t="n"/>
      <c r="Q215" s="55" t="n"/>
      <c r="R215" s="54" t="n"/>
      <c r="S215" s="55" t="n"/>
      <c r="T215" s="55" t="n"/>
      <c r="U215" s="55" t="n"/>
      <c r="V215" s="55" t="n"/>
      <c r="W215" s="56" t="n"/>
      <c r="X215" s="1" t="n"/>
      <c r="Y215" s="56" t="n"/>
      <c r="Z215" s="57" t="n"/>
      <c r="AA215" s="56" t="n"/>
      <c r="AB215" s="56" t="n"/>
      <c r="AC215" s="57" t="n"/>
      <c r="AD215" s="56" t="n"/>
      <c r="AE215" s="56" t="n"/>
      <c r="AF215" s="1" t="n"/>
      <c r="AG215" s="56" t="n"/>
      <c r="AH215" s="1" t="n"/>
      <c r="AI215" s="56" t="n"/>
      <c r="AJ215" s="1" t="n"/>
      <c r="AK215" s="56" t="n"/>
      <c r="AL215" s="56" t="n"/>
      <c r="AM215" s="1" t="n"/>
      <c r="AN215" s="1" t="n"/>
      <c r="AO215" s="1" t="n"/>
      <c r="AP215" s="1" t="n"/>
      <c r="AQ215" s="1" t="n"/>
      <c r="AR215" s="1" t="n"/>
    </row>
    <row r="216" ht="15.75" customHeight="1" s="9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54" t="n"/>
      <c r="O216" s="54" t="n"/>
      <c r="P216" s="54" t="n"/>
      <c r="Q216" s="55" t="n"/>
      <c r="R216" s="54" t="n"/>
      <c r="S216" s="55" t="n"/>
      <c r="T216" s="55" t="n"/>
      <c r="U216" s="55" t="n"/>
      <c r="V216" s="55" t="n"/>
      <c r="W216" s="56" t="n"/>
      <c r="X216" s="1" t="n"/>
      <c r="Y216" s="56" t="n"/>
      <c r="Z216" s="57" t="n"/>
      <c r="AA216" s="56" t="n"/>
      <c r="AB216" s="56" t="n"/>
      <c r="AC216" s="57" t="n"/>
      <c r="AD216" s="56" t="n"/>
      <c r="AE216" s="56" t="n"/>
      <c r="AF216" s="1" t="n"/>
      <c r="AG216" s="56" t="n"/>
      <c r="AH216" s="1" t="n"/>
      <c r="AI216" s="56" t="n"/>
      <c r="AJ216" s="1" t="n"/>
      <c r="AK216" s="56" t="n"/>
      <c r="AL216" s="56" t="n"/>
      <c r="AM216" s="1" t="n"/>
      <c r="AN216" s="1" t="n"/>
      <c r="AO216" s="1" t="n"/>
      <c r="AP216" s="1" t="n"/>
      <c r="AQ216" s="1" t="n"/>
      <c r="AR216" s="1" t="n"/>
    </row>
    <row r="217" ht="15.75" customHeight="1" s="9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54" t="n"/>
      <c r="O217" s="54" t="n"/>
      <c r="P217" s="54" t="n"/>
      <c r="Q217" s="55" t="n"/>
      <c r="R217" s="54" t="n"/>
      <c r="S217" s="55" t="n"/>
      <c r="T217" s="55" t="n"/>
      <c r="U217" s="55" t="n"/>
      <c r="V217" s="55" t="n"/>
      <c r="W217" s="56" t="n"/>
      <c r="X217" s="1" t="n"/>
      <c r="Y217" s="56" t="n"/>
      <c r="Z217" s="57" t="n"/>
      <c r="AA217" s="56" t="n"/>
      <c r="AB217" s="56" t="n"/>
      <c r="AC217" s="57" t="n"/>
      <c r="AD217" s="56" t="n"/>
      <c r="AE217" s="56" t="n"/>
      <c r="AF217" s="1" t="n"/>
      <c r="AG217" s="56" t="n"/>
      <c r="AH217" s="1" t="n"/>
      <c r="AI217" s="56" t="n"/>
      <c r="AJ217" s="1" t="n"/>
      <c r="AK217" s="56" t="n"/>
      <c r="AL217" s="56" t="n"/>
      <c r="AM217" s="1" t="n"/>
      <c r="AN217" s="1" t="n"/>
      <c r="AO217" s="1" t="n"/>
      <c r="AP217" s="1" t="n"/>
      <c r="AQ217" s="1" t="n"/>
      <c r="AR217" s="1" t="n"/>
    </row>
    <row r="218" ht="15.75" customHeight="1" s="9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54" t="n"/>
      <c r="O218" s="54" t="n"/>
      <c r="P218" s="54" t="n"/>
      <c r="Q218" s="55" t="n"/>
      <c r="R218" s="54" t="n"/>
      <c r="S218" s="55" t="n"/>
      <c r="T218" s="55" t="n"/>
      <c r="U218" s="55" t="n"/>
      <c r="V218" s="55" t="n"/>
      <c r="W218" s="56" t="n"/>
      <c r="X218" s="1" t="n"/>
      <c r="Y218" s="56" t="n"/>
      <c r="Z218" s="57" t="n"/>
      <c r="AA218" s="56" t="n"/>
      <c r="AB218" s="56" t="n"/>
      <c r="AC218" s="57" t="n"/>
      <c r="AD218" s="56" t="n"/>
      <c r="AE218" s="56" t="n"/>
      <c r="AF218" s="1" t="n"/>
      <c r="AG218" s="56" t="n"/>
      <c r="AH218" s="1" t="n"/>
      <c r="AI218" s="56" t="n"/>
      <c r="AJ218" s="1" t="n"/>
      <c r="AK218" s="56" t="n"/>
      <c r="AL218" s="56" t="n"/>
      <c r="AM218" s="1" t="n"/>
      <c r="AN218" s="1" t="n"/>
      <c r="AO218" s="1" t="n"/>
      <c r="AP218" s="1" t="n"/>
      <c r="AQ218" s="1" t="n"/>
      <c r="AR218" s="1" t="n"/>
    </row>
    <row r="219" ht="15.75" customHeight="1" s="9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54" t="n"/>
      <c r="O219" s="54" t="n"/>
      <c r="P219" s="54" t="n"/>
      <c r="Q219" s="55" t="n"/>
      <c r="R219" s="54" t="n"/>
      <c r="S219" s="55" t="n"/>
      <c r="T219" s="55" t="n"/>
      <c r="U219" s="55" t="n"/>
      <c r="V219" s="55" t="n"/>
      <c r="W219" s="56" t="n"/>
      <c r="X219" s="1" t="n"/>
      <c r="Y219" s="56" t="n"/>
      <c r="Z219" s="57" t="n"/>
      <c r="AA219" s="56" t="n"/>
      <c r="AB219" s="56" t="n"/>
      <c r="AC219" s="57" t="n"/>
      <c r="AD219" s="56" t="n"/>
      <c r="AE219" s="56" t="n"/>
      <c r="AF219" s="1" t="n"/>
      <c r="AG219" s="56" t="n"/>
      <c r="AH219" s="1" t="n"/>
      <c r="AI219" s="56" t="n"/>
      <c r="AJ219" s="1" t="n"/>
      <c r="AK219" s="56" t="n"/>
      <c r="AL219" s="56" t="n"/>
      <c r="AM219" s="1" t="n"/>
      <c r="AN219" s="1" t="n"/>
      <c r="AO219" s="1" t="n"/>
      <c r="AP219" s="1" t="n"/>
      <c r="AQ219" s="1" t="n"/>
      <c r="AR219" s="1" t="n"/>
    </row>
    <row r="220" ht="15.75" customHeight="1" s="9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54" t="n"/>
      <c r="O220" s="54" t="n"/>
      <c r="P220" s="54" t="n"/>
      <c r="Q220" s="55" t="n"/>
      <c r="R220" s="54" t="n"/>
      <c r="S220" s="55" t="n"/>
      <c r="T220" s="55" t="n"/>
      <c r="U220" s="55" t="n"/>
      <c r="V220" s="55" t="n"/>
      <c r="W220" s="56" t="n"/>
      <c r="X220" s="1" t="n"/>
      <c r="Y220" s="56" t="n"/>
      <c r="Z220" s="57" t="n"/>
      <c r="AA220" s="56" t="n"/>
      <c r="AB220" s="56" t="n"/>
      <c r="AC220" s="57" t="n"/>
      <c r="AD220" s="56" t="n"/>
      <c r="AE220" s="56" t="n"/>
      <c r="AF220" s="1" t="n"/>
      <c r="AG220" s="56" t="n"/>
      <c r="AH220" s="1" t="n"/>
      <c r="AI220" s="56" t="n"/>
      <c r="AJ220" s="1" t="n"/>
      <c r="AK220" s="56" t="n"/>
      <c r="AL220" s="56" t="n"/>
      <c r="AM220" s="1" t="n"/>
      <c r="AN220" s="1" t="n"/>
      <c r="AO220" s="1" t="n"/>
      <c r="AP220" s="1" t="n"/>
      <c r="AQ220" s="1" t="n"/>
      <c r="AR220" s="1" t="n"/>
    </row>
    <row r="221" ht="15.75" customHeight="1" s="9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54" t="n"/>
      <c r="O221" s="54" t="n"/>
      <c r="P221" s="54" t="n"/>
      <c r="Q221" s="55" t="n"/>
      <c r="R221" s="54" t="n"/>
      <c r="S221" s="55" t="n"/>
      <c r="T221" s="55" t="n"/>
      <c r="U221" s="55" t="n"/>
      <c r="V221" s="55" t="n"/>
      <c r="W221" s="56" t="n"/>
      <c r="X221" s="1" t="n"/>
      <c r="Y221" s="56" t="n"/>
      <c r="Z221" s="57" t="n"/>
      <c r="AA221" s="56" t="n"/>
      <c r="AB221" s="56" t="n"/>
      <c r="AC221" s="57" t="n"/>
      <c r="AD221" s="56" t="n"/>
      <c r="AE221" s="56" t="n"/>
      <c r="AF221" s="1" t="n"/>
      <c r="AG221" s="56" t="n"/>
      <c r="AH221" s="1" t="n"/>
      <c r="AI221" s="56" t="n"/>
      <c r="AJ221" s="1" t="n"/>
      <c r="AK221" s="56" t="n"/>
      <c r="AL221" s="56" t="n"/>
      <c r="AM221" s="1" t="n"/>
      <c r="AN221" s="1" t="n"/>
      <c r="AO221" s="1" t="n"/>
      <c r="AP221" s="1" t="n"/>
      <c r="AQ221" s="1" t="n"/>
      <c r="AR221" s="1" t="n"/>
    </row>
    <row r="222" ht="15.75" customHeight="1" s="9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54" t="n"/>
      <c r="O222" s="54" t="n"/>
      <c r="P222" s="54" t="n"/>
      <c r="Q222" s="55" t="n"/>
      <c r="R222" s="54" t="n"/>
      <c r="S222" s="55" t="n"/>
      <c r="T222" s="55" t="n"/>
      <c r="U222" s="55" t="n"/>
      <c r="V222" s="55" t="n"/>
      <c r="W222" s="56" t="n"/>
      <c r="X222" s="1" t="n"/>
      <c r="Y222" s="56" t="n"/>
      <c r="Z222" s="57" t="n"/>
      <c r="AA222" s="56" t="n"/>
      <c r="AB222" s="56" t="n"/>
      <c r="AC222" s="57" t="n"/>
      <c r="AD222" s="56" t="n"/>
      <c r="AE222" s="56" t="n"/>
      <c r="AF222" s="1" t="n"/>
      <c r="AG222" s="56" t="n"/>
      <c r="AH222" s="1" t="n"/>
      <c r="AI222" s="56" t="n"/>
      <c r="AJ222" s="1" t="n"/>
      <c r="AK222" s="56" t="n"/>
      <c r="AL222" s="56" t="n"/>
      <c r="AM222" s="1" t="n"/>
      <c r="AN222" s="1" t="n"/>
      <c r="AO222" s="1" t="n"/>
      <c r="AP222" s="1" t="n"/>
      <c r="AQ222" s="1" t="n"/>
      <c r="AR222" s="1" t="n"/>
    </row>
    <row r="223" ht="15.75" customHeight="1" s="9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54" t="n"/>
      <c r="O223" s="54" t="n"/>
      <c r="P223" s="54" t="n"/>
      <c r="Q223" s="55" t="n"/>
      <c r="R223" s="54" t="n"/>
      <c r="S223" s="55" t="n"/>
      <c r="T223" s="55" t="n"/>
      <c r="U223" s="55" t="n"/>
      <c r="V223" s="55" t="n"/>
      <c r="W223" s="56" t="n"/>
      <c r="X223" s="1" t="n"/>
      <c r="Y223" s="56" t="n"/>
      <c r="Z223" s="57" t="n"/>
      <c r="AA223" s="56" t="n"/>
      <c r="AB223" s="56" t="n"/>
      <c r="AC223" s="57" t="n"/>
      <c r="AD223" s="56" t="n"/>
      <c r="AE223" s="56" t="n"/>
      <c r="AF223" s="1" t="n"/>
      <c r="AG223" s="56" t="n"/>
      <c r="AH223" s="1" t="n"/>
      <c r="AI223" s="56" t="n"/>
      <c r="AJ223" s="1" t="n"/>
      <c r="AK223" s="56" t="n"/>
      <c r="AL223" s="56" t="n"/>
      <c r="AM223" s="1" t="n"/>
      <c r="AN223" s="1" t="n"/>
      <c r="AO223" s="1" t="n"/>
      <c r="AP223" s="1" t="n"/>
      <c r="AQ223" s="1" t="n"/>
      <c r="AR223" s="1" t="n"/>
    </row>
    <row r="224" ht="15.75" customHeight="1" s="9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54" t="n"/>
      <c r="O224" s="54" t="n"/>
      <c r="P224" s="54" t="n"/>
      <c r="Q224" s="55" t="n"/>
      <c r="R224" s="54" t="n"/>
      <c r="S224" s="55" t="n"/>
      <c r="T224" s="55" t="n"/>
      <c r="U224" s="55" t="n"/>
      <c r="V224" s="55" t="n"/>
      <c r="W224" s="56" t="n"/>
      <c r="X224" s="1" t="n"/>
      <c r="Y224" s="56" t="n"/>
      <c r="Z224" s="57" t="n"/>
      <c r="AA224" s="56" t="n"/>
      <c r="AB224" s="56" t="n"/>
      <c r="AC224" s="57" t="n"/>
      <c r="AD224" s="56" t="n"/>
      <c r="AE224" s="56" t="n"/>
      <c r="AF224" s="1" t="n"/>
      <c r="AG224" s="56" t="n"/>
      <c r="AH224" s="1" t="n"/>
      <c r="AI224" s="56" t="n"/>
      <c r="AJ224" s="1" t="n"/>
      <c r="AK224" s="56" t="n"/>
      <c r="AL224" s="56" t="n"/>
      <c r="AM224" s="1" t="n"/>
      <c r="AN224" s="1" t="n"/>
      <c r="AO224" s="1" t="n"/>
      <c r="AP224" s="1" t="n"/>
      <c r="AQ224" s="1" t="n"/>
      <c r="AR224" s="1" t="n"/>
    </row>
    <row r="225" ht="15.75" customHeight="1" s="9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8" t="n"/>
      <c r="O225" s="18" t="n"/>
      <c r="P225" s="18" t="n"/>
      <c r="Q225" s="1" t="n"/>
      <c r="R225" s="18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</row>
    <row r="226" ht="15.75" customHeight="1" s="9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8" t="n"/>
      <c r="O226" s="18" t="n"/>
      <c r="P226" s="18" t="n"/>
      <c r="Q226" s="1" t="n"/>
      <c r="R226" s="18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</row>
    <row r="227" ht="15.75" customHeight="1" s="9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8" t="n"/>
      <c r="O227" s="18" t="n"/>
      <c r="P227" s="18" t="n"/>
      <c r="Q227" s="1" t="n"/>
      <c r="R227" s="18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</row>
    <row r="228" ht="15.75" customHeight="1" s="9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8" t="n"/>
      <c r="O228" s="18" t="n"/>
      <c r="P228" s="18" t="n"/>
      <c r="Q228" s="1" t="n"/>
      <c r="R228" s="18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</row>
    <row r="229" ht="15.75" customHeight="1" s="9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8" t="n"/>
      <c r="O229" s="18" t="n"/>
      <c r="P229" s="18" t="n"/>
      <c r="Q229" s="1" t="n"/>
      <c r="R229" s="18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</row>
    <row r="230" ht="15.75" customHeight="1" s="9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8" t="n"/>
      <c r="O230" s="18" t="n"/>
      <c r="P230" s="18" t="n"/>
      <c r="Q230" s="1" t="n"/>
      <c r="R230" s="18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</row>
    <row r="231" ht="15.75" customHeight="1" s="9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8" t="n"/>
      <c r="O231" s="18" t="n"/>
      <c r="P231" s="18" t="n"/>
      <c r="Q231" s="1" t="n"/>
      <c r="R231" s="18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</row>
    <row r="232" ht="15.75" customHeight="1" s="9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8" t="n"/>
      <c r="O232" s="18" t="n"/>
      <c r="P232" s="18" t="n"/>
      <c r="Q232" s="1" t="n"/>
      <c r="R232" s="18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</row>
    <row r="233" ht="15.75" customHeight="1" s="9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8" t="n"/>
      <c r="O233" s="18" t="n"/>
      <c r="P233" s="18" t="n"/>
      <c r="Q233" s="1" t="n"/>
      <c r="R233" s="18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</row>
    <row r="234" ht="15.75" customHeight="1" s="9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8" t="n"/>
      <c r="O234" s="18" t="n"/>
      <c r="P234" s="18" t="n"/>
      <c r="Q234" s="1" t="n"/>
      <c r="R234" s="18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</row>
    <row r="235" ht="15.75" customHeight="1" s="9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8" t="n"/>
      <c r="O235" s="18" t="n"/>
      <c r="P235" s="18" t="n"/>
      <c r="Q235" s="1" t="n"/>
      <c r="R235" s="18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</row>
    <row r="236" ht="15.75" customHeight="1" s="9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8" t="n"/>
      <c r="O236" s="18" t="n"/>
      <c r="P236" s="18" t="n"/>
      <c r="Q236" s="1" t="n"/>
      <c r="R236" s="18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</row>
    <row r="237" ht="15.75" customHeight="1" s="9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8" t="n"/>
      <c r="O237" s="18" t="n"/>
      <c r="P237" s="18" t="n"/>
      <c r="Q237" s="1" t="n"/>
      <c r="R237" s="18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</row>
    <row r="238" ht="15.75" customHeight="1" s="9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8" t="n"/>
      <c r="O238" s="18" t="n"/>
      <c r="P238" s="18" t="n"/>
      <c r="Q238" s="1" t="n"/>
      <c r="R238" s="18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</row>
    <row r="239" ht="15.75" customHeight="1" s="9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8" t="n"/>
      <c r="O239" s="18" t="n"/>
      <c r="P239" s="18" t="n"/>
      <c r="Q239" s="1" t="n"/>
      <c r="R239" s="18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</row>
    <row r="240" ht="15.75" customHeight="1" s="9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8" t="n"/>
      <c r="O240" s="18" t="n"/>
      <c r="P240" s="18" t="n"/>
      <c r="Q240" s="1" t="n"/>
      <c r="R240" s="18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</row>
    <row r="241" ht="15.75" customHeight="1" s="9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8" t="n"/>
      <c r="O241" s="18" t="n"/>
      <c r="P241" s="18" t="n"/>
      <c r="Q241" s="1" t="n"/>
      <c r="R241" s="18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</row>
    <row r="242" ht="15.75" customHeight="1" s="9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8" t="n"/>
      <c r="O242" s="18" t="n"/>
      <c r="P242" s="18" t="n"/>
      <c r="Q242" s="1" t="n"/>
      <c r="R242" s="18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</row>
    <row r="243" ht="15.75" customHeight="1" s="9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8" t="n"/>
      <c r="O243" s="18" t="n"/>
      <c r="P243" s="18" t="n"/>
      <c r="Q243" s="1" t="n"/>
      <c r="R243" s="18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</row>
    <row r="244" ht="15.75" customHeight="1" s="9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8" t="n"/>
      <c r="O244" s="18" t="n"/>
      <c r="P244" s="18" t="n"/>
      <c r="Q244" s="1" t="n"/>
      <c r="R244" s="18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</row>
    <row r="245" ht="15.75" customHeight="1" s="9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8" t="n"/>
      <c r="O245" s="18" t="n"/>
      <c r="P245" s="18" t="n"/>
      <c r="Q245" s="1" t="n"/>
      <c r="R245" s="18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</row>
    <row r="246" ht="15.75" customHeight="1" s="9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8" t="n"/>
      <c r="O246" s="18" t="n"/>
      <c r="P246" s="18" t="n"/>
      <c r="Q246" s="1" t="n"/>
      <c r="R246" s="18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</row>
    <row r="247" ht="15.75" customHeight="1" s="9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8" t="n"/>
      <c r="O247" s="18" t="n"/>
      <c r="P247" s="18" t="n"/>
      <c r="Q247" s="1" t="n"/>
      <c r="R247" s="18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</row>
    <row r="248" ht="15.75" customHeight="1" s="9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8" t="n"/>
      <c r="O248" s="18" t="n"/>
      <c r="P248" s="18" t="n"/>
      <c r="Q248" s="1" t="n"/>
      <c r="R248" s="18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</row>
    <row r="249" ht="15.75" customHeight="1" s="9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8" t="n"/>
      <c r="O249" s="18" t="n"/>
      <c r="P249" s="18" t="n"/>
      <c r="Q249" s="1" t="n"/>
      <c r="R249" s="18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</row>
    <row r="250" ht="15.75" customHeight="1" s="9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8" t="n"/>
      <c r="O250" s="18" t="n"/>
      <c r="P250" s="18" t="n"/>
      <c r="Q250" s="1" t="n"/>
      <c r="R250" s="18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</row>
    <row r="251" ht="15.75" customHeight="1" s="9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8" t="n"/>
      <c r="O251" s="18" t="n"/>
      <c r="P251" s="18" t="n"/>
      <c r="Q251" s="1" t="n"/>
      <c r="R251" s="18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</row>
    <row r="252" ht="15.75" customHeight="1" s="9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</row>
    <row r="253" ht="15.75" customHeight="1" s="9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</row>
    <row r="254" ht="15.75" customHeight="1" s="9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</row>
    <row r="255" ht="15.75" customHeight="1" s="9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</row>
    <row r="256" ht="15.75" customHeight="1" s="9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</row>
    <row r="257" ht="15.75" customHeight="1" s="9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</row>
    <row r="258" ht="15.75" customHeight="1" s="9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</row>
    <row r="259" ht="15.75" customHeight="1" s="9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</row>
    <row r="260" ht="15.75" customHeight="1" s="9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</row>
    <row r="261" ht="15.75" customHeight="1" s="9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</row>
    <row r="262" ht="15.75" customHeight="1" s="9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</row>
    <row r="263" ht="15.75" customHeight="1" s="9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</row>
    <row r="264" ht="15.75" customHeight="1" s="9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</row>
    <row r="265" ht="15.75" customHeight="1" s="9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</row>
    <row r="266" ht="15.75" customHeight="1" s="9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</row>
    <row r="267" ht="15.75" customHeight="1" s="9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</row>
    <row r="268" ht="15.75" customHeight="1" s="9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</row>
    <row r="269" ht="15.75" customHeight="1" s="9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</row>
    <row r="270" ht="15.75" customHeight="1" s="9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</row>
    <row r="271" ht="15.75" customHeight="1" s="9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</row>
    <row r="272" ht="15.75" customHeight="1" s="9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</row>
    <row r="273" ht="15.75" customHeight="1" s="9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</row>
    <row r="274" ht="15.75" customHeight="1" s="9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</row>
    <row r="275" ht="15.75" customHeight="1" s="9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</row>
    <row r="276" ht="15.75" customHeight="1" s="9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</row>
    <row r="277" ht="15.75" customHeight="1" s="9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</row>
    <row r="278" ht="15.75" customHeight="1" s="9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</row>
    <row r="279" ht="15.75" customHeight="1" s="9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</row>
    <row r="280" ht="15.75" customHeight="1" s="9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</row>
    <row r="281" ht="15.75" customHeight="1" s="9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</row>
    <row r="282" ht="15.75" customHeight="1" s="9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</row>
    <row r="283" ht="15.75" customHeight="1" s="9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</row>
    <row r="284" ht="15.75" customHeight="1" s="9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</row>
    <row r="285" ht="15.75" customHeight="1" s="9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</row>
    <row r="286" ht="15.75" customHeight="1" s="9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</row>
    <row r="287" ht="15.75" customHeight="1" s="9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</row>
    <row r="288" ht="15.75" customHeight="1" s="9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</row>
    <row r="289" ht="15.75" customHeight="1" s="9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</row>
    <row r="290" ht="15.75" customHeight="1" s="9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</row>
    <row r="291" ht="15.75" customHeight="1" s="9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</row>
    <row r="292" ht="15.75" customHeight="1" s="9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</row>
    <row r="293" ht="15.75" customHeight="1" s="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</row>
    <row r="294" ht="15.75" customHeight="1" s="9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</row>
    <row r="295" ht="15.75" customHeight="1" s="9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</row>
    <row r="296" ht="15.75" customHeight="1" s="9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</row>
    <row r="297" ht="15.75" customHeight="1" s="9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</row>
    <row r="298" ht="15.75" customHeight="1" s="9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</row>
    <row r="299" ht="15.75" customHeight="1" s="9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</row>
    <row r="300" ht="15.75" customHeight="1" s="9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</row>
    <row r="301" ht="15.75" customHeight="1" s="9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</row>
    <row r="302" ht="15.75" customHeight="1" s="9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</row>
    <row r="303" ht="15.75" customHeight="1" s="9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</row>
    <row r="304" ht="15.75" customHeight="1" s="9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</row>
    <row r="305" ht="15.75" customHeight="1" s="9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</row>
    <row r="306" ht="15.75" customHeight="1" s="9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</row>
    <row r="307" ht="15.75" customHeight="1" s="9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</row>
    <row r="308" ht="15.75" customHeight="1" s="9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</row>
    <row r="309" ht="15.75" customHeight="1" s="9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</row>
    <row r="310" ht="15.75" customHeight="1" s="9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</row>
    <row r="311" ht="15.75" customHeight="1" s="9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</row>
    <row r="312" ht="15.75" customHeight="1" s="9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</row>
    <row r="313" ht="15.75" customHeight="1" s="9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</row>
    <row r="314" ht="15.75" customHeight="1" s="9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</row>
    <row r="315" ht="15.75" customHeight="1" s="9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</row>
    <row r="316" ht="15.75" customHeight="1" s="9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</row>
    <row r="317" ht="15.75" customHeight="1" s="9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</row>
    <row r="318" ht="15.75" customHeight="1" s="9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</row>
    <row r="319" ht="15.75" customHeight="1" s="9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</row>
    <row r="320" ht="15.75" customHeight="1" s="9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</row>
    <row r="321" ht="15.75" customHeight="1" s="9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</row>
    <row r="322" ht="15.75" customHeight="1" s="9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</row>
    <row r="323" ht="15.75" customHeight="1" s="9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</row>
    <row r="324" ht="15.75" customHeight="1" s="9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</row>
    <row r="325" ht="15.75" customHeight="1" s="9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</row>
    <row r="326" ht="15.75" customHeight="1" s="9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</row>
    <row r="327" ht="15.75" customHeight="1" s="9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</row>
    <row r="328" ht="15.75" customHeight="1" s="9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</row>
    <row r="329" ht="15.75" customHeight="1" s="9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</row>
    <row r="330" ht="15.75" customHeight="1" s="9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</row>
    <row r="331" ht="15.75" customHeight="1" s="9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</row>
    <row r="332" ht="15.75" customHeight="1" s="9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</row>
    <row r="333" ht="15.75" customHeight="1" s="9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</row>
    <row r="334" ht="15.75" customHeight="1" s="9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</row>
    <row r="335" ht="15.75" customHeight="1" s="9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</row>
    <row r="336" ht="15.75" customHeight="1" s="9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</row>
    <row r="337" ht="15.75" customHeight="1" s="9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</row>
    <row r="338" ht="15.75" customHeight="1" s="9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</row>
    <row r="339" ht="15.75" customHeight="1" s="9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</row>
    <row r="340" ht="15.75" customHeight="1" s="9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</row>
    <row r="341" ht="15.75" customHeight="1" s="9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</row>
    <row r="342" ht="15.75" customHeight="1" s="9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</row>
    <row r="343" ht="15.75" customHeight="1" s="9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</row>
    <row r="344" ht="15.75" customHeight="1" s="9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</row>
    <row r="345" ht="15.75" customHeight="1" s="9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</row>
    <row r="346" ht="15.75" customHeight="1" s="9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</row>
    <row r="347" ht="15.75" customHeight="1" s="9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</row>
    <row r="348" ht="15.75" customHeight="1" s="9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</row>
    <row r="349" ht="15.75" customHeight="1" s="9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</row>
    <row r="350" ht="15.75" customHeight="1" s="9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</row>
    <row r="351" ht="15.75" customHeight="1" s="9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</row>
    <row r="352" ht="15.75" customHeight="1" s="9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</row>
    <row r="353" ht="15.75" customHeight="1" s="9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</row>
    <row r="354" ht="15.75" customHeight="1" s="9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</row>
    <row r="355" ht="15.75" customHeight="1" s="9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</row>
    <row r="356" ht="15.75" customHeight="1" s="9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</row>
    <row r="357" ht="15.75" customHeight="1" s="9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</row>
    <row r="358" ht="15.75" customHeight="1" s="9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</row>
    <row r="359" ht="15.75" customHeight="1" s="9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</row>
    <row r="360" ht="15.75" customHeight="1" s="9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</row>
    <row r="361" ht="15.75" customHeight="1" s="9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</row>
    <row r="362" ht="15.75" customHeight="1" s="9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</row>
    <row r="363" ht="15.75" customHeight="1" s="9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</row>
    <row r="364" ht="15.75" customHeight="1" s="9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</row>
    <row r="365" ht="15.75" customHeight="1" s="9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</row>
    <row r="366" ht="15.75" customHeight="1" s="9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</row>
    <row r="367" ht="15.75" customHeight="1" s="9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</row>
    <row r="368" ht="15.75" customHeight="1" s="9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</row>
    <row r="369" ht="15.75" customHeight="1" s="9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</row>
    <row r="370" ht="15.75" customHeight="1" s="9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</row>
    <row r="371" ht="15.75" customHeight="1" s="9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</row>
    <row r="372" ht="15.75" customHeight="1" s="9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</row>
    <row r="373" ht="15.75" customHeight="1" s="9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</row>
    <row r="374" ht="15.75" customHeight="1" s="9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</row>
    <row r="375" ht="15.75" customHeight="1" s="9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</row>
    <row r="376" ht="15.75" customHeight="1" s="9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</row>
    <row r="377" ht="15.75" customHeight="1" s="9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</row>
    <row r="378" ht="15.75" customHeight="1" s="9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</row>
    <row r="379" ht="15.75" customHeight="1" s="9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</row>
    <row r="380" ht="15.75" customHeight="1" s="9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</row>
    <row r="381" ht="15.75" customHeight="1" s="9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</row>
    <row r="382" ht="15.75" customHeight="1" s="9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</row>
    <row r="383" ht="15.75" customHeight="1" s="9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</row>
    <row r="384" ht="15.75" customHeight="1" s="9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</row>
    <row r="385" ht="15.75" customHeight="1" s="9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</row>
    <row r="386" ht="15.75" customHeight="1" s="9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</row>
    <row r="387" ht="15.75" customHeight="1" s="9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</row>
    <row r="388" ht="15.75" customHeight="1" s="9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</row>
    <row r="389" ht="15.75" customHeight="1" s="9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</row>
    <row r="390" ht="15.75" customHeight="1" s="9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</row>
    <row r="391" ht="15.75" customHeight="1" s="9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</row>
    <row r="392" ht="15.75" customHeight="1" s="9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</row>
    <row r="393" ht="15.75" customHeight="1" s="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</row>
    <row r="394" ht="15.75" customHeight="1" s="9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</row>
    <row r="395" ht="15.75" customHeight="1" s="9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</row>
    <row r="396" ht="15.75" customHeight="1" s="9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</row>
    <row r="397" ht="15.75" customHeight="1" s="9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</row>
    <row r="398" ht="15.75" customHeight="1" s="9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</row>
    <row r="399" ht="15.75" customHeight="1" s="9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</row>
    <row r="400" ht="15.75" customHeight="1" s="9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</row>
    <row r="401" ht="15.75" customHeight="1" s="9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</row>
    <row r="402" ht="15.75" customHeight="1" s="9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</row>
    <row r="403" ht="15.75" customHeight="1" s="9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</row>
    <row r="404" ht="15.75" customHeight="1" s="9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</row>
    <row r="405" ht="15.75" customHeight="1" s="9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</row>
    <row r="406" ht="15.75" customHeight="1" s="9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</row>
    <row r="407" ht="15.75" customHeight="1" s="9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</row>
    <row r="408" ht="15.75" customHeight="1" s="9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</row>
    <row r="409" ht="15.75" customHeight="1" s="9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</row>
    <row r="410" ht="15.75" customHeight="1" s="9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</row>
    <row r="411" ht="15.75" customHeight="1" s="9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</row>
    <row r="412" ht="15.75" customHeight="1" s="9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</row>
    <row r="413" ht="15.75" customHeight="1" s="9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</row>
    <row r="414" ht="15.75" customHeight="1" s="9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</row>
    <row r="415" ht="15.75" customHeight="1" s="9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</row>
    <row r="416" ht="15.75" customHeight="1" s="9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</row>
    <row r="417" ht="15.75" customHeight="1" s="9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</row>
    <row r="418" ht="15.75" customHeight="1" s="9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</row>
    <row r="419" ht="15.75" customHeight="1" s="9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</row>
    <row r="420" ht="15.75" customHeight="1" s="9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</row>
    <row r="421" ht="15.75" customHeight="1" s="9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</row>
    <row r="422" ht="15.75" customHeight="1" s="9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</row>
    <row r="423" ht="15.75" customHeight="1" s="9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</row>
    <row r="424" ht="15.75" customHeight="1" s="9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</row>
    <row r="425" ht="15.75" customHeight="1" s="9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</row>
    <row r="426" ht="15.75" customHeight="1" s="9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</row>
    <row r="427" ht="15.75" customHeight="1" s="9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</row>
    <row r="428" ht="15.75" customHeight="1" s="9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</row>
    <row r="429" ht="15.75" customHeight="1" s="9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</row>
    <row r="430" ht="15.75" customHeight="1" s="9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</row>
    <row r="431" ht="15.75" customHeight="1" s="9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</row>
    <row r="432" ht="15.75" customHeight="1" s="9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</row>
    <row r="433" ht="15.75" customHeight="1" s="9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</row>
    <row r="434" ht="15.75" customHeight="1" s="9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</row>
    <row r="435" ht="15.75" customHeight="1" s="9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</row>
    <row r="436" ht="15.75" customHeight="1" s="9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</row>
    <row r="437" ht="15.75" customHeight="1" s="9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</row>
    <row r="438" ht="15.75" customHeight="1" s="9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</row>
    <row r="439" ht="15.75" customHeight="1" s="9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</row>
    <row r="440" ht="15.75" customHeight="1" s="9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</row>
    <row r="441" ht="15.75" customHeight="1" s="9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</row>
    <row r="442" ht="15.75" customHeight="1" s="9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</row>
    <row r="443" ht="15.75" customHeight="1" s="9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</row>
    <row r="444" ht="15.75" customHeight="1" s="9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</row>
    <row r="445" ht="15.75" customHeight="1" s="9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</row>
    <row r="446" ht="15.75" customHeight="1" s="9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</row>
    <row r="447" ht="15.75" customHeight="1" s="9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</row>
    <row r="448" ht="15.75" customHeight="1" s="9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</row>
    <row r="449" ht="15.75" customHeight="1" s="9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</row>
    <row r="450" ht="15.75" customHeight="1" s="9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</row>
    <row r="451" ht="15.75" customHeight="1" s="9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</row>
    <row r="452" ht="15.75" customHeight="1" s="9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</row>
    <row r="453" ht="15.75" customHeight="1" s="9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</row>
    <row r="454" ht="15.75" customHeight="1" s="9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</row>
    <row r="455" ht="15.75" customHeight="1" s="9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</row>
    <row r="456" ht="15.75" customHeight="1" s="9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</row>
    <row r="457" ht="15.75" customHeight="1" s="9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</row>
    <row r="458" ht="15.75" customHeight="1" s="9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</row>
    <row r="459" ht="15.75" customHeight="1" s="9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</row>
    <row r="460" ht="15.75" customHeight="1" s="9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</row>
    <row r="461" ht="15.75" customHeight="1" s="9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</row>
    <row r="462" ht="15.75" customHeight="1" s="9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</row>
    <row r="463" ht="15.75" customHeight="1" s="9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</row>
    <row r="464" ht="15.75" customHeight="1" s="9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</row>
    <row r="465" ht="15.75" customHeight="1" s="9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</row>
    <row r="466" ht="15.75" customHeight="1" s="9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</row>
    <row r="467" ht="15.75" customHeight="1" s="9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</row>
    <row r="468" ht="15.75" customHeight="1" s="9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</row>
    <row r="469" ht="15.75" customHeight="1" s="9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</row>
    <row r="470" ht="15.75" customHeight="1" s="9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</row>
    <row r="471" ht="15.75" customHeight="1" s="9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</row>
    <row r="472" ht="15.75" customHeight="1" s="9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</row>
    <row r="473" ht="15.75" customHeight="1" s="9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</row>
    <row r="474" ht="15.75" customHeight="1" s="9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</row>
    <row r="475" ht="15.75" customHeight="1" s="9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</row>
    <row r="476" ht="15.75" customHeight="1" s="9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</row>
    <row r="477" ht="15.75" customHeight="1" s="9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</row>
    <row r="478" ht="15.75" customHeight="1" s="9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</row>
    <row r="479" ht="15.75" customHeight="1" s="9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</row>
    <row r="480" ht="15.75" customHeight="1" s="9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</row>
    <row r="481" ht="15.75" customHeight="1" s="9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</row>
    <row r="482" ht="15.75" customHeight="1" s="9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</row>
    <row r="483" ht="15.75" customHeight="1" s="9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</row>
    <row r="484" ht="15.75" customHeight="1" s="9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</row>
    <row r="485" ht="15.75" customHeight="1" s="9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</row>
    <row r="486" ht="15.75" customHeight="1" s="9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</row>
    <row r="487" ht="15.75" customHeight="1" s="9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</row>
    <row r="488" ht="15.75" customHeight="1" s="9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</row>
    <row r="489" ht="15.75" customHeight="1" s="9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</row>
    <row r="490" ht="15.75" customHeight="1" s="9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</row>
    <row r="491" ht="15.75" customHeight="1" s="9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</row>
    <row r="492" ht="15.75" customHeight="1" s="9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</row>
    <row r="493" ht="15.75" customHeight="1" s="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</row>
    <row r="494" ht="15.75" customHeight="1" s="9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</row>
    <row r="495" ht="15.75" customHeight="1" s="9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</row>
    <row r="496" ht="15.75" customHeight="1" s="9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</row>
    <row r="497" ht="15.75" customHeight="1" s="9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</row>
    <row r="498" ht="15.75" customHeight="1" s="9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</row>
    <row r="499" ht="15.75" customHeight="1" s="9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</row>
    <row r="500" ht="15.75" customHeight="1" s="9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</row>
    <row r="501" ht="15.75" customHeight="1" s="9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</row>
    <row r="502" ht="15.75" customHeight="1" s="9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</row>
    <row r="503" ht="15.75" customHeight="1" s="9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</row>
    <row r="504" ht="15.75" customHeight="1" s="9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</row>
    <row r="505" ht="15.75" customHeight="1" s="9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</row>
    <row r="506" ht="15.75" customHeight="1" s="9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</row>
    <row r="507" ht="15.75" customHeight="1" s="9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</row>
    <row r="508" ht="15.75" customHeight="1" s="9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</row>
    <row r="509" ht="15.75" customHeight="1" s="9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</row>
    <row r="510" ht="15.75" customHeight="1" s="9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</row>
    <row r="511" ht="15.75" customHeight="1" s="9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</row>
    <row r="512" ht="15.75" customHeight="1" s="9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</row>
    <row r="513" ht="15.75" customHeight="1" s="9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</row>
    <row r="514" ht="15.75" customHeight="1" s="9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</row>
    <row r="515" ht="15.75" customHeight="1" s="9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</row>
    <row r="516" ht="15.75" customHeight="1" s="9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</row>
    <row r="517" ht="15.75" customHeight="1" s="9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</row>
    <row r="518" ht="15.75" customHeight="1" s="9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</row>
    <row r="519" ht="15.75" customHeight="1" s="9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</row>
    <row r="520" ht="15.75" customHeight="1" s="9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</row>
    <row r="521" ht="15.75" customHeight="1" s="9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</row>
    <row r="522" ht="15.75" customHeight="1" s="9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</row>
    <row r="523" ht="15.75" customHeight="1" s="9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</row>
    <row r="524" ht="15.75" customHeight="1" s="9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</row>
    <row r="525" ht="15.75" customHeight="1" s="9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</row>
    <row r="526" ht="15.75" customHeight="1" s="9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</row>
    <row r="527" ht="15.75" customHeight="1" s="9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</row>
    <row r="528" ht="15.75" customHeight="1" s="9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</row>
    <row r="529" ht="15.75" customHeight="1" s="9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</row>
    <row r="530" ht="15.75" customHeight="1" s="9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</row>
    <row r="531" ht="15.75" customHeight="1" s="9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</row>
    <row r="532" ht="15.75" customHeight="1" s="9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</row>
    <row r="533" ht="15.75" customHeight="1" s="9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</row>
    <row r="534" ht="15.75" customHeight="1" s="9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</row>
    <row r="535" ht="15.75" customHeight="1" s="9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</row>
    <row r="536" ht="15.75" customHeight="1" s="9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</row>
    <row r="537" ht="15.75" customHeight="1" s="9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</row>
    <row r="538" ht="15.75" customHeight="1" s="9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</row>
    <row r="539" ht="15.75" customHeight="1" s="9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</row>
    <row r="540" ht="15.75" customHeight="1" s="9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</row>
    <row r="541" ht="15.75" customHeight="1" s="9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</row>
    <row r="542" ht="15.75" customHeight="1" s="9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</row>
    <row r="543" ht="15.75" customHeight="1" s="9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</row>
    <row r="544" ht="15.75" customHeight="1" s="9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</row>
    <row r="545" ht="15.75" customHeight="1" s="9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</row>
    <row r="546" ht="15.75" customHeight="1" s="9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</row>
    <row r="547" ht="15.75" customHeight="1" s="9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</row>
    <row r="548" ht="15.75" customHeight="1" s="9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</row>
    <row r="549" ht="15.75" customHeight="1" s="9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</row>
    <row r="550" ht="15.75" customHeight="1" s="9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</row>
    <row r="551" ht="15.75" customHeight="1" s="9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</row>
    <row r="552" ht="15.75" customHeight="1" s="9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</row>
    <row r="553" ht="15.75" customHeight="1" s="9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</row>
    <row r="554" ht="15.75" customHeight="1" s="9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</row>
    <row r="555" ht="15.75" customHeight="1" s="9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</row>
    <row r="556" ht="15.75" customHeight="1" s="9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</row>
    <row r="557" ht="15.75" customHeight="1" s="9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</row>
    <row r="558" ht="15.75" customHeight="1" s="9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</row>
    <row r="559" ht="15.75" customHeight="1" s="9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</row>
    <row r="560" ht="15.75" customHeight="1" s="9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</row>
    <row r="561" ht="15.75" customHeight="1" s="9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</row>
    <row r="562" ht="15.75" customHeight="1" s="9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</row>
    <row r="563" ht="15.75" customHeight="1" s="9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</row>
    <row r="564" ht="15.75" customHeight="1" s="9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</row>
    <row r="565" ht="15.75" customHeight="1" s="9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</row>
    <row r="566" ht="15.75" customHeight="1" s="9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</row>
    <row r="567" ht="15.75" customHeight="1" s="9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</row>
    <row r="568" ht="15.75" customHeight="1" s="9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</row>
    <row r="569" ht="15.75" customHeight="1" s="9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</row>
    <row r="570" ht="15.75" customHeight="1" s="9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</row>
    <row r="571" ht="15.75" customHeight="1" s="9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</row>
    <row r="572" ht="15.75" customHeight="1" s="9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</row>
    <row r="573" ht="15.75" customHeight="1" s="9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</row>
    <row r="574" ht="15.75" customHeight="1" s="9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</row>
    <row r="575" ht="15.75" customHeight="1" s="9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</row>
    <row r="576" ht="15.75" customHeight="1" s="9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</row>
    <row r="577" ht="15.75" customHeight="1" s="9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</row>
    <row r="578" ht="15.75" customHeight="1" s="9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</row>
    <row r="579" ht="15.75" customHeight="1" s="9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</row>
    <row r="580" ht="15.75" customHeight="1" s="9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</row>
    <row r="581" ht="15.75" customHeight="1" s="9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</row>
    <row r="582" ht="15.75" customHeight="1" s="9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</row>
    <row r="583" ht="15.75" customHeight="1" s="9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</row>
    <row r="584" ht="15.75" customHeight="1" s="9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</row>
    <row r="585" ht="15.75" customHeight="1" s="9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</row>
    <row r="586" ht="15.75" customHeight="1" s="9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</row>
    <row r="587" ht="15.75" customHeight="1" s="9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</row>
    <row r="588" ht="15.75" customHeight="1" s="9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</row>
    <row r="589" ht="15.75" customHeight="1" s="9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</row>
    <row r="590" ht="15.75" customHeight="1" s="9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</row>
    <row r="591" ht="15.75" customHeight="1" s="9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</row>
    <row r="592" ht="15.75" customHeight="1" s="9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</row>
    <row r="593" ht="15.75" customHeight="1" s="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</row>
    <row r="594" ht="15.75" customHeight="1" s="9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</row>
    <row r="595" ht="15.75" customHeight="1" s="9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</row>
    <row r="596" ht="15.75" customHeight="1" s="9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</row>
    <row r="597" ht="15.75" customHeight="1" s="9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</row>
    <row r="598" ht="15.75" customHeight="1" s="9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</row>
    <row r="599" ht="15.75" customHeight="1" s="9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</row>
    <row r="600" ht="15.75" customHeight="1" s="9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</row>
    <row r="601" ht="15.75" customHeight="1" s="9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</row>
    <row r="602" ht="15.75" customHeight="1" s="9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</row>
    <row r="603" ht="15.75" customHeight="1" s="9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</row>
    <row r="604" ht="15.75" customHeight="1" s="9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</row>
    <row r="605" ht="15.75" customHeight="1" s="9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</row>
    <row r="606" ht="15.75" customHeight="1" s="9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</row>
    <row r="607" ht="15.75" customHeight="1" s="9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</row>
    <row r="608" ht="15.75" customHeight="1" s="9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</row>
    <row r="609" ht="15.75" customHeight="1" s="9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</row>
    <row r="610" ht="15.75" customHeight="1" s="9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</row>
    <row r="611" ht="15.75" customHeight="1" s="9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</row>
    <row r="612" ht="15.75" customHeight="1" s="9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</row>
    <row r="613" ht="15.75" customHeight="1" s="9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</row>
    <row r="614" ht="15.75" customHeight="1" s="9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</row>
    <row r="615" ht="15.75" customHeight="1" s="9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</row>
    <row r="616" ht="15.75" customHeight="1" s="9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</row>
    <row r="617" ht="15.75" customHeight="1" s="9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</row>
    <row r="618" ht="15.75" customHeight="1" s="9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</row>
    <row r="619" ht="15.75" customHeight="1" s="9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</row>
    <row r="620" ht="15.75" customHeight="1" s="9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</row>
    <row r="621" ht="15.75" customHeight="1" s="9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</row>
    <row r="622" ht="15.75" customHeight="1" s="9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</row>
    <row r="623" ht="15.75" customHeight="1" s="9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</row>
    <row r="624" ht="15.75" customHeight="1" s="9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</row>
    <row r="625" ht="15.75" customHeight="1" s="9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</row>
    <row r="626" ht="15.75" customHeight="1" s="9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</row>
    <row r="627" ht="15.75" customHeight="1" s="9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</row>
    <row r="628" ht="15.75" customHeight="1" s="9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</row>
    <row r="629" ht="15.75" customHeight="1" s="9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</row>
    <row r="630" ht="15.75" customHeight="1" s="9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</row>
    <row r="631" ht="15.75" customHeight="1" s="9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</row>
    <row r="632" ht="15.75" customHeight="1" s="9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</row>
    <row r="633" ht="15.75" customHeight="1" s="9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</row>
    <row r="634" ht="15.75" customHeight="1" s="9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</row>
    <row r="635" ht="15.75" customHeight="1" s="9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</row>
    <row r="636" ht="15.75" customHeight="1" s="9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</row>
    <row r="637" ht="15.75" customHeight="1" s="9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</row>
    <row r="638" ht="15.75" customHeight="1" s="9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</row>
    <row r="639" ht="15.75" customHeight="1" s="9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</row>
    <row r="640" ht="15.75" customHeight="1" s="9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</row>
    <row r="641" ht="15.75" customHeight="1" s="9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</row>
    <row r="642" ht="15.75" customHeight="1" s="9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</row>
    <row r="643" ht="15.75" customHeight="1" s="9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</row>
    <row r="644" ht="15.75" customHeight="1" s="9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</row>
    <row r="645" ht="15.75" customHeight="1" s="9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</row>
    <row r="646" ht="15.75" customHeight="1" s="9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</row>
    <row r="647" ht="15.75" customHeight="1" s="9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</row>
    <row r="648" ht="15.75" customHeight="1" s="9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</row>
    <row r="649" ht="15.75" customHeight="1" s="9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</row>
    <row r="650" ht="15.75" customHeight="1" s="9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</row>
    <row r="651" ht="15.75" customHeight="1" s="9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</row>
    <row r="652" ht="15.75" customHeight="1" s="9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</row>
    <row r="653" ht="15.75" customHeight="1" s="9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</row>
    <row r="654" ht="15.75" customHeight="1" s="9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</row>
    <row r="655" ht="15.75" customHeight="1" s="9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</row>
    <row r="656" ht="15.75" customHeight="1" s="9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</row>
    <row r="657" ht="15.75" customHeight="1" s="9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</row>
    <row r="658" ht="15.75" customHeight="1" s="9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</row>
    <row r="659" ht="15.75" customHeight="1" s="9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</row>
    <row r="660" ht="15.75" customHeight="1" s="9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</row>
    <row r="661" ht="15.75" customHeight="1" s="9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</row>
    <row r="662" ht="15.75" customHeight="1" s="9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</row>
    <row r="663" ht="15.75" customHeight="1" s="9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</row>
    <row r="664" ht="15.75" customHeight="1" s="9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</row>
    <row r="665" ht="15.75" customHeight="1" s="9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</row>
    <row r="666" ht="15.75" customHeight="1" s="9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</row>
    <row r="667" ht="15.75" customHeight="1" s="9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</row>
    <row r="668" ht="15.75" customHeight="1" s="9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</row>
    <row r="669" ht="15.75" customHeight="1" s="9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</row>
    <row r="670" ht="15.75" customHeight="1" s="9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</row>
    <row r="671" ht="15.75" customHeight="1" s="9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</row>
    <row r="672" ht="15.75" customHeight="1" s="9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</row>
    <row r="673" ht="15.75" customHeight="1" s="9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</row>
    <row r="674" ht="15.75" customHeight="1" s="9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</row>
    <row r="675" ht="15.75" customHeight="1" s="9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</row>
    <row r="676" ht="15.75" customHeight="1" s="9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</row>
    <row r="677" ht="15.75" customHeight="1" s="9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</row>
    <row r="678" ht="15.75" customHeight="1" s="9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</row>
    <row r="679" ht="15.75" customHeight="1" s="9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</row>
    <row r="680" ht="15.75" customHeight="1" s="9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</row>
    <row r="681" ht="15.75" customHeight="1" s="9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</row>
    <row r="682" ht="15.75" customHeight="1" s="9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</row>
    <row r="683" ht="15.75" customHeight="1" s="9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</row>
    <row r="684" ht="15.75" customHeight="1" s="9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</row>
    <row r="685" ht="15.75" customHeight="1" s="9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</row>
    <row r="686" ht="15.75" customHeight="1" s="9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</row>
    <row r="687" ht="15.75" customHeight="1" s="9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</row>
    <row r="688" ht="15.75" customHeight="1" s="9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</row>
    <row r="689" ht="15.75" customHeight="1" s="9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</row>
    <row r="690" ht="15.75" customHeight="1" s="9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</row>
    <row r="691" ht="15.75" customHeight="1" s="9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</row>
    <row r="692" ht="15.75" customHeight="1" s="9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</row>
    <row r="693" ht="15.75" customHeight="1" s="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</row>
    <row r="694" ht="15.75" customHeight="1" s="9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</row>
    <row r="695" ht="15.75" customHeight="1" s="9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</row>
    <row r="696" ht="15.75" customHeight="1" s="9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</row>
    <row r="697" ht="15.75" customHeight="1" s="9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</row>
    <row r="698" ht="15.75" customHeight="1" s="9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</row>
    <row r="699" ht="15.75" customHeight="1" s="9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</row>
    <row r="700" ht="15.75" customHeight="1" s="9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</row>
    <row r="701" ht="15.75" customHeight="1" s="9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</row>
    <row r="702" ht="15.75" customHeight="1" s="9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</row>
    <row r="703" ht="15.75" customHeight="1" s="9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</row>
    <row r="704" ht="15.75" customHeight="1" s="9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</row>
    <row r="705" ht="15.75" customHeight="1" s="9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</row>
    <row r="706" ht="15.75" customHeight="1" s="9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</row>
    <row r="707" ht="15.75" customHeight="1" s="9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</row>
    <row r="708" ht="15.75" customHeight="1" s="9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</row>
    <row r="709" ht="15.75" customHeight="1" s="9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</row>
    <row r="710" ht="15.75" customHeight="1" s="9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</row>
    <row r="711" ht="15.75" customHeight="1" s="9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</row>
    <row r="712" ht="15.75" customHeight="1" s="9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</row>
    <row r="713" ht="15.75" customHeight="1" s="9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</row>
    <row r="714" ht="15.75" customHeight="1" s="9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</row>
    <row r="715" ht="15.75" customHeight="1" s="9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</row>
    <row r="716" ht="15.75" customHeight="1" s="9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</row>
    <row r="717" ht="15.75" customHeight="1" s="9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</row>
    <row r="718" ht="15.75" customHeight="1" s="9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</row>
    <row r="719" ht="15.75" customHeight="1" s="9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</row>
    <row r="720" ht="15.75" customHeight="1" s="9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</row>
    <row r="721" ht="15.75" customHeight="1" s="9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</row>
    <row r="722" ht="15.75" customHeight="1" s="9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</row>
    <row r="723" ht="15.75" customHeight="1" s="9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</row>
    <row r="724" ht="15.75" customHeight="1" s="9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</row>
    <row r="725" ht="15.75" customHeight="1" s="9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</row>
    <row r="726" ht="15.75" customHeight="1" s="9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</row>
    <row r="727" ht="15.75" customHeight="1" s="9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</row>
    <row r="728" ht="15.75" customHeight="1" s="9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</row>
    <row r="729" ht="15.75" customHeight="1" s="9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</row>
    <row r="730" ht="15.75" customHeight="1" s="9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</row>
    <row r="731" ht="15.75" customHeight="1" s="9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</row>
    <row r="732" ht="15.75" customHeight="1" s="9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</row>
    <row r="733" ht="15.75" customHeight="1" s="9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</row>
    <row r="734" ht="15.75" customHeight="1" s="9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</row>
    <row r="735" ht="15.75" customHeight="1" s="9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</row>
    <row r="736" ht="15.75" customHeight="1" s="9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</row>
    <row r="737" ht="15.75" customHeight="1" s="9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</row>
    <row r="738" ht="15.75" customHeight="1" s="9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</row>
    <row r="739" ht="15.75" customHeight="1" s="9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</row>
    <row r="740" ht="15.75" customHeight="1" s="9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</row>
    <row r="741" ht="15.75" customHeight="1" s="9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</row>
    <row r="742" ht="15.75" customHeight="1" s="9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</row>
    <row r="743" ht="15.75" customHeight="1" s="9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</row>
    <row r="744" ht="15.75" customHeight="1" s="9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</row>
    <row r="745" ht="15.75" customHeight="1" s="9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</row>
    <row r="746" ht="15.75" customHeight="1" s="9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</row>
    <row r="747" ht="15.75" customHeight="1" s="9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</row>
    <row r="748" ht="15.75" customHeight="1" s="9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</row>
    <row r="749" ht="15.75" customHeight="1" s="9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</row>
    <row r="750" ht="15.75" customHeight="1" s="9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</row>
    <row r="751" ht="15.75" customHeight="1" s="9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</row>
    <row r="752" ht="15.75" customHeight="1" s="9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</row>
    <row r="753" ht="15.75" customHeight="1" s="9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</row>
    <row r="754" ht="15.75" customHeight="1" s="9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</row>
    <row r="755" ht="15.75" customHeight="1" s="9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</row>
    <row r="756" ht="15.75" customHeight="1" s="9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</row>
    <row r="757" ht="15.75" customHeight="1" s="9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</row>
    <row r="758" ht="15.75" customHeight="1" s="9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</row>
    <row r="759" ht="15.75" customHeight="1" s="9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</row>
    <row r="760" ht="15.75" customHeight="1" s="9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</row>
    <row r="761" ht="15.75" customHeight="1" s="9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</row>
    <row r="762" ht="15.75" customHeight="1" s="9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</row>
    <row r="763" ht="15.75" customHeight="1" s="9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</row>
    <row r="764" ht="15.75" customHeight="1" s="9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</row>
    <row r="765" ht="15.75" customHeight="1" s="9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</row>
    <row r="766" ht="15.75" customHeight="1" s="9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</row>
    <row r="767" ht="15.75" customHeight="1" s="9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</row>
    <row r="768" ht="15.75" customHeight="1" s="9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</row>
    <row r="769" ht="15.75" customHeight="1" s="9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</row>
    <row r="770" ht="15.75" customHeight="1" s="9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</row>
    <row r="771" ht="15.75" customHeight="1" s="9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</row>
    <row r="772" ht="15.75" customHeight="1" s="9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</row>
    <row r="773" ht="15.75" customHeight="1" s="9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</row>
    <row r="774" ht="15.75" customHeight="1" s="9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</row>
    <row r="775" ht="15.75" customHeight="1" s="9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</row>
    <row r="776" ht="15.75" customHeight="1" s="9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</row>
    <row r="777" ht="15.75" customHeight="1" s="9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</row>
    <row r="778" ht="15.75" customHeight="1" s="9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</row>
    <row r="779" ht="15.75" customHeight="1" s="9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</row>
    <row r="780" ht="15.75" customHeight="1" s="9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</row>
    <row r="781" ht="15.75" customHeight="1" s="9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</row>
    <row r="782" ht="15.75" customHeight="1" s="9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</row>
    <row r="783" ht="15.75" customHeight="1" s="9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</row>
    <row r="784" ht="15.75" customHeight="1" s="9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</row>
    <row r="785" ht="15.75" customHeight="1" s="9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</row>
    <row r="786" ht="15.75" customHeight="1" s="9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</row>
    <row r="787" ht="15.75" customHeight="1" s="9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</row>
    <row r="788" ht="15.75" customHeight="1" s="9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</row>
    <row r="789" ht="15.75" customHeight="1" s="9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</row>
    <row r="790" ht="15.75" customHeight="1" s="9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</row>
    <row r="791" ht="15.75" customHeight="1" s="9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</row>
    <row r="792" ht="15.75" customHeight="1" s="9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</row>
    <row r="793" ht="15.75" customHeight="1" s="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</row>
    <row r="794" ht="15.75" customHeight="1" s="9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</row>
    <row r="795" ht="15.75" customHeight="1" s="9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</row>
    <row r="796" ht="15.75" customHeight="1" s="9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</row>
    <row r="797" ht="15.75" customHeight="1" s="9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</row>
    <row r="798" ht="15.75" customHeight="1" s="9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</row>
    <row r="799" ht="15.75" customHeight="1" s="9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</row>
    <row r="800" ht="15.75" customHeight="1" s="9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</row>
    <row r="801" ht="15.75" customHeight="1" s="9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</row>
    <row r="802" ht="15.75" customHeight="1" s="9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</row>
    <row r="803" ht="15.75" customHeight="1" s="9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</row>
    <row r="804" ht="15.75" customHeight="1" s="9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</row>
    <row r="805" ht="15.75" customHeight="1" s="9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</row>
    <row r="806" ht="15.75" customHeight="1" s="9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</row>
    <row r="807" ht="15.75" customHeight="1" s="9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</row>
    <row r="808" ht="15.75" customHeight="1" s="9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</row>
    <row r="809" ht="15.75" customHeight="1" s="9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</row>
    <row r="810" ht="15.75" customHeight="1" s="9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</row>
    <row r="811" ht="15.75" customHeight="1" s="9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</row>
    <row r="812" ht="15.75" customHeight="1" s="9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</row>
    <row r="813" ht="15.75" customHeight="1" s="9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</row>
    <row r="814" ht="15.75" customHeight="1" s="9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</row>
    <row r="815" ht="15.75" customHeight="1" s="9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</row>
    <row r="816" ht="15.75" customHeight="1" s="9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</row>
    <row r="817" ht="15.75" customHeight="1" s="9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</row>
    <row r="818" ht="15.75" customHeight="1" s="9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</row>
    <row r="819" ht="15.75" customHeight="1" s="9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</row>
    <row r="820" ht="15.75" customHeight="1" s="9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</row>
    <row r="821" ht="15.75" customHeight="1" s="9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</row>
    <row r="822" ht="15.75" customHeight="1" s="9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</row>
    <row r="823" ht="15.75" customHeight="1" s="9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</row>
    <row r="824" ht="15.75" customHeight="1" s="9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</row>
    <row r="825" ht="15.75" customHeight="1" s="9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</row>
    <row r="826" ht="15.75" customHeight="1" s="9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</row>
    <row r="827" ht="15.75" customHeight="1" s="9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</row>
    <row r="828" ht="15.75" customHeight="1" s="9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</row>
    <row r="829" ht="15.75" customHeight="1" s="9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</row>
    <row r="830" ht="15.75" customHeight="1" s="9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</row>
    <row r="831" ht="15.75" customHeight="1" s="9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</row>
    <row r="832" ht="15.75" customHeight="1" s="9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</row>
    <row r="833" ht="15.75" customHeight="1" s="9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</row>
    <row r="834" ht="15.75" customHeight="1" s="9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</row>
    <row r="835" ht="15.75" customHeight="1" s="9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</row>
    <row r="836" ht="15.75" customHeight="1" s="9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</row>
    <row r="837" ht="15.75" customHeight="1" s="9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</row>
    <row r="838" ht="15.75" customHeight="1" s="9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</row>
    <row r="839" ht="15.75" customHeight="1" s="9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</row>
    <row r="840" ht="15.75" customHeight="1" s="9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</row>
    <row r="841" ht="15.75" customHeight="1" s="9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</row>
    <row r="842" ht="15.75" customHeight="1" s="9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</row>
    <row r="843" ht="15.75" customHeight="1" s="9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</row>
    <row r="844" ht="15.75" customHeight="1" s="9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</row>
    <row r="845" ht="15.75" customHeight="1" s="9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</row>
    <row r="846" ht="15.75" customHeight="1" s="9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</row>
    <row r="847" ht="15.75" customHeight="1" s="9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</row>
    <row r="848" ht="15.75" customHeight="1" s="9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</row>
    <row r="849" ht="15.75" customHeight="1" s="9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</row>
    <row r="850" ht="15.75" customHeight="1" s="9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</row>
    <row r="851" ht="15.75" customHeight="1" s="9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</row>
    <row r="852" ht="15.75" customHeight="1" s="9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</row>
    <row r="853" ht="15.75" customHeight="1" s="9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</row>
    <row r="854" ht="15.75" customHeight="1" s="9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</row>
    <row r="855" ht="15.75" customHeight="1" s="9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</row>
    <row r="856" ht="15.75" customHeight="1" s="9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</row>
    <row r="857" ht="15.75" customHeight="1" s="9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</row>
    <row r="858" ht="15.75" customHeight="1" s="9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</row>
    <row r="859" ht="15.75" customHeight="1" s="9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</row>
    <row r="860" ht="15.75" customHeight="1" s="9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</row>
    <row r="861" ht="15.75" customHeight="1" s="9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</row>
    <row r="862" ht="15.75" customHeight="1" s="9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</row>
    <row r="863" ht="15.75" customHeight="1" s="9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</row>
    <row r="864" ht="15.75" customHeight="1" s="9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</row>
    <row r="865" ht="15.75" customHeight="1" s="9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</row>
    <row r="866" ht="15.75" customHeight="1" s="9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</row>
    <row r="867" ht="15.75" customHeight="1" s="9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</row>
    <row r="868" ht="15.75" customHeight="1" s="9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</row>
    <row r="869" ht="15.75" customHeight="1" s="9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</row>
    <row r="870" ht="15.75" customHeight="1" s="9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</row>
    <row r="871" ht="15.75" customHeight="1" s="9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</row>
    <row r="872" ht="15.75" customHeight="1" s="9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</row>
    <row r="873" ht="15.75" customHeight="1" s="9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</row>
    <row r="874" ht="15.75" customHeight="1" s="9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</row>
    <row r="875" ht="15.75" customHeight="1" s="9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</row>
    <row r="876" ht="15.75" customHeight="1" s="9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</row>
    <row r="877" ht="15.75" customHeight="1" s="9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</row>
    <row r="878" ht="15.75" customHeight="1" s="9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</row>
    <row r="879" ht="15.75" customHeight="1" s="9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</row>
    <row r="880" ht="15.75" customHeight="1" s="9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</row>
    <row r="881" ht="15.75" customHeight="1" s="9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</row>
    <row r="882" ht="15.75" customHeight="1" s="9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</row>
    <row r="883" ht="15.75" customHeight="1" s="9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</row>
    <row r="884" ht="15.75" customHeight="1" s="9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</row>
    <row r="885" ht="15.75" customHeight="1" s="9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</row>
    <row r="886" ht="15.75" customHeight="1" s="9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</row>
    <row r="887" ht="15.75" customHeight="1" s="9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</row>
    <row r="888" ht="15.75" customHeight="1" s="9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</row>
    <row r="889" ht="15.75" customHeight="1" s="9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</row>
    <row r="890" ht="15.75" customHeight="1" s="9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</row>
    <row r="891" ht="15.75" customHeight="1" s="9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</row>
    <row r="892" ht="15.75" customHeight="1" s="9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</row>
    <row r="893" ht="15.75" customHeight="1" s="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</row>
    <row r="894" ht="15.75" customHeight="1" s="9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</row>
    <row r="895" ht="15.75" customHeight="1" s="9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</row>
    <row r="896" ht="15.75" customHeight="1" s="9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</row>
    <row r="897" ht="15.75" customHeight="1" s="9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</row>
    <row r="898" ht="15.75" customHeight="1" s="9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</row>
    <row r="899" ht="15.75" customHeight="1" s="9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</row>
    <row r="900" ht="15.75" customHeight="1" s="9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</row>
    <row r="901" ht="15.75" customHeight="1" s="9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</row>
    <row r="902" ht="15.75" customHeight="1" s="9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</row>
    <row r="903" ht="15.75" customHeight="1" s="9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</row>
    <row r="904" ht="15.75" customHeight="1" s="9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</row>
    <row r="905" ht="15.75" customHeight="1" s="9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</row>
    <row r="906" ht="15.75" customHeight="1" s="9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</row>
    <row r="907" ht="15.75" customHeight="1" s="9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</row>
    <row r="908" ht="15.75" customHeight="1" s="9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</row>
    <row r="909" ht="15.75" customHeight="1" s="9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</row>
    <row r="910" ht="15.75" customHeight="1" s="9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</row>
    <row r="911" ht="15.75" customHeight="1" s="9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</row>
    <row r="912" ht="15.75" customHeight="1" s="9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</row>
    <row r="913" ht="15.75" customHeight="1" s="9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</row>
    <row r="914" ht="15.75" customHeight="1" s="9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</row>
    <row r="915" ht="15.75" customHeight="1" s="9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</row>
    <row r="916" ht="15.75" customHeight="1" s="9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</row>
    <row r="917" ht="15.75" customHeight="1" s="9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</row>
    <row r="918" ht="15.75" customHeight="1" s="9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</row>
    <row r="919" ht="15.75" customHeight="1" s="9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</row>
    <row r="920" ht="15.75" customHeight="1" s="9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</row>
    <row r="921" ht="15.75" customHeight="1" s="9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</row>
    <row r="922" ht="15.75" customHeight="1" s="9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</row>
    <row r="923" ht="15.75" customHeight="1" s="9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</row>
    <row r="924" ht="15.75" customHeight="1" s="9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</row>
    <row r="925" ht="15.75" customHeight="1" s="9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</row>
    <row r="926" ht="15.75" customHeight="1" s="9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</row>
    <row r="927" ht="15.75" customHeight="1" s="9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</row>
    <row r="928" ht="15.75" customHeight="1" s="9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</row>
    <row r="929" ht="15.75" customHeight="1" s="9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</row>
    <row r="930" ht="15.75" customHeight="1" s="9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</row>
    <row r="931" ht="15.75" customHeight="1" s="9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</row>
    <row r="932" ht="15.75" customHeight="1" s="9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</row>
    <row r="933" ht="15.75" customHeight="1" s="9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</row>
    <row r="934" ht="15.75" customHeight="1" s="9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</row>
    <row r="935" ht="15.75" customHeight="1" s="9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</row>
    <row r="936" ht="15.75" customHeight="1" s="9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</row>
    <row r="937" ht="15.75" customHeight="1" s="9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</row>
    <row r="938" ht="15.75" customHeight="1" s="9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</row>
    <row r="939" ht="15.75" customHeight="1" s="9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</row>
    <row r="940" ht="15.75" customHeight="1" s="9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</row>
    <row r="941" ht="15.75" customHeight="1" s="9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</row>
    <row r="942" ht="15.75" customHeight="1" s="9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</row>
    <row r="943" ht="15.75" customHeight="1" s="9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</row>
    <row r="944" ht="15.75" customHeight="1" s="9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</row>
    <row r="945" ht="15.75" customHeight="1" s="9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</row>
    <row r="946" ht="15.75" customHeight="1" s="9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</row>
    <row r="947" ht="15.75" customHeight="1" s="9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</row>
    <row r="948" ht="15.75" customHeight="1" s="9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</row>
    <row r="949" ht="15.75" customHeight="1" s="9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</row>
    <row r="950" ht="15.75" customHeight="1" s="9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</row>
    <row r="951" ht="15.75" customHeight="1" s="9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</row>
    <row r="952" ht="15.75" customHeight="1" s="9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</row>
    <row r="953" ht="15.75" customHeight="1" s="9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</row>
    <row r="954" ht="15.75" customHeight="1" s="9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</row>
    <row r="955" ht="15.75" customHeight="1" s="9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</row>
    <row r="956" ht="15.75" customHeight="1" s="9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</row>
    <row r="957" ht="15.75" customHeight="1" s="9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</row>
    <row r="958" ht="15.75" customHeight="1" s="9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</row>
    <row r="959" ht="15.75" customHeight="1" s="9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</row>
    <row r="960" ht="15.75" customHeight="1" s="9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</row>
    <row r="961" ht="15.75" customHeight="1" s="9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</row>
    <row r="962" ht="15.75" customHeight="1" s="9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</row>
    <row r="963" ht="15.75" customHeight="1" s="9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</row>
    <row r="964" ht="15.75" customHeight="1" s="9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</row>
    <row r="965" ht="15.75" customHeight="1" s="9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</row>
    <row r="966" ht="15.75" customHeight="1" s="9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</row>
    <row r="967" ht="15.75" customHeight="1" s="9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</row>
    <row r="968" ht="15.75" customHeight="1" s="9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</row>
    <row r="969" ht="15.75" customHeight="1" s="9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</row>
    <row r="970" ht="15.75" customHeight="1" s="9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</row>
    <row r="971" ht="15.75" customHeight="1" s="9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</row>
    <row r="972" ht="15.75" customHeight="1" s="9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</row>
    <row r="973" ht="15.75" customHeight="1" s="9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</row>
    <row r="974" ht="15.75" customHeight="1" s="9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</row>
    <row r="975" ht="15.75" customHeight="1" s="9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</row>
    <row r="976" ht="15.75" customHeight="1" s="9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</row>
    <row r="977" ht="15.75" customHeight="1" s="9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</row>
    <row r="978" ht="15.75" customHeight="1" s="9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</row>
    <row r="979" ht="15.75" customHeight="1" s="9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</row>
    <row r="980" ht="15.75" customHeight="1" s="9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</row>
    <row r="981" ht="15.75" customHeight="1" s="9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</row>
    <row r="982" ht="15.75" customHeight="1" s="9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</row>
    <row r="983" ht="15.75" customHeight="1" s="9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</row>
    <row r="984" ht="15.75" customHeight="1" s="9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</row>
    <row r="985" ht="15.75" customHeight="1" s="9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</row>
    <row r="986" ht="15.75" customHeight="1" s="9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</row>
    <row r="987" ht="15.75" customHeight="1" s="9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</row>
    <row r="988" ht="15.75" customHeight="1" s="9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</row>
    <row r="989" ht="15.75" customHeight="1" s="9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</row>
    <row r="990" ht="15.75" customHeight="1" s="9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</row>
    <row r="991" ht="15.75" customHeight="1" s="9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</row>
    <row r="992" ht="15.75" customHeight="1" s="9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</row>
    <row r="993" ht="15.75" customHeight="1" s="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</row>
    <row r="994" ht="15.75" customHeight="1" s="9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</row>
    <row r="995" ht="15.75" customHeight="1" s="9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</row>
    <row r="996" ht="15.75" customHeight="1" s="9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</row>
    <row r="997" ht="15.75" customHeight="1" s="9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</row>
    <row r="998" ht="15.75" customHeight="1" s="9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</row>
    <row r="999" ht="15.75" customHeight="1" s="9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</row>
    <row r="1000" ht="15.75" customHeight="1" s="9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</row>
  </sheetData>
  <autoFilter ref="$A$5:$AT$51"/>
  <mergeCells count="7">
    <mergeCell ref="A4:H4"/>
    <mergeCell ref="P4:X4"/>
    <mergeCell ref="AN4:AR4"/>
    <mergeCell ref="AF4:AM4"/>
    <mergeCell ref="Y4:AE4"/>
    <mergeCell ref="I4:L4"/>
    <mergeCell ref="A1:AR1"/>
  </mergeCells>
  <conditionalFormatting sqref="X6:X1000">
    <cfRule type="cellIs" priority="1" operator="equal" dxfId="0">
      <formula>"FALTA"</formula>
    </cfRule>
  </conditionalFormatting>
  <conditionalFormatting sqref="AM6:AM1000">
    <cfRule type="cellIs" priority="2" operator="equal" dxfId="1">
      <formula>"abaixo"</formula>
    </cfRule>
    <cfRule type="cellIs" priority="3" operator="equal" dxfId="2">
      <formula>"acima"</formula>
    </cfRule>
  </conditionalFormatting>
  <conditionalFormatting sqref="AN6:AN1000">
    <cfRule type="cellIs" priority="4" operator="equal" dxfId="2">
      <formula>"divergente"</formula>
    </cfRule>
  </conditionalFormatting>
  <conditionalFormatting sqref="A6:AT51">
    <cfRule type="expression" priority="5" dxfId="3">
      <formula>AND($A6&lt;&gt;"",ISEVEN(ROW()))</formula>
    </cfRule>
    <cfRule type="expression" priority="6" dxfId="4">
      <formula>AND($A6&lt;&gt;"",$Y6="")</formula>
    </cfRule>
    <cfRule type="expression" priority="7" dxfId="5">
      <formula>AND($A6&lt;&gt;"",$AN6="não")</formula>
    </cfRule>
  </conditionalFormatting>
  <dataValidations count="5">
    <dataValidation sqref="E6:E997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997" showDropDown="0" showInputMessage="0" showErrorMessage="0" allowBlank="1" type="list">
      <formula1>"active,draft,archived"</formula1>
    </dataValidation>
    <dataValidation sqref="X6:X997" showDropDown="0" showInputMessage="0" showErrorMessage="0" allowBlank="1" type="list">
      <formula1>"fornecedor,medido,pesquisado,FALTA"</formula1>
    </dataValidation>
    <dataValidation sqref="F6:F997" showDropDown="0" showInputMessage="0" showErrorMessage="0" allowBlank="1" type="list">
      <formula1>"SOHIPREN,AGRAL,GRECO,AGCO,ADG,LIVENZA"</formula1>
    </dataValidation>
    <dataValidation sqref="AN6:AN997" showDropDown="0" showInputMessage="0" showErrorMessage="0" allowBlank="1" type="list">
      <formula1>"sim,não,divergente"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20" customWidth="1" style="93" min="1" max="1"/>
    <col width="14" customWidth="1" style="93" min="2" max="2"/>
    <col width="22" customWidth="1" style="93" min="3" max="3"/>
    <col width="57.86" customWidth="1" style="93" min="4" max="4"/>
    <col width="22" customWidth="1" style="93" min="5" max="5"/>
    <col width="14" customWidth="1" style="93" min="6" max="6"/>
    <col width="28" customWidth="1" style="93" min="7" max="7"/>
    <col width="10" customWidth="1" style="93" min="8" max="8"/>
    <col width="18" customWidth="1" style="93" min="9" max="9"/>
    <col width="24" customWidth="1" style="93" min="10" max="10"/>
    <col width="105.57" customWidth="1" style="93" min="11" max="12"/>
    <col width="10" customWidth="1" style="93" min="13" max="14"/>
    <col width="14" customWidth="1" style="93" min="15" max="15"/>
    <col width="12" customWidth="1" style="93" min="16" max="16"/>
    <col width="11" customWidth="1" style="93" min="17" max="17"/>
    <col width="14" customWidth="1" style="93" min="18" max="18"/>
    <col width="16" customWidth="1" style="93" min="19" max="20"/>
    <col width="18" customWidth="1" style="93" min="21" max="21"/>
    <col width="14" customWidth="1" style="93" min="22" max="23"/>
    <col width="16" customWidth="1" style="93" min="24" max="24"/>
    <col width="14" customWidth="1" style="93" min="25" max="25"/>
    <col width="16" customWidth="1" style="93" min="26" max="26"/>
    <col width="12" customWidth="1" style="93" min="27" max="27"/>
    <col width="14" customWidth="1" style="93" min="28" max="28"/>
    <col width="18" customWidth="1" style="93" min="29" max="34"/>
    <col width="20" customWidth="1" style="93" min="35" max="35"/>
    <col width="14" customWidth="1" style="93" min="36" max="36"/>
    <col width="18" customWidth="1" style="93" min="37" max="37"/>
    <col width="16" customWidth="1" style="93" min="38" max="38"/>
    <col width="18" customWidth="1" style="93" min="39" max="39"/>
    <col width="28" customWidth="1" style="93" min="40" max="40"/>
  </cols>
  <sheetData>
    <row r="1" ht="30" customHeight="1" s="93">
      <c r="A1" s="5" t="inlineStr">
        <is>
          <t>APP — Agro Peças Padrão | Master 04_GRECO</t>
        </is>
      </c>
    </row>
    <row r="2">
      <c r="A2" s="8" t="inlineStr">
        <is>
          <t>Total de SKUs:</t>
        </is>
      </c>
      <c r="B2" s="12">
        <f>COUNTA(A6:A99996)</f>
        <v/>
      </c>
      <c r="C2" s="1" t="n"/>
      <c r="D2" s="8" t="inlineStr">
        <is>
          <t>Faltando embalagem:</t>
        </is>
      </c>
      <c r="E2" s="13">
        <f>COUNTIF(U6:U99996,"FALTA")</f>
        <v/>
      </c>
      <c r="F2" s="1" t="n"/>
      <c r="G2" s="8" t="inlineStr">
        <is>
          <t>Cadastrados Shopify:</t>
        </is>
      </c>
      <c r="H2" s="12">
        <f>COUNTIF(AK6:AK99996,"sim")</f>
        <v/>
      </c>
      <c r="I2" s="1" t="n"/>
      <c r="J2" s="8" t="inlineStr">
        <is>
          <t>Divergentes:</t>
        </is>
      </c>
      <c r="K2" s="17">
        <f>COUNTIF(AK6:AK99996,"divergente")</f>
        <v/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</row>
    <row r="4" ht="21.75" customHeight="1" s="93">
      <c r="A4" s="20" t="inlineStr">
        <is>
          <t>IDENTIFICAÇÃO</t>
        </is>
      </c>
      <c r="B4" s="102" t="n"/>
      <c r="C4" s="102" t="n"/>
      <c r="D4" s="102" t="n"/>
      <c r="E4" s="102" t="n"/>
      <c r="F4" s="102" t="n"/>
      <c r="G4" s="102" t="n"/>
      <c r="H4" s="102" t="n"/>
      <c r="I4" s="20" t="inlineStr">
        <is>
          <t>APLICAÇÃO TÉCNICA</t>
        </is>
      </c>
      <c r="J4" s="102" t="n"/>
      <c r="K4" s="102" t="n"/>
      <c r="L4" s="102" t="n"/>
      <c r="M4" s="24" t="n"/>
      <c r="N4" s="20" t="inlineStr">
        <is>
          <t>LOGÍSTICA E EMBALAGEM</t>
        </is>
      </c>
      <c r="O4" s="102" t="n"/>
      <c r="P4" s="102" t="n"/>
      <c r="Q4" s="102" t="n"/>
      <c r="R4" s="102" t="n"/>
      <c r="S4" s="102" t="n"/>
      <c r="T4" s="102" t="n"/>
      <c r="U4" s="102" t="n"/>
      <c r="V4" s="20" t="inlineStr">
        <is>
          <t>CUSTO E PRECIFICAÇÃO</t>
        </is>
      </c>
      <c r="W4" s="102" t="n"/>
      <c r="X4" s="102" t="n"/>
      <c r="Y4" s="102" t="n"/>
      <c r="Z4" s="102" t="n"/>
      <c r="AA4" s="102" t="n"/>
      <c r="AB4" s="102" t="n"/>
      <c r="AC4" s="20" t="inlineStr">
        <is>
          <t>PESQUISA DE MERCADO</t>
        </is>
      </c>
      <c r="AD4" s="102" t="n"/>
      <c r="AE4" s="102" t="n"/>
      <c r="AF4" s="102" t="n"/>
      <c r="AG4" s="102" t="n"/>
      <c r="AH4" s="102" t="n"/>
      <c r="AI4" s="102" t="n"/>
      <c r="AJ4" s="102" t="n"/>
      <c r="AK4" s="20" t="inlineStr">
        <is>
          <t>WORKFLOW</t>
        </is>
      </c>
      <c r="AL4" s="102" t="n"/>
      <c r="AM4" s="102" t="n"/>
      <c r="AN4" s="102" t="n"/>
    </row>
    <row r="5" ht="33.75" customHeight="1" s="93">
      <c r="A5" s="25" t="inlineStr">
        <is>
          <t>SKU / Código</t>
        </is>
      </c>
      <c r="B5" s="25" t="inlineStr">
        <is>
          <t>Part Number</t>
        </is>
      </c>
      <c r="C5" s="25" t="inlineStr">
        <is>
          <t>Handle (Shopify)</t>
        </is>
      </c>
      <c r="D5" s="25" t="inlineStr">
        <is>
          <t>Title (PT-BR)</t>
        </is>
      </c>
      <c r="E5" s="25" t="inlineStr">
        <is>
          <t>Product Type</t>
        </is>
      </c>
      <c r="F5" s="25" t="inlineStr">
        <is>
          <t>Vendor (Fabricante)</t>
        </is>
      </c>
      <c r="G5" s="25" t="inlineStr">
        <is>
          <t>Tags (vírgula)</t>
        </is>
      </c>
      <c r="H5" s="25" t="inlineStr">
        <is>
          <t>Status</t>
        </is>
      </c>
      <c r="I5" s="25" t="inlineStr">
        <is>
          <t>Montadora compatível</t>
        </is>
      </c>
      <c r="J5" s="25" t="inlineStr">
        <is>
          <t>Equipamento / Modelo</t>
        </is>
      </c>
      <c r="K5" s="25" t="inlineStr">
        <is>
          <t>Função / Aplicação</t>
        </is>
      </c>
      <c r="L5" s="25" t="inlineStr">
        <is>
          <t>Códigos cruzados</t>
        </is>
      </c>
      <c r="M5" s="25" t="inlineStr">
        <is>
          <t>Lead Time</t>
        </is>
      </c>
      <c r="N5" s="25" t="inlineStr">
        <is>
          <t>Peso (kg)</t>
        </is>
      </c>
      <c r="O5" s="25" t="inlineStr">
        <is>
          <t>Comprimento (cm)</t>
        </is>
      </c>
      <c r="P5" s="25" t="inlineStr">
        <is>
          <t>Largura (cm)</t>
        </is>
      </c>
      <c r="Q5" s="25" t="inlineStr">
        <is>
          <t>Altura (cm)</t>
        </is>
      </c>
      <c r="R5" s="25" t="inlineStr">
        <is>
          <t>Peso cubado (kg)</t>
        </is>
      </c>
      <c r="S5" s="25" t="inlineStr">
        <is>
          <t>Peso considerado (kg)</t>
        </is>
      </c>
      <c r="T5" s="25" t="inlineStr">
        <is>
          <t>Frete fábrica → eCom ()</t>
        </is>
      </c>
      <c r="U5" s="25" t="inlineStr">
        <is>
          <t>Origem do dado embalagem</t>
        </is>
      </c>
      <c r="V5" s="25" t="inlineStr">
        <is>
          <t>Custo unitário ()</t>
        </is>
      </c>
      <c r="W5" s="25" t="inlineStr">
        <is>
          <t>% Margem de lucro</t>
        </is>
      </c>
      <c r="X5" s="25" t="inlineStr">
        <is>
          <t>Custo + frete inbound ()</t>
        </is>
      </c>
      <c r="Y5" s="25" t="inlineStr">
        <is>
          <t>Preço c/ margem ()</t>
        </is>
      </c>
      <c r="Z5" s="25" t="inlineStr">
        <is>
          <t>Taxa Mercado Pago (%)</t>
        </is>
      </c>
      <c r="AA5" s="25" t="inlineStr">
        <is>
          <t>Taxa MP ()</t>
        </is>
      </c>
      <c r="AB5" s="25" t="inlineStr">
        <is>
          <t>Preço final site ()</t>
        </is>
      </c>
      <c r="AC5" s="25" t="inlineStr">
        <is>
          <t>Concorrente 1 — Nome</t>
        </is>
      </c>
      <c r="AD5" s="25" t="inlineStr">
        <is>
          <t>Concorrente 1 — Preço ()</t>
        </is>
      </c>
      <c r="AE5" s="25" t="inlineStr">
        <is>
          <t>Concorrente 2 — Nome</t>
        </is>
      </c>
      <c r="AF5" s="25" t="inlineStr">
        <is>
          <t>Concorrente 2 — Preço ()</t>
        </is>
      </c>
      <c r="AG5" s="25" t="inlineStr">
        <is>
          <t>Concorrente 3 — Nome</t>
        </is>
      </c>
      <c r="AH5" s="25" t="inlineStr">
        <is>
          <t>Concorrente 3 — Preço ()</t>
        </is>
      </c>
      <c r="AI5" s="25" t="inlineStr">
        <is>
          <t>Preço médio concorrência ()</t>
        </is>
      </c>
      <c r="AJ5" s="25" t="inlineStr">
        <is>
          <t>Posicionamento</t>
        </is>
      </c>
      <c r="AK5" s="25" t="inlineStr">
        <is>
          <t>Cadastrado Shopify?</t>
        </is>
      </c>
      <c r="AL5" s="25" t="inlineStr">
        <is>
          <t>Última atualização</t>
        </is>
      </c>
      <c r="AM5" s="25" t="inlineStr">
        <is>
          <t>Operador responsável</t>
        </is>
      </c>
      <c r="AN5" s="25" t="inlineStr">
        <is>
          <t>Observações</t>
        </is>
      </c>
      <c r="AO5" s="25" t="inlineStr">
        <is>
          <t>SKU Shopify (derivado)</t>
        </is>
      </c>
      <c r="AP5" s="25" t="inlineStr">
        <is>
          <t>Título Shopify (derivado)</t>
        </is>
      </c>
      <c r="AQ5" s="28" t="inlineStr">
        <is>
          <t>Imagens site (assets)</t>
        </is>
      </c>
    </row>
    <row r="6">
      <c r="A6" s="61" t="inlineStr">
        <is>
          <t>GR141207</t>
        </is>
      </c>
      <c r="B6" s="61" t="inlineStr">
        <is>
          <t>GR141207</t>
        </is>
      </c>
      <c r="C6" s="62">
        <f>IFERROR(LOWER(SUBSTITUTE(SUBSTITUTE(SUBSTITUTE(SUBSTITUTE(D6," ","-"),"/","-"),".",""),",","")),"")</f>
        <v/>
      </c>
      <c r="D6" s="61" t="inlineStr">
        <is>
          <t>GPS Agrícola GR200 - Greco Agro Tech | Navegação de Precisão</t>
        </is>
      </c>
      <c r="E6" s="61" t="inlineStr">
        <is>
          <t>Sensores Agrícolas</t>
        </is>
      </c>
      <c r="F6" s="61" t="inlineStr">
        <is>
          <t>GRECO</t>
        </is>
      </c>
      <c r="G6" s="61" t="n"/>
      <c r="H6" s="61" t="inlineStr">
        <is>
          <t>active</t>
        </is>
      </c>
      <c r="I6" s="61" t="inlineStr">
        <is>
          <t>TODAS AS MARCAS</t>
        </is>
      </c>
      <c r="J6" s="61" t="inlineStr">
        <is>
          <t>PULVERZADOR</t>
        </is>
      </c>
      <c r="K6" s="61" t="inlineStr">
        <is>
          <t>SISTEMA POSSUI MODO RETO, CURVO E LIVRE DE TRABALHO, SALVA AS AREAS, PINTA TELA E BARRA DE LUZ PARA GUIA NA OPERAÇÃO.</t>
        </is>
      </c>
      <c r="L6" s="61" t="n"/>
      <c r="M6" s="63" t="n">
        <v>7</v>
      </c>
      <c r="N6" s="63" t="n">
        <v>2.21</v>
      </c>
      <c r="O6" s="63" t="n">
        <v>58</v>
      </c>
      <c r="P6" s="63" t="n">
        <v>40</v>
      </c>
      <c r="Q6" s="63" t="n">
        <v>26.5</v>
      </c>
      <c r="R6" s="64">
        <f>IFERROR(IF(AND(O6&gt;0,P6&gt;0,Q6&gt;0),(O6*P6*Q6)/6000,""),"")</f>
        <v/>
      </c>
      <c r="S6" s="64">
        <f>IFERROR(IF(AND(N6&gt;0,R6&gt;0),MAX(N6,R6),IF(N6&gt;0,N6,IF(R6&gt;0,R6,""))),"")</f>
        <v/>
      </c>
      <c r="T6" s="65" t="n">
        <v>77</v>
      </c>
      <c r="U6" s="66" t="inlineStr">
        <is>
          <t>fornecedor</t>
        </is>
      </c>
      <c r="V6" s="65" t="n">
        <v>4100</v>
      </c>
      <c r="W6" s="39" t="n">
        <v>0.2</v>
      </c>
      <c r="X6" s="67">
        <f>IFERROR(V6+T6,"")</f>
        <v/>
      </c>
      <c r="Y6" s="67">
        <f>IFERROR(IF(W6&lt;1,X6/(1-W6),""),"")</f>
        <v/>
      </c>
      <c r="Z6" s="68">
        <f>'01_CONFIG_GLOBAL'!$C$14</f>
        <v/>
      </c>
      <c r="AA6" s="67">
        <f>IFERROR(Y6*Z6,"")</f>
        <v/>
      </c>
      <c r="AB6" s="67">
        <f>IFERROR(IF(Z6&lt;1,Y6/(1-Z6),""),"")</f>
        <v/>
      </c>
      <c r="AC6" s="61" t="n"/>
      <c r="AD6" s="65" t="n"/>
      <c r="AE6" s="61" t="n"/>
      <c r="AF6" s="65" t="n"/>
      <c r="AG6" s="61" t="n"/>
      <c r="AH6" s="65" t="n"/>
      <c r="AI6" s="67">
        <f>IFERROR(AVERAGE(AD6,AF6,AH6),"")</f>
        <v/>
      </c>
      <c r="AJ6" s="62">
        <f>IFERROR(IF(AI6="","sem dados",IF(AB6&lt;AI6*0.95,"abaixo",IF(AB6&gt;AI6*1.05,"acima","em linha"))),"")</f>
        <v/>
      </c>
      <c r="AK6" s="61" t="inlineStr">
        <is>
          <t>sim</t>
        </is>
      </c>
      <c r="AL6" s="61" t="n"/>
      <c r="AM6" s="61" t="n"/>
      <c r="AN6" s="61" t="inlineStr">
        <is>
          <t>Fotos: assets/greco_GR141207_ecommerce.png</t>
        </is>
      </c>
      <c r="AO6" s="44">
        <f>A6</f>
        <v/>
      </c>
      <c r="AP6" s="44">
        <f>D6</f>
        <v/>
      </c>
      <c r="AQ6" s="28" t="inlineStr">
        <is>
          <t>greco_GR141207_ecommerce.png</t>
        </is>
      </c>
    </row>
    <row r="7">
      <c r="A7" s="61" t="inlineStr">
        <is>
          <t>GR141165</t>
        </is>
      </c>
      <c r="B7" s="61" t="inlineStr">
        <is>
          <t>GR141165</t>
        </is>
      </c>
      <c r="C7" s="62">
        <f>IFERROR(LOWER(SUBSTITUTE(SUBSTITUTE(SUBSTITUTE(SUBSTITUTE(D7," ","-"),"/","-"),".",""),",","")),"")</f>
        <v/>
      </c>
      <c r="D7" s="61" t="inlineStr">
        <is>
          <t>Kit de Iluminação Noturna Pulverização - Greco Agro Tech</t>
        </is>
      </c>
      <c r="E7" s="61" t="inlineStr">
        <is>
          <t>Sensores Agrícolas</t>
        </is>
      </c>
      <c r="F7" s="61" t="inlineStr">
        <is>
          <t>GRECO</t>
        </is>
      </c>
      <c r="G7" s="61" t="n"/>
      <c r="H7" s="61" t="inlineStr">
        <is>
          <t>active</t>
        </is>
      </c>
      <c r="I7" s="61" t="inlineStr">
        <is>
          <t>TODAS AS MARCAS</t>
        </is>
      </c>
      <c r="J7" s="61" t="inlineStr">
        <is>
          <t>PULVERZADOR</t>
        </is>
      </c>
      <c r="K7" s="61" t="inlineStr">
        <is>
          <t>LUZ AZUL PARA PULVERIZAÇÃO.</t>
        </is>
      </c>
      <c r="L7" s="61" t="n"/>
      <c r="M7" s="63" t="n">
        <v>7</v>
      </c>
      <c r="N7" s="63" t="n">
        <v>0.5</v>
      </c>
      <c r="O7" s="63" t="n">
        <v>58</v>
      </c>
      <c r="P7" s="63" t="n">
        <v>40</v>
      </c>
      <c r="Q7" s="63" t="n">
        <v>26.5</v>
      </c>
      <c r="R7" s="64">
        <f>IFERROR(IF(AND(O7&gt;0,P7&gt;0,Q7&gt;0),(O7*P7*Q7)/6000,""),"")</f>
        <v/>
      </c>
      <c r="S7" s="64">
        <f>IFERROR(IF(AND(N7&gt;0,R7&gt;0),MAX(N7,R7),IF(N7&gt;0,N7,IF(R7&gt;0,R7,""))),"")</f>
        <v/>
      </c>
      <c r="T7" s="65" t="n">
        <v>60.69</v>
      </c>
      <c r="U7" s="66" t="inlineStr">
        <is>
          <t>fornecedor</t>
        </is>
      </c>
      <c r="V7" s="65" t="n">
        <v>890</v>
      </c>
      <c r="W7" s="39" t="n">
        <v>0.2</v>
      </c>
      <c r="X7" s="67">
        <f>IFERROR(V7+T7,"")</f>
        <v/>
      </c>
      <c r="Y7" s="67">
        <f>IFERROR(IF(W7&lt;1,X7/(1-W7),""),"")</f>
        <v/>
      </c>
      <c r="Z7" s="68">
        <f>'01_CONFIG_GLOBAL'!$C$14</f>
        <v/>
      </c>
      <c r="AA7" s="67">
        <f>IFERROR(Y7*Z7,"")</f>
        <v/>
      </c>
      <c r="AB7" s="67">
        <f>IFERROR(IF(Z7&lt;1,Y7/(1-Z7),""),"")</f>
        <v/>
      </c>
      <c r="AC7" s="61" t="n"/>
      <c r="AD7" s="65" t="n"/>
      <c r="AE7" s="61" t="n"/>
      <c r="AF7" s="65" t="n"/>
      <c r="AG7" s="61" t="n"/>
      <c r="AH7" s="65" t="n"/>
      <c r="AI7" s="67">
        <f>IFERROR(AVERAGE(AD7,AF7,AH7),"")</f>
        <v/>
      </c>
      <c r="AJ7" s="62">
        <f>IFERROR(IF(AI7="","sem dados",IF(AB7&lt;AI7*0.95,"abaixo",IF(AB7&gt;AI7*1.05,"acima","em linha"))),"")</f>
        <v/>
      </c>
      <c r="AK7" s="61" t="inlineStr">
        <is>
          <t>sim</t>
        </is>
      </c>
      <c r="AL7" s="61" t="n"/>
      <c r="AM7" s="61" t="n"/>
      <c r="AN7" s="61" t="inlineStr">
        <is>
          <t>Fotos: assets/greco_GR141165_ecommerce.png</t>
        </is>
      </c>
      <c r="AO7" s="44">
        <f>A7</f>
        <v/>
      </c>
      <c r="AP7" s="44">
        <f>D7</f>
        <v/>
      </c>
      <c r="AQ7" s="28" t="inlineStr">
        <is>
          <t>greco_GR141165_ecommerce.png</t>
        </is>
      </c>
    </row>
    <row r="8">
      <c r="A8" s="61" t="inlineStr">
        <is>
          <t>GR140990</t>
        </is>
      </c>
      <c r="B8" s="61" t="inlineStr">
        <is>
          <t>GR140990</t>
        </is>
      </c>
      <c r="C8" s="62">
        <f>IFERROR(LOWER(SUBSTITUTE(SUBSTITUTE(SUBSTITUTE(SUBSTITUTE(D8," ","-"),"/","-"),".",""),",","")),"")</f>
        <v/>
      </c>
      <c r="D8" s="61" t="inlineStr">
        <is>
          <t>KIT PONTA DE CERCA</t>
        </is>
      </c>
      <c r="E8" s="61" t="inlineStr">
        <is>
          <t>Sensores Agrícolas</t>
        </is>
      </c>
      <c r="F8" s="61" t="inlineStr">
        <is>
          <t>GRECO</t>
        </is>
      </c>
      <c r="G8" s="61" t="n"/>
      <c r="H8" s="61" t="inlineStr">
        <is>
          <t>active</t>
        </is>
      </c>
      <c r="I8" s="61" t="inlineStr">
        <is>
          <t>TODAS AS MARCAS</t>
        </is>
      </c>
      <c r="J8" s="61" t="inlineStr">
        <is>
          <t>PULVERZADOR</t>
        </is>
      </c>
      <c r="K8" s="61" t="inlineStr">
        <is>
          <t>30 METROS</t>
        </is>
      </c>
      <c r="L8" s="61" t="n"/>
      <c r="M8" s="63" t="n">
        <v>7</v>
      </c>
      <c r="N8" s="63" t="n">
        <v>4.5</v>
      </c>
      <c r="O8" s="63" t="n">
        <v>58</v>
      </c>
      <c r="P8" s="63" t="n">
        <v>40</v>
      </c>
      <c r="Q8" s="63" t="n">
        <v>26.5</v>
      </c>
      <c r="R8" s="64">
        <f>IFERROR(IF(AND(O8&gt;0,P8&gt;0,Q8&gt;0),(O8*P8*Q8)/6000,""),"")</f>
        <v/>
      </c>
      <c r="S8" s="64">
        <f>IFERROR(IF(AND(N8&gt;0,R8&gt;0),MAX(N8,R8),IF(N8&gt;0,N8,IF(R8&gt;0,R8,""))),"")</f>
        <v/>
      </c>
      <c r="T8" s="65" t="n">
        <v>62.4</v>
      </c>
      <c r="U8" s="66" t="inlineStr">
        <is>
          <t>fornecedor</t>
        </is>
      </c>
      <c r="V8" s="65" t="n">
        <v>1097</v>
      </c>
      <c r="W8" s="39" t="n">
        <v>0.2</v>
      </c>
      <c r="X8" s="67">
        <f>IFERROR(V8+T8,"")</f>
        <v/>
      </c>
      <c r="Y8" s="67">
        <f>IFERROR(IF(W8&lt;1,X8/(1-W8),""),"")</f>
        <v/>
      </c>
      <c r="Z8" s="68">
        <f>'01_CONFIG_GLOBAL'!$C$14</f>
        <v/>
      </c>
      <c r="AA8" s="67">
        <f>IFERROR(Y8*Z8,"")</f>
        <v/>
      </c>
      <c r="AB8" s="67">
        <f>IFERROR(IF(Z8&lt;1,Y8/(1-Z8),""),"")</f>
        <v/>
      </c>
      <c r="AC8" s="61" t="n"/>
      <c r="AD8" s="65" t="n"/>
      <c r="AE8" s="61" t="n"/>
      <c r="AF8" s="65" t="n"/>
      <c r="AG8" s="61" t="n"/>
      <c r="AH8" s="65" t="n"/>
      <c r="AI8" s="67">
        <f>IFERROR(AVERAGE(AD8,AF8,AH8),"")</f>
        <v/>
      </c>
      <c r="AJ8" s="62">
        <f>IFERROR(IF(AI8="","sem dados",IF(AB8&lt;AI8*0.95,"abaixo",IF(AB8&gt;AI8*1.05,"acima","em linha"))),"")</f>
        <v/>
      </c>
      <c r="AK8" s="61" t="inlineStr">
        <is>
          <t>não</t>
        </is>
      </c>
      <c r="AL8" s="61" t="n"/>
      <c r="AM8" s="61" t="n"/>
      <c r="AN8" s="61" t="inlineStr">
        <is>
          <t>Fotos: assets/greco_GR140990-20M_ecommerce.png; assets/greco_GR140990-30M_ecommerce.png</t>
        </is>
      </c>
      <c r="AO8" s="44">
        <f>A8</f>
        <v/>
      </c>
      <c r="AP8" s="44">
        <f>D8</f>
        <v/>
      </c>
    </row>
    <row r="9">
      <c r="A9" s="61" t="inlineStr">
        <is>
          <t>GR140682</t>
        </is>
      </c>
      <c r="B9" s="61" t="inlineStr">
        <is>
          <t>GR140682</t>
        </is>
      </c>
      <c r="C9" s="62">
        <f>IFERROR(LOWER(SUBSTITUTE(SUBSTITUTE(SUBSTITUTE(SUBSTITUTE(D9," ","-"),"/","-"),".",""),",","")),"")</f>
        <v/>
      </c>
      <c r="D9" s="61" t="inlineStr">
        <is>
          <t>Sensor de Levante Haste - Greco Agro Tech | Precision Planting PM400</t>
        </is>
      </c>
      <c r="E9" s="61" t="inlineStr">
        <is>
          <t>Sensores Agrícolas</t>
        </is>
      </c>
      <c r="F9" s="61" t="inlineStr">
        <is>
          <t>GRECO</t>
        </is>
      </c>
      <c r="G9" s="61" t="n"/>
      <c r="H9" s="61" t="inlineStr">
        <is>
          <t>active</t>
        </is>
      </c>
      <c r="I9" s="61" t="inlineStr">
        <is>
          <t>TODAS AS MARCAS</t>
        </is>
      </c>
      <c r="J9" s="61" t="inlineStr">
        <is>
          <t>PULVERZADOR / PLANTADEIRA</t>
        </is>
      </c>
      <c r="K9" s="61" t="inlineStr">
        <is>
          <t>COMPATÍVEL COM PRECISION PLANTING – PM400 E COD AGCO PP727123</t>
        </is>
      </c>
      <c r="L9" s="61" t="n"/>
      <c r="M9" s="63" t="n">
        <v>7</v>
      </c>
      <c r="N9" s="63" t="n">
        <v>0.42</v>
      </c>
      <c r="O9" s="63" t="n">
        <v>31</v>
      </c>
      <c r="P9" s="63" t="n">
        <v>24</v>
      </c>
      <c r="Q9" s="63" t="n">
        <v>25</v>
      </c>
      <c r="R9" s="64">
        <f>IFERROR(IF(AND(O9&gt;0,P9&gt;0,Q9&gt;0),(O9*P9*Q9)/6000,""),"")</f>
        <v/>
      </c>
      <c r="S9" s="64">
        <f>IFERROR(IF(AND(N9&gt;0,R9&gt;0),MAX(N9,R9),IF(N9&gt;0,N9,IF(R9&gt;0,R9,""))),"")</f>
        <v/>
      </c>
      <c r="T9" s="65" t="n">
        <v>29.27</v>
      </c>
      <c r="U9" s="66" t="inlineStr">
        <is>
          <t>fornecedor</t>
        </is>
      </c>
      <c r="V9" s="65" t="n">
        <v>590</v>
      </c>
      <c r="W9" s="39" t="n">
        <v>0.2</v>
      </c>
      <c r="X9" s="67">
        <f>IFERROR(V9+T9,"")</f>
        <v/>
      </c>
      <c r="Y9" s="67">
        <f>IFERROR(IF(W9&lt;1,X9/(1-W9),""),"")</f>
        <v/>
      </c>
      <c r="Z9" s="68">
        <f>'01_CONFIG_GLOBAL'!$C$14</f>
        <v/>
      </c>
      <c r="AA9" s="67">
        <f>IFERROR(Y9*Z9,"")</f>
        <v/>
      </c>
      <c r="AB9" s="67">
        <f>IFERROR(IF(Z9&lt;1,Y9/(1-Z9),""),"")</f>
        <v/>
      </c>
      <c r="AC9" s="61" t="n"/>
      <c r="AD9" s="65" t="n"/>
      <c r="AE9" s="61" t="n"/>
      <c r="AF9" s="65" t="n"/>
      <c r="AG9" s="61" t="n"/>
      <c r="AH9" s="65" t="n"/>
      <c r="AI9" s="67">
        <f>IFERROR(AVERAGE(AD9,AF9,AH9),"")</f>
        <v/>
      </c>
      <c r="AJ9" s="62">
        <f>IFERROR(IF(AI9="","sem dados",IF(AB9&lt;AI9*0.95,"abaixo",IF(AB9&gt;AI9*1.05,"acima","em linha"))),"")</f>
        <v/>
      </c>
      <c r="AK9" s="61" t="inlineStr">
        <is>
          <t>sim</t>
        </is>
      </c>
      <c r="AL9" s="61" t="n"/>
      <c r="AM9" s="61" t="n"/>
      <c r="AN9" s="61" t="inlineStr">
        <is>
          <t>Fotos: assets/greco_GR140682_ecommerce.png</t>
        </is>
      </c>
      <c r="AO9" s="44">
        <f>A9</f>
        <v/>
      </c>
      <c r="AP9" s="44">
        <f>D9</f>
        <v/>
      </c>
      <c r="AQ9" s="28" t="inlineStr">
        <is>
          <t>greco_GR140682_ecommerce.png</t>
        </is>
      </c>
    </row>
    <row r="10">
      <c r="A10" s="61" t="inlineStr">
        <is>
          <t>GR140012</t>
        </is>
      </c>
      <c r="B10" s="61" t="inlineStr">
        <is>
          <t>GR140012</t>
        </is>
      </c>
      <c r="C10" s="62">
        <f>IFERROR(LOWER(SUBSTITUTE(SUBSTITUTE(SUBSTITUTE(SUBSTITUTE(D10," ","-"),"/","-"),".",""),",","")),"")</f>
        <v/>
      </c>
      <c r="D10" s="61" t="inlineStr">
        <is>
          <t>Sensor de Levante Corrente - Greco Agro Tech | Precision Planting PM400</t>
        </is>
      </c>
      <c r="E10" s="61" t="inlineStr">
        <is>
          <t>Sensores Agrícolas</t>
        </is>
      </c>
      <c r="F10" s="61" t="inlineStr">
        <is>
          <t>GRECO</t>
        </is>
      </c>
      <c r="G10" s="61" t="n"/>
      <c r="H10" s="61" t="inlineStr">
        <is>
          <t>active</t>
        </is>
      </c>
      <c r="I10" s="61" t="inlineStr">
        <is>
          <t>TODAS AS MARCAS</t>
        </is>
      </c>
      <c r="J10" s="61" t="inlineStr">
        <is>
          <t>PULVERZADOR / PLANTADEIRA</t>
        </is>
      </c>
      <c r="K10" s="61" t="inlineStr">
        <is>
          <t>COMPATÍVEL COM PRECISION PLANTING – PM400 E COD AGCO PP726780</t>
        </is>
      </c>
      <c r="L10" s="61" t="n"/>
      <c r="M10" s="63" t="n">
        <v>7</v>
      </c>
      <c r="N10" s="63" t="n">
        <v>0.489</v>
      </c>
      <c r="O10" s="63" t="n">
        <v>31</v>
      </c>
      <c r="P10" s="63" t="n">
        <v>24</v>
      </c>
      <c r="Q10" s="63" t="n">
        <v>25</v>
      </c>
      <c r="R10" s="64">
        <f>IFERROR(IF(AND(O10&gt;0,P10&gt;0,Q10&gt;0),(O10*P10*Q10)/6000,""),"")</f>
        <v/>
      </c>
      <c r="S10" s="64">
        <f>IFERROR(IF(AND(N10&gt;0,R10&gt;0),MAX(N10,R10),IF(N10&gt;0,N10,IF(R10&gt;0,R10,""))),"")</f>
        <v/>
      </c>
      <c r="T10" s="65" t="n">
        <v>28.45</v>
      </c>
      <c r="U10" s="66" t="inlineStr">
        <is>
          <t>fornecedor</t>
        </is>
      </c>
      <c r="V10" s="65" t="n">
        <v>490</v>
      </c>
      <c r="W10" s="39" t="n">
        <v>0.2</v>
      </c>
      <c r="X10" s="67">
        <f>IFERROR(V10+T10,"")</f>
        <v/>
      </c>
      <c r="Y10" s="67">
        <f>IFERROR(IF(W10&lt;1,X10/(1-W10),""),"")</f>
        <v/>
      </c>
      <c r="Z10" s="68">
        <f>'01_CONFIG_GLOBAL'!$C$14</f>
        <v/>
      </c>
      <c r="AA10" s="67">
        <f>IFERROR(Y10*Z10,"")</f>
        <v/>
      </c>
      <c r="AB10" s="67">
        <f>IFERROR(IF(Z10&lt;1,Y10/(1-Z10),""),"")</f>
        <v/>
      </c>
      <c r="AC10" s="61" t="n"/>
      <c r="AD10" s="65" t="n"/>
      <c r="AE10" s="61" t="n"/>
      <c r="AF10" s="65" t="n"/>
      <c r="AG10" s="61" t="n"/>
      <c r="AH10" s="65" t="n"/>
      <c r="AI10" s="67">
        <f>IFERROR(AVERAGE(AD10,AF10,AH10),"")</f>
        <v/>
      </c>
      <c r="AJ10" s="62">
        <f>IFERROR(IF(AI10="","sem dados",IF(AB10&lt;AI10*0.95,"abaixo",IF(AB10&gt;AI10*1.05,"acima","em linha"))),"")</f>
        <v/>
      </c>
      <c r="AK10" s="61" t="inlineStr">
        <is>
          <t>sim</t>
        </is>
      </c>
      <c r="AL10" s="61" t="n"/>
      <c r="AM10" s="61" t="n"/>
      <c r="AN10" s="61" t="inlineStr">
        <is>
          <t>Fotos: assets/greco_GR140012_ecommerce.png</t>
        </is>
      </c>
      <c r="AO10" s="44">
        <f>A10</f>
        <v/>
      </c>
      <c r="AP10" s="44">
        <f>D10</f>
        <v/>
      </c>
      <c r="AQ10" s="28" t="inlineStr">
        <is>
          <t>greco_GR140012_ecommerce.png</t>
        </is>
      </c>
    </row>
    <row r="11">
      <c r="A11" s="61" t="inlineStr">
        <is>
          <t>GR142398</t>
        </is>
      </c>
      <c r="B11" s="61" t="inlineStr">
        <is>
          <t>GR142398</t>
        </is>
      </c>
      <c r="C11" s="62">
        <f>IFERROR(LOWER(SUBSTITUTE(SUBSTITUTE(SUBSTITUTE(SUBSTITUTE(D11," ","-"),"/","-"),".",""),",","")),"")</f>
        <v/>
      </c>
      <c r="D11" s="61" t="inlineStr">
        <is>
          <t>Monitor de Fluxo de Sementes GR500 - Greco Agro Tech</t>
        </is>
      </c>
      <c r="E11" s="61" t="inlineStr">
        <is>
          <t>Sensores Agrícolas</t>
        </is>
      </c>
      <c r="F11" s="61" t="inlineStr">
        <is>
          <t>GRECO</t>
        </is>
      </c>
      <c r="G11" s="61" t="n"/>
      <c r="H11" s="61" t="inlineStr">
        <is>
          <t>active</t>
        </is>
      </c>
      <c r="I11" s="61" t="inlineStr">
        <is>
          <t>TODAS AS MARCAS</t>
        </is>
      </c>
      <c r="J11" s="61" t="inlineStr">
        <is>
          <t>PLANTADEIRA</t>
        </is>
      </c>
      <c r="K11" s="61" t="inlineStr">
        <is>
          <t>KIT POSSUI CABO DE BATERIA, EXTENSÃO, CHICOTE PARA LIGAÇÃO DOS SENSORES E ECU.</t>
        </is>
      </c>
      <c r="L11" s="61" t="n"/>
      <c r="M11" s="63" t="n">
        <v>7</v>
      </c>
      <c r="N11" s="63" t="n">
        <v>1.642</v>
      </c>
      <c r="O11" s="63" t="n">
        <v>31</v>
      </c>
      <c r="P11" s="63" t="n">
        <v>24</v>
      </c>
      <c r="Q11" s="63" t="n">
        <v>25</v>
      </c>
      <c r="R11" s="64">
        <f>IFERROR(IF(AND(O11&gt;0,P11&gt;0,Q11&gt;0),(O11*P11*Q11)/6000,""),"")</f>
        <v/>
      </c>
      <c r="S11" s="64">
        <f>IFERROR(IF(AND(N11&gt;0,R11&gt;0),MAX(N11,R11),IF(N11&gt;0,N11,IF(R11&gt;0,R11,""))),"")</f>
        <v/>
      </c>
      <c r="T11" s="65" t="n">
        <v>39.11</v>
      </c>
      <c r="U11" s="66" t="inlineStr">
        <is>
          <t>fornecedor</t>
        </is>
      </c>
      <c r="V11" s="65" t="n">
        <v>7700</v>
      </c>
      <c r="W11" s="39" t="n">
        <v>0.2</v>
      </c>
      <c r="X11" s="67">
        <f>IFERROR(V11+T11,"")</f>
        <v/>
      </c>
      <c r="Y11" s="67">
        <f>IFERROR(IF(W11&lt;1,X11/(1-W11),""),"")</f>
        <v/>
      </c>
      <c r="Z11" s="68">
        <f>'01_CONFIG_GLOBAL'!$C$14</f>
        <v/>
      </c>
      <c r="AA11" s="67">
        <f>IFERROR(Y11*Z11,"")</f>
        <v/>
      </c>
      <c r="AB11" s="67">
        <f>IFERROR(IF(Z11&lt;1,Y11/(1-Z11),""),"")</f>
        <v/>
      </c>
      <c r="AC11" s="61" t="n"/>
      <c r="AD11" s="65" t="n"/>
      <c r="AE11" s="61" t="n"/>
      <c r="AF11" s="65" t="n"/>
      <c r="AG11" s="61" t="n"/>
      <c r="AH11" s="65" t="n"/>
      <c r="AI11" s="67">
        <f>IFERROR(AVERAGE(AD11,AF11,AH11),"")</f>
        <v/>
      </c>
      <c r="AJ11" s="62">
        <f>IFERROR(IF(AI11="","sem dados",IF(AB11&lt;AI11*0.95,"abaixo",IF(AB11&gt;AI11*1.05,"acima","em linha"))),"")</f>
        <v/>
      </c>
      <c r="AK11" s="61" t="inlineStr">
        <is>
          <t>sim</t>
        </is>
      </c>
      <c r="AL11" s="61" t="n"/>
      <c r="AM11" s="61" t="n"/>
      <c r="AN11" s="61" t="inlineStr">
        <is>
          <t>Fotos: assets/greco_GR142398_ecommerce.png</t>
        </is>
      </c>
      <c r="AO11" s="44">
        <f>A11</f>
        <v/>
      </c>
      <c r="AP11" s="44">
        <f>D11</f>
        <v/>
      </c>
      <c r="AQ11" s="28" t="inlineStr">
        <is>
          <t>greco_GR142398_ecommerce.png</t>
        </is>
      </c>
    </row>
    <row r="12">
      <c r="A12" s="61" t="inlineStr">
        <is>
          <t>GR142226</t>
        </is>
      </c>
      <c r="B12" s="61" t="inlineStr">
        <is>
          <t>GR142226</t>
        </is>
      </c>
      <c r="C12" s="62">
        <f>IFERROR(LOWER(SUBSTITUTE(SUBSTITUTE(SUBSTITUTE(SUBSTITUTE(D12," ","-"),"/","-"),".",""),",","")),"")</f>
        <v/>
      </c>
      <c r="D12" s="61" t="inlineStr">
        <is>
          <t>Sensor de Fluxo 25,4mm - Greco Agro Tech | Precision Planting PM400</t>
        </is>
      </c>
      <c r="E12" s="61" t="inlineStr">
        <is>
          <t>Sensores Agrícolas</t>
        </is>
      </c>
      <c r="F12" s="61" t="inlineStr">
        <is>
          <t>GRECO</t>
        </is>
      </c>
      <c r="G12" s="61" t="n"/>
      <c r="H12" s="61" t="inlineStr">
        <is>
          <t>active</t>
        </is>
      </c>
      <c r="I12" s="61" t="inlineStr">
        <is>
          <t>TODAS AS MARCAS</t>
        </is>
      </c>
      <c r="J12" s="61" t="inlineStr">
        <is>
          <t>PLANTADEIRA</t>
        </is>
      </c>
      <c r="K12" s="61" t="inlineStr">
        <is>
          <t>COMPATÍVEL COM PRECISION PLANTING – PM400</t>
        </is>
      </c>
      <c r="L12" s="61" t="n"/>
      <c r="M12" s="63" t="n">
        <v>7</v>
      </c>
      <c r="N12" s="63" t="n">
        <v>0.33</v>
      </c>
      <c r="O12" s="63" t="n">
        <v>31</v>
      </c>
      <c r="P12" s="63" t="n">
        <v>24</v>
      </c>
      <c r="Q12" s="63" t="n">
        <v>25</v>
      </c>
      <c r="R12" s="64">
        <f>IFERROR(IF(AND(O12&gt;0,P12&gt;0,Q12&gt;0),(O12*P12*Q12)/6000,""),"")</f>
        <v/>
      </c>
      <c r="S12" s="64">
        <f>IFERROR(IF(AND(N12&gt;0,R12&gt;0),MAX(N12,R12),IF(N12&gt;0,N12,IF(R12&gt;0,R12,""))),"")</f>
        <v/>
      </c>
      <c r="T12" s="65" t="n">
        <v>26.8</v>
      </c>
      <c r="U12" s="66" t="inlineStr">
        <is>
          <t>fornecedor</t>
        </is>
      </c>
      <c r="V12" s="65" t="n">
        <v>290</v>
      </c>
      <c r="W12" s="39" t="n">
        <v>0.2</v>
      </c>
      <c r="X12" s="67">
        <f>IFERROR(V12+T12,"")</f>
        <v/>
      </c>
      <c r="Y12" s="67">
        <f>IFERROR(IF(W12&lt;1,X12/(1-W12),""),"")</f>
        <v/>
      </c>
      <c r="Z12" s="68">
        <f>'01_CONFIG_GLOBAL'!$C$14</f>
        <v/>
      </c>
      <c r="AA12" s="67">
        <f>IFERROR(Y12*Z12,"")</f>
        <v/>
      </c>
      <c r="AB12" s="67">
        <f>IFERROR(IF(Z12&lt;1,Y12/(1-Z12),""),"")</f>
        <v/>
      </c>
      <c r="AC12" s="61" t="n"/>
      <c r="AD12" s="65" t="n"/>
      <c r="AE12" s="61" t="n"/>
      <c r="AF12" s="65" t="n"/>
      <c r="AG12" s="61" t="n"/>
      <c r="AH12" s="65" t="n"/>
      <c r="AI12" s="67">
        <f>IFERROR(AVERAGE(AD12,AF12,AH12),"")</f>
        <v/>
      </c>
      <c r="AJ12" s="62">
        <f>IFERROR(IF(AI12="","sem dados",IF(AB12&lt;AI12*0.95,"abaixo",IF(AB12&gt;AI12*1.05,"acima","em linha"))),"")</f>
        <v/>
      </c>
      <c r="AK12" s="61" t="inlineStr">
        <is>
          <t>sim</t>
        </is>
      </c>
      <c r="AL12" s="61" t="n"/>
      <c r="AM12" s="61" t="n"/>
      <c r="AN12" s="61" t="inlineStr">
        <is>
          <t>Fotos: assets/greco_GR142226_ecommerce.png</t>
        </is>
      </c>
      <c r="AO12" s="44">
        <f>A12</f>
        <v/>
      </c>
      <c r="AP12" s="44">
        <f>D12</f>
        <v/>
      </c>
      <c r="AQ12" s="28" t="inlineStr">
        <is>
          <t>greco_GR142226_ecommerce.png</t>
        </is>
      </c>
    </row>
    <row r="13">
      <c r="A13" s="61" t="inlineStr">
        <is>
          <t>GR142227</t>
        </is>
      </c>
      <c r="B13" s="61" t="inlineStr">
        <is>
          <t>GR142227</t>
        </is>
      </c>
      <c r="C13" s="62">
        <f>IFERROR(LOWER(SUBSTITUTE(SUBSTITUTE(SUBSTITUTE(SUBSTITUTE(D13," ","-"),"/","-"),".",""),",","")),"")</f>
        <v/>
      </c>
      <c r="D13" s="61" t="inlineStr">
        <is>
          <t>Sensor de Fluxo 32mm - Greco Agro Tech | Precision Planting PM400</t>
        </is>
      </c>
      <c r="E13" s="61" t="inlineStr">
        <is>
          <t>Sensores Agrícolas</t>
        </is>
      </c>
      <c r="F13" s="61" t="inlineStr">
        <is>
          <t>GRECO</t>
        </is>
      </c>
      <c r="G13" s="61" t="n"/>
      <c r="H13" s="61" t="inlineStr">
        <is>
          <t>active</t>
        </is>
      </c>
      <c r="I13" s="61" t="inlineStr">
        <is>
          <t>TODAS AS MARCAS</t>
        </is>
      </c>
      <c r="J13" s="61" t="inlineStr">
        <is>
          <t>PLANTADEIRA</t>
        </is>
      </c>
      <c r="K13" s="61" t="inlineStr">
        <is>
          <t>COMPATÍVEL COM PRECISION PLANTING – PM400 E COD AGCO AXC3452630</t>
        </is>
      </c>
      <c r="L13" s="61" t="n"/>
      <c r="M13" s="63" t="n">
        <v>7</v>
      </c>
      <c r="N13" s="63" t="n">
        <v>0.29</v>
      </c>
      <c r="O13" s="63" t="n">
        <v>31</v>
      </c>
      <c r="P13" s="63" t="n">
        <v>24</v>
      </c>
      <c r="Q13" s="63" t="n">
        <v>25</v>
      </c>
      <c r="R13" s="64">
        <f>IFERROR(IF(AND(O13&gt;0,P13&gt;0,Q13&gt;0),(O13*P13*Q13)/6000,""),"")</f>
        <v/>
      </c>
      <c r="S13" s="64">
        <f>IFERROR(IF(AND(N13&gt;0,R13&gt;0),MAX(N13,R13),IF(N13&gt;0,N13,IF(R13&gt;0,R13,""))),"")</f>
        <v/>
      </c>
      <c r="T13" s="65" t="n">
        <v>26.96</v>
      </c>
      <c r="U13" s="66" t="inlineStr">
        <is>
          <t>fornecedor</t>
        </is>
      </c>
      <c r="V13" s="65" t="n">
        <v>310</v>
      </c>
      <c r="W13" s="39" t="n">
        <v>0.2</v>
      </c>
      <c r="X13" s="67">
        <f>IFERROR(V13+T13,"")</f>
        <v/>
      </c>
      <c r="Y13" s="67">
        <f>IFERROR(IF(W13&lt;1,X13/(1-W13),""),"")</f>
        <v/>
      </c>
      <c r="Z13" s="68">
        <f>'01_CONFIG_GLOBAL'!$C$14</f>
        <v/>
      </c>
      <c r="AA13" s="67">
        <f>IFERROR(Y13*Z13,"")</f>
        <v/>
      </c>
      <c r="AB13" s="67">
        <f>IFERROR(IF(Z13&lt;1,Y13/(1-Z13),""),"")</f>
        <v/>
      </c>
      <c r="AC13" s="61" t="n"/>
      <c r="AD13" s="65" t="n"/>
      <c r="AE13" s="61" t="n"/>
      <c r="AF13" s="65" t="n"/>
      <c r="AG13" s="61" t="n"/>
      <c r="AH13" s="65" t="n"/>
      <c r="AI13" s="67">
        <f>IFERROR(AVERAGE(AD13,AF13,AH13),"")</f>
        <v/>
      </c>
      <c r="AJ13" s="62">
        <f>IFERROR(IF(AI13="","sem dados",IF(AB13&lt;AI13*0.95,"abaixo",IF(AB13&gt;AI13*1.05,"acima","em linha"))),"")</f>
        <v/>
      </c>
      <c r="AK13" s="61" t="inlineStr">
        <is>
          <t>sim</t>
        </is>
      </c>
      <c r="AL13" s="61" t="n"/>
      <c r="AM13" s="61" t="n"/>
      <c r="AN13" s="61" t="inlineStr">
        <is>
          <t>Fotos: assets/greco_GR142227_ecommerce.png</t>
        </is>
      </c>
      <c r="AO13" s="44">
        <f>A13</f>
        <v/>
      </c>
      <c r="AP13" s="44">
        <f>D13</f>
        <v/>
      </c>
      <c r="AQ13" s="28" t="inlineStr">
        <is>
          <t>greco_GR142227_ecommerce.png</t>
        </is>
      </c>
    </row>
    <row r="14">
      <c r="A14" s="61" t="inlineStr">
        <is>
          <t>GR142228</t>
        </is>
      </c>
      <c r="B14" s="61" t="inlineStr">
        <is>
          <t>GR142228</t>
        </is>
      </c>
      <c r="C14" s="62">
        <f>IFERROR(LOWER(SUBSTITUTE(SUBSTITUTE(SUBSTITUTE(SUBSTITUTE(D14," ","-"),"/","-"),".",""),",","")),"")</f>
        <v/>
      </c>
      <c r="D14" s="61" t="inlineStr">
        <is>
          <t>Sensor de Fluxo 50,8mm - Greco Agro Tech | Precision Planting PM400</t>
        </is>
      </c>
      <c r="E14" s="61" t="inlineStr">
        <is>
          <t>Sensores Agrícolas</t>
        </is>
      </c>
      <c r="F14" s="61" t="inlineStr">
        <is>
          <t>GRECO</t>
        </is>
      </c>
      <c r="G14" s="61" t="n"/>
      <c r="H14" s="61" t="inlineStr">
        <is>
          <t>active</t>
        </is>
      </c>
      <c r="I14" s="61" t="inlineStr">
        <is>
          <t>TODAS AS MARCAS</t>
        </is>
      </c>
      <c r="J14" s="61" t="inlineStr">
        <is>
          <t>PLANTADEIRA</t>
        </is>
      </c>
      <c r="K14" s="61" t="inlineStr">
        <is>
          <t>COMPATÍVEL COM PRECISION PLANTING – PM400</t>
        </is>
      </c>
      <c r="L14" s="61" t="n"/>
      <c r="M14" s="63" t="n">
        <v>7</v>
      </c>
      <c r="N14" s="63" t="n">
        <v>0.5600000000000001</v>
      </c>
      <c r="O14" s="63" t="n">
        <v>31</v>
      </c>
      <c r="P14" s="63" t="n">
        <v>24</v>
      </c>
      <c r="Q14" s="63" t="n">
        <v>25</v>
      </c>
      <c r="R14" s="64">
        <f>IFERROR(IF(AND(O14&gt;0,P14&gt;0,Q14&gt;0),(O14*P14*Q14)/6000,""),"")</f>
        <v/>
      </c>
      <c r="S14" s="64">
        <f>IFERROR(IF(AND(N14&gt;0,R14&gt;0),MAX(N14,R14),IF(N14&gt;0,N14,IF(R14&gt;0,R14,""))),"")</f>
        <v/>
      </c>
      <c r="T14" s="65" t="n">
        <v>27.37</v>
      </c>
      <c r="U14" s="66" t="inlineStr">
        <is>
          <t>fornecedor</t>
        </is>
      </c>
      <c r="V14" s="65" t="n">
        <v>360</v>
      </c>
      <c r="W14" s="39" t="n">
        <v>0.2</v>
      </c>
      <c r="X14" s="67">
        <f>IFERROR(V14+T14,"")</f>
        <v/>
      </c>
      <c r="Y14" s="67">
        <f>IFERROR(IF(W14&lt;1,X14/(1-W14),""),"")</f>
        <v/>
      </c>
      <c r="Z14" s="68">
        <f>'01_CONFIG_GLOBAL'!$C$14</f>
        <v/>
      </c>
      <c r="AA14" s="67">
        <f>IFERROR(Y14*Z14,"")</f>
        <v/>
      </c>
      <c r="AB14" s="67">
        <f>IFERROR(IF(Z14&lt;1,Y14/(1-Z14),""),"")</f>
        <v/>
      </c>
      <c r="AC14" s="61" t="n"/>
      <c r="AD14" s="65" t="n"/>
      <c r="AE14" s="61" t="n"/>
      <c r="AF14" s="65" t="n"/>
      <c r="AG14" s="61" t="n"/>
      <c r="AH14" s="65" t="n"/>
      <c r="AI14" s="67">
        <f>IFERROR(AVERAGE(AD14,AF14,AH14),"")</f>
        <v/>
      </c>
      <c r="AJ14" s="62">
        <f>IFERROR(IF(AI14="","sem dados",IF(AB14&lt;AI14*0.95,"abaixo",IF(AB14&gt;AI14*1.05,"acima","em linha"))),"")</f>
        <v/>
      </c>
      <c r="AK14" s="61" t="inlineStr">
        <is>
          <t>sim</t>
        </is>
      </c>
      <c r="AL14" s="61" t="n"/>
      <c r="AM14" s="61" t="n"/>
      <c r="AN14" s="61" t="inlineStr">
        <is>
          <t>Fotos: assets/greco_GR142228_ecommerce.png</t>
        </is>
      </c>
      <c r="AO14" s="44">
        <f>A14</f>
        <v/>
      </c>
      <c r="AP14" s="44">
        <f>D14</f>
        <v/>
      </c>
      <c r="AQ14" s="28" t="inlineStr">
        <is>
          <t>greco_GR142228_ecommerce.png</t>
        </is>
      </c>
    </row>
    <row r="15">
      <c r="A15" s="61" t="inlineStr">
        <is>
          <t>GR142229</t>
        </is>
      </c>
      <c r="B15" s="61" t="inlineStr">
        <is>
          <t>GR142229</t>
        </is>
      </c>
      <c r="C15" s="62">
        <f>IFERROR(LOWER(SUBSTITUTE(SUBSTITUTE(SUBSTITUTE(SUBSTITUTE(D15," ","-"),"/","-"),".",""),",","")),"")</f>
        <v/>
      </c>
      <c r="D15" s="61" t="inlineStr">
        <is>
          <t>Sensor de Semente - Greco Agro Tech | Precision Planting PM400</t>
        </is>
      </c>
      <c r="E15" s="61" t="inlineStr">
        <is>
          <t>Sensores Agrícolas</t>
        </is>
      </c>
      <c r="F15" s="61" t="inlineStr">
        <is>
          <t>GRECO</t>
        </is>
      </c>
      <c r="G15" s="61" t="n"/>
      <c r="H15" s="61" t="inlineStr">
        <is>
          <t>active</t>
        </is>
      </c>
      <c r="I15" s="61" t="inlineStr">
        <is>
          <t>TODAS AS MARCAS</t>
        </is>
      </c>
      <c r="J15" s="61" t="inlineStr">
        <is>
          <t>PLANTADEIRA</t>
        </is>
      </c>
      <c r="K15" s="61" t="inlineStr">
        <is>
          <t>COMPATÍVEL COM PRECISION PLANTING – PM400 E COD AGCO AXC3452830</t>
        </is>
      </c>
      <c r="L15" s="61" t="n"/>
      <c r="M15" s="63" t="n">
        <v>7</v>
      </c>
      <c r="N15" s="63" t="n">
        <v>0.011</v>
      </c>
      <c r="O15" s="63" t="n">
        <v>31</v>
      </c>
      <c r="P15" s="63" t="n">
        <v>24</v>
      </c>
      <c r="Q15" s="63" t="n">
        <v>25</v>
      </c>
      <c r="R15" s="64">
        <f>IFERROR(IF(AND(O15&gt;0,P15&gt;0,Q15&gt;0),(O15*P15*Q15)/6000,""),"")</f>
        <v/>
      </c>
      <c r="S15" s="64">
        <f>IFERROR(IF(AND(N15&gt;0,R15&gt;0),MAX(N15,R15),IF(N15&gt;0,N15,IF(R15&gt;0,R15,""))),"")</f>
        <v/>
      </c>
      <c r="T15" s="65" t="n">
        <v>25.55</v>
      </c>
      <c r="U15" s="66" t="inlineStr">
        <is>
          <t>fornecedor</t>
        </is>
      </c>
      <c r="V15" s="65" t="n">
        <v>140</v>
      </c>
      <c r="W15" s="39" t="n">
        <v>0.2</v>
      </c>
      <c r="X15" s="67">
        <f>IFERROR(V15+T15,"")</f>
        <v/>
      </c>
      <c r="Y15" s="67">
        <f>IFERROR(IF(W15&lt;1,X15/(1-W15),""),"")</f>
        <v/>
      </c>
      <c r="Z15" s="68">
        <f>'01_CONFIG_GLOBAL'!$C$14</f>
        <v/>
      </c>
      <c r="AA15" s="67">
        <f>IFERROR(Y15*Z15,"")</f>
        <v/>
      </c>
      <c r="AB15" s="67">
        <f>IFERROR(IF(Z15&lt;1,Y15/(1-Z15),""),"")</f>
        <v/>
      </c>
      <c r="AC15" s="61" t="n"/>
      <c r="AD15" s="65" t="n"/>
      <c r="AE15" s="61" t="n"/>
      <c r="AF15" s="65" t="n"/>
      <c r="AG15" s="61" t="n"/>
      <c r="AH15" s="65" t="n"/>
      <c r="AI15" s="67">
        <f>IFERROR(AVERAGE(AD15,AF15,AH15),"")</f>
        <v/>
      </c>
      <c r="AJ15" s="62">
        <f>IFERROR(IF(AI15="","sem dados",IF(AB15&lt;AI15*0.95,"abaixo",IF(AB15&gt;AI15*1.05,"acima","em linha"))),"")</f>
        <v/>
      </c>
      <c r="AK15" s="61" t="inlineStr">
        <is>
          <t>sim</t>
        </is>
      </c>
      <c r="AL15" s="61" t="n"/>
      <c r="AM15" s="61" t="n"/>
      <c r="AN15" s="61" t="inlineStr">
        <is>
          <t>Fotos: assets/greco_GR142229_ecommerce.png</t>
        </is>
      </c>
      <c r="AO15" s="44">
        <f>A15</f>
        <v/>
      </c>
      <c r="AP15" s="44">
        <f>D15</f>
        <v/>
      </c>
      <c r="AQ15" s="28" t="inlineStr">
        <is>
          <t>greco_GR142229_ecommerce.png</t>
        </is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55" t="n"/>
      <c r="N16" s="55" t="n"/>
      <c r="O16" s="55" t="n"/>
      <c r="P16" s="55" t="n"/>
      <c r="Q16" s="55" t="n"/>
      <c r="R16" s="55" t="n"/>
      <c r="S16" s="55" t="n"/>
      <c r="T16" s="56" t="n"/>
      <c r="U16" s="1" t="n"/>
      <c r="V16" s="56" t="n"/>
      <c r="W16" s="57" t="n"/>
      <c r="X16" s="56" t="n"/>
      <c r="Y16" s="56" t="n"/>
      <c r="Z16" s="57" t="n"/>
      <c r="AA16" s="56" t="n"/>
      <c r="AB16" s="56" t="n"/>
      <c r="AC16" s="1" t="n"/>
      <c r="AD16" s="56" t="n"/>
      <c r="AE16" s="1" t="n"/>
      <c r="AF16" s="56" t="n"/>
      <c r="AG16" s="1" t="n"/>
      <c r="AH16" s="56" t="n"/>
      <c r="AI16" s="56" t="n"/>
      <c r="AJ16" s="1" t="n"/>
      <c r="AK16" s="1" t="n"/>
      <c r="AL16" s="1" t="n"/>
      <c r="AM16" s="1" t="n"/>
      <c r="A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55" t="n"/>
      <c r="N17" s="55" t="n"/>
      <c r="O17" s="55" t="n"/>
      <c r="P17" s="55" t="n"/>
      <c r="Q17" s="55" t="n"/>
      <c r="R17" s="55" t="n"/>
      <c r="S17" s="55" t="n"/>
      <c r="T17" s="56" t="n"/>
      <c r="U17" s="1" t="n"/>
      <c r="V17" s="56" t="n"/>
      <c r="W17" s="57" t="n"/>
      <c r="X17" s="56" t="n"/>
      <c r="Y17" s="56" t="n"/>
      <c r="Z17" s="57" t="n"/>
      <c r="AA17" s="56" t="n"/>
      <c r="AB17" s="56" t="n"/>
      <c r="AC17" s="1" t="n"/>
      <c r="AD17" s="56" t="n"/>
      <c r="AE17" s="1" t="n"/>
      <c r="AF17" s="56" t="n"/>
      <c r="AG17" s="1" t="n"/>
      <c r="AH17" s="56" t="n"/>
      <c r="AI17" s="56" t="n"/>
      <c r="AJ17" s="1" t="n"/>
      <c r="AK17" s="1" t="n"/>
      <c r="AL17" s="1" t="n"/>
      <c r="AM17" s="1" t="n"/>
      <c r="A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55" t="n"/>
      <c r="N18" s="55" t="n"/>
      <c r="O18" s="55" t="n"/>
      <c r="P18" s="55" t="n"/>
      <c r="Q18" s="55" t="n"/>
      <c r="R18" s="55" t="n"/>
      <c r="S18" s="55" t="n"/>
      <c r="T18" s="56" t="n"/>
      <c r="U18" s="1" t="n"/>
      <c r="V18" s="56" t="n"/>
      <c r="W18" s="57" t="n"/>
      <c r="X18" s="56" t="n"/>
      <c r="Y18" s="56" t="n"/>
      <c r="Z18" s="57" t="n"/>
      <c r="AA18" s="56" t="n"/>
      <c r="AB18" s="56" t="n"/>
      <c r="AC18" s="56" t="n"/>
      <c r="AD18" s="56" t="n"/>
      <c r="AE18" s="1" t="n"/>
      <c r="AF18" s="56" t="n"/>
      <c r="AG18" s="1" t="n"/>
      <c r="AH18" s="56" t="n"/>
      <c r="AI18" s="56" t="n"/>
      <c r="AJ18" s="1" t="n"/>
      <c r="AK18" s="1" t="n"/>
      <c r="AL18" s="1" t="n"/>
      <c r="AM18" s="1" t="n"/>
      <c r="A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55" t="n"/>
      <c r="N19" s="55" t="n"/>
      <c r="O19" s="55" t="n"/>
      <c r="P19" s="1" t="n"/>
      <c r="Q19" s="55" t="n"/>
      <c r="R19" s="55" t="n"/>
      <c r="S19" s="55" t="n"/>
      <c r="T19" s="56" t="n"/>
      <c r="U19" s="1" t="n"/>
      <c r="V19" s="56" t="n"/>
      <c r="W19" s="57" t="n"/>
      <c r="X19" s="56" t="n"/>
      <c r="Y19" s="56" t="n"/>
      <c r="Z19" s="57" t="n"/>
      <c r="AA19" s="56" t="n"/>
      <c r="AB19" s="56" t="n"/>
      <c r="AC19" s="56" t="n"/>
      <c r="AD19" s="56" t="n"/>
      <c r="AE19" s="1" t="n"/>
      <c r="AF19" s="56" t="n"/>
      <c r="AG19" s="1" t="n"/>
      <c r="AH19" s="56" t="n"/>
      <c r="AI19" s="56" t="n"/>
      <c r="AJ19" s="1" t="n"/>
      <c r="AK19" s="1" t="n"/>
      <c r="AL19" s="1" t="n"/>
      <c r="AM19" s="1" t="n"/>
      <c r="AN19" s="1" t="n"/>
    </row>
    <row r="20" ht="15.75" customHeight="1" s="9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55" t="n"/>
      <c r="N20" s="55" t="n"/>
      <c r="O20" s="55" t="n"/>
      <c r="P20" s="55" t="n"/>
      <c r="Q20" s="55" t="n"/>
      <c r="R20" s="55" t="n"/>
      <c r="S20" s="55" t="n"/>
      <c r="T20" s="56" t="n"/>
      <c r="U20" s="1" t="n"/>
      <c r="V20" s="56" t="n"/>
      <c r="W20" s="57" t="n"/>
      <c r="X20" s="56" t="n"/>
      <c r="Y20" s="56" t="n"/>
      <c r="Z20" s="57" t="n"/>
      <c r="AA20" s="56" t="n"/>
      <c r="AB20" s="1" t="n"/>
      <c r="AC20" s="1" t="n"/>
      <c r="AD20" s="56" t="n"/>
      <c r="AE20" s="1" t="n"/>
      <c r="AF20" s="56" t="n"/>
      <c r="AG20" s="1" t="n"/>
      <c r="AH20" s="56" t="n"/>
      <c r="AI20" s="56" t="n"/>
      <c r="AJ20" s="1" t="n"/>
      <c r="AK20" s="1" t="n"/>
      <c r="AL20" s="1" t="n"/>
      <c r="AM20" s="1" t="n"/>
      <c r="AN20" s="1" t="n"/>
    </row>
    <row r="21" ht="15.75" customHeight="1" s="9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55" t="n"/>
      <c r="N21" s="55" t="n"/>
      <c r="O21" s="55" t="n"/>
      <c r="P21" s="55" t="n"/>
      <c r="Q21" s="55" t="n"/>
      <c r="R21" s="55" t="n"/>
      <c r="S21" s="55" t="n"/>
      <c r="T21" s="56" t="n"/>
      <c r="U21" s="1" t="n"/>
      <c r="V21" s="56" t="n"/>
      <c r="W21" s="57" t="n"/>
      <c r="X21" s="56" t="n"/>
      <c r="Y21" s="56" t="n"/>
      <c r="Z21" s="57" t="n"/>
      <c r="AA21" s="56" t="n"/>
      <c r="AB21" s="56" t="n"/>
      <c r="AC21" s="1" t="n"/>
      <c r="AD21" s="56" t="n"/>
      <c r="AE21" s="1" t="n"/>
      <c r="AF21" s="56" t="n"/>
      <c r="AG21" s="1" t="n"/>
      <c r="AH21" s="56" t="n"/>
      <c r="AI21" s="56" t="n"/>
      <c r="AJ21" s="1" t="n"/>
      <c r="AK21" s="1" t="n"/>
      <c r="AL21" s="1" t="n"/>
      <c r="AM21" s="1" t="n"/>
      <c r="AN21" s="1" t="n"/>
    </row>
    <row r="22" ht="15.75" customHeight="1" s="9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55" t="n"/>
      <c r="N22" s="55" t="n"/>
      <c r="O22" s="55" t="n"/>
      <c r="P22" s="55" t="n"/>
      <c r="Q22" s="55" t="n"/>
      <c r="R22" s="55" t="n"/>
      <c r="S22" s="55" t="n"/>
      <c r="T22" s="56" t="n"/>
      <c r="U22" s="1" t="n"/>
      <c r="V22" s="56" t="n"/>
      <c r="W22" s="57" t="n"/>
      <c r="X22" s="56" t="n"/>
      <c r="Y22" s="56" t="n"/>
      <c r="Z22" s="57" t="n"/>
      <c r="AA22" s="56" t="n"/>
      <c r="AB22" s="56" t="n"/>
      <c r="AC22" s="1" t="n"/>
      <c r="AD22" s="56" t="n"/>
      <c r="AE22" s="1" t="n"/>
      <c r="AF22" s="56" t="n"/>
      <c r="AG22" s="1" t="n"/>
      <c r="AH22" s="56" t="n"/>
      <c r="AI22" s="56" t="n"/>
      <c r="AJ22" s="1" t="n"/>
      <c r="AK22" s="1" t="n"/>
      <c r="AL22" s="1" t="n"/>
      <c r="AM22" s="1" t="n"/>
      <c r="AN22" s="1" t="n"/>
    </row>
    <row r="23" ht="15.75" customHeight="1" s="9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55" t="n"/>
      <c r="N23" s="55" t="n"/>
      <c r="O23" s="55" t="n"/>
      <c r="P23" s="55" t="n"/>
      <c r="Q23" s="55" t="n"/>
      <c r="R23" s="55" t="n"/>
      <c r="S23" s="55" t="n"/>
      <c r="T23" s="56" t="n"/>
      <c r="U23" s="1" t="n"/>
      <c r="V23" s="56" t="n"/>
      <c r="W23" s="57" t="n"/>
      <c r="X23" s="56" t="n"/>
      <c r="Y23" s="56" t="n"/>
      <c r="Z23" s="57" t="n"/>
      <c r="AA23" s="56" t="n"/>
      <c r="AB23" s="56" t="n"/>
      <c r="AC23" s="1" t="n"/>
      <c r="AD23" s="56" t="n"/>
      <c r="AE23" s="1" t="n"/>
      <c r="AF23" s="56" t="n"/>
      <c r="AG23" s="1" t="n"/>
      <c r="AH23" s="56" t="n"/>
      <c r="AI23" s="56" t="n"/>
      <c r="AJ23" s="1" t="n"/>
      <c r="AK23" s="1" t="n"/>
      <c r="AL23" s="1" t="n"/>
      <c r="AM23" s="1" t="n"/>
      <c r="AN23" s="1" t="n"/>
    </row>
    <row r="24" ht="15.75" customHeight="1" s="9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55" t="n"/>
      <c r="N24" s="55" t="n"/>
      <c r="O24" s="55" t="n"/>
      <c r="P24" s="55" t="n"/>
      <c r="Q24" s="55" t="n"/>
      <c r="R24" s="55" t="n"/>
      <c r="S24" s="55" t="n"/>
      <c r="T24" s="56" t="n"/>
      <c r="U24" s="1" t="n"/>
      <c r="V24" s="56" t="n"/>
      <c r="W24" s="57" t="n"/>
      <c r="X24" s="56" t="n"/>
      <c r="Y24" s="56" t="n"/>
      <c r="Z24" s="57" t="n"/>
      <c r="AA24" s="56" t="n"/>
      <c r="AB24" s="56" t="n"/>
      <c r="AC24" s="1" t="n"/>
      <c r="AD24" s="56" t="n"/>
      <c r="AE24" s="1" t="n"/>
      <c r="AF24" s="56" t="n"/>
      <c r="AG24" s="1" t="n"/>
      <c r="AH24" s="56" t="n"/>
      <c r="AI24" s="56" t="n"/>
      <c r="AJ24" s="1" t="n"/>
      <c r="AK24" s="1" t="n"/>
      <c r="AL24" s="1" t="n"/>
      <c r="AM24" s="1" t="n"/>
      <c r="AN24" s="1" t="n"/>
    </row>
    <row r="25" ht="15.75" customHeight="1" s="9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55" t="n"/>
      <c r="N25" s="55" t="n"/>
      <c r="O25" s="55" t="n"/>
      <c r="P25" s="55" t="n"/>
      <c r="Q25" s="55" t="n"/>
      <c r="R25" s="55" t="n"/>
      <c r="S25" s="55" t="n"/>
      <c r="T25" s="56" t="n"/>
      <c r="U25" s="1" t="n"/>
      <c r="V25" s="56" t="n"/>
      <c r="W25" s="57" t="n"/>
      <c r="X25" s="56" t="n"/>
      <c r="Y25" s="56" t="n"/>
      <c r="Z25" s="57" t="n"/>
      <c r="AA25" s="56" t="n"/>
      <c r="AB25" s="56" t="n"/>
      <c r="AC25" s="1" t="n"/>
      <c r="AD25" s="56" t="n"/>
      <c r="AE25" s="1" t="n"/>
      <c r="AF25" s="56" t="n"/>
      <c r="AG25" s="1" t="n"/>
      <c r="AH25" s="56" t="n"/>
      <c r="AI25" s="56" t="n"/>
      <c r="AJ25" s="1" t="n"/>
      <c r="AK25" s="1" t="n"/>
      <c r="AL25" s="1" t="n"/>
      <c r="AM25" s="1" t="n"/>
      <c r="AN25" s="1" t="n"/>
    </row>
    <row r="26" ht="15.75" customHeight="1" s="9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55" t="n"/>
      <c r="N26" s="55" t="n"/>
      <c r="O26" s="55" t="n"/>
      <c r="P26" s="55" t="n"/>
      <c r="Q26" s="55" t="n"/>
      <c r="R26" s="55" t="n"/>
      <c r="S26" s="55" t="n"/>
      <c r="T26" s="56" t="n"/>
      <c r="U26" s="1" t="n"/>
      <c r="V26" s="56" t="n"/>
      <c r="W26" s="57" t="n"/>
      <c r="X26" s="56" t="n"/>
      <c r="Y26" s="56" t="n"/>
      <c r="Z26" s="57" t="n"/>
      <c r="AA26" s="56" t="n"/>
      <c r="AB26" s="56" t="n"/>
      <c r="AC26" s="1" t="n"/>
      <c r="AD26" s="56" t="n"/>
      <c r="AE26" s="1" t="n"/>
      <c r="AF26" s="56" t="n"/>
      <c r="AG26" s="1" t="n"/>
      <c r="AH26" s="56" t="n"/>
      <c r="AI26" s="56" t="n"/>
      <c r="AJ26" s="1" t="n"/>
      <c r="AK26" s="1" t="n"/>
      <c r="AL26" s="1" t="n"/>
      <c r="AM26" s="1" t="n"/>
      <c r="AN26" s="1" t="n"/>
    </row>
    <row r="27" ht="15.75" customHeight="1" s="9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55" t="n"/>
      <c r="N27" s="55" t="n"/>
      <c r="O27" s="55" t="n"/>
      <c r="P27" s="55" t="n"/>
      <c r="Q27" s="55" t="n"/>
      <c r="R27" s="55" t="n"/>
      <c r="S27" s="55" t="n"/>
      <c r="T27" s="56" t="n"/>
      <c r="U27" s="1" t="n"/>
      <c r="V27" s="56" t="n"/>
      <c r="W27" s="57" t="n"/>
      <c r="X27" s="56" t="n"/>
      <c r="Y27" s="56" t="n"/>
      <c r="Z27" s="57" t="n"/>
      <c r="AA27" s="56" t="n"/>
      <c r="AB27" s="56" t="n"/>
      <c r="AC27" s="1" t="n"/>
      <c r="AD27" s="56" t="n"/>
      <c r="AE27" s="1" t="n"/>
      <c r="AF27" s="56" t="n"/>
      <c r="AG27" s="1" t="n"/>
      <c r="AH27" s="56" t="n"/>
      <c r="AI27" s="56" t="n"/>
      <c r="AJ27" s="1" t="n"/>
      <c r="AK27" s="1" t="n"/>
      <c r="AL27" s="1" t="n"/>
      <c r="AM27" s="1" t="n"/>
      <c r="AN27" s="1" t="n"/>
    </row>
    <row r="28" ht="15.75" customHeight="1" s="9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55" t="n"/>
      <c r="N28" s="55" t="n"/>
      <c r="O28" s="55" t="n"/>
      <c r="P28" s="55" t="n"/>
      <c r="Q28" s="55" t="n"/>
      <c r="R28" s="55" t="n"/>
      <c r="S28" s="55" t="n"/>
      <c r="T28" s="56" t="n"/>
      <c r="U28" s="1" t="n"/>
      <c r="V28" s="56" t="n"/>
      <c r="W28" s="57" t="n"/>
      <c r="X28" s="56" t="n"/>
      <c r="Y28" s="56" t="n"/>
      <c r="Z28" s="57" t="n"/>
      <c r="AA28" s="56" t="n"/>
      <c r="AB28" s="56" t="n"/>
      <c r="AC28" s="1" t="n"/>
      <c r="AD28" s="56" t="n"/>
      <c r="AE28" s="1" t="n"/>
      <c r="AF28" s="56" t="n"/>
      <c r="AG28" s="1" t="n"/>
      <c r="AH28" s="56" t="n"/>
      <c r="AI28" s="56" t="n"/>
      <c r="AJ28" s="1" t="n"/>
      <c r="AK28" s="1" t="n"/>
      <c r="AL28" s="1" t="n"/>
      <c r="AM28" s="1" t="n"/>
      <c r="AN28" s="1" t="n"/>
    </row>
    <row r="29" ht="15.75" customHeight="1" s="9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55" t="n"/>
      <c r="N29" s="55" t="n"/>
      <c r="O29" s="55" t="n"/>
      <c r="P29" s="55" t="n"/>
      <c r="Q29" s="55" t="n"/>
      <c r="R29" s="55" t="n"/>
      <c r="S29" s="55" t="n"/>
      <c r="T29" s="56" t="n"/>
      <c r="U29" s="1" t="n"/>
      <c r="V29" s="56" t="n"/>
      <c r="W29" s="57" t="n"/>
      <c r="X29" s="56" t="n"/>
      <c r="Y29" s="56" t="n"/>
      <c r="Z29" s="57" t="n"/>
      <c r="AA29" s="56" t="n"/>
      <c r="AB29" s="56" t="n"/>
      <c r="AC29" s="1" t="n"/>
      <c r="AD29" s="56" t="n"/>
      <c r="AE29" s="1" t="n"/>
      <c r="AF29" s="56" t="n"/>
      <c r="AG29" s="1" t="n"/>
      <c r="AH29" s="56" t="n"/>
      <c r="AI29" s="56" t="n"/>
      <c r="AJ29" s="1" t="n"/>
      <c r="AK29" s="1" t="n"/>
      <c r="AL29" s="1" t="n"/>
      <c r="AM29" s="1" t="n"/>
      <c r="AN29" s="1" t="n"/>
    </row>
    <row r="30" ht="15.75" customHeight="1" s="9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55" t="n"/>
      <c r="N30" s="55" t="n"/>
      <c r="O30" s="55" t="n"/>
      <c r="P30" s="55" t="n"/>
      <c r="Q30" s="55" t="n"/>
      <c r="R30" s="55" t="n"/>
      <c r="S30" s="55" t="n"/>
      <c r="T30" s="56" t="n"/>
      <c r="U30" s="1" t="n"/>
      <c r="V30" s="56" t="n"/>
      <c r="W30" s="57" t="n"/>
      <c r="X30" s="56" t="n"/>
      <c r="Y30" s="56" t="n"/>
      <c r="Z30" s="57" t="n"/>
      <c r="AA30" s="56" t="n"/>
      <c r="AB30" s="56" t="n"/>
      <c r="AC30" s="1" t="n"/>
      <c r="AD30" s="56" t="n"/>
      <c r="AE30" s="1" t="n"/>
      <c r="AF30" s="56" t="n"/>
      <c r="AG30" s="1" t="n"/>
      <c r="AH30" s="56" t="n"/>
      <c r="AI30" s="56" t="n"/>
      <c r="AJ30" s="1" t="n"/>
      <c r="AK30" s="1" t="n"/>
      <c r="AL30" s="1" t="n"/>
      <c r="AM30" s="1" t="n"/>
      <c r="AN30" s="1" t="n"/>
    </row>
    <row r="31" ht="15.75" customHeight="1" s="9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55" t="n"/>
      <c r="N31" s="55" t="n"/>
      <c r="O31" s="55" t="n"/>
      <c r="P31" s="55" t="n"/>
      <c r="Q31" s="55" t="n"/>
      <c r="R31" s="55" t="n"/>
      <c r="S31" s="55" t="n"/>
      <c r="T31" s="56" t="n"/>
      <c r="U31" s="1" t="n"/>
      <c r="V31" s="56" t="n"/>
      <c r="W31" s="57" t="n"/>
      <c r="X31" s="56" t="n"/>
      <c r="Y31" s="56" t="n"/>
      <c r="Z31" s="57" t="n"/>
      <c r="AA31" s="56" t="n"/>
      <c r="AB31" s="56" t="n"/>
      <c r="AC31" s="1" t="n"/>
      <c r="AD31" s="56" t="n"/>
      <c r="AE31" s="1" t="n"/>
      <c r="AF31" s="56" t="n"/>
      <c r="AG31" s="1" t="n"/>
      <c r="AH31" s="56" t="n"/>
      <c r="AI31" s="56" t="n"/>
      <c r="AJ31" s="1" t="n"/>
      <c r="AK31" s="1" t="n"/>
      <c r="AL31" s="1" t="n"/>
      <c r="AM31" s="1" t="n"/>
      <c r="AN31" s="1" t="n"/>
    </row>
    <row r="32" ht="15.75" customHeight="1" s="9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55" t="n"/>
      <c r="N32" s="55" t="n"/>
      <c r="O32" s="55" t="n"/>
      <c r="P32" s="55" t="n"/>
      <c r="Q32" s="55" t="n"/>
      <c r="R32" s="55" t="n"/>
      <c r="S32" s="55" t="n"/>
      <c r="T32" s="56" t="n"/>
      <c r="U32" s="1" t="n"/>
      <c r="V32" s="56" t="n"/>
      <c r="W32" s="57" t="n"/>
      <c r="X32" s="56" t="n"/>
      <c r="Y32" s="56" t="n"/>
      <c r="Z32" s="57" t="n"/>
      <c r="AA32" s="56" t="n"/>
      <c r="AB32" s="56" t="n"/>
      <c r="AC32" s="1" t="n"/>
      <c r="AD32" s="56" t="n"/>
      <c r="AE32" s="1" t="n"/>
      <c r="AF32" s="56" t="n"/>
      <c r="AG32" s="1" t="n"/>
      <c r="AH32" s="56" t="n"/>
      <c r="AI32" s="56" t="n"/>
      <c r="AJ32" s="1" t="n"/>
      <c r="AK32" s="1" t="n"/>
      <c r="AL32" s="1" t="n"/>
      <c r="AM32" s="1" t="n"/>
      <c r="AN32" s="1" t="n"/>
    </row>
    <row r="33" ht="15.75" customHeight="1" s="9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55" t="n"/>
      <c r="N33" s="55" t="n"/>
      <c r="O33" s="55" t="n"/>
      <c r="P33" s="55" t="n"/>
      <c r="Q33" s="55" t="n"/>
      <c r="R33" s="55" t="n"/>
      <c r="S33" s="55" t="n"/>
      <c r="T33" s="56" t="n"/>
      <c r="U33" s="1" t="n"/>
      <c r="V33" s="56" t="n"/>
      <c r="W33" s="57" t="n"/>
      <c r="X33" s="56" t="n"/>
      <c r="Y33" s="56" t="n"/>
      <c r="Z33" s="57" t="n"/>
      <c r="AA33" s="56" t="n"/>
      <c r="AB33" s="56" t="n"/>
      <c r="AC33" s="1" t="n"/>
      <c r="AD33" s="56" t="n"/>
      <c r="AE33" s="1" t="n"/>
      <c r="AF33" s="56" t="n"/>
      <c r="AG33" s="1" t="n"/>
      <c r="AH33" s="56" t="n"/>
      <c r="AI33" s="56" t="n"/>
      <c r="AJ33" s="1" t="n"/>
      <c r="AK33" s="1" t="n"/>
      <c r="AL33" s="1" t="n"/>
      <c r="AM33" s="1" t="n"/>
      <c r="AN33" s="1" t="n"/>
    </row>
    <row r="34" ht="15.75" customHeight="1" s="9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55" t="n"/>
      <c r="N34" s="55" t="n"/>
      <c r="O34" s="55" t="n"/>
      <c r="P34" s="55" t="n"/>
      <c r="Q34" s="55" t="n"/>
      <c r="R34" s="55" t="n"/>
      <c r="S34" s="55" t="n"/>
      <c r="T34" s="56" t="n"/>
      <c r="U34" s="1" t="n"/>
      <c r="V34" s="56" t="n"/>
      <c r="W34" s="57" t="n"/>
      <c r="X34" s="56" t="n"/>
      <c r="Y34" s="56" t="n"/>
      <c r="Z34" s="57" t="n"/>
      <c r="AA34" s="56" t="n"/>
      <c r="AB34" s="56" t="n"/>
      <c r="AC34" s="1" t="n"/>
      <c r="AD34" s="56" t="n"/>
      <c r="AE34" s="1" t="n"/>
      <c r="AF34" s="56" t="n"/>
      <c r="AG34" s="1" t="n"/>
      <c r="AH34" s="56" t="n"/>
      <c r="AI34" s="56" t="n"/>
      <c r="AJ34" s="1" t="n"/>
      <c r="AK34" s="1" t="n"/>
      <c r="AL34" s="1" t="n"/>
      <c r="AM34" s="1" t="n"/>
      <c r="AN34" s="1" t="n"/>
    </row>
    <row r="35" ht="15.75" customHeight="1" s="9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55" t="n"/>
      <c r="N35" s="55" t="n"/>
      <c r="O35" s="55" t="n"/>
      <c r="P35" s="55" t="n"/>
      <c r="Q35" s="55" t="n"/>
      <c r="R35" s="55" t="n"/>
      <c r="S35" s="55" t="n"/>
      <c r="T35" s="56" t="n"/>
      <c r="U35" s="1" t="n"/>
      <c r="V35" s="56" t="n"/>
      <c r="W35" s="57" t="n"/>
      <c r="X35" s="56" t="n"/>
      <c r="Y35" s="56" t="n"/>
      <c r="Z35" s="57" t="n"/>
      <c r="AA35" s="56" t="n"/>
      <c r="AB35" s="56" t="n"/>
      <c r="AC35" s="1" t="n"/>
      <c r="AD35" s="56" t="n"/>
      <c r="AE35" s="1" t="n"/>
      <c r="AF35" s="56" t="n"/>
      <c r="AG35" s="1" t="n"/>
      <c r="AH35" s="56" t="n"/>
      <c r="AI35" s="56" t="n"/>
      <c r="AJ35" s="1" t="n"/>
      <c r="AK35" s="1" t="n"/>
      <c r="AL35" s="1" t="n"/>
      <c r="AM35" s="1" t="n"/>
      <c r="AN35" s="1" t="n"/>
    </row>
    <row r="36" ht="15.75" customHeight="1" s="9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55" t="n"/>
      <c r="N36" s="55" t="n"/>
      <c r="O36" s="55" t="n"/>
      <c r="P36" s="55" t="n"/>
      <c r="Q36" s="55" t="n"/>
      <c r="R36" s="55" t="n"/>
      <c r="S36" s="55" t="n"/>
      <c r="T36" s="56" t="n"/>
      <c r="U36" s="1" t="n"/>
      <c r="V36" s="56" t="n"/>
      <c r="W36" s="57" t="n"/>
      <c r="X36" s="56" t="n"/>
      <c r="Y36" s="56" t="n"/>
      <c r="Z36" s="57" t="n"/>
      <c r="AA36" s="56" t="n"/>
      <c r="AB36" s="56" t="n"/>
      <c r="AC36" s="1" t="n"/>
      <c r="AD36" s="56" t="n"/>
      <c r="AE36" s="1" t="n"/>
      <c r="AF36" s="56" t="n"/>
      <c r="AG36" s="1" t="n"/>
      <c r="AH36" s="56" t="n"/>
      <c r="AI36" s="56" t="n"/>
      <c r="AJ36" s="1" t="n"/>
      <c r="AK36" s="1" t="n"/>
      <c r="AL36" s="1" t="n"/>
      <c r="AM36" s="1" t="n"/>
      <c r="AN36" s="1" t="n"/>
    </row>
    <row r="37" ht="15.75" customHeight="1" s="9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55" t="n"/>
      <c r="N37" s="55" t="n"/>
      <c r="O37" s="55" t="n"/>
      <c r="P37" s="55" t="n"/>
      <c r="Q37" s="55" t="n"/>
      <c r="R37" s="55" t="n"/>
      <c r="S37" s="55" t="n"/>
      <c r="T37" s="56" t="n"/>
      <c r="U37" s="1" t="n"/>
      <c r="V37" s="56" t="n"/>
      <c r="W37" s="57" t="n"/>
      <c r="X37" s="56" t="n"/>
      <c r="Y37" s="56" t="n"/>
      <c r="Z37" s="57" t="n"/>
      <c r="AA37" s="56" t="n"/>
      <c r="AB37" s="56" t="n"/>
      <c r="AC37" s="1" t="n"/>
      <c r="AD37" s="56" t="n"/>
      <c r="AE37" s="1" t="n"/>
      <c r="AF37" s="56" t="n"/>
      <c r="AG37" s="1" t="n"/>
      <c r="AH37" s="56" t="n"/>
      <c r="AI37" s="56" t="n"/>
      <c r="AJ37" s="1" t="n"/>
      <c r="AK37" s="1" t="n"/>
      <c r="AL37" s="1" t="n"/>
      <c r="AM37" s="1" t="n"/>
      <c r="AN37" s="1" t="n"/>
    </row>
    <row r="38" ht="15.75" customHeight="1" s="9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55" t="n"/>
      <c r="N38" s="55" t="n"/>
      <c r="O38" s="55" t="n"/>
      <c r="P38" s="55" t="n"/>
      <c r="Q38" s="55" t="n"/>
      <c r="R38" s="55" t="n"/>
      <c r="S38" s="55" t="n"/>
      <c r="T38" s="56" t="n"/>
      <c r="U38" s="1" t="n"/>
      <c r="V38" s="56" t="n"/>
      <c r="W38" s="57" t="n"/>
      <c r="X38" s="56" t="n"/>
      <c r="Y38" s="56" t="n"/>
      <c r="Z38" s="57" t="n"/>
      <c r="AA38" s="56" t="n"/>
      <c r="AB38" s="56" t="n"/>
      <c r="AC38" s="1" t="n"/>
      <c r="AD38" s="56" t="n"/>
      <c r="AE38" s="1" t="n"/>
      <c r="AF38" s="56" t="n"/>
      <c r="AG38" s="1" t="n"/>
      <c r="AH38" s="56" t="n"/>
      <c r="AI38" s="56" t="n"/>
      <c r="AJ38" s="1" t="n"/>
      <c r="AK38" s="1" t="n"/>
      <c r="AL38" s="1" t="n"/>
      <c r="AM38" s="1" t="n"/>
      <c r="AN38" s="1" t="n"/>
    </row>
    <row r="39" ht="15.75" customHeight="1" s="9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55" t="n"/>
      <c r="N39" s="55" t="n"/>
      <c r="O39" s="55" t="n"/>
      <c r="P39" s="55" t="n"/>
      <c r="Q39" s="55" t="n"/>
      <c r="R39" s="55" t="n"/>
      <c r="S39" s="55" t="n"/>
      <c r="T39" s="56" t="n"/>
      <c r="U39" s="1" t="n"/>
      <c r="V39" s="56" t="n"/>
      <c r="W39" s="57" t="n"/>
      <c r="X39" s="56" t="n"/>
      <c r="Y39" s="56" t="n"/>
      <c r="Z39" s="57" t="n"/>
      <c r="AA39" s="56" t="n"/>
      <c r="AB39" s="56" t="n"/>
      <c r="AC39" s="1" t="n"/>
      <c r="AD39" s="56" t="n"/>
      <c r="AE39" s="1" t="n"/>
      <c r="AF39" s="56" t="n"/>
      <c r="AG39" s="1" t="n"/>
      <c r="AH39" s="56" t="n"/>
      <c r="AI39" s="56" t="n"/>
      <c r="AJ39" s="1" t="n"/>
      <c r="AK39" s="1" t="n"/>
      <c r="AL39" s="1" t="n"/>
      <c r="AM39" s="1" t="n"/>
      <c r="AN39" s="1" t="n"/>
    </row>
    <row r="40" ht="15.75" customHeight="1" s="9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55" t="n"/>
      <c r="N40" s="55" t="n"/>
      <c r="O40" s="55" t="n"/>
      <c r="P40" s="55" t="n"/>
      <c r="Q40" s="55" t="n"/>
      <c r="R40" s="55" t="n"/>
      <c r="S40" s="55" t="n"/>
      <c r="T40" s="56" t="n"/>
      <c r="U40" s="1" t="n"/>
      <c r="V40" s="56" t="n"/>
      <c r="W40" s="57" t="n"/>
      <c r="X40" s="56" t="n"/>
      <c r="Y40" s="56" t="n"/>
      <c r="Z40" s="57" t="n"/>
      <c r="AA40" s="56" t="n"/>
      <c r="AB40" s="56" t="n"/>
      <c r="AC40" s="1" t="n"/>
      <c r="AD40" s="56" t="n"/>
      <c r="AE40" s="1" t="n"/>
      <c r="AF40" s="56" t="n"/>
      <c r="AG40" s="1" t="n"/>
      <c r="AH40" s="56" t="n"/>
      <c r="AI40" s="56" t="n"/>
      <c r="AJ40" s="1" t="n"/>
      <c r="AK40" s="1" t="n"/>
      <c r="AL40" s="1" t="n"/>
      <c r="AM40" s="1" t="n"/>
      <c r="AN40" s="1" t="n"/>
    </row>
    <row r="41" ht="15.75" customHeight="1" s="9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55" t="n"/>
      <c r="N41" s="55" t="n"/>
      <c r="O41" s="55" t="n"/>
      <c r="P41" s="55" t="n"/>
      <c r="Q41" s="55" t="n"/>
      <c r="R41" s="55" t="n"/>
      <c r="S41" s="55" t="n"/>
      <c r="T41" s="56" t="n"/>
      <c r="U41" s="1" t="n"/>
      <c r="V41" s="56" t="n"/>
      <c r="W41" s="57" t="n"/>
      <c r="X41" s="56" t="n"/>
      <c r="Y41" s="56" t="n"/>
      <c r="Z41" s="57" t="n"/>
      <c r="AA41" s="56" t="n"/>
      <c r="AB41" s="56" t="n"/>
      <c r="AC41" s="1" t="n"/>
      <c r="AD41" s="56" t="n"/>
      <c r="AE41" s="1" t="n"/>
      <c r="AF41" s="56" t="n"/>
      <c r="AG41" s="1" t="n"/>
      <c r="AH41" s="56" t="n"/>
      <c r="AI41" s="56" t="n"/>
      <c r="AJ41" s="1" t="n"/>
      <c r="AK41" s="1" t="n"/>
      <c r="AL41" s="1" t="n"/>
      <c r="AM41" s="1" t="n"/>
      <c r="AN41" s="1" t="n"/>
    </row>
    <row r="42" ht="15.75" customHeight="1" s="9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55" t="n"/>
      <c r="N42" s="55" t="n"/>
      <c r="O42" s="55" t="n"/>
      <c r="P42" s="55" t="n"/>
      <c r="Q42" s="55" t="n"/>
      <c r="R42" s="55" t="n"/>
      <c r="S42" s="55" t="n"/>
      <c r="T42" s="56" t="n"/>
      <c r="U42" s="1" t="n"/>
      <c r="V42" s="56" t="n"/>
      <c r="W42" s="57" t="n"/>
      <c r="X42" s="56" t="n"/>
      <c r="Y42" s="56" t="n"/>
      <c r="Z42" s="57" t="n"/>
      <c r="AA42" s="56" t="n"/>
      <c r="AB42" s="56" t="n"/>
      <c r="AC42" s="1" t="n"/>
      <c r="AD42" s="56" t="n"/>
      <c r="AE42" s="1" t="n"/>
      <c r="AF42" s="56" t="n"/>
      <c r="AG42" s="1" t="n"/>
      <c r="AH42" s="56" t="n"/>
      <c r="AI42" s="56" t="n"/>
      <c r="AJ42" s="1" t="n"/>
      <c r="AK42" s="1" t="n"/>
      <c r="AL42" s="1" t="n"/>
      <c r="AM42" s="1" t="n"/>
      <c r="AN42" s="1" t="n"/>
    </row>
    <row r="43" ht="15.75" customHeight="1" s="9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55" t="n"/>
      <c r="N43" s="55" t="n"/>
      <c r="O43" s="55" t="n"/>
      <c r="P43" s="55" t="n"/>
      <c r="Q43" s="55" t="n"/>
      <c r="R43" s="55" t="n"/>
      <c r="S43" s="55" t="n"/>
      <c r="T43" s="56" t="n"/>
      <c r="U43" s="1" t="n"/>
      <c r="V43" s="56" t="n"/>
      <c r="W43" s="57" t="n"/>
      <c r="X43" s="56" t="n"/>
      <c r="Y43" s="56" t="n"/>
      <c r="Z43" s="57" t="n"/>
      <c r="AA43" s="56" t="n"/>
      <c r="AB43" s="56" t="n"/>
      <c r="AC43" s="1" t="n"/>
      <c r="AD43" s="56" t="n"/>
      <c r="AE43" s="1" t="n"/>
      <c r="AF43" s="56" t="n"/>
      <c r="AG43" s="1" t="n"/>
      <c r="AH43" s="56" t="n"/>
      <c r="AI43" s="56" t="n"/>
      <c r="AJ43" s="1" t="n"/>
      <c r="AK43" s="1" t="n"/>
      <c r="AL43" s="1" t="n"/>
      <c r="AM43" s="1" t="n"/>
      <c r="AN43" s="1" t="n"/>
    </row>
    <row r="44" ht="15.75" customHeight="1" s="9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5" t="n"/>
      <c r="N44" s="55" t="n"/>
      <c r="O44" s="55" t="n"/>
      <c r="P44" s="55" t="n"/>
      <c r="Q44" s="55" t="n"/>
      <c r="R44" s="55" t="n"/>
      <c r="S44" s="55" t="n"/>
      <c r="T44" s="56" t="n"/>
      <c r="U44" s="1" t="n"/>
      <c r="V44" s="56" t="n"/>
      <c r="W44" s="57" t="n"/>
      <c r="X44" s="56" t="n"/>
      <c r="Y44" s="56" t="n"/>
      <c r="Z44" s="57" t="n"/>
      <c r="AA44" s="56" t="n"/>
      <c r="AB44" s="56" t="n"/>
      <c r="AC44" s="1" t="n"/>
      <c r="AD44" s="56" t="n"/>
      <c r="AE44" s="1" t="n"/>
      <c r="AF44" s="56" t="n"/>
      <c r="AG44" s="1" t="n"/>
      <c r="AH44" s="56" t="n"/>
      <c r="AI44" s="56" t="n"/>
      <c r="AJ44" s="1" t="n"/>
      <c r="AK44" s="1" t="n"/>
      <c r="AL44" s="1" t="n"/>
      <c r="AM44" s="1" t="n"/>
      <c r="AN44" s="1" t="n"/>
    </row>
    <row r="45" ht="15.75" customHeight="1" s="9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55" t="n"/>
      <c r="N45" s="55" t="n"/>
      <c r="O45" s="55" t="n"/>
      <c r="P45" s="55" t="n"/>
      <c r="Q45" s="55" t="n"/>
      <c r="R45" s="55" t="n"/>
      <c r="S45" s="55" t="n"/>
      <c r="T45" s="56" t="n"/>
      <c r="U45" s="1" t="n"/>
      <c r="V45" s="56" t="n"/>
      <c r="W45" s="57" t="n"/>
      <c r="X45" s="56" t="n"/>
      <c r="Y45" s="56" t="n"/>
      <c r="Z45" s="57" t="n"/>
      <c r="AA45" s="56" t="n"/>
      <c r="AB45" s="56" t="n"/>
      <c r="AC45" s="1" t="n"/>
      <c r="AD45" s="56" t="n"/>
      <c r="AE45" s="1" t="n"/>
      <c r="AF45" s="56" t="n"/>
      <c r="AG45" s="1" t="n"/>
      <c r="AH45" s="56" t="n"/>
      <c r="AI45" s="56" t="n"/>
      <c r="AJ45" s="1" t="n"/>
      <c r="AK45" s="1" t="n"/>
      <c r="AL45" s="1" t="n"/>
      <c r="AM45" s="1" t="n"/>
      <c r="AN45" s="1" t="n"/>
    </row>
    <row r="46" ht="15.75" customHeight="1" s="9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55" t="n"/>
      <c r="N46" s="55" t="n"/>
      <c r="O46" s="55" t="n"/>
      <c r="P46" s="55" t="n"/>
      <c r="Q46" s="55" t="n"/>
      <c r="R46" s="55" t="n"/>
      <c r="S46" s="55" t="n"/>
      <c r="T46" s="56" t="n"/>
      <c r="U46" s="1" t="n"/>
      <c r="V46" s="56" t="n"/>
      <c r="W46" s="57" t="n"/>
      <c r="X46" s="56" t="n"/>
      <c r="Y46" s="56" t="n"/>
      <c r="Z46" s="57" t="n"/>
      <c r="AA46" s="56" t="n"/>
      <c r="AB46" s="56" t="n"/>
      <c r="AC46" s="1" t="n"/>
      <c r="AD46" s="56" t="n"/>
      <c r="AE46" s="1" t="n"/>
      <c r="AF46" s="56" t="n"/>
      <c r="AG46" s="1" t="n"/>
      <c r="AH46" s="56" t="n"/>
      <c r="AI46" s="56" t="n"/>
      <c r="AJ46" s="1" t="n"/>
      <c r="AK46" s="1" t="n"/>
      <c r="AL46" s="1" t="n"/>
      <c r="AM46" s="1" t="n"/>
      <c r="AN46" s="1" t="n"/>
    </row>
    <row r="47" ht="15.75" customHeight="1" s="9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55" t="n"/>
      <c r="N47" s="55" t="n"/>
      <c r="O47" s="55" t="n"/>
      <c r="P47" s="55" t="n"/>
      <c r="Q47" s="55" t="n"/>
      <c r="R47" s="55" t="n"/>
      <c r="S47" s="55" t="n"/>
      <c r="T47" s="56" t="n"/>
      <c r="U47" s="1" t="n"/>
      <c r="V47" s="56" t="n"/>
      <c r="W47" s="57" t="n"/>
      <c r="X47" s="56" t="n"/>
      <c r="Y47" s="56" t="n"/>
      <c r="Z47" s="57" t="n"/>
      <c r="AA47" s="56" t="n"/>
      <c r="AB47" s="56" t="n"/>
      <c r="AC47" s="1" t="n"/>
      <c r="AD47" s="56" t="n"/>
      <c r="AE47" s="1" t="n"/>
      <c r="AF47" s="56" t="n"/>
      <c r="AG47" s="1" t="n"/>
      <c r="AH47" s="56" t="n"/>
      <c r="AI47" s="56" t="n"/>
      <c r="AJ47" s="1" t="n"/>
      <c r="AK47" s="1" t="n"/>
      <c r="AL47" s="1" t="n"/>
      <c r="AM47" s="1" t="n"/>
      <c r="AN47" s="1" t="n"/>
    </row>
    <row r="48" ht="15.75" customHeight="1" s="9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55" t="n"/>
      <c r="N48" s="55" t="n"/>
      <c r="O48" s="55" t="n"/>
      <c r="P48" s="55" t="n"/>
      <c r="Q48" s="55" t="n"/>
      <c r="R48" s="55" t="n"/>
      <c r="S48" s="55" t="n"/>
      <c r="T48" s="56" t="n"/>
      <c r="U48" s="1" t="n"/>
      <c r="V48" s="56" t="n"/>
      <c r="W48" s="57" t="n"/>
      <c r="X48" s="56" t="n"/>
      <c r="Y48" s="56" t="n"/>
      <c r="Z48" s="57" t="n"/>
      <c r="AA48" s="56" t="n"/>
      <c r="AB48" s="56" t="n"/>
      <c r="AC48" s="1" t="n"/>
      <c r="AD48" s="56" t="n"/>
      <c r="AE48" s="1" t="n"/>
      <c r="AF48" s="56" t="n"/>
      <c r="AG48" s="1" t="n"/>
      <c r="AH48" s="56" t="n"/>
      <c r="AI48" s="56" t="n"/>
      <c r="AJ48" s="1" t="n"/>
      <c r="AK48" s="1" t="n"/>
      <c r="AL48" s="1" t="n"/>
      <c r="AM48" s="1" t="n"/>
      <c r="AN48" s="1" t="n"/>
    </row>
    <row r="49" ht="15.75" customHeight="1" s="9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55" t="n"/>
      <c r="N49" s="55" t="n"/>
      <c r="O49" s="55" t="n"/>
      <c r="P49" s="55" t="n"/>
      <c r="Q49" s="55" t="n"/>
      <c r="R49" s="55" t="n"/>
      <c r="S49" s="55" t="n"/>
      <c r="T49" s="56" t="n"/>
      <c r="U49" s="1" t="n"/>
      <c r="V49" s="56" t="n"/>
      <c r="W49" s="57" t="n"/>
      <c r="X49" s="56" t="n"/>
      <c r="Y49" s="56" t="n"/>
      <c r="Z49" s="57" t="n"/>
      <c r="AA49" s="56" t="n"/>
      <c r="AB49" s="56" t="n"/>
      <c r="AC49" s="1" t="n"/>
      <c r="AD49" s="56" t="n"/>
      <c r="AE49" s="1" t="n"/>
      <c r="AF49" s="56" t="n"/>
      <c r="AG49" s="1" t="n"/>
      <c r="AH49" s="56" t="n"/>
      <c r="AI49" s="56" t="n"/>
      <c r="AJ49" s="1" t="n"/>
      <c r="AK49" s="1" t="n"/>
      <c r="AL49" s="1" t="n"/>
      <c r="AM49" s="1" t="n"/>
      <c r="AN49" s="1" t="n"/>
    </row>
    <row r="50" ht="15.75" customHeight="1" s="9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55" t="n"/>
      <c r="N50" s="55" t="n"/>
      <c r="O50" s="55" t="n"/>
      <c r="P50" s="55" t="n"/>
      <c r="Q50" s="55" t="n"/>
      <c r="R50" s="55" t="n"/>
      <c r="S50" s="55" t="n"/>
      <c r="T50" s="56" t="n"/>
      <c r="U50" s="1" t="n"/>
      <c r="V50" s="56" t="n"/>
      <c r="W50" s="57" t="n"/>
      <c r="X50" s="56" t="n"/>
      <c r="Y50" s="56" t="n"/>
      <c r="Z50" s="57" t="n"/>
      <c r="AA50" s="56" t="n"/>
      <c r="AB50" s="56" t="n"/>
      <c r="AC50" s="1" t="n"/>
      <c r="AD50" s="56" t="n"/>
      <c r="AE50" s="1" t="n"/>
      <c r="AF50" s="56" t="n"/>
      <c r="AG50" s="1" t="n"/>
      <c r="AH50" s="56" t="n"/>
      <c r="AI50" s="56" t="n"/>
      <c r="AJ50" s="1" t="n"/>
      <c r="AK50" s="1" t="n"/>
      <c r="AL50" s="1" t="n"/>
      <c r="AM50" s="1" t="n"/>
      <c r="AN50" s="1" t="n"/>
    </row>
    <row r="51" ht="15.75" customHeight="1" s="9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55" t="n"/>
      <c r="N51" s="55" t="n"/>
      <c r="O51" s="55" t="n"/>
      <c r="P51" s="55" t="n"/>
      <c r="Q51" s="55" t="n"/>
      <c r="R51" s="55" t="n"/>
      <c r="S51" s="55" t="n"/>
      <c r="T51" s="56" t="n"/>
      <c r="U51" s="1" t="n"/>
      <c r="V51" s="56" t="n"/>
      <c r="W51" s="57" t="n"/>
      <c r="X51" s="56" t="n"/>
      <c r="Y51" s="56" t="n"/>
      <c r="Z51" s="57" t="n"/>
      <c r="AA51" s="56" t="n"/>
      <c r="AB51" s="56" t="n"/>
      <c r="AC51" s="1" t="n"/>
      <c r="AD51" s="56" t="n"/>
      <c r="AE51" s="1" t="n"/>
      <c r="AF51" s="56" t="n"/>
      <c r="AG51" s="1" t="n"/>
      <c r="AH51" s="56" t="n"/>
      <c r="AI51" s="56" t="n"/>
      <c r="AJ51" s="1" t="n"/>
      <c r="AK51" s="1" t="n"/>
      <c r="AL51" s="1" t="n"/>
      <c r="AM51" s="1" t="n"/>
      <c r="AN51" s="1" t="n"/>
    </row>
    <row r="52" ht="15.75" customHeight="1" s="9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55" t="n"/>
      <c r="N52" s="55" t="n"/>
      <c r="O52" s="55" t="n"/>
      <c r="P52" s="55" t="n"/>
      <c r="Q52" s="55" t="n"/>
      <c r="R52" s="55" t="n"/>
      <c r="S52" s="55" t="n"/>
      <c r="T52" s="56" t="n"/>
      <c r="U52" s="1" t="n"/>
      <c r="V52" s="56" t="n"/>
      <c r="W52" s="57" t="n"/>
      <c r="X52" s="56" t="n"/>
      <c r="Y52" s="56" t="n"/>
      <c r="Z52" s="57" t="n"/>
      <c r="AA52" s="56" t="n"/>
      <c r="AB52" s="56" t="n"/>
      <c r="AC52" s="1" t="n"/>
      <c r="AD52" s="56" t="n"/>
      <c r="AE52" s="1" t="n"/>
      <c r="AF52" s="56" t="n"/>
      <c r="AG52" s="1" t="n"/>
      <c r="AH52" s="56" t="n"/>
      <c r="AI52" s="56" t="n"/>
      <c r="AJ52" s="1" t="n"/>
      <c r="AK52" s="1" t="n"/>
      <c r="AL52" s="1" t="n"/>
      <c r="AM52" s="1" t="n"/>
      <c r="AN52" s="1" t="n"/>
    </row>
    <row r="53" ht="15.75" customHeight="1" s="9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55" t="n"/>
      <c r="N53" s="55" t="n"/>
      <c r="O53" s="55" t="n"/>
      <c r="P53" s="55" t="n"/>
      <c r="Q53" s="55" t="n"/>
      <c r="R53" s="55" t="n"/>
      <c r="S53" s="55" t="n"/>
      <c r="T53" s="56" t="n"/>
      <c r="U53" s="1" t="n"/>
      <c r="V53" s="56" t="n"/>
      <c r="W53" s="57" t="n"/>
      <c r="X53" s="56" t="n"/>
      <c r="Y53" s="56" t="n"/>
      <c r="Z53" s="57" t="n"/>
      <c r="AA53" s="56" t="n"/>
      <c r="AB53" s="56" t="n"/>
      <c r="AC53" s="1" t="n"/>
      <c r="AD53" s="56" t="n"/>
      <c r="AE53" s="1" t="n"/>
      <c r="AF53" s="56" t="n"/>
      <c r="AG53" s="1" t="n"/>
      <c r="AH53" s="56" t="n"/>
      <c r="AI53" s="56" t="n"/>
      <c r="AJ53" s="1" t="n"/>
      <c r="AK53" s="1" t="n"/>
      <c r="AL53" s="1" t="n"/>
      <c r="AM53" s="1" t="n"/>
      <c r="AN53" s="1" t="n"/>
    </row>
    <row r="54" ht="15.75" customHeight="1" s="9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55" t="n"/>
      <c r="N54" s="55" t="n"/>
      <c r="O54" s="55" t="n"/>
      <c r="P54" s="55" t="n"/>
      <c r="Q54" s="55" t="n"/>
      <c r="R54" s="55" t="n"/>
      <c r="S54" s="55" t="n"/>
      <c r="T54" s="56" t="n"/>
      <c r="U54" s="1" t="n"/>
      <c r="V54" s="56" t="n"/>
      <c r="W54" s="57" t="n"/>
      <c r="X54" s="56" t="n"/>
      <c r="Y54" s="56" t="n"/>
      <c r="Z54" s="57" t="n"/>
      <c r="AA54" s="56" t="n"/>
      <c r="AB54" s="56" t="n"/>
      <c r="AC54" s="1" t="n"/>
      <c r="AD54" s="56" t="n"/>
      <c r="AE54" s="1" t="n"/>
      <c r="AF54" s="56" t="n"/>
      <c r="AG54" s="1" t="n"/>
      <c r="AH54" s="56" t="n"/>
      <c r="AI54" s="56" t="n"/>
      <c r="AJ54" s="1" t="n"/>
      <c r="AK54" s="1" t="n"/>
      <c r="AL54" s="1" t="n"/>
      <c r="AM54" s="1" t="n"/>
      <c r="AN54" s="1" t="n"/>
    </row>
    <row r="55" ht="15.75" customHeight="1" s="9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55" t="n"/>
      <c r="N55" s="55" t="n"/>
      <c r="O55" s="55" t="n"/>
      <c r="P55" s="55" t="n"/>
      <c r="Q55" s="55" t="n"/>
      <c r="R55" s="55" t="n"/>
      <c r="S55" s="55" t="n"/>
      <c r="T55" s="56" t="n"/>
      <c r="U55" s="1" t="n"/>
      <c r="V55" s="56" t="n"/>
      <c r="W55" s="57" t="n"/>
      <c r="X55" s="56" t="n"/>
      <c r="Y55" s="56" t="n"/>
      <c r="Z55" s="57" t="n"/>
      <c r="AA55" s="56" t="n"/>
      <c r="AB55" s="56" t="n"/>
      <c r="AC55" s="1" t="n"/>
      <c r="AD55" s="56" t="n"/>
      <c r="AE55" s="1" t="n"/>
      <c r="AF55" s="56" t="n"/>
      <c r="AG55" s="1" t="n"/>
      <c r="AH55" s="56" t="n"/>
      <c r="AI55" s="56" t="n"/>
      <c r="AJ55" s="1" t="n"/>
      <c r="AK55" s="1" t="n"/>
      <c r="AL55" s="1" t="n"/>
      <c r="AM55" s="1" t="n"/>
      <c r="AN55" s="1" t="n"/>
    </row>
    <row r="56" ht="15.75" customHeight="1" s="9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55" t="n"/>
      <c r="N56" s="55" t="n"/>
      <c r="O56" s="55" t="n"/>
      <c r="P56" s="55" t="n"/>
      <c r="Q56" s="55" t="n"/>
      <c r="R56" s="55" t="n"/>
      <c r="S56" s="55" t="n"/>
      <c r="T56" s="56" t="n"/>
      <c r="U56" s="1" t="n"/>
      <c r="V56" s="56" t="n"/>
      <c r="W56" s="57" t="n"/>
      <c r="X56" s="56" t="n"/>
      <c r="Y56" s="56" t="n"/>
      <c r="Z56" s="57" t="n"/>
      <c r="AA56" s="56" t="n"/>
      <c r="AB56" s="56" t="n"/>
      <c r="AC56" s="1" t="n"/>
      <c r="AD56" s="56" t="n"/>
      <c r="AE56" s="1" t="n"/>
      <c r="AF56" s="56" t="n"/>
      <c r="AG56" s="1" t="n"/>
      <c r="AH56" s="56" t="n"/>
      <c r="AI56" s="56" t="n"/>
      <c r="AJ56" s="1" t="n"/>
      <c r="AK56" s="1" t="n"/>
      <c r="AL56" s="1" t="n"/>
      <c r="AM56" s="1" t="n"/>
      <c r="AN56" s="1" t="n"/>
    </row>
    <row r="57" ht="15.75" customHeight="1" s="9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55" t="n"/>
      <c r="N57" s="55" t="n"/>
      <c r="O57" s="55" t="n"/>
      <c r="P57" s="55" t="n"/>
      <c r="Q57" s="55" t="n"/>
      <c r="R57" s="55" t="n"/>
      <c r="S57" s="55" t="n"/>
      <c r="T57" s="56" t="n"/>
      <c r="U57" s="1" t="n"/>
      <c r="V57" s="56" t="n"/>
      <c r="W57" s="57" t="n"/>
      <c r="X57" s="56" t="n"/>
      <c r="Y57" s="56" t="n"/>
      <c r="Z57" s="57" t="n"/>
      <c r="AA57" s="56" t="n"/>
      <c r="AB57" s="56" t="n"/>
      <c r="AC57" s="1" t="n"/>
      <c r="AD57" s="56" t="n"/>
      <c r="AE57" s="1" t="n"/>
      <c r="AF57" s="56" t="n"/>
      <c r="AG57" s="1" t="n"/>
      <c r="AH57" s="56" t="n"/>
      <c r="AI57" s="56" t="n"/>
      <c r="AJ57" s="1" t="n"/>
      <c r="AK57" s="1" t="n"/>
      <c r="AL57" s="1" t="n"/>
      <c r="AM57" s="1" t="n"/>
      <c r="AN57" s="1" t="n"/>
    </row>
    <row r="58" ht="15.75" customHeight="1" s="9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55" t="n"/>
      <c r="N58" s="55" t="n"/>
      <c r="O58" s="55" t="n"/>
      <c r="P58" s="55" t="n"/>
      <c r="Q58" s="55" t="n"/>
      <c r="R58" s="55" t="n"/>
      <c r="S58" s="55" t="n"/>
      <c r="T58" s="56" t="n"/>
      <c r="U58" s="1" t="n"/>
      <c r="V58" s="56" t="n"/>
      <c r="W58" s="57" t="n"/>
      <c r="X58" s="56" t="n"/>
      <c r="Y58" s="56" t="n"/>
      <c r="Z58" s="57" t="n"/>
      <c r="AA58" s="56" t="n"/>
      <c r="AB58" s="56" t="n"/>
      <c r="AC58" s="1" t="n"/>
      <c r="AD58" s="56" t="n"/>
      <c r="AE58" s="1" t="n"/>
      <c r="AF58" s="56" t="n"/>
      <c r="AG58" s="1" t="n"/>
      <c r="AH58" s="56" t="n"/>
      <c r="AI58" s="56" t="n"/>
      <c r="AJ58" s="1" t="n"/>
      <c r="AK58" s="1" t="n"/>
      <c r="AL58" s="1" t="n"/>
      <c r="AM58" s="1" t="n"/>
      <c r="AN58" s="1" t="n"/>
    </row>
    <row r="59" ht="15.75" customHeight="1" s="9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55" t="n"/>
      <c r="N59" s="55" t="n"/>
      <c r="O59" s="55" t="n"/>
      <c r="P59" s="55" t="n"/>
      <c r="Q59" s="55" t="n"/>
      <c r="R59" s="55" t="n"/>
      <c r="S59" s="55" t="n"/>
      <c r="T59" s="56" t="n"/>
      <c r="U59" s="1" t="n"/>
      <c r="V59" s="56" t="n"/>
      <c r="W59" s="57" t="n"/>
      <c r="X59" s="56" t="n"/>
      <c r="Y59" s="56" t="n"/>
      <c r="Z59" s="57" t="n"/>
      <c r="AA59" s="56" t="n"/>
      <c r="AB59" s="56" t="n"/>
      <c r="AC59" s="1" t="n"/>
      <c r="AD59" s="56" t="n"/>
      <c r="AE59" s="1" t="n"/>
      <c r="AF59" s="56" t="n"/>
      <c r="AG59" s="1" t="n"/>
      <c r="AH59" s="56" t="n"/>
      <c r="AI59" s="56" t="n"/>
      <c r="AJ59" s="1" t="n"/>
      <c r="AK59" s="1" t="n"/>
      <c r="AL59" s="1" t="n"/>
      <c r="AM59" s="1" t="n"/>
      <c r="AN59" s="1" t="n"/>
    </row>
    <row r="60" ht="15.75" customHeight="1" s="9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55" t="n"/>
      <c r="N60" s="55" t="n"/>
      <c r="O60" s="55" t="n"/>
      <c r="P60" s="55" t="n"/>
      <c r="Q60" s="55" t="n"/>
      <c r="R60" s="55" t="n"/>
      <c r="S60" s="55" t="n"/>
      <c r="T60" s="56" t="n"/>
      <c r="U60" s="1" t="n"/>
      <c r="V60" s="56" t="n"/>
      <c r="W60" s="57" t="n"/>
      <c r="X60" s="56" t="n"/>
      <c r="Y60" s="56" t="n"/>
      <c r="Z60" s="57" t="n"/>
      <c r="AA60" s="56" t="n"/>
      <c r="AB60" s="56" t="n"/>
      <c r="AC60" s="1" t="n"/>
      <c r="AD60" s="56" t="n"/>
      <c r="AE60" s="1" t="n"/>
      <c r="AF60" s="56" t="n"/>
      <c r="AG60" s="1" t="n"/>
      <c r="AH60" s="56" t="n"/>
      <c r="AI60" s="56" t="n"/>
      <c r="AJ60" s="1" t="n"/>
      <c r="AK60" s="1" t="n"/>
      <c r="AL60" s="1" t="n"/>
      <c r="AM60" s="1" t="n"/>
      <c r="AN60" s="1" t="n"/>
    </row>
    <row r="61" ht="15.75" customHeight="1" s="9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55" t="n"/>
      <c r="N61" s="55" t="n"/>
      <c r="O61" s="55" t="n"/>
      <c r="P61" s="55" t="n"/>
      <c r="Q61" s="55" t="n"/>
      <c r="R61" s="55" t="n"/>
      <c r="S61" s="55" t="n"/>
      <c r="T61" s="56" t="n"/>
      <c r="U61" s="1" t="n"/>
      <c r="V61" s="56" t="n"/>
      <c r="W61" s="57" t="n"/>
      <c r="X61" s="56" t="n"/>
      <c r="Y61" s="56" t="n"/>
      <c r="Z61" s="57" t="n"/>
      <c r="AA61" s="56" t="n"/>
      <c r="AB61" s="56" t="n"/>
      <c r="AC61" s="1" t="n"/>
      <c r="AD61" s="56" t="n"/>
      <c r="AE61" s="1" t="n"/>
      <c r="AF61" s="56" t="n"/>
      <c r="AG61" s="1" t="n"/>
      <c r="AH61" s="56" t="n"/>
      <c r="AI61" s="56" t="n"/>
      <c r="AJ61" s="1" t="n"/>
      <c r="AK61" s="1" t="n"/>
      <c r="AL61" s="1" t="n"/>
      <c r="AM61" s="1" t="n"/>
      <c r="AN61" s="1" t="n"/>
    </row>
    <row r="62" ht="15.75" customHeight="1" s="9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55" t="n"/>
      <c r="N62" s="55" t="n"/>
      <c r="O62" s="55" t="n"/>
      <c r="P62" s="55" t="n"/>
      <c r="Q62" s="55" t="n"/>
      <c r="R62" s="55" t="n"/>
      <c r="S62" s="55" t="n"/>
      <c r="T62" s="56" t="n"/>
      <c r="U62" s="1" t="n"/>
      <c r="V62" s="56" t="n"/>
      <c r="W62" s="57" t="n"/>
      <c r="X62" s="56" t="n"/>
      <c r="Y62" s="56" t="n"/>
      <c r="Z62" s="57" t="n"/>
      <c r="AA62" s="56" t="n"/>
      <c r="AB62" s="56" t="n"/>
      <c r="AC62" s="1" t="n"/>
      <c r="AD62" s="56" t="n"/>
      <c r="AE62" s="1" t="n"/>
      <c r="AF62" s="56" t="n"/>
      <c r="AG62" s="1" t="n"/>
      <c r="AH62" s="56" t="n"/>
      <c r="AI62" s="56" t="n"/>
      <c r="AJ62" s="1" t="n"/>
      <c r="AK62" s="1" t="n"/>
      <c r="AL62" s="1" t="n"/>
      <c r="AM62" s="1" t="n"/>
      <c r="AN62" s="1" t="n"/>
    </row>
    <row r="63" ht="15.75" customHeight="1" s="9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55" t="n"/>
      <c r="N63" s="55" t="n"/>
      <c r="O63" s="55" t="n"/>
      <c r="P63" s="55" t="n"/>
      <c r="Q63" s="55" t="n"/>
      <c r="R63" s="55" t="n"/>
      <c r="S63" s="55" t="n"/>
      <c r="T63" s="56" t="n"/>
      <c r="U63" s="1" t="n"/>
      <c r="V63" s="56" t="n"/>
      <c r="W63" s="57" t="n"/>
      <c r="X63" s="56" t="n"/>
      <c r="Y63" s="56" t="n"/>
      <c r="Z63" s="57" t="n"/>
      <c r="AA63" s="56" t="n"/>
      <c r="AB63" s="56" t="n"/>
      <c r="AC63" s="1" t="n"/>
      <c r="AD63" s="56" t="n"/>
      <c r="AE63" s="1" t="n"/>
      <c r="AF63" s="56" t="n"/>
      <c r="AG63" s="1" t="n"/>
      <c r="AH63" s="56" t="n"/>
      <c r="AI63" s="56" t="n"/>
      <c r="AJ63" s="1" t="n"/>
      <c r="AK63" s="1" t="n"/>
      <c r="AL63" s="1" t="n"/>
      <c r="AM63" s="1" t="n"/>
      <c r="AN63" s="1" t="n"/>
    </row>
    <row r="64" ht="15.75" customHeight="1" s="9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55" t="n"/>
      <c r="N64" s="55" t="n"/>
      <c r="O64" s="55" t="n"/>
      <c r="P64" s="55" t="n"/>
      <c r="Q64" s="55" t="n"/>
      <c r="R64" s="55" t="n"/>
      <c r="S64" s="55" t="n"/>
      <c r="T64" s="56" t="n"/>
      <c r="U64" s="1" t="n"/>
      <c r="V64" s="56" t="n"/>
      <c r="W64" s="57" t="n"/>
      <c r="X64" s="56" t="n"/>
      <c r="Y64" s="56" t="n"/>
      <c r="Z64" s="57" t="n"/>
      <c r="AA64" s="56" t="n"/>
      <c r="AB64" s="56" t="n"/>
      <c r="AC64" s="1" t="n"/>
      <c r="AD64" s="56" t="n"/>
      <c r="AE64" s="1" t="n"/>
      <c r="AF64" s="56" t="n"/>
      <c r="AG64" s="1" t="n"/>
      <c r="AH64" s="56" t="n"/>
      <c r="AI64" s="56" t="n"/>
      <c r="AJ64" s="1" t="n"/>
      <c r="AK64" s="1" t="n"/>
      <c r="AL64" s="1" t="n"/>
      <c r="AM64" s="1" t="n"/>
      <c r="AN64" s="1" t="n"/>
    </row>
    <row r="65" ht="15.75" customHeight="1" s="9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55" t="n"/>
      <c r="N65" s="55" t="n"/>
      <c r="O65" s="55" t="n"/>
      <c r="P65" s="55" t="n"/>
      <c r="Q65" s="55" t="n"/>
      <c r="R65" s="55" t="n"/>
      <c r="S65" s="55" t="n"/>
      <c r="T65" s="56" t="n"/>
      <c r="U65" s="1" t="n"/>
      <c r="V65" s="56" t="n"/>
      <c r="W65" s="57" t="n"/>
      <c r="X65" s="56" t="n"/>
      <c r="Y65" s="56" t="n"/>
      <c r="Z65" s="57" t="n"/>
      <c r="AA65" s="56" t="n"/>
      <c r="AB65" s="56" t="n"/>
      <c r="AC65" s="1" t="n"/>
      <c r="AD65" s="56" t="n"/>
      <c r="AE65" s="1" t="n"/>
      <c r="AF65" s="56" t="n"/>
      <c r="AG65" s="1" t="n"/>
      <c r="AH65" s="56" t="n"/>
      <c r="AI65" s="56" t="n"/>
      <c r="AJ65" s="1" t="n"/>
      <c r="AK65" s="1" t="n"/>
      <c r="AL65" s="1" t="n"/>
      <c r="AM65" s="1" t="n"/>
      <c r="AN65" s="1" t="n"/>
    </row>
    <row r="66" ht="15.75" customHeight="1" s="9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55" t="n"/>
      <c r="N66" s="55" t="n"/>
      <c r="O66" s="55" t="n"/>
      <c r="P66" s="55" t="n"/>
      <c r="Q66" s="55" t="n"/>
      <c r="R66" s="55" t="n"/>
      <c r="S66" s="55" t="n"/>
      <c r="T66" s="56" t="n"/>
      <c r="U66" s="1" t="n"/>
      <c r="V66" s="56" t="n"/>
      <c r="W66" s="57" t="n"/>
      <c r="X66" s="56" t="n"/>
      <c r="Y66" s="56" t="n"/>
      <c r="Z66" s="57" t="n"/>
      <c r="AA66" s="56" t="n"/>
      <c r="AB66" s="56" t="n"/>
      <c r="AC66" s="1" t="n"/>
      <c r="AD66" s="56" t="n"/>
      <c r="AE66" s="1" t="n"/>
      <c r="AF66" s="56" t="n"/>
      <c r="AG66" s="1" t="n"/>
      <c r="AH66" s="56" t="n"/>
      <c r="AI66" s="56" t="n"/>
      <c r="AJ66" s="1" t="n"/>
      <c r="AK66" s="1" t="n"/>
      <c r="AL66" s="1" t="n"/>
      <c r="AM66" s="1" t="n"/>
      <c r="AN66" s="1" t="n"/>
    </row>
    <row r="67" ht="15.75" customHeight="1" s="9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55" t="n"/>
      <c r="N67" s="55" t="n"/>
      <c r="O67" s="55" t="n"/>
      <c r="P67" s="55" t="n"/>
      <c r="Q67" s="55" t="n"/>
      <c r="R67" s="55" t="n"/>
      <c r="S67" s="55" t="n"/>
      <c r="T67" s="56" t="n"/>
      <c r="U67" s="1" t="n"/>
      <c r="V67" s="56" t="n"/>
      <c r="W67" s="57" t="n"/>
      <c r="X67" s="56" t="n"/>
      <c r="Y67" s="56" t="n"/>
      <c r="Z67" s="57" t="n"/>
      <c r="AA67" s="56" t="n"/>
      <c r="AB67" s="56" t="n"/>
      <c r="AC67" s="1" t="n"/>
      <c r="AD67" s="56" t="n"/>
      <c r="AE67" s="1" t="n"/>
      <c r="AF67" s="56" t="n"/>
      <c r="AG67" s="1" t="n"/>
      <c r="AH67" s="56" t="n"/>
      <c r="AI67" s="56" t="n"/>
      <c r="AJ67" s="1" t="n"/>
      <c r="AK67" s="1" t="n"/>
      <c r="AL67" s="1" t="n"/>
      <c r="AM67" s="1" t="n"/>
      <c r="AN67" s="1" t="n"/>
    </row>
    <row r="68" ht="15.75" customHeight="1" s="9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55" t="n"/>
      <c r="N68" s="55" t="n"/>
      <c r="O68" s="55" t="n"/>
      <c r="P68" s="55" t="n"/>
      <c r="Q68" s="55" t="n"/>
      <c r="R68" s="55" t="n"/>
      <c r="S68" s="55" t="n"/>
      <c r="T68" s="56" t="n"/>
      <c r="U68" s="1" t="n"/>
      <c r="V68" s="56" t="n"/>
      <c r="W68" s="57" t="n"/>
      <c r="X68" s="56" t="n"/>
      <c r="Y68" s="56" t="n"/>
      <c r="Z68" s="57" t="n"/>
      <c r="AA68" s="56" t="n"/>
      <c r="AB68" s="56" t="n"/>
      <c r="AC68" s="1" t="n"/>
      <c r="AD68" s="56" t="n"/>
      <c r="AE68" s="1" t="n"/>
      <c r="AF68" s="56" t="n"/>
      <c r="AG68" s="1" t="n"/>
      <c r="AH68" s="56" t="n"/>
      <c r="AI68" s="56" t="n"/>
      <c r="AJ68" s="1" t="n"/>
      <c r="AK68" s="1" t="n"/>
      <c r="AL68" s="1" t="n"/>
      <c r="AM68" s="1" t="n"/>
      <c r="AN68" s="1" t="n"/>
    </row>
    <row r="69" ht="15.75" customHeight="1" s="9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55" t="n"/>
      <c r="N69" s="55" t="n"/>
      <c r="O69" s="55" t="n"/>
      <c r="P69" s="55" t="n"/>
      <c r="Q69" s="55" t="n"/>
      <c r="R69" s="55" t="n"/>
      <c r="S69" s="55" t="n"/>
      <c r="T69" s="56" t="n"/>
      <c r="U69" s="1" t="n"/>
      <c r="V69" s="56" t="n"/>
      <c r="W69" s="57" t="n"/>
      <c r="X69" s="56" t="n"/>
      <c r="Y69" s="56" t="n"/>
      <c r="Z69" s="57" t="n"/>
      <c r="AA69" s="56" t="n"/>
      <c r="AB69" s="56" t="n"/>
      <c r="AC69" s="1" t="n"/>
      <c r="AD69" s="56" t="n"/>
      <c r="AE69" s="1" t="n"/>
      <c r="AF69" s="56" t="n"/>
      <c r="AG69" s="1" t="n"/>
      <c r="AH69" s="56" t="n"/>
      <c r="AI69" s="56" t="n"/>
      <c r="AJ69" s="1" t="n"/>
      <c r="AK69" s="1" t="n"/>
      <c r="AL69" s="1" t="n"/>
      <c r="AM69" s="1" t="n"/>
      <c r="AN69" s="1" t="n"/>
    </row>
    <row r="70" ht="15.75" customHeight="1" s="9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55" t="n"/>
      <c r="N70" s="55" t="n"/>
      <c r="O70" s="55" t="n"/>
      <c r="P70" s="55" t="n"/>
      <c r="Q70" s="55" t="n"/>
      <c r="R70" s="55" t="n"/>
      <c r="S70" s="55" t="n"/>
      <c r="T70" s="56" t="n"/>
      <c r="U70" s="1" t="n"/>
      <c r="V70" s="56" t="n"/>
      <c r="W70" s="57" t="n"/>
      <c r="X70" s="56" t="n"/>
      <c r="Y70" s="56" t="n"/>
      <c r="Z70" s="57" t="n"/>
      <c r="AA70" s="56" t="n"/>
      <c r="AB70" s="56" t="n"/>
      <c r="AC70" s="1" t="n"/>
      <c r="AD70" s="56" t="n"/>
      <c r="AE70" s="1" t="n"/>
      <c r="AF70" s="56" t="n"/>
      <c r="AG70" s="1" t="n"/>
      <c r="AH70" s="56" t="n"/>
      <c r="AI70" s="56" t="n"/>
      <c r="AJ70" s="1" t="n"/>
      <c r="AK70" s="1" t="n"/>
      <c r="AL70" s="1" t="n"/>
      <c r="AM70" s="1" t="n"/>
      <c r="AN70" s="1" t="n"/>
    </row>
    <row r="71" ht="15.75" customHeight="1" s="9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55" t="n"/>
      <c r="N71" s="55" t="n"/>
      <c r="O71" s="55" t="n"/>
      <c r="P71" s="55" t="n"/>
      <c r="Q71" s="55" t="n"/>
      <c r="R71" s="55" t="n"/>
      <c r="S71" s="55" t="n"/>
      <c r="T71" s="56" t="n"/>
      <c r="U71" s="1" t="n"/>
      <c r="V71" s="56" t="n"/>
      <c r="W71" s="57" t="n"/>
      <c r="X71" s="56" t="n"/>
      <c r="Y71" s="56" t="n"/>
      <c r="Z71" s="57" t="n"/>
      <c r="AA71" s="56" t="n"/>
      <c r="AB71" s="56" t="n"/>
      <c r="AC71" s="1" t="n"/>
      <c r="AD71" s="56" t="n"/>
      <c r="AE71" s="1" t="n"/>
      <c r="AF71" s="56" t="n"/>
      <c r="AG71" s="1" t="n"/>
      <c r="AH71" s="56" t="n"/>
      <c r="AI71" s="56" t="n"/>
      <c r="AJ71" s="1" t="n"/>
      <c r="AK71" s="1" t="n"/>
      <c r="AL71" s="1" t="n"/>
      <c r="AM71" s="1" t="n"/>
      <c r="AN71" s="1" t="n"/>
    </row>
    <row r="72" ht="15.75" customHeight="1" s="9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55" t="n"/>
      <c r="N72" s="55" t="n"/>
      <c r="O72" s="55" t="n"/>
      <c r="P72" s="55" t="n"/>
      <c r="Q72" s="55" t="n"/>
      <c r="R72" s="55" t="n"/>
      <c r="S72" s="55" t="n"/>
      <c r="T72" s="56" t="n"/>
      <c r="U72" s="1" t="n"/>
      <c r="V72" s="56" t="n"/>
      <c r="W72" s="57" t="n"/>
      <c r="X72" s="56" t="n"/>
      <c r="Y72" s="56" t="n"/>
      <c r="Z72" s="57" t="n"/>
      <c r="AA72" s="56" t="n"/>
      <c r="AB72" s="56" t="n"/>
      <c r="AC72" s="1" t="n"/>
      <c r="AD72" s="56" t="n"/>
      <c r="AE72" s="1" t="n"/>
      <c r="AF72" s="56" t="n"/>
      <c r="AG72" s="1" t="n"/>
      <c r="AH72" s="56" t="n"/>
      <c r="AI72" s="56" t="n"/>
      <c r="AJ72" s="1" t="n"/>
      <c r="AK72" s="1" t="n"/>
      <c r="AL72" s="1" t="n"/>
      <c r="AM72" s="1" t="n"/>
      <c r="AN72" s="1" t="n"/>
    </row>
    <row r="73" ht="15.75" customHeight="1" s="9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55" t="n"/>
      <c r="N73" s="55" t="n"/>
      <c r="O73" s="55" t="n"/>
      <c r="P73" s="55" t="n"/>
      <c r="Q73" s="55" t="n"/>
      <c r="R73" s="55" t="n"/>
      <c r="S73" s="55" t="n"/>
      <c r="T73" s="56" t="n"/>
      <c r="U73" s="1" t="n"/>
      <c r="V73" s="56" t="n"/>
      <c r="W73" s="57" t="n"/>
      <c r="X73" s="56" t="n"/>
      <c r="Y73" s="56" t="n"/>
      <c r="Z73" s="57" t="n"/>
      <c r="AA73" s="56" t="n"/>
      <c r="AB73" s="56" t="n"/>
      <c r="AC73" s="1" t="n"/>
      <c r="AD73" s="56" t="n"/>
      <c r="AE73" s="1" t="n"/>
      <c r="AF73" s="56" t="n"/>
      <c r="AG73" s="1" t="n"/>
      <c r="AH73" s="56" t="n"/>
      <c r="AI73" s="56" t="n"/>
      <c r="AJ73" s="1" t="n"/>
      <c r="AK73" s="1" t="n"/>
      <c r="AL73" s="1" t="n"/>
      <c r="AM73" s="1" t="n"/>
      <c r="AN73" s="1" t="n"/>
    </row>
    <row r="74" ht="15.75" customHeight="1" s="9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55" t="n"/>
      <c r="N74" s="55" t="n"/>
      <c r="O74" s="55" t="n"/>
      <c r="P74" s="55" t="n"/>
      <c r="Q74" s="55" t="n"/>
      <c r="R74" s="55" t="n"/>
      <c r="S74" s="55" t="n"/>
      <c r="T74" s="56" t="n"/>
      <c r="U74" s="1" t="n"/>
      <c r="V74" s="56" t="n"/>
      <c r="W74" s="57" t="n"/>
      <c r="X74" s="56" t="n"/>
      <c r="Y74" s="56" t="n"/>
      <c r="Z74" s="57" t="n"/>
      <c r="AA74" s="56" t="n"/>
      <c r="AB74" s="56" t="n"/>
      <c r="AC74" s="1" t="n"/>
      <c r="AD74" s="56" t="n"/>
      <c r="AE74" s="1" t="n"/>
      <c r="AF74" s="56" t="n"/>
      <c r="AG74" s="1" t="n"/>
      <c r="AH74" s="56" t="n"/>
      <c r="AI74" s="56" t="n"/>
      <c r="AJ74" s="1" t="n"/>
      <c r="AK74" s="1" t="n"/>
      <c r="AL74" s="1" t="n"/>
      <c r="AM74" s="1" t="n"/>
      <c r="AN74" s="1" t="n"/>
    </row>
    <row r="75" ht="15.75" customHeight="1" s="9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55" t="n"/>
      <c r="N75" s="55" t="n"/>
      <c r="O75" s="55" t="n"/>
      <c r="P75" s="55" t="n"/>
      <c r="Q75" s="55" t="n"/>
      <c r="R75" s="55" t="n"/>
      <c r="S75" s="55" t="n"/>
      <c r="T75" s="56" t="n"/>
      <c r="U75" s="1" t="n"/>
      <c r="V75" s="56" t="n"/>
      <c r="W75" s="57" t="n"/>
      <c r="X75" s="56" t="n"/>
      <c r="Y75" s="56" t="n"/>
      <c r="Z75" s="57" t="n"/>
      <c r="AA75" s="56" t="n"/>
      <c r="AB75" s="56" t="n"/>
      <c r="AC75" s="1" t="n"/>
      <c r="AD75" s="56" t="n"/>
      <c r="AE75" s="1" t="n"/>
      <c r="AF75" s="56" t="n"/>
      <c r="AG75" s="1" t="n"/>
      <c r="AH75" s="56" t="n"/>
      <c r="AI75" s="56" t="n"/>
      <c r="AJ75" s="1" t="n"/>
      <c r="AK75" s="1" t="n"/>
      <c r="AL75" s="1" t="n"/>
      <c r="AM75" s="1" t="n"/>
      <c r="AN75" s="1" t="n"/>
    </row>
    <row r="76" ht="15.75" customHeight="1" s="9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55" t="n"/>
      <c r="N76" s="55" t="n"/>
      <c r="O76" s="55" t="n"/>
      <c r="P76" s="55" t="n"/>
      <c r="Q76" s="55" t="n"/>
      <c r="R76" s="55" t="n"/>
      <c r="S76" s="55" t="n"/>
      <c r="T76" s="56" t="n"/>
      <c r="U76" s="1" t="n"/>
      <c r="V76" s="56" t="n"/>
      <c r="W76" s="57" t="n"/>
      <c r="X76" s="56" t="n"/>
      <c r="Y76" s="56" t="n"/>
      <c r="Z76" s="57" t="n"/>
      <c r="AA76" s="56" t="n"/>
      <c r="AB76" s="56" t="n"/>
      <c r="AC76" s="1" t="n"/>
      <c r="AD76" s="56" t="n"/>
      <c r="AE76" s="1" t="n"/>
      <c r="AF76" s="56" t="n"/>
      <c r="AG76" s="1" t="n"/>
      <c r="AH76" s="56" t="n"/>
      <c r="AI76" s="56" t="n"/>
      <c r="AJ76" s="1" t="n"/>
      <c r="AK76" s="1" t="n"/>
      <c r="AL76" s="1" t="n"/>
      <c r="AM76" s="1" t="n"/>
      <c r="AN76" s="1" t="n"/>
    </row>
    <row r="77" ht="15.75" customHeight="1" s="9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55" t="n"/>
      <c r="N77" s="55" t="n"/>
      <c r="O77" s="55" t="n"/>
      <c r="P77" s="55" t="n"/>
      <c r="Q77" s="55" t="n"/>
      <c r="R77" s="55" t="n"/>
      <c r="S77" s="55" t="n"/>
      <c r="T77" s="56" t="n"/>
      <c r="U77" s="1" t="n"/>
      <c r="V77" s="56" t="n"/>
      <c r="W77" s="57" t="n"/>
      <c r="X77" s="56" t="n"/>
      <c r="Y77" s="56" t="n"/>
      <c r="Z77" s="57" t="n"/>
      <c r="AA77" s="56" t="n"/>
      <c r="AB77" s="56" t="n"/>
      <c r="AC77" s="1" t="n"/>
      <c r="AD77" s="56" t="n"/>
      <c r="AE77" s="1" t="n"/>
      <c r="AF77" s="56" t="n"/>
      <c r="AG77" s="1" t="n"/>
      <c r="AH77" s="56" t="n"/>
      <c r="AI77" s="56" t="n"/>
      <c r="AJ77" s="1" t="n"/>
      <c r="AK77" s="1" t="n"/>
      <c r="AL77" s="1" t="n"/>
      <c r="AM77" s="1" t="n"/>
      <c r="AN77" s="1" t="n"/>
    </row>
    <row r="78" ht="15.75" customHeight="1" s="9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55" t="n"/>
      <c r="N78" s="55" t="n"/>
      <c r="O78" s="55" t="n"/>
      <c r="P78" s="55" t="n"/>
      <c r="Q78" s="55" t="n"/>
      <c r="R78" s="55" t="n"/>
      <c r="S78" s="55" t="n"/>
      <c r="T78" s="56" t="n"/>
      <c r="U78" s="1" t="n"/>
      <c r="V78" s="56" t="n"/>
      <c r="W78" s="57" t="n"/>
      <c r="X78" s="56" t="n"/>
      <c r="Y78" s="56" t="n"/>
      <c r="Z78" s="57" t="n"/>
      <c r="AA78" s="56" t="n"/>
      <c r="AB78" s="56" t="n"/>
      <c r="AC78" s="1" t="n"/>
      <c r="AD78" s="56" t="n"/>
      <c r="AE78" s="1" t="n"/>
      <c r="AF78" s="56" t="n"/>
      <c r="AG78" s="1" t="n"/>
      <c r="AH78" s="56" t="n"/>
      <c r="AI78" s="56" t="n"/>
      <c r="AJ78" s="1" t="n"/>
      <c r="AK78" s="1" t="n"/>
      <c r="AL78" s="1" t="n"/>
      <c r="AM78" s="1" t="n"/>
      <c r="AN78" s="1" t="n"/>
    </row>
    <row r="79" ht="15.75" customHeight="1" s="9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55" t="n"/>
      <c r="N79" s="55" t="n"/>
      <c r="O79" s="55" t="n"/>
      <c r="P79" s="55" t="n"/>
      <c r="Q79" s="55" t="n"/>
      <c r="R79" s="55" t="n"/>
      <c r="S79" s="55" t="n"/>
      <c r="T79" s="56" t="n"/>
      <c r="U79" s="1" t="n"/>
      <c r="V79" s="56" t="n"/>
      <c r="W79" s="57" t="n"/>
      <c r="X79" s="56" t="n"/>
      <c r="Y79" s="56" t="n"/>
      <c r="Z79" s="57" t="n"/>
      <c r="AA79" s="56" t="n"/>
      <c r="AB79" s="56" t="n"/>
      <c r="AC79" s="1" t="n"/>
      <c r="AD79" s="56" t="n"/>
      <c r="AE79" s="1" t="n"/>
      <c r="AF79" s="56" t="n"/>
      <c r="AG79" s="1" t="n"/>
      <c r="AH79" s="56" t="n"/>
      <c r="AI79" s="56" t="n"/>
      <c r="AJ79" s="1" t="n"/>
      <c r="AK79" s="1" t="n"/>
      <c r="AL79" s="1" t="n"/>
      <c r="AM79" s="1" t="n"/>
      <c r="AN79" s="1" t="n"/>
    </row>
    <row r="80" ht="15.75" customHeight="1" s="9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55" t="n"/>
      <c r="N80" s="55" t="n"/>
      <c r="O80" s="55" t="n"/>
      <c r="P80" s="55" t="n"/>
      <c r="Q80" s="55" t="n"/>
      <c r="R80" s="55" t="n"/>
      <c r="S80" s="55" t="n"/>
      <c r="T80" s="56" t="n"/>
      <c r="U80" s="1" t="n"/>
      <c r="V80" s="56" t="n"/>
      <c r="W80" s="57" t="n"/>
      <c r="X80" s="56" t="n"/>
      <c r="Y80" s="56" t="n"/>
      <c r="Z80" s="57" t="n"/>
      <c r="AA80" s="56" t="n"/>
      <c r="AB80" s="56" t="n"/>
      <c r="AC80" s="1" t="n"/>
      <c r="AD80" s="56" t="n"/>
      <c r="AE80" s="1" t="n"/>
      <c r="AF80" s="56" t="n"/>
      <c r="AG80" s="1" t="n"/>
      <c r="AH80" s="56" t="n"/>
      <c r="AI80" s="56" t="n"/>
      <c r="AJ80" s="1" t="n"/>
      <c r="AK80" s="1" t="n"/>
      <c r="AL80" s="1" t="n"/>
      <c r="AM80" s="1" t="n"/>
      <c r="AN80" s="1" t="n"/>
    </row>
    <row r="81" ht="15.75" customHeight="1" s="9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55" t="n"/>
      <c r="N81" s="55" t="n"/>
      <c r="O81" s="55" t="n"/>
      <c r="P81" s="55" t="n"/>
      <c r="Q81" s="55" t="n"/>
      <c r="R81" s="55" t="n"/>
      <c r="S81" s="55" t="n"/>
      <c r="T81" s="56" t="n"/>
      <c r="U81" s="1" t="n"/>
      <c r="V81" s="56" t="n"/>
      <c r="W81" s="57" t="n"/>
      <c r="X81" s="56" t="n"/>
      <c r="Y81" s="56" t="n"/>
      <c r="Z81" s="57" t="n"/>
      <c r="AA81" s="56" t="n"/>
      <c r="AB81" s="56" t="n"/>
      <c r="AC81" s="1" t="n"/>
      <c r="AD81" s="56" t="n"/>
      <c r="AE81" s="1" t="n"/>
      <c r="AF81" s="56" t="n"/>
      <c r="AG81" s="1" t="n"/>
      <c r="AH81" s="56" t="n"/>
      <c r="AI81" s="56" t="n"/>
      <c r="AJ81" s="1" t="n"/>
      <c r="AK81" s="1" t="n"/>
      <c r="AL81" s="1" t="n"/>
      <c r="AM81" s="1" t="n"/>
      <c r="AN81" s="1" t="n"/>
    </row>
    <row r="82" ht="15.75" customHeight="1" s="9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55" t="n"/>
      <c r="N82" s="55" t="n"/>
      <c r="O82" s="55" t="n"/>
      <c r="P82" s="55" t="n"/>
      <c r="Q82" s="55" t="n"/>
      <c r="R82" s="55" t="n"/>
      <c r="S82" s="55" t="n"/>
      <c r="T82" s="56" t="n"/>
      <c r="U82" s="1" t="n"/>
      <c r="V82" s="56" t="n"/>
      <c r="W82" s="57" t="n"/>
      <c r="X82" s="56" t="n"/>
      <c r="Y82" s="56" t="n"/>
      <c r="Z82" s="57" t="n"/>
      <c r="AA82" s="56" t="n"/>
      <c r="AB82" s="56" t="n"/>
      <c r="AC82" s="1" t="n"/>
      <c r="AD82" s="56" t="n"/>
      <c r="AE82" s="1" t="n"/>
      <c r="AF82" s="56" t="n"/>
      <c r="AG82" s="1" t="n"/>
      <c r="AH82" s="56" t="n"/>
      <c r="AI82" s="56" t="n"/>
      <c r="AJ82" s="1" t="n"/>
      <c r="AK82" s="1" t="n"/>
      <c r="AL82" s="1" t="n"/>
      <c r="AM82" s="1" t="n"/>
      <c r="AN82" s="1" t="n"/>
    </row>
    <row r="83" ht="15.75" customHeight="1" s="9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55" t="n"/>
      <c r="N83" s="55" t="n"/>
      <c r="O83" s="55" t="n"/>
      <c r="P83" s="55" t="n"/>
      <c r="Q83" s="55" t="n"/>
      <c r="R83" s="55" t="n"/>
      <c r="S83" s="55" t="n"/>
      <c r="T83" s="56" t="n"/>
      <c r="U83" s="1" t="n"/>
      <c r="V83" s="56" t="n"/>
      <c r="W83" s="57" t="n"/>
      <c r="X83" s="56" t="n"/>
      <c r="Y83" s="56" t="n"/>
      <c r="Z83" s="57" t="n"/>
      <c r="AA83" s="56" t="n"/>
      <c r="AB83" s="56" t="n"/>
      <c r="AC83" s="1" t="n"/>
      <c r="AD83" s="56" t="n"/>
      <c r="AE83" s="1" t="n"/>
      <c r="AF83" s="56" t="n"/>
      <c r="AG83" s="1" t="n"/>
      <c r="AH83" s="56" t="n"/>
      <c r="AI83" s="56" t="n"/>
      <c r="AJ83" s="1" t="n"/>
      <c r="AK83" s="1" t="n"/>
      <c r="AL83" s="1" t="n"/>
      <c r="AM83" s="1" t="n"/>
      <c r="AN83" s="1" t="n"/>
    </row>
    <row r="84" ht="15.75" customHeight="1" s="9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55" t="n"/>
      <c r="N84" s="55" t="n"/>
      <c r="O84" s="55" t="n"/>
      <c r="P84" s="55" t="n"/>
      <c r="Q84" s="55" t="n"/>
      <c r="R84" s="55" t="n"/>
      <c r="S84" s="55" t="n"/>
      <c r="T84" s="56" t="n"/>
      <c r="U84" s="1" t="n"/>
      <c r="V84" s="56" t="n"/>
      <c r="W84" s="57" t="n"/>
      <c r="X84" s="56" t="n"/>
      <c r="Y84" s="56" t="n"/>
      <c r="Z84" s="57" t="n"/>
      <c r="AA84" s="56" t="n"/>
      <c r="AB84" s="56" t="n"/>
      <c r="AC84" s="1" t="n"/>
      <c r="AD84" s="56" t="n"/>
      <c r="AE84" s="1" t="n"/>
      <c r="AF84" s="56" t="n"/>
      <c r="AG84" s="1" t="n"/>
      <c r="AH84" s="56" t="n"/>
      <c r="AI84" s="56" t="n"/>
      <c r="AJ84" s="1" t="n"/>
      <c r="AK84" s="1" t="n"/>
      <c r="AL84" s="1" t="n"/>
      <c r="AM84" s="1" t="n"/>
      <c r="AN84" s="1" t="n"/>
    </row>
    <row r="85" ht="15.75" customHeight="1" s="9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55" t="n"/>
      <c r="N85" s="55" t="n"/>
      <c r="O85" s="55" t="n"/>
      <c r="P85" s="55" t="n"/>
      <c r="Q85" s="55" t="n"/>
      <c r="R85" s="55" t="n"/>
      <c r="S85" s="55" t="n"/>
      <c r="T85" s="56" t="n"/>
      <c r="U85" s="1" t="n"/>
      <c r="V85" s="56" t="n"/>
      <c r="W85" s="57" t="n"/>
      <c r="X85" s="56" t="n"/>
      <c r="Y85" s="56" t="n"/>
      <c r="Z85" s="57" t="n"/>
      <c r="AA85" s="56" t="n"/>
      <c r="AB85" s="56" t="n"/>
      <c r="AC85" s="1" t="n"/>
      <c r="AD85" s="56" t="n"/>
      <c r="AE85" s="1" t="n"/>
      <c r="AF85" s="56" t="n"/>
      <c r="AG85" s="1" t="n"/>
      <c r="AH85" s="56" t="n"/>
      <c r="AI85" s="56" t="n"/>
      <c r="AJ85" s="1" t="n"/>
      <c r="AK85" s="1" t="n"/>
      <c r="AL85" s="1" t="n"/>
      <c r="AM85" s="1" t="n"/>
      <c r="AN85" s="1" t="n"/>
    </row>
    <row r="86" ht="15.75" customHeight="1" s="9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55" t="n"/>
      <c r="N86" s="55" t="n"/>
      <c r="O86" s="55" t="n"/>
      <c r="P86" s="55" t="n"/>
      <c r="Q86" s="55" t="n"/>
      <c r="R86" s="55" t="n"/>
      <c r="S86" s="55" t="n"/>
      <c r="T86" s="56" t="n"/>
      <c r="U86" s="1" t="n"/>
      <c r="V86" s="56" t="n"/>
      <c r="W86" s="57" t="n"/>
      <c r="X86" s="56" t="n"/>
      <c r="Y86" s="56" t="n"/>
      <c r="Z86" s="57" t="n"/>
      <c r="AA86" s="56" t="n"/>
      <c r="AB86" s="56" t="n"/>
      <c r="AC86" s="1" t="n"/>
      <c r="AD86" s="56" t="n"/>
      <c r="AE86" s="1" t="n"/>
      <c r="AF86" s="56" t="n"/>
      <c r="AG86" s="1" t="n"/>
      <c r="AH86" s="56" t="n"/>
      <c r="AI86" s="56" t="n"/>
      <c r="AJ86" s="1" t="n"/>
      <c r="AK86" s="1" t="n"/>
      <c r="AL86" s="1" t="n"/>
      <c r="AM86" s="1" t="n"/>
      <c r="AN86" s="1" t="n"/>
    </row>
    <row r="87" ht="15.75" customHeight="1" s="9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55" t="n"/>
      <c r="N87" s="55" t="n"/>
      <c r="O87" s="55" t="n"/>
      <c r="P87" s="55" t="n"/>
      <c r="Q87" s="55" t="n"/>
      <c r="R87" s="55" t="n"/>
      <c r="S87" s="55" t="n"/>
      <c r="T87" s="56" t="n"/>
      <c r="U87" s="1" t="n"/>
      <c r="V87" s="56" t="n"/>
      <c r="W87" s="57" t="n"/>
      <c r="X87" s="56" t="n"/>
      <c r="Y87" s="56" t="n"/>
      <c r="Z87" s="57" t="n"/>
      <c r="AA87" s="56" t="n"/>
      <c r="AB87" s="56" t="n"/>
      <c r="AC87" s="1" t="n"/>
      <c r="AD87" s="56" t="n"/>
      <c r="AE87" s="1" t="n"/>
      <c r="AF87" s="56" t="n"/>
      <c r="AG87" s="1" t="n"/>
      <c r="AH87" s="56" t="n"/>
      <c r="AI87" s="56" t="n"/>
      <c r="AJ87" s="1" t="n"/>
      <c r="AK87" s="1" t="n"/>
      <c r="AL87" s="1" t="n"/>
      <c r="AM87" s="1" t="n"/>
      <c r="AN87" s="1" t="n"/>
    </row>
    <row r="88" ht="15.75" customHeight="1" s="9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55" t="n"/>
      <c r="N88" s="55" t="n"/>
      <c r="O88" s="55" t="n"/>
      <c r="P88" s="55" t="n"/>
      <c r="Q88" s="55" t="n"/>
      <c r="R88" s="55" t="n"/>
      <c r="S88" s="55" t="n"/>
      <c r="T88" s="56" t="n"/>
      <c r="U88" s="1" t="n"/>
      <c r="V88" s="56" t="n"/>
      <c r="W88" s="57" t="n"/>
      <c r="X88" s="56" t="n"/>
      <c r="Y88" s="56" t="n"/>
      <c r="Z88" s="57" t="n"/>
      <c r="AA88" s="56" t="n"/>
      <c r="AB88" s="56" t="n"/>
      <c r="AC88" s="1" t="n"/>
      <c r="AD88" s="56" t="n"/>
      <c r="AE88" s="1" t="n"/>
      <c r="AF88" s="56" t="n"/>
      <c r="AG88" s="1" t="n"/>
      <c r="AH88" s="56" t="n"/>
      <c r="AI88" s="56" t="n"/>
      <c r="AJ88" s="1" t="n"/>
      <c r="AK88" s="1" t="n"/>
      <c r="AL88" s="1" t="n"/>
      <c r="AM88" s="1" t="n"/>
      <c r="AN88" s="1" t="n"/>
    </row>
    <row r="89" ht="15.75" customHeight="1" s="9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55" t="n"/>
      <c r="N89" s="55" t="n"/>
      <c r="O89" s="55" t="n"/>
      <c r="P89" s="55" t="n"/>
      <c r="Q89" s="55" t="n"/>
      <c r="R89" s="55" t="n"/>
      <c r="S89" s="55" t="n"/>
      <c r="T89" s="56" t="n"/>
      <c r="U89" s="1" t="n"/>
      <c r="V89" s="56" t="n"/>
      <c r="W89" s="57" t="n"/>
      <c r="X89" s="56" t="n"/>
      <c r="Y89" s="56" t="n"/>
      <c r="Z89" s="57" t="n"/>
      <c r="AA89" s="56" t="n"/>
      <c r="AB89" s="56" t="n"/>
      <c r="AC89" s="1" t="n"/>
      <c r="AD89" s="56" t="n"/>
      <c r="AE89" s="1" t="n"/>
      <c r="AF89" s="56" t="n"/>
      <c r="AG89" s="1" t="n"/>
      <c r="AH89" s="56" t="n"/>
      <c r="AI89" s="56" t="n"/>
      <c r="AJ89" s="1" t="n"/>
      <c r="AK89" s="1" t="n"/>
      <c r="AL89" s="1" t="n"/>
      <c r="AM89" s="1" t="n"/>
      <c r="AN89" s="1" t="n"/>
    </row>
    <row r="90" ht="15.75" customHeight="1" s="9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55" t="n"/>
      <c r="N90" s="55" t="n"/>
      <c r="O90" s="55" t="n"/>
      <c r="P90" s="55" t="n"/>
      <c r="Q90" s="55" t="n"/>
      <c r="R90" s="55" t="n"/>
      <c r="S90" s="55" t="n"/>
      <c r="T90" s="56" t="n"/>
      <c r="U90" s="1" t="n"/>
      <c r="V90" s="56" t="n"/>
      <c r="W90" s="57" t="n"/>
      <c r="X90" s="56" t="n"/>
      <c r="Y90" s="56" t="n"/>
      <c r="Z90" s="57" t="n"/>
      <c r="AA90" s="56" t="n"/>
      <c r="AB90" s="56" t="n"/>
      <c r="AC90" s="1" t="n"/>
      <c r="AD90" s="56" t="n"/>
      <c r="AE90" s="1" t="n"/>
      <c r="AF90" s="56" t="n"/>
      <c r="AG90" s="1" t="n"/>
      <c r="AH90" s="56" t="n"/>
      <c r="AI90" s="56" t="n"/>
      <c r="AJ90" s="1" t="n"/>
      <c r="AK90" s="1" t="n"/>
      <c r="AL90" s="1" t="n"/>
      <c r="AM90" s="1" t="n"/>
      <c r="AN90" s="1" t="n"/>
    </row>
    <row r="91" ht="15.75" customHeight="1" s="9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55" t="n"/>
      <c r="N91" s="55" t="n"/>
      <c r="O91" s="55" t="n"/>
      <c r="P91" s="55" t="n"/>
      <c r="Q91" s="55" t="n"/>
      <c r="R91" s="55" t="n"/>
      <c r="S91" s="55" t="n"/>
      <c r="T91" s="56" t="n"/>
      <c r="U91" s="1" t="n"/>
      <c r="V91" s="56" t="n"/>
      <c r="W91" s="57" t="n"/>
      <c r="X91" s="56" t="n"/>
      <c r="Y91" s="56" t="n"/>
      <c r="Z91" s="57" t="n"/>
      <c r="AA91" s="56" t="n"/>
      <c r="AB91" s="56" t="n"/>
      <c r="AC91" s="1" t="n"/>
      <c r="AD91" s="56" t="n"/>
      <c r="AE91" s="1" t="n"/>
      <c r="AF91" s="56" t="n"/>
      <c r="AG91" s="1" t="n"/>
      <c r="AH91" s="56" t="n"/>
      <c r="AI91" s="56" t="n"/>
      <c r="AJ91" s="1" t="n"/>
      <c r="AK91" s="1" t="n"/>
      <c r="AL91" s="1" t="n"/>
      <c r="AM91" s="1" t="n"/>
      <c r="AN91" s="1" t="n"/>
    </row>
    <row r="92" ht="15.75" customHeight="1" s="9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55" t="n"/>
      <c r="N92" s="55" t="n"/>
      <c r="O92" s="55" t="n"/>
      <c r="P92" s="55" t="n"/>
      <c r="Q92" s="55" t="n"/>
      <c r="R92" s="55" t="n"/>
      <c r="S92" s="55" t="n"/>
      <c r="T92" s="56" t="n"/>
      <c r="U92" s="1" t="n"/>
      <c r="V92" s="56" t="n"/>
      <c r="W92" s="57" t="n"/>
      <c r="X92" s="56" t="n"/>
      <c r="Y92" s="56" t="n"/>
      <c r="Z92" s="57" t="n"/>
      <c r="AA92" s="56" t="n"/>
      <c r="AB92" s="56" t="n"/>
      <c r="AC92" s="1" t="n"/>
      <c r="AD92" s="56" t="n"/>
      <c r="AE92" s="1" t="n"/>
      <c r="AF92" s="56" t="n"/>
      <c r="AG92" s="1" t="n"/>
      <c r="AH92" s="56" t="n"/>
      <c r="AI92" s="56" t="n"/>
      <c r="AJ92" s="1" t="n"/>
      <c r="AK92" s="1" t="n"/>
      <c r="AL92" s="1" t="n"/>
      <c r="AM92" s="1" t="n"/>
      <c r="AN92" s="1" t="n"/>
    </row>
    <row r="93" ht="15.75" customHeight="1" s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55" t="n"/>
      <c r="N93" s="55" t="n"/>
      <c r="O93" s="55" t="n"/>
      <c r="P93" s="55" t="n"/>
      <c r="Q93" s="55" t="n"/>
      <c r="R93" s="55" t="n"/>
      <c r="S93" s="55" t="n"/>
      <c r="T93" s="56" t="n"/>
      <c r="U93" s="1" t="n"/>
      <c r="V93" s="56" t="n"/>
      <c r="W93" s="57" t="n"/>
      <c r="X93" s="56" t="n"/>
      <c r="Y93" s="56" t="n"/>
      <c r="Z93" s="57" t="n"/>
      <c r="AA93" s="56" t="n"/>
      <c r="AB93" s="56" t="n"/>
      <c r="AC93" s="1" t="n"/>
      <c r="AD93" s="56" t="n"/>
      <c r="AE93" s="1" t="n"/>
      <c r="AF93" s="56" t="n"/>
      <c r="AG93" s="1" t="n"/>
      <c r="AH93" s="56" t="n"/>
      <c r="AI93" s="56" t="n"/>
      <c r="AJ93" s="1" t="n"/>
      <c r="AK93" s="1" t="n"/>
      <c r="AL93" s="1" t="n"/>
      <c r="AM93" s="1" t="n"/>
      <c r="AN93" s="1" t="n"/>
    </row>
    <row r="94" ht="15.75" customHeight="1" s="9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55" t="n"/>
      <c r="N94" s="55" t="n"/>
      <c r="O94" s="55" t="n"/>
      <c r="P94" s="55" t="n"/>
      <c r="Q94" s="55" t="n"/>
      <c r="R94" s="55" t="n"/>
      <c r="S94" s="55" t="n"/>
      <c r="T94" s="56" t="n"/>
      <c r="U94" s="1" t="n"/>
      <c r="V94" s="56" t="n"/>
      <c r="W94" s="57" t="n"/>
      <c r="X94" s="56" t="n"/>
      <c r="Y94" s="56" t="n"/>
      <c r="Z94" s="57" t="n"/>
      <c r="AA94" s="56" t="n"/>
      <c r="AB94" s="56" t="n"/>
      <c r="AC94" s="1" t="n"/>
      <c r="AD94" s="56" t="n"/>
      <c r="AE94" s="1" t="n"/>
      <c r="AF94" s="56" t="n"/>
      <c r="AG94" s="1" t="n"/>
      <c r="AH94" s="56" t="n"/>
      <c r="AI94" s="56" t="n"/>
      <c r="AJ94" s="1" t="n"/>
      <c r="AK94" s="1" t="n"/>
      <c r="AL94" s="1" t="n"/>
      <c r="AM94" s="1" t="n"/>
      <c r="AN94" s="1" t="n"/>
    </row>
    <row r="95" ht="15.75" customHeight="1" s="9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55" t="n"/>
      <c r="N95" s="55" t="n"/>
      <c r="O95" s="55" t="n"/>
      <c r="P95" s="55" t="n"/>
      <c r="Q95" s="55" t="n"/>
      <c r="R95" s="55" t="n"/>
      <c r="S95" s="55" t="n"/>
      <c r="T95" s="56" t="n"/>
      <c r="U95" s="1" t="n"/>
      <c r="V95" s="56" t="n"/>
      <c r="W95" s="57" t="n"/>
      <c r="X95" s="56" t="n"/>
      <c r="Y95" s="56" t="n"/>
      <c r="Z95" s="57" t="n"/>
      <c r="AA95" s="56" t="n"/>
      <c r="AB95" s="56" t="n"/>
      <c r="AC95" s="1" t="n"/>
      <c r="AD95" s="56" t="n"/>
      <c r="AE95" s="1" t="n"/>
      <c r="AF95" s="56" t="n"/>
      <c r="AG95" s="1" t="n"/>
      <c r="AH95" s="56" t="n"/>
      <c r="AI95" s="56" t="n"/>
      <c r="AJ95" s="1" t="n"/>
      <c r="AK95" s="1" t="n"/>
      <c r="AL95" s="1" t="n"/>
      <c r="AM95" s="1" t="n"/>
      <c r="AN95" s="1" t="n"/>
    </row>
    <row r="96" ht="15.75" customHeight="1" s="9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55" t="n"/>
      <c r="N96" s="55" t="n"/>
      <c r="O96" s="55" t="n"/>
      <c r="P96" s="55" t="n"/>
      <c r="Q96" s="55" t="n"/>
      <c r="R96" s="55" t="n"/>
      <c r="S96" s="55" t="n"/>
      <c r="T96" s="56" t="n"/>
      <c r="U96" s="1" t="n"/>
      <c r="V96" s="56" t="n"/>
      <c r="W96" s="57" t="n"/>
      <c r="X96" s="56" t="n"/>
      <c r="Y96" s="56" t="n"/>
      <c r="Z96" s="57" t="n"/>
      <c r="AA96" s="56" t="n"/>
      <c r="AB96" s="56" t="n"/>
      <c r="AC96" s="1" t="n"/>
      <c r="AD96" s="56" t="n"/>
      <c r="AE96" s="1" t="n"/>
      <c r="AF96" s="56" t="n"/>
      <c r="AG96" s="1" t="n"/>
      <c r="AH96" s="56" t="n"/>
      <c r="AI96" s="56" t="n"/>
      <c r="AJ96" s="1" t="n"/>
      <c r="AK96" s="1" t="n"/>
      <c r="AL96" s="1" t="n"/>
      <c r="AM96" s="1" t="n"/>
      <c r="AN96" s="1" t="n"/>
    </row>
    <row r="97" ht="15.75" customHeight="1" s="9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55" t="n"/>
      <c r="N97" s="55" t="n"/>
      <c r="O97" s="55" t="n"/>
      <c r="P97" s="55" t="n"/>
      <c r="Q97" s="55" t="n"/>
      <c r="R97" s="55" t="n"/>
      <c r="S97" s="55" t="n"/>
      <c r="T97" s="56" t="n"/>
      <c r="U97" s="1" t="n"/>
      <c r="V97" s="56" t="n"/>
      <c r="W97" s="57" t="n"/>
      <c r="X97" s="56" t="n"/>
      <c r="Y97" s="56" t="n"/>
      <c r="Z97" s="57" t="n"/>
      <c r="AA97" s="56" t="n"/>
      <c r="AB97" s="56" t="n"/>
      <c r="AC97" s="1" t="n"/>
      <c r="AD97" s="56" t="n"/>
      <c r="AE97" s="1" t="n"/>
      <c r="AF97" s="56" t="n"/>
      <c r="AG97" s="1" t="n"/>
      <c r="AH97" s="56" t="n"/>
      <c r="AI97" s="56" t="n"/>
      <c r="AJ97" s="1" t="n"/>
      <c r="AK97" s="1" t="n"/>
      <c r="AL97" s="1" t="n"/>
      <c r="AM97" s="1" t="n"/>
      <c r="AN97" s="1" t="n"/>
    </row>
    <row r="98" ht="15.75" customHeight="1" s="9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55" t="n"/>
      <c r="N98" s="55" t="n"/>
      <c r="O98" s="55" t="n"/>
      <c r="P98" s="55" t="n"/>
      <c r="Q98" s="55" t="n"/>
      <c r="R98" s="55" t="n"/>
      <c r="S98" s="55" t="n"/>
      <c r="T98" s="56" t="n"/>
      <c r="U98" s="1" t="n"/>
      <c r="V98" s="56" t="n"/>
      <c r="W98" s="57" t="n"/>
      <c r="X98" s="56" t="n"/>
      <c r="Y98" s="56" t="n"/>
      <c r="Z98" s="57" t="n"/>
      <c r="AA98" s="56" t="n"/>
      <c r="AB98" s="56" t="n"/>
      <c r="AC98" s="1" t="n"/>
      <c r="AD98" s="56" t="n"/>
      <c r="AE98" s="1" t="n"/>
      <c r="AF98" s="56" t="n"/>
      <c r="AG98" s="1" t="n"/>
      <c r="AH98" s="56" t="n"/>
      <c r="AI98" s="56" t="n"/>
      <c r="AJ98" s="1" t="n"/>
      <c r="AK98" s="1" t="n"/>
      <c r="AL98" s="1" t="n"/>
      <c r="AM98" s="1" t="n"/>
      <c r="AN98" s="1" t="n"/>
    </row>
    <row r="99" ht="15.75" customHeight="1" s="9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55" t="n"/>
      <c r="N99" s="55" t="n"/>
      <c r="O99" s="55" t="n"/>
      <c r="P99" s="55" t="n"/>
      <c r="Q99" s="55" t="n"/>
      <c r="R99" s="55" t="n"/>
      <c r="S99" s="55" t="n"/>
      <c r="T99" s="56" t="n"/>
      <c r="U99" s="1" t="n"/>
      <c r="V99" s="56" t="n"/>
      <c r="W99" s="57" t="n"/>
      <c r="X99" s="56" t="n"/>
      <c r="Y99" s="56" t="n"/>
      <c r="Z99" s="57" t="n"/>
      <c r="AA99" s="56" t="n"/>
      <c r="AB99" s="56" t="n"/>
      <c r="AC99" s="1" t="n"/>
      <c r="AD99" s="56" t="n"/>
      <c r="AE99" s="1" t="n"/>
      <c r="AF99" s="56" t="n"/>
      <c r="AG99" s="1" t="n"/>
      <c r="AH99" s="56" t="n"/>
      <c r="AI99" s="56" t="n"/>
      <c r="AJ99" s="1" t="n"/>
      <c r="AK99" s="1" t="n"/>
      <c r="AL99" s="1" t="n"/>
      <c r="AM99" s="1" t="n"/>
      <c r="AN99" s="1" t="n"/>
    </row>
    <row r="100" ht="15.75" customHeight="1" s="9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55" t="n"/>
      <c r="N100" s="55" t="n"/>
      <c r="O100" s="55" t="n"/>
      <c r="P100" s="55" t="n"/>
      <c r="Q100" s="55" t="n"/>
      <c r="R100" s="55" t="n"/>
      <c r="S100" s="55" t="n"/>
      <c r="T100" s="56" t="n"/>
      <c r="U100" s="1" t="n"/>
      <c r="V100" s="56" t="n"/>
      <c r="W100" s="57" t="n"/>
      <c r="X100" s="56" t="n"/>
      <c r="Y100" s="56" t="n"/>
      <c r="Z100" s="57" t="n"/>
      <c r="AA100" s="56" t="n"/>
      <c r="AB100" s="56" t="n"/>
      <c r="AC100" s="1" t="n"/>
      <c r="AD100" s="56" t="n"/>
      <c r="AE100" s="1" t="n"/>
      <c r="AF100" s="56" t="n"/>
      <c r="AG100" s="1" t="n"/>
      <c r="AH100" s="56" t="n"/>
      <c r="AI100" s="56" t="n"/>
      <c r="AJ100" s="1" t="n"/>
      <c r="AK100" s="1" t="n"/>
      <c r="AL100" s="1" t="n"/>
      <c r="AM100" s="1" t="n"/>
      <c r="AN100" s="1" t="n"/>
    </row>
    <row r="101" ht="15.75" customHeight="1" s="9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55" t="n"/>
      <c r="N101" s="55" t="n"/>
      <c r="O101" s="55" t="n"/>
      <c r="P101" s="55" t="n"/>
      <c r="Q101" s="55" t="n"/>
      <c r="R101" s="55" t="n"/>
      <c r="S101" s="55" t="n"/>
      <c r="T101" s="56" t="n"/>
      <c r="U101" s="1" t="n"/>
      <c r="V101" s="56" t="n"/>
      <c r="W101" s="57" t="n"/>
      <c r="X101" s="56" t="n"/>
      <c r="Y101" s="56" t="n"/>
      <c r="Z101" s="57" t="n"/>
      <c r="AA101" s="56" t="n"/>
      <c r="AB101" s="56" t="n"/>
      <c r="AC101" s="1" t="n"/>
      <c r="AD101" s="56" t="n"/>
      <c r="AE101" s="1" t="n"/>
      <c r="AF101" s="56" t="n"/>
      <c r="AG101" s="1" t="n"/>
      <c r="AH101" s="56" t="n"/>
      <c r="AI101" s="56" t="n"/>
      <c r="AJ101" s="1" t="n"/>
      <c r="AK101" s="1" t="n"/>
      <c r="AL101" s="1" t="n"/>
      <c r="AM101" s="1" t="n"/>
      <c r="AN101" s="1" t="n"/>
    </row>
    <row r="102" ht="15.75" customHeight="1" s="9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55" t="n"/>
      <c r="N102" s="55" t="n"/>
      <c r="O102" s="55" t="n"/>
      <c r="P102" s="55" t="n"/>
      <c r="Q102" s="55" t="n"/>
      <c r="R102" s="55" t="n"/>
      <c r="S102" s="55" t="n"/>
      <c r="T102" s="56" t="n"/>
      <c r="U102" s="1" t="n"/>
      <c r="V102" s="56" t="n"/>
      <c r="W102" s="57" t="n"/>
      <c r="X102" s="56" t="n"/>
      <c r="Y102" s="56" t="n"/>
      <c r="Z102" s="57" t="n"/>
      <c r="AA102" s="56" t="n"/>
      <c r="AB102" s="56" t="n"/>
      <c r="AC102" s="1" t="n"/>
      <c r="AD102" s="56" t="n"/>
      <c r="AE102" s="1" t="n"/>
      <c r="AF102" s="56" t="n"/>
      <c r="AG102" s="1" t="n"/>
      <c r="AH102" s="56" t="n"/>
      <c r="AI102" s="56" t="n"/>
      <c r="AJ102" s="1" t="n"/>
      <c r="AK102" s="1" t="n"/>
      <c r="AL102" s="1" t="n"/>
      <c r="AM102" s="1" t="n"/>
      <c r="AN102" s="1" t="n"/>
    </row>
    <row r="103" ht="15.75" customHeight="1" s="9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55" t="n"/>
      <c r="N103" s="55" t="n"/>
      <c r="O103" s="55" t="n"/>
      <c r="P103" s="55" t="n"/>
      <c r="Q103" s="55" t="n"/>
      <c r="R103" s="55" t="n"/>
      <c r="S103" s="55" t="n"/>
      <c r="T103" s="56" t="n"/>
      <c r="U103" s="1" t="n"/>
      <c r="V103" s="56" t="n"/>
      <c r="W103" s="57" t="n"/>
      <c r="X103" s="56" t="n"/>
      <c r="Y103" s="56" t="n"/>
      <c r="Z103" s="57" t="n"/>
      <c r="AA103" s="56" t="n"/>
      <c r="AB103" s="56" t="n"/>
      <c r="AC103" s="1" t="n"/>
      <c r="AD103" s="56" t="n"/>
      <c r="AE103" s="1" t="n"/>
      <c r="AF103" s="56" t="n"/>
      <c r="AG103" s="1" t="n"/>
      <c r="AH103" s="56" t="n"/>
      <c r="AI103" s="56" t="n"/>
      <c r="AJ103" s="1" t="n"/>
      <c r="AK103" s="1" t="n"/>
      <c r="AL103" s="1" t="n"/>
      <c r="AM103" s="1" t="n"/>
      <c r="AN103" s="1" t="n"/>
    </row>
    <row r="104" ht="15.75" customHeight="1" s="9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55" t="n"/>
      <c r="N104" s="55" t="n"/>
      <c r="O104" s="55" t="n"/>
      <c r="P104" s="55" t="n"/>
      <c r="Q104" s="55" t="n"/>
      <c r="R104" s="55" t="n"/>
      <c r="S104" s="55" t="n"/>
      <c r="T104" s="56" t="n"/>
      <c r="U104" s="1" t="n"/>
      <c r="V104" s="56" t="n"/>
      <c r="W104" s="57" t="n"/>
      <c r="X104" s="56" t="n"/>
      <c r="Y104" s="56" t="n"/>
      <c r="Z104" s="57" t="n"/>
      <c r="AA104" s="56" t="n"/>
      <c r="AB104" s="56" t="n"/>
      <c r="AC104" s="1" t="n"/>
      <c r="AD104" s="56" t="n"/>
      <c r="AE104" s="1" t="n"/>
      <c r="AF104" s="56" t="n"/>
      <c r="AG104" s="1" t="n"/>
      <c r="AH104" s="56" t="n"/>
      <c r="AI104" s="56" t="n"/>
      <c r="AJ104" s="1" t="n"/>
      <c r="AK104" s="1" t="n"/>
      <c r="AL104" s="1" t="n"/>
      <c r="AM104" s="1" t="n"/>
      <c r="AN104" s="1" t="n"/>
    </row>
    <row r="105" ht="15.75" customHeight="1" s="9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55" t="n"/>
      <c r="N105" s="55" t="n"/>
      <c r="O105" s="55" t="n"/>
      <c r="P105" s="55" t="n"/>
      <c r="Q105" s="55" t="n"/>
      <c r="R105" s="55" t="n"/>
      <c r="S105" s="55" t="n"/>
      <c r="T105" s="56" t="n"/>
      <c r="U105" s="1" t="n"/>
      <c r="V105" s="56" t="n"/>
      <c r="W105" s="57" t="n"/>
      <c r="X105" s="56" t="n"/>
      <c r="Y105" s="56" t="n"/>
      <c r="Z105" s="57" t="n"/>
      <c r="AA105" s="56" t="n"/>
      <c r="AB105" s="56" t="n"/>
      <c r="AC105" s="1" t="n"/>
      <c r="AD105" s="56" t="n"/>
      <c r="AE105" s="1" t="n"/>
      <c r="AF105" s="56" t="n"/>
      <c r="AG105" s="1" t="n"/>
      <c r="AH105" s="56" t="n"/>
      <c r="AI105" s="56" t="n"/>
      <c r="AJ105" s="1" t="n"/>
      <c r="AK105" s="1" t="n"/>
      <c r="AL105" s="1" t="n"/>
      <c r="AM105" s="1" t="n"/>
      <c r="AN105" s="1" t="n"/>
    </row>
    <row r="106" ht="15.75" customHeight="1" s="9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55" t="n"/>
      <c r="N106" s="55" t="n"/>
      <c r="O106" s="55" t="n"/>
      <c r="P106" s="55" t="n"/>
      <c r="Q106" s="55" t="n"/>
      <c r="R106" s="55" t="n"/>
      <c r="S106" s="55" t="n"/>
      <c r="T106" s="56" t="n"/>
      <c r="U106" s="1" t="n"/>
      <c r="V106" s="56" t="n"/>
      <c r="W106" s="57" t="n"/>
      <c r="X106" s="56" t="n"/>
      <c r="Y106" s="56" t="n"/>
      <c r="Z106" s="57" t="n"/>
      <c r="AA106" s="56" t="n"/>
      <c r="AB106" s="56" t="n"/>
      <c r="AC106" s="1" t="n"/>
      <c r="AD106" s="56" t="n"/>
      <c r="AE106" s="1" t="n"/>
      <c r="AF106" s="56" t="n"/>
      <c r="AG106" s="1" t="n"/>
      <c r="AH106" s="56" t="n"/>
      <c r="AI106" s="56" t="n"/>
      <c r="AJ106" s="1" t="n"/>
      <c r="AK106" s="1" t="n"/>
      <c r="AL106" s="1" t="n"/>
      <c r="AM106" s="1" t="n"/>
      <c r="AN106" s="1" t="n"/>
    </row>
    <row r="107" ht="15.75" customHeight="1" s="9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55" t="n"/>
      <c r="N107" s="55" t="n"/>
      <c r="O107" s="55" t="n"/>
      <c r="P107" s="55" t="n"/>
      <c r="Q107" s="55" t="n"/>
      <c r="R107" s="55" t="n"/>
      <c r="S107" s="55" t="n"/>
      <c r="T107" s="56" t="n"/>
      <c r="U107" s="1" t="n"/>
      <c r="V107" s="56" t="n"/>
      <c r="W107" s="57" t="n"/>
      <c r="X107" s="56" t="n"/>
      <c r="Y107" s="56" t="n"/>
      <c r="Z107" s="57" t="n"/>
      <c r="AA107" s="56" t="n"/>
      <c r="AB107" s="56" t="n"/>
      <c r="AC107" s="1" t="n"/>
      <c r="AD107" s="56" t="n"/>
      <c r="AE107" s="1" t="n"/>
      <c r="AF107" s="56" t="n"/>
      <c r="AG107" s="1" t="n"/>
      <c r="AH107" s="56" t="n"/>
      <c r="AI107" s="56" t="n"/>
      <c r="AJ107" s="1" t="n"/>
      <c r="AK107" s="1" t="n"/>
      <c r="AL107" s="1" t="n"/>
      <c r="AM107" s="1" t="n"/>
      <c r="AN107" s="1" t="n"/>
    </row>
    <row r="108" ht="15.75" customHeight="1" s="9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55" t="n"/>
      <c r="N108" s="55" t="n"/>
      <c r="O108" s="55" t="n"/>
      <c r="P108" s="55" t="n"/>
      <c r="Q108" s="55" t="n"/>
      <c r="R108" s="55" t="n"/>
      <c r="S108" s="55" t="n"/>
      <c r="T108" s="56" t="n"/>
      <c r="U108" s="1" t="n"/>
      <c r="V108" s="56" t="n"/>
      <c r="W108" s="57" t="n"/>
      <c r="X108" s="56" t="n"/>
      <c r="Y108" s="56" t="n"/>
      <c r="Z108" s="57" t="n"/>
      <c r="AA108" s="56" t="n"/>
      <c r="AB108" s="56" t="n"/>
      <c r="AC108" s="1" t="n"/>
      <c r="AD108" s="56" t="n"/>
      <c r="AE108" s="1" t="n"/>
      <c r="AF108" s="56" t="n"/>
      <c r="AG108" s="1" t="n"/>
      <c r="AH108" s="56" t="n"/>
      <c r="AI108" s="56" t="n"/>
      <c r="AJ108" s="1" t="n"/>
      <c r="AK108" s="1" t="n"/>
      <c r="AL108" s="1" t="n"/>
      <c r="AM108" s="1" t="n"/>
      <c r="AN108" s="1" t="n"/>
    </row>
    <row r="109" ht="15.75" customHeight="1" s="9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55" t="n"/>
      <c r="N109" s="55" t="n"/>
      <c r="O109" s="55" t="n"/>
      <c r="P109" s="55" t="n"/>
      <c r="Q109" s="55" t="n"/>
      <c r="R109" s="55" t="n"/>
      <c r="S109" s="55" t="n"/>
      <c r="T109" s="56" t="n"/>
      <c r="U109" s="1" t="n"/>
      <c r="V109" s="56" t="n"/>
      <c r="W109" s="57" t="n"/>
      <c r="X109" s="56" t="n"/>
      <c r="Y109" s="56" t="n"/>
      <c r="Z109" s="57" t="n"/>
      <c r="AA109" s="56" t="n"/>
      <c r="AB109" s="56" t="n"/>
      <c r="AC109" s="1" t="n"/>
      <c r="AD109" s="56" t="n"/>
      <c r="AE109" s="1" t="n"/>
      <c r="AF109" s="56" t="n"/>
      <c r="AG109" s="1" t="n"/>
      <c r="AH109" s="56" t="n"/>
      <c r="AI109" s="56" t="n"/>
      <c r="AJ109" s="1" t="n"/>
      <c r="AK109" s="1" t="n"/>
      <c r="AL109" s="1" t="n"/>
      <c r="AM109" s="1" t="n"/>
      <c r="AN109" s="1" t="n"/>
    </row>
    <row r="110" ht="15.75" customHeight="1" s="9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55" t="n"/>
      <c r="N110" s="55" t="n"/>
      <c r="O110" s="55" t="n"/>
      <c r="P110" s="55" t="n"/>
      <c r="Q110" s="55" t="n"/>
      <c r="R110" s="55" t="n"/>
      <c r="S110" s="55" t="n"/>
      <c r="T110" s="56" t="n"/>
      <c r="U110" s="1" t="n"/>
      <c r="V110" s="56" t="n"/>
      <c r="W110" s="57" t="n"/>
      <c r="X110" s="56" t="n"/>
      <c r="Y110" s="56" t="n"/>
      <c r="Z110" s="57" t="n"/>
      <c r="AA110" s="56" t="n"/>
      <c r="AB110" s="56" t="n"/>
      <c r="AC110" s="1" t="n"/>
      <c r="AD110" s="56" t="n"/>
      <c r="AE110" s="1" t="n"/>
      <c r="AF110" s="56" t="n"/>
      <c r="AG110" s="1" t="n"/>
      <c r="AH110" s="56" t="n"/>
      <c r="AI110" s="56" t="n"/>
      <c r="AJ110" s="1" t="n"/>
      <c r="AK110" s="1" t="n"/>
      <c r="AL110" s="1" t="n"/>
      <c r="AM110" s="1" t="n"/>
      <c r="AN110" s="1" t="n"/>
    </row>
    <row r="111" ht="15.75" customHeight="1" s="9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55" t="n"/>
      <c r="N111" s="55" t="n"/>
      <c r="O111" s="55" t="n"/>
      <c r="P111" s="55" t="n"/>
      <c r="Q111" s="55" t="n"/>
      <c r="R111" s="55" t="n"/>
      <c r="S111" s="55" t="n"/>
      <c r="T111" s="56" t="n"/>
      <c r="U111" s="1" t="n"/>
      <c r="V111" s="56" t="n"/>
      <c r="W111" s="57" t="n"/>
      <c r="X111" s="56" t="n"/>
      <c r="Y111" s="56" t="n"/>
      <c r="Z111" s="57" t="n"/>
      <c r="AA111" s="56" t="n"/>
      <c r="AB111" s="56" t="n"/>
      <c r="AC111" s="1" t="n"/>
      <c r="AD111" s="56" t="n"/>
      <c r="AE111" s="1" t="n"/>
      <c r="AF111" s="56" t="n"/>
      <c r="AG111" s="1" t="n"/>
      <c r="AH111" s="56" t="n"/>
      <c r="AI111" s="56" t="n"/>
      <c r="AJ111" s="1" t="n"/>
      <c r="AK111" s="1" t="n"/>
      <c r="AL111" s="1" t="n"/>
      <c r="AM111" s="1" t="n"/>
      <c r="AN111" s="1" t="n"/>
    </row>
    <row r="112" ht="15.75" customHeight="1" s="9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55" t="n"/>
      <c r="N112" s="55" t="n"/>
      <c r="O112" s="55" t="n"/>
      <c r="P112" s="55" t="n"/>
      <c r="Q112" s="55" t="n"/>
      <c r="R112" s="55" t="n"/>
      <c r="S112" s="55" t="n"/>
      <c r="T112" s="56" t="n"/>
      <c r="U112" s="1" t="n"/>
      <c r="V112" s="56" t="n"/>
      <c r="W112" s="57" t="n"/>
      <c r="X112" s="56" t="n"/>
      <c r="Y112" s="56" t="n"/>
      <c r="Z112" s="57" t="n"/>
      <c r="AA112" s="56" t="n"/>
      <c r="AB112" s="56" t="n"/>
      <c r="AC112" s="1" t="n"/>
      <c r="AD112" s="56" t="n"/>
      <c r="AE112" s="1" t="n"/>
      <c r="AF112" s="56" t="n"/>
      <c r="AG112" s="1" t="n"/>
      <c r="AH112" s="56" t="n"/>
      <c r="AI112" s="56" t="n"/>
      <c r="AJ112" s="1" t="n"/>
      <c r="AK112" s="1" t="n"/>
      <c r="AL112" s="1" t="n"/>
      <c r="AM112" s="1" t="n"/>
      <c r="AN112" s="1" t="n"/>
    </row>
    <row r="113" ht="15.75" customHeight="1" s="9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55" t="n"/>
      <c r="N113" s="55" t="n"/>
      <c r="O113" s="55" t="n"/>
      <c r="P113" s="55" t="n"/>
      <c r="Q113" s="55" t="n"/>
      <c r="R113" s="55" t="n"/>
      <c r="S113" s="55" t="n"/>
      <c r="T113" s="56" t="n"/>
      <c r="U113" s="1" t="n"/>
      <c r="V113" s="56" t="n"/>
      <c r="W113" s="57" t="n"/>
      <c r="X113" s="56" t="n"/>
      <c r="Y113" s="56" t="n"/>
      <c r="Z113" s="57" t="n"/>
      <c r="AA113" s="56" t="n"/>
      <c r="AB113" s="56" t="n"/>
      <c r="AC113" s="1" t="n"/>
      <c r="AD113" s="56" t="n"/>
      <c r="AE113" s="1" t="n"/>
      <c r="AF113" s="56" t="n"/>
      <c r="AG113" s="1" t="n"/>
      <c r="AH113" s="56" t="n"/>
      <c r="AI113" s="56" t="n"/>
      <c r="AJ113" s="1" t="n"/>
      <c r="AK113" s="1" t="n"/>
      <c r="AL113" s="1" t="n"/>
      <c r="AM113" s="1" t="n"/>
      <c r="AN113" s="1" t="n"/>
    </row>
    <row r="114" ht="15.75" customHeight="1" s="9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55" t="n"/>
      <c r="N114" s="55" t="n"/>
      <c r="O114" s="55" t="n"/>
      <c r="P114" s="55" t="n"/>
      <c r="Q114" s="55" t="n"/>
      <c r="R114" s="55" t="n"/>
      <c r="S114" s="55" t="n"/>
      <c r="T114" s="56" t="n"/>
      <c r="U114" s="1" t="n"/>
      <c r="V114" s="56" t="n"/>
      <c r="W114" s="57" t="n"/>
      <c r="X114" s="56" t="n"/>
      <c r="Y114" s="56" t="n"/>
      <c r="Z114" s="57" t="n"/>
      <c r="AA114" s="56" t="n"/>
      <c r="AB114" s="56" t="n"/>
      <c r="AC114" s="1" t="n"/>
      <c r="AD114" s="56" t="n"/>
      <c r="AE114" s="1" t="n"/>
      <c r="AF114" s="56" t="n"/>
      <c r="AG114" s="1" t="n"/>
      <c r="AH114" s="56" t="n"/>
      <c r="AI114" s="56" t="n"/>
      <c r="AJ114" s="1" t="n"/>
      <c r="AK114" s="1" t="n"/>
      <c r="AL114" s="1" t="n"/>
      <c r="AM114" s="1" t="n"/>
      <c r="AN114" s="1" t="n"/>
    </row>
    <row r="115" ht="15.75" customHeight="1" s="9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55" t="n"/>
      <c r="N115" s="55" t="n"/>
      <c r="O115" s="55" t="n"/>
      <c r="P115" s="55" t="n"/>
      <c r="Q115" s="55" t="n"/>
      <c r="R115" s="55" t="n"/>
      <c r="S115" s="55" t="n"/>
      <c r="T115" s="56" t="n"/>
      <c r="U115" s="1" t="n"/>
      <c r="V115" s="56" t="n"/>
      <c r="W115" s="57" t="n"/>
      <c r="X115" s="56" t="n"/>
      <c r="Y115" s="56" t="n"/>
      <c r="Z115" s="57" t="n"/>
      <c r="AA115" s="56" t="n"/>
      <c r="AB115" s="56" t="n"/>
      <c r="AC115" s="1" t="n"/>
      <c r="AD115" s="56" t="n"/>
      <c r="AE115" s="1" t="n"/>
      <c r="AF115" s="56" t="n"/>
      <c r="AG115" s="1" t="n"/>
      <c r="AH115" s="56" t="n"/>
      <c r="AI115" s="56" t="n"/>
      <c r="AJ115" s="1" t="n"/>
      <c r="AK115" s="1" t="n"/>
      <c r="AL115" s="1" t="n"/>
      <c r="AM115" s="1" t="n"/>
      <c r="AN115" s="1" t="n"/>
    </row>
    <row r="116" ht="15.75" customHeight="1" s="9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55" t="n"/>
      <c r="N116" s="55" t="n"/>
      <c r="O116" s="55" t="n"/>
      <c r="P116" s="55" t="n"/>
      <c r="Q116" s="55" t="n"/>
      <c r="R116" s="55" t="n"/>
      <c r="S116" s="55" t="n"/>
      <c r="T116" s="56" t="n"/>
      <c r="U116" s="1" t="n"/>
      <c r="V116" s="56" t="n"/>
      <c r="W116" s="57" t="n"/>
      <c r="X116" s="56" t="n"/>
      <c r="Y116" s="56" t="n"/>
      <c r="Z116" s="57" t="n"/>
      <c r="AA116" s="56" t="n"/>
      <c r="AB116" s="56" t="n"/>
      <c r="AC116" s="1" t="n"/>
      <c r="AD116" s="56" t="n"/>
      <c r="AE116" s="1" t="n"/>
      <c r="AF116" s="56" t="n"/>
      <c r="AG116" s="1" t="n"/>
      <c r="AH116" s="56" t="n"/>
      <c r="AI116" s="56" t="n"/>
      <c r="AJ116" s="1" t="n"/>
      <c r="AK116" s="1" t="n"/>
      <c r="AL116" s="1" t="n"/>
      <c r="AM116" s="1" t="n"/>
      <c r="AN116" s="1" t="n"/>
    </row>
    <row r="117" ht="15.75" customHeight="1" s="9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55" t="n"/>
      <c r="N117" s="55" t="n"/>
      <c r="O117" s="55" t="n"/>
      <c r="P117" s="55" t="n"/>
      <c r="Q117" s="55" t="n"/>
      <c r="R117" s="55" t="n"/>
      <c r="S117" s="55" t="n"/>
      <c r="T117" s="56" t="n"/>
      <c r="U117" s="1" t="n"/>
      <c r="V117" s="56" t="n"/>
      <c r="W117" s="57" t="n"/>
      <c r="X117" s="56" t="n"/>
      <c r="Y117" s="56" t="n"/>
      <c r="Z117" s="57" t="n"/>
      <c r="AA117" s="56" t="n"/>
      <c r="AB117" s="56" t="n"/>
      <c r="AC117" s="1" t="n"/>
      <c r="AD117" s="56" t="n"/>
      <c r="AE117" s="1" t="n"/>
      <c r="AF117" s="56" t="n"/>
      <c r="AG117" s="1" t="n"/>
      <c r="AH117" s="56" t="n"/>
      <c r="AI117" s="56" t="n"/>
      <c r="AJ117" s="1" t="n"/>
      <c r="AK117" s="1" t="n"/>
      <c r="AL117" s="1" t="n"/>
      <c r="AM117" s="1" t="n"/>
      <c r="AN117" s="1" t="n"/>
    </row>
    <row r="118" ht="15.75" customHeight="1" s="9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55" t="n"/>
      <c r="N118" s="55" t="n"/>
      <c r="O118" s="55" t="n"/>
      <c r="P118" s="55" t="n"/>
      <c r="Q118" s="55" t="n"/>
      <c r="R118" s="55" t="n"/>
      <c r="S118" s="55" t="n"/>
      <c r="T118" s="56" t="n"/>
      <c r="U118" s="1" t="n"/>
      <c r="V118" s="56" t="n"/>
      <c r="W118" s="57" t="n"/>
      <c r="X118" s="56" t="n"/>
      <c r="Y118" s="56" t="n"/>
      <c r="Z118" s="57" t="n"/>
      <c r="AA118" s="56" t="n"/>
      <c r="AB118" s="56" t="n"/>
      <c r="AC118" s="1" t="n"/>
      <c r="AD118" s="56" t="n"/>
      <c r="AE118" s="1" t="n"/>
      <c r="AF118" s="56" t="n"/>
      <c r="AG118" s="1" t="n"/>
      <c r="AH118" s="56" t="n"/>
      <c r="AI118" s="56" t="n"/>
      <c r="AJ118" s="1" t="n"/>
      <c r="AK118" s="1" t="n"/>
      <c r="AL118" s="1" t="n"/>
      <c r="AM118" s="1" t="n"/>
      <c r="AN118" s="1" t="n"/>
    </row>
    <row r="119" ht="15.75" customHeight="1" s="9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55" t="n"/>
      <c r="N119" s="55" t="n"/>
      <c r="O119" s="55" t="n"/>
      <c r="P119" s="55" t="n"/>
      <c r="Q119" s="55" t="n"/>
      <c r="R119" s="55" t="n"/>
      <c r="S119" s="55" t="n"/>
      <c r="T119" s="56" t="n"/>
      <c r="U119" s="1" t="n"/>
      <c r="V119" s="56" t="n"/>
      <c r="W119" s="57" t="n"/>
      <c r="X119" s="56" t="n"/>
      <c r="Y119" s="56" t="n"/>
      <c r="Z119" s="57" t="n"/>
      <c r="AA119" s="56" t="n"/>
      <c r="AB119" s="56" t="n"/>
      <c r="AC119" s="1" t="n"/>
      <c r="AD119" s="56" t="n"/>
      <c r="AE119" s="1" t="n"/>
      <c r="AF119" s="56" t="n"/>
      <c r="AG119" s="1" t="n"/>
      <c r="AH119" s="56" t="n"/>
      <c r="AI119" s="56" t="n"/>
      <c r="AJ119" s="1" t="n"/>
      <c r="AK119" s="1" t="n"/>
      <c r="AL119" s="1" t="n"/>
      <c r="AM119" s="1" t="n"/>
      <c r="AN119" s="1" t="n"/>
    </row>
    <row r="120" ht="15.75" customHeight="1" s="9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55" t="n"/>
      <c r="N120" s="55" t="n"/>
      <c r="O120" s="55" t="n"/>
      <c r="P120" s="55" t="n"/>
      <c r="Q120" s="55" t="n"/>
      <c r="R120" s="55" t="n"/>
      <c r="S120" s="55" t="n"/>
      <c r="T120" s="56" t="n"/>
      <c r="U120" s="1" t="n"/>
      <c r="V120" s="56" t="n"/>
      <c r="W120" s="57" t="n"/>
      <c r="X120" s="56" t="n"/>
      <c r="Y120" s="56" t="n"/>
      <c r="Z120" s="57" t="n"/>
      <c r="AA120" s="56" t="n"/>
      <c r="AB120" s="56" t="n"/>
      <c r="AC120" s="1" t="n"/>
      <c r="AD120" s="56" t="n"/>
      <c r="AE120" s="1" t="n"/>
      <c r="AF120" s="56" t="n"/>
      <c r="AG120" s="1" t="n"/>
      <c r="AH120" s="56" t="n"/>
      <c r="AI120" s="56" t="n"/>
      <c r="AJ120" s="1" t="n"/>
      <c r="AK120" s="1" t="n"/>
      <c r="AL120" s="1" t="n"/>
      <c r="AM120" s="1" t="n"/>
      <c r="AN120" s="1" t="n"/>
    </row>
    <row r="121" ht="15.75" customHeight="1" s="9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55" t="n"/>
      <c r="N121" s="55" t="n"/>
      <c r="O121" s="55" t="n"/>
      <c r="P121" s="55" t="n"/>
      <c r="Q121" s="55" t="n"/>
      <c r="R121" s="55" t="n"/>
      <c r="S121" s="55" t="n"/>
      <c r="T121" s="56" t="n"/>
      <c r="U121" s="1" t="n"/>
      <c r="V121" s="56" t="n"/>
      <c r="W121" s="57" t="n"/>
      <c r="X121" s="56" t="n"/>
      <c r="Y121" s="56" t="n"/>
      <c r="Z121" s="57" t="n"/>
      <c r="AA121" s="56" t="n"/>
      <c r="AB121" s="56" t="n"/>
      <c r="AC121" s="1" t="n"/>
      <c r="AD121" s="56" t="n"/>
      <c r="AE121" s="1" t="n"/>
      <c r="AF121" s="56" t="n"/>
      <c r="AG121" s="1" t="n"/>
      <c r="AH121" s="56" t="n"/>
      <c r="AI121" s="56" t="n"/>
      <c r="AJ121" s="1" t="n"/>
      <c r="AK121" s="1" t="n"/>
      <c r="AL121" s="1" t="n"/>
      <c r="AM121" s="1" t="n"/>
      <c r="AN121" s="1" t="n"/>
    </row>
    <row r="122" ht="15.75" customHeight="1" s="9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55" t="n"/>
      <c r="N122" s="55" t="n"/>
      <c r="O122" s="55" t="n"/>
      <c r="P122" s="55" t="n"/>
      <c r="Q122" s="55" t="n"/>
      <c r="R122" s="55" t="n"/>
      <c r="S122" s="55" t="n"/>
      <c r="T122" s="56" t="n"/>
      <c r="U122" s="1" t="n"/>
      <c r="V122" s="56" t="n"/>
      <c r="W122" s="57" t="n"/>
      <c r="X122" s="56" t="n"/>
      <c r="Y122" s="56" t="n"/>
      <c r="Z122" s="57" t="n"/>
      <c r="AA122" s="56" t="n"/>
      <c r="AB122" s="56" t="n"/>
      <c r="AC122" s="1" t="n"/>
      <c r="AD122" s="56" t="n"/>
      <c r="AE122" s="1" t="n"/>
      <c r="AF122" s="56" t="n"/>
      <c r="AG122" s="1" t="n"/>
      <c r="AH122" s="56" t="n"/>
      <c r="AI122" s="56" t="n"/>
      <c r="AJ122" s="1" t="n"/>
      <c r="AK122" s="1" t="n"/>
      <c r="AL122" s="1" t="n"/>
      <c r="AM122" s="1" t="n"/>
      <c r="AN122" s="1" t="n"/>
    </row>
    <row r="123" ht="15.75" customHeight="1" s="9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55" t="n"/>
      <c r="N123" s="55" t="n"/>
      <c r="O123" s="55" t="n"/>
      <c r="P123" s="55" t="n"/>
      <c r="Q123" s="55" t="n"/>
      <c r="R123" s="55" t="n"/>
      <c r="S123" s="55" t="n"/>
      <c r="T123" s="56" t="n"/>
      <c r="U123" s="1" t="n"/>
      <c r="V123" s="56" t="n"/>
      <c r="W123" s="57" t="n"/>
      <c r="X123" s="56" t="n"/>
      <c r="Y123" s="56" t="n"/>
      <c r="Z123" s="57" t="n"/>
      <c r="AA123" s="56" t="n"/>
      <c r="AB123" s="56" t="n"/>
      <c r="AC123" s="1" t="n"/>
      <c r="AD123" s="56" t="n"/>
      <c r="AE123" s="1" t="n"/>
      <c r="AF123" s="56" t="n"/>
      <c r="AG123" s="1" t="n"/>
      <c r="AH123" s="56" t="n"/>
      <c r="AI123" s="56" t="n"/>
      <c r="AJ123" s="1" t="n"/>
      <c r="AK123" s="1" t="n"/>
      <c r="AL123" s="1" t="n"/>
      <c r="AM123" s="1" t="n"/>
      <c r="AN123" s="1" t="n"/>
    </row>
    <row r="124" ht="15.75" customHeight="1" s="9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55" t="n"/>
      <c r="N124" s="55" t="n"/>
      <c r="O124" s="55" t="n"/>
      <c r="P124" s="55" t="n"/>
      <c r="Q124" s="55" t="n"/>
      <c r="R124" s="55" t="n"/>
      <c r="S124" s="55" t="n"/>
      <c r="T124" s="56" t="n"/>
      <c r="U124" s="1" t="n"/>
      <c r="V124" s="56" t="n"/>
      <c r="W124" s="57" t="n"/>
      <c r="X124" s="56" t="n"/>
      <c r="Y124" s="56" t="n"/>
      <c r="Z124" s="57" t="n"/>
      <c r="AA124" s="56" t="n"/>
      <c r="AB124" s="56" t="n"/>
      <c r="AC124" s="1" t="n"/>
      <c r="AD124" s="56" t="n"/>
      <c r="AE124" s="1" t="n"/>
      <c r="AF124" s="56" t="n"/>
      <c r="AG124" s="1" t="n"/>
      <c r="AH124" s="56" t="n"/>
      <c r="AI124" s="56" t="n"/>
      <c r="AJ124" s="1" t="n"/>
      <c r="AK124" s="1" t="n"/>
      <c r="AL124" s="1" t="n"/>
      <c r="AM124" s="1" t="n"/>
      <c r="AN124" s="1" t="n"/>
    </row>
    <row r="125" ht="15.75" customHeight="1" s="9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55" t="n"/>
      <c r="N125" s="55" t="n"/>
      <c r="O125" s="55" t="n"/>
      <c r="P125" s="55" t="n"/>
      <c r="Q125" s="55" t="n"/>
      <c r="R125" s="55" t="n"/>
      <c r="S125" s="55" t="n"/>
      <c r="T125" s="56" t="n"/>
      <c r="U125" s="1" t="n"/>
      <c r="V125" s="56" t="n"/>
      <c r="W125" s="57" t="n"/>
      <c r="X125" s="56" t="n"/>
      <c r="Y125" s="56" t="n"/>
      <c r="Z125" s="57" t="n"/>
      <c r="AA125" s="56" t="n"/>
      <c r="AB125" s="56" t="n"/>
      <c r="AC125" s="1" t="n"/>
      <c r="AD125" s="56" t="n"/>
      <c r="AE125" s="1" t="n"/>
      <c r="AF125" s="56" t="n"/>
      <c r="AG125" s="1" t="n"/>
      <c r="AH125" s="56" t="n"/>
      <c r="AI125" s="56" t="n"/>
      <c r="AJ125" s="1" t="n"/>
      <c r="AK125" s="1" t="n"/>
      <c r="AL125" s="1" t="n"/>
      <c r="AM125" s="1" t="n"/>
      <c r="AN125" s="1" t="n"/>
    </row>
    <row r="126" ht="15.75" customHeight="1" s="9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55" t="n"/>
      <c r="N126" s="55" t="n"/>
      <c r="O126" s="55" t="n"/>
      <c r="P126" s="55" t="n"/>
      <c r="Q126" s="55" t="n"/>
      <c r="R126" s="55" t="n"/>
      <c r="S126" s="55" t="n"/>
      <c r="T126" s="56" t="n"/>
      <c r="U126" s="1" t="n"/>
      <c r="V126" s="56" t="n"/>
      <c r="W126" s="57" t="n"/>
      <c r="X126" s="56" t="n"/>
      <c r="Y126" s="56" t="n"/>
      <c r="Z126" s="57" t="n"/>
      <c r="AA126" s="56" t="n"/>
      <c r="AB126" s="56" t="n"/>
      <c r="AC126" s="1" t="n"/>
      <c r="AD126" s="56" t="n"/>
      <c r="AE126" s="1" t="n"/>
      <c r="AF126" s="56" t="n"/>
      <c r="AG126" s="1" t="n"/>
      <c r="AH126" s="56" t="n"/>
      <c r="AI126" s="56" t="n"/>
      <c r="AJ126" s="1" t="n"/>
      <c r="AK126" s="1" t="n"/>
      <c r="AL126" s="1" t="n"/>
      <c r="AM126" s="1" t="n"/>
      <c r="AN126" s="1" t="n"/>
    </row>
    <row r="127" ht="15.75" customHeight="1" s="9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55" t="n"/>
      <c r="N127" s="55" t="n"/>
      <c r="O127" s="55" t="n"/>
      <c r="P127" s="55" t="n"/>
      <c r="Q127" s="55" t="n"/>
      <c r="R127" s="55" t="n"/>
      <c r="S127" s="55" t="n"/>
      <c r="T127" s="56" t="n"/>
      <c r="U127" s="1" t="n"/>
      <c r="V127" s="56" t="n"/>
      <c r="W127" s="57" t="n"/>
      <c r="X127" s="56" t="n"/>
      <c r="Y127" s="56" t="n"/>
      <c r="Z127" s="57" t="n"/>
      <c r="AA127" s="56" t="n"/>
      <c r="AB127" s="56" t="n"/>
      <c r="AC127" s="1" t="n"/>
      <c r="AD127" s="56" t="n"/>
      <c r="AE127" s="1" t="n"/>
      <c r="AF127" s="56" t="n"/>
      <c r="AG127" s="1" t="n"/>
      <c r="AH127" s="56" t="n"/>
      <c r="AI127" s="56" t="n"/>
      <c r="AJ127" s="1" t="n"/>
      <c r="AK127" s="1" t="n"/>
      <c r="AL127" s="1" t="n"/>
      <c r="AM127" s="1" t="n"/>
      <c r="AN127" s="1" t="n"/>
    </row>
    <row r="128" ht="15.75" customHeight="1" s="9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55" t="n"/>
      <c r="N128" s="55" t="n"/>
      <c r="O128" s="55" t="n"/>
      <c r="P128" s="55" t="n"/>
      <c r="Q128" s="55" t="n"/>
      <c r="R128" s="55" t="n"/>
      <c r="S128" s="55" t="n"/>
      <c r="T128" s="56" t="n"/>
      <c r="U128" s="1" t="n"/>
      <c r="V128" s="56" t="n"/>
      <c r="W128" s="57" t="n"/>
      <c r="X128" s="56" t="n"/>
      <c r="Y128" s="56" t="n"/>
      <c r="Z128" s="57" t="n"/>
      <c r="AA128" s="56" t="n"/>
      <c r="AB128" s="56" t="n"/>
      <c r="AC128" s="1" t="n"/>
      <c r="AD128" s="56" t="n"/>
      <c r="AE128" s="1" t="n"/>
      <c r="AF128" s="56" t="n"/>
      <c r="AG128" s="1" t="n"/>
      <c r="AH128" s="56" t="n"/>
      <c r="AI128" s="56" t="n"/>
      <c r="AJ128" s="1" t="n"/>
      <c r="AK128" s="1" t="n"/>
      <c r="AL128" s="1" t="n"/>
      <c r="AM128" s="1" t="n"/>
      <c r="AN128" s="1" t="n"/>
    </row>
    <row r="129" ht="15.75" customHeight="1" s="9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55" t="n"/>
      <c r="N129" s="55" t="n"/>
      <c r="O129" s="55" t="n"/>
      <c r="P129" s="55" t="n"/>
      <c r="Q129" s="55" t="n"/>
      <c r="R129" s="55" t="n"/>
      <c r="S129" s="55" t="n"/>
      <c r="T129" s="56" t="n"/>
      <c r="U129" s="1" t="n"/>
      <c r="V129" s="56" t="n"/>
      <c r="W129" s="57" t="n"/>
      <c r="X129" s="56" t="n"/>
      <c r="Y129" s="56" t="n"/>
      <c r="Z129" s="57" t="n"/>
      <c r="AA129" s="56" t="n"/>
      <c r="AB129" s="56" t="n"/>
      <c r="AC129" s="1" t="n"/>
      <c r="AD129" s="56" t="n"/>
      <c r="AE129" s="1" t="n"/>
      <c r="AF129" s="56" t="n"/>
      <c r="AG129" s="1" t="n"/>
      <c r="AH129" s="56" t="n"/>
      <c r="AI129" s="56" t="n"/>
      <c r="AJ129" s="1" t="n"/>
      <c r="AK129" s="1" t="n"/>
      <c r="AL129" s="1" t="n"/>
      <c r="AM129" s="1" t="n"/>
      <c r="AN129" s="1" t="n"/>
    </row>
    <row r="130" ht="15.75" customHeight="1" s="9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55" t="n"/>
      <c r="N130" s="55" t="n"/>
      <c r="O130" s="55" t="n"/>
      <c r="P130" s="55" t="n"/>
      <c r="Q130" s="55" t="n"/>
      <c r="R130" s="55" t="n"/>
      <c r="S130" s="55" t="n"/>
      <c r="T130" s="56" t="n"/>
      <c r="U130" s="1" t="n"/>
      <c r="V130" s="56" t="n"/>
      <c r="W130" s="57" t="n"/>
      <c r="X130" s="56" t="n"/>
      <c r="Y130" s="56" t="n"/>
      <c r="Z130" s="57" t="n"/>
      <c r="AA130" s="56" t="n"/>
      <c r="AB130" s="56" t="n"/>
      <c r="AC130" s="1" t="n"/>
      <c r="AD130" s="56" t="n"/>
      <c r="AE130" s="1" t="n"/>
      <c r="AF130" s="56" t="n"/>
      <c r="AG130" s="1" t="n"/>
      <c r="AH130" s="56" t="n"/>
      <c r="AI130" s="56" t="n"/>
      <c r="AJ130" s="1" t="n"/>
      <c r="AK130" s="1" t="n"/>
      <c r="AL130" s="1" t="n"/>
      <c r="AM130" s="1" t="n"/>
      <c r="AN130" s="1" t="n"/>
    </row>
    <row r="131" ht="15.75" customHeight="1" s="9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55" t="n"/>
      <c r="N131" s="55" t="n"/>
      <c r="O131" s="55" t="n"/>
      <c r="P131" s="55" t="n"/>
      <c r="Q131" s="55" t="n"/>
      <c r="R131" s="55" t="n"/>
      <c r="S131" s="55" t="n"/>
      <c r="T131" s="56" t="n"/>
      <c r="U131" s="1" t="n"/>
      <c r="V131" s="56" t="n"/>
      <c r="W131" s="57" t="n"/>
      <c r="X131" s="56" t="n"/>
      <c r="Y131" s="56" t="n"/>
      <c r="Z131" s="57" t="n"/>
      <c r="AA131" s="56" t="n"/>
      <c r="AB131" s="56" t="n"/>
      <c r="AC131" s="1" t="n"/>
      <c r="AD131" s="56" t="n"/>
      <c r="AE131" s="1" t="n"/>
      <c r="AF131" s="56" t="n"/>
      <c r="AG131" s="1" t="n"/>
      <c r="AH131" s="56" t="n"/>
      <c r="AI131" s="56" t="n"/>
      <c r="AJ131" s="1" t="n"/>
      <c r="AK131" s="1" t="n"/>
      <c r="AL131" s="1" t="n"/>
      <c r="AM131" s="1" t="n"/>
      <c r="AN131" s="1" t="n"/>
    </row>
    <row r="132" ht="15.75" customHeight="1" s="9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55" t="n"/>
      <c r="N132" s="55" t="n"/>
      <c r="O132" s="55" t="n"/>
      <c r="P132" s="55" t="n"/>
      <c r="Q132" s="55" t="n"/>
      <c r="R132" s="55" t="n"/>
      <c r="S132" s="55" t="n"/>
      <c r="T132" s="56" t="n"/>
      <c r="U132" s="1" t="n"/>
      <c r="V132" s="56" t="n"/>
      <c r="W132" s="57" t="n"/>
      <c r="X132" s="56" t="n"/>
      <c r="Y132" s="56" t="n"/>
      <c r="Z132" s="57" t="n"/>
      <c r="AA132" s="56" t="n"/>
      <c r="AB132" s="56" t="n"/>
      <c r="AC132" s="1" t="n"/>
      <c r="AD132" s="56" t="n"/>
      <c r="AE132" s="1" t="n"/>
      <c r="AF132" s="56" t="n"/>
      <c r="AG132" s="1" t="n"/>
      <c r="AH132" s="56" t="n"/>
      <c r="AI132" s="56" t="n"/>
      <c r="AJ132" s="1" t="n"/>
      <c r="AK132" s="1" t="n"/>
      <c r="AL132" s="1" t="n"/>
      <c r="AM132" s="1" t="n"/>
      <c r="AN132" s="1" t="n"/>
    </row>
    <row r="133" ht="15.75" customHeight="1" s="9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55" t="n"/>
      <c r="N133" s="55" t="n"/>
      <c r="O133" s="55" t="n"/>
      <c r="P133" s="55" t="n"/>
      <c r="Q133" s="55" t="n"/>
      <c r="R133" s="55" t="n"/>
      <c r="S133" s="55" t="n"/>
      <c r="T133" s="56" t="n"/>
      <c r="U133" s="1" t="n"/>
      <c r="V133" s="56" t="n"/>
      <c r="W133" s="57" t="n"/>
      <c r="X133" s="56" t="n"/>
      <c r="Y133" s="56" t="n"/>
      <c r="Z133" s="57" t="n"/>
      <c r="AA133" s="56" t="n"/>
      <c r="AB133" s="56" t="n"/>
      <c r="AC133" s="1" t="n"/>
      <c r="AD133" s="56" t="n"/>
      <c r="AE133" s="1" t="n"/>
      <c r="AF133" s="56" t="n"/>
      <c r="AG133" s="1" t="n"/>
      <c r="AH133" s="56" t="n"/>
      <c r="AI133" s="56" t="n"/>
      <c r="AJ133" s="1" t="n"/>
      <c r="AK133" s="1" t="n"/>
      <c r="AL133" s="1" t="n"/>
      <c r="AM133" s="1" t="n"/>
      <c r="AN133" s="1" t="n"/>
    </row>
    <row r="134" ht="15.75" customHeight="1" s="9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55" t="n"/>
      <c r="N134" s="55" t="n"/>
      <c r="O134" s="55" t="n"/>
      <c r="P134" s="55" t="n"/>
      <c r="Q134" s="55" t="n"/>
      <c r="R134" s="55" t="n"/>
      <c r="S134" s="55" t="n"/>
      <c r="T134" s="56" t="n"/>
      <c r="U134" s="1" t="n"/>
      <c r="V134" s="56" t="n"/>
      <c r="W134" s="57" t="n"/>
      <c r="X134" s="56" t="n"/>
      <c r="Y134" s="56" t="n"/>
      <c r="Z134" s="57" t="n"/>
      <c r="AA134" s="56" t="n"/>
      <c r="AB134" s="56" t="n"/>
      <c r="AC134" s="1" t="n"/>
      <c r="AD134" s="56" t="n"/>
      <c r="AE134" s="1" t="n"/>
      <c r="AF134" s="56" t="n"/>
      <c r="AG134" s="1" t="n"/>
      <c r="AH134" s="56" t="n"/>
      <c r="AI134" s="56" t="n"/>
      <c r="AJ134" s="1" t="n"/>
      <c r="AK134" s="1" t="n"/>
      <c r="AL134" s="1" t="n"/>
      <c r="AM134" s="1" t="n"/>
      <c r="AN134" s="1" t="n"/>
    </row>
    <row r="135" ht="15.75" customHeight="1" s="9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55" t="n"/>
      <c r="N135" s="55" t="n"/>
      <c r="O135" s="55" t="n"/>
      <c r="P135" s="55" t="n"/>
      <c r="Q135" s="55" t="n"/>
      <c r="R135" s="55" t="n"/>
      <c r="S135" s="55" t="n"/>
      <c r="T135" s="56" t="n"/>
      <c r="U135" s="1" t="n"/>
      <c r="V135" s="56" t="n"/>
      <c r="W135" s="57" t="n"/>
      <c r="X135" s="56" t="n"/>
      <c r="Y135" s="56" t="n"/>
      <c r="Z135" s="57" t="n"/>
      <c r="AA135" s="56" t="n"/>
      <c r="AB135" s="56" t="n"/>
      <c r="AC135" s="1" t="n"/>
      <c r="AD135" s="56" t="n"/>
      <c r="AE135" s="1" t="n"/>
      <c r="AF135" s="56" t="n"/>
      <c r="AG135" s="1" t="n"/>
      <c r="AH135" s="56" t="n"/>
      <c r="AI135" s="56" t="n"/>
      <c r="AJ135" s="1" t="n"/>
      <c r="AK135" s="1" t="n"/>
      <c r="AL135" s="1" t="n"/>
      <c r="AM135" s="1" t="n"/>
      <c r="AN135" s="1" t="n"/>
    </row>
    <row r="136" ht="15.75" customHeight="1" s="9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55" t="n"/>
      <c r="N136" s="55" t="n"/>
      <c r="O136" s="55" t="n"/>
      <c r="P136" s="55" t="n"/>
      <c r="Q136" s="55" t="n"/>
      <c r="R136" s="55" t="n"/>
      <c r="S136" s="55" t="n"/>
      <c r="T136" s="56" t="n"/>
      <c r="U136" s="1" t="n"/>
      <c r="V136" s="56" t="n"/>
      <c r="W136" s="57" t="n"/>
      <c r="X136" s="56" t="n"/>
      <c r="Y136" s="56" t="n"/>
      <c r="Z136" s="57" t="n"/>
      <c r="AA136" s="56" t="n"/>
      <c r="AB136" s="56" t="n"/>
      <c r="AC136" s="1" t="n"/>
      <c r="AD136" s="56" t="n"/>
      <c r="AE136" s="1" t="n"/>
      <c r="AF136" s="56" t="n"/>
      <c r="AG136" s="1" t="n"/>
      <c r="AH136" s="56" t="n"/>
      <c r="AI136" s="56" t="n"/>
      <c r="AJ136" s="1" t="n"/>
      <c r="AK136" s="1" t="n"/>
      <c r="AL136" s="1" t="n"/>
      <c r="AM136" s="1" t="n"/>
      <c r="AN136" s="1" t="n"/>
    </row>
    <row r="137" ht="15.75" customHeight="1" s="9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55" t="n"/>
      <c r="N137" s="55" t="n"/>
      <c r="O137" s="55" t="n"/>
      <c r="P137" s="55" t="n"/>
      <c r="Q137" s="55" t="n"/>
      <c r="R137" s="55" t="n"/>
      <c r="S137" s="55" t="n"/>
      <c r="T137" s="56" t="n"/>
      <c r="U137" s="1" t="n"/>
      <c r="V137" s="56" t="n"/>
      <c r="W137" s="57" t="n"/>
      <c r="X137" s="56" t="n"/>
      <c r="Y137" s="56" t="n"/>
      <c r="Z137" s="57" t="n"/>
      <c r="AA137" s="56" t="n"/>
      <c r="AB137" s="56" t="n"/>
      <c r="AC137" s="1" t="n"/>
      <c r="AD137" s="56" t="n"/>
      <c r="AE137" s="1" t="n"/>
      <c r="AF137" s="56" t="n"/>
      <c r="AG137" s="1" t="n"/>
      <c r="AH137" s="56" t="n"/>
      <c r="AI137" s="56" t="n"/>
      <c r="AJ137" s="1" t="n"/>
      <c r="AK137" s="1" t="n"/>
      <c r="AL137" s="1" t="n"/>
      <c r="AM137" s="1" t="n"/>
      <c r="AN137" s="1" t="n"/>
    </row>
    <row r="138" ht="15.75" customHeight="1" s="9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55" t="n"/>
      <c r="N138" s="55" t="n"/>
      <c r="O138" s="55" t="n"/>
      <c r="P138" s="55" t="n"/>
      <c r="Q138" s="55" t="n"/>
      <c r="R138" s="55" t="n"/>
      <c r="S138" s="55" t="n"/>
      <c r="T138" s="56" t="n"/>
      <c r="U138" s="1" t="n"/>
      <c r="V138" s="56" t="n"/>
      <c r="W138" s="57" t="n"/>
      <c r="X138" s="56" t="n"/>
      <c r="Y138" s="56" t="n"/>
      <c r="Z138" s="57" t="n"/>
      <c r="AA138" s="56" t="n"/>
      <c r="AB138" s="56" t="n"/>
      <c r="AC138" s="1" t="n"/>
      <c r="AD138" s="56" t="n"/>
      <c r="AE138" s="1" t="n"/>
      <c r="AF138" s="56" t="n"/>
      <c r="AG138" s="1" t="n"/>
      <c r="AH138" s="56" t="n"/>
      <c r="AI138" s="56" t="n"/>
      <c r="AJ138" s="1" t="n"/>
      <c r="AK138" s="1" t="n"/>
      <c r="AL138" s="1" t="n"/>
      <c r="AM138" s="1" t="n"/>
      <c r="AN138" s="1" t="n"/>
    </row>
    <row r="139" ht="15.75" customHeight="1" s="9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55" t="n"/>
      <c r="N139" s="55" t="n"/>
      <c r="O139" s="55" t="n"/>
      <c r="P139" s="55" t="n"/>
      <c r="Q139" s="55" t="n"/>
      <c r="R139" s="55" t="n"/>
      <c r="S139" s="55" t="n"/>
      <c r="T139" s="56" t="n"/>
      <c r="U139" s="1" t="n"/>
      <c r="V139" s="56" t="n"/>
      <c r="W139" s="57" t="n"/>
      <c r="X139" s="56" t="n"/>
      <c r="Y139" s="56" t="n"/>
      <c r="Z139" s="57" t="n"/>
      <c r="AA139" s="56" t="n"/>
      <c r="AB139" s="56" t="n"/>
      <c r="AC139" s="1" t="n"/>
      <c r="AD139" s="56" t="n"/>
      <c r="AE139" s="1" t="n"/>
      <c r="AF139" s="56" t="n"/>
      <c r="AG139" s="1" t="n"/>
      <c r="AH139" s="56" t="n"/>
      <c r="AI139" s="56" t="n"/>
      <c r="AJ139" s="1" t="n"/>
      <c r="AK139" s="1" t="n"/>
      <c r="AL139" s="1" t="n"/>
      <c r="AM139" s="1" t="n"/>
      <c r="AN139" s="1" t="n"/>
    </row>
    <row r="140" ht="15.75" customHeight="1" s="9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55" t="n"/>
      <c r="N140" s="55" t="n"/>
      <c r="O140" s="55" t="n"/>
      <c r="P140" s="55" t="n"/>
      <c r="Q140" s="55" t="n"/>
      <c r="R140" s="55" t="n"/>
      <c r="S140" s="55" t="n"/>
      <c r="T140" s="56" t="n"/>
      <c r="U140" s="1" t="n"/>
      <c r="V140" s="56" t="n"/>
      <c r="W140" s="57" t="n"/>
      <c r="X140" s="56" t="n"/>
      <c r="Y140" s="56" t="n"/>
      <c r="Z140" s="57" t="n"/>
      <c r="AA140" s="56" t="n"/>
      <c r="AB140" s="56" t="n"/>
      <c r="AC140" s="1" t="n"/>
      <c r="AD140" s="56" t="n"/>
      <c r="AE140" s="1" t="n"/>
      <c r="AF140" s="56" t="n"/>
      <c r="AG140" s="1" t="n"/>
      <c r="AH140" s="56" t="n"/>
      <c r="AI140" s="56" t="n"/>
      <c r="AJ140" s="1" t="n"/>
      <c r="AK140" s="1" t="n"/>
      <c r="AL140" s="1" t="n"/>
      <c r="AM140" s="1" t="n"/>
      <c r="AN140" s="1" t="n"/>
    </row>
    <row r="141" ht="15.75" customHeight="1" s="9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55" t="n"/>
      <c r="N141" s="55" t="n"/>
      <c r="O141" s="55" t="n"/>
      <c r="P141" s="55" t="n"/>
      <c r="Q141" s="55" t="n"/>
      <c r="R141" s="55" t="n"/>
      <c r="S141" s="55" t="n"/>
      <c r="T141" s="56" t="n"/>
      <c r="U141" s="1" t="n"/>
      <c r="V141" s="56" t="n"/>
      <c r="W141" s="57" t="n"/>
      <c r="X141" s="56" t="n"/>
      <c r="Y141" s="56" t="n"/>
      <c r="Z141" s="57" t="n"/>
      <c r="AA141" s="56" t="n"/>
      <c r="AB141" s="56" t="n"/>
      <c r="AC141" s="1" t="n"/>
      <c r="AD141" s="56" t="n"/>
      <c r="AE141" s="1" t="n"/>
      <c r="AF141" s="56" t="n"/>
      <c r="AG141" s="1" t="n"/>
      <c r="AH141" s="56" t="n"/>
      <c r="AI141" s="56" t="n"/>
      <c r="AJ141" s="1" t="n"/>
      <c r="AK141" s="1" t="n"/>
      <c r="AL141" s="1" t="n"/>
      <c r="AM141" s="1" t="n"/>
      <c r="AN141" s="1" t="n"/>
    </row>
    <row r="142" ht="15.75" customHeight="1" s="9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55" t="n"/>
      <c r="N142" s="55" t="n"/>
      <c r="O142" s="55" t="n"/>
      <c r="P142" s="55" t="n"/>
      <c r="Q142" s="55" t="n"/>
      <c r="R142" s="55" t="n"/>
      <c r="S142" s="55" t="n"/>
      <c r="T142" s="56" t="n"/>
      <c r="U142" s="1" t="n"/>
      <c r="V142" s="56" t="n"/>
      <c r="W142" s="57" t="n"/>
      <c r="X142" s="56" t="n"/>
      <c r="Y142" s="56" t="n"/>
      <c r="Z142" s="57" t="n"/>
      <c r="AA142" s="56" t="n"/>
      <c r="AB142" s="56" t="n"/>
      <c r="AC142" s="1" t="n"/>
      <c r="AD142" s="56" t="n"/>
      <c r="AE142" s="1" t="n"/>
      <c r="AF142" s="56" t="n"/>
      <c r="AG142" s="1" t="n"/>
      <c r="AH142" s="56" t="n"/>
      <c r="AI142" s="56" t="n"/>
      <c r="AJ142" s="1" t="n"/>
      <c r="AK142" s="1" t="n"/>
      <c r="AL142" s="1" t="n"/>
      <c r="AM142" s="1" t="n"/>
      <c r="AN142" s="1" t="n"/>
    </row>
    <row r="143" ht="15.75" customHeight="1" s="9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55" t="n"/>
      <c r="N143" s="55" t="n"/>
      <c r="O143" s="55" t="n"/>
      <c r="P143" s="55" t="n"/>
      <c r="Q143" s="55" t="n"/>
      <c r="R143" s="55" t="n"/>
      <c r="S143" s="55" t="n"/>
      <c r="T143" s="56" t="n"/>
      <c r="U143" s="1" t="n"/>
      <c r="V143" s="56" t="n"/>
      <c r="W143" s="57" t="n"/>
      <c r="X143" s="56" t="n"/>
      <c r="Y143" s="56" t="n"/>
      <c r="Z143" s="57" t="n"/>
      <c r="AA143" s="56" t="n"/>
      <c r="AB143" s="56" t="n"/>
      <c r="AC143" s="1" t="n"/>
      <c r="AD143" s="56" t="n"/>
      <c r="AE143" s="1" t="n"/>
      <c r="AF143" s="56" t="n"/>
      <c r="AG143" s="1" t="n"/>
      <c r="AH143" s="56" t="n"/>
      <c r="AI143" s="56" t="n"/>
      <c r="AJ143" s="1" t="n"/>
      <c r="AK143" s="1" t="n"/>
      <c r="AL143" s="1" t="n"/>
      <c r="AM143" s="1" t="n"/>
      <c r="AN143" s="1" t="n"/>
    </row>
    <row r="144" ht="15.75" customHeight="1" s="9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55" t="n"/>
      <c r="N144" s="55" t="n"/>
      <c r="O144" s="55" t="n"/>
      <c r="P144" s="55" t="n"/>
      <c r="Q144" s="55" t="n"/>
      <c r="R144" s="55" t="n"/>
      <c r="S144" s="55" t="n"/>
      <c r="T144" s="56" t="n"/>
      <c r="U144" s="1" t="n"/>
      <c r="V144" s="56" t="n"/>
      <c r="W144" s="57" t="n"/>
      <c r="X144" s="56" t="n"/>
      <c r="Y144" s="56" t="n"/>
      <c r="Z144" s="57" t="n"/>
      <c r="AA144" s="56" t="n"/>
      <c r="AB144" s="56" t="n"/>
      <c r="AC144" s="1" t="n"/>
      <c r="AD144" s="56" t="n"/>
      <c r="AE144" s="1" t="n"/>
      <c r="AF144" s="56" t="n"/>
      <c r="AG144" s="1" t="n"/>
      <c r="AH144" s="56" t="n"/>
      <c r="AI144" s="56" t="n"/>
      <c r="AJ144" s="1" t="n"/>
      <c r="AK144" s="1" t="n"/>
      <c r="AL144" s="1" t="n"/>
      <c r="AM144" s="1" t="n"/>
      <c r="AN144" s="1" t="n"/>
    </row>
    <row r="145" ht="15.75" customHeight="1" s="9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55" t="n"/>
      <c r="N145" s="55" t="n"/>
      <c r="O145" s="55" t="n"/>
      <c r="P145" s="55" t="n"/>
      <c r="Q145" s="55" t="n"/>
      <c r="R145" s="55" t="n"/>
      <c r="S145" s="55" t="n"/>
      <c r="T145" s="56" t="n"/>
      <c r="U145" s="1" t="n"/>
      <c r="V145" s="56" t="n"/>
      <c r="W145" s="57" t="n"/>
      <c r="X145" s="56" t="n"/>
      <c r="Y145" s="56" t="n"/>
      <c r="Z145" s="57" t="n"/>
      <c r="AA145" s="56" t="n"/>
      <c r="AB145" s="56" t="n"/>
      <c r="AC145" s="1" t="n"/>
      <c r="AD145" s="56" t="n"/>
      <c r="AE145" s="1" t="n"/>
      <c r="AF145" s="56" t="n"/>
      <c r="AG145" s="1" t="n"/>
      <c r="AH145" s="56" t="n"/>
      <c r="AI145" s="56" t="n"/>
      <c r="AJ145" s="1" t="n"/>
      <c r="AK145" s="1" t="n"/>
      <c r="AL145" s="1" t="n"/>
      <c r="AM145" s="1" t="n"/>
      <c r="AN145" s="1" t="n"/>
    </row>
    <row r="146" ht="15.75" customHeight="1" s="9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55" t="n"/>
      <c r="N146" s="55" t="n"/>
      <c r="O146" s="55" t="n"/>
      <c r="P146" s="55" t="n"/>
      <c r="Q146" s="55" t="n"/>
      <c r="R146" s="55" t="n"/>
      <c r="S146" s="55" t="n"/>
      <c r="T146" s="56" t="n"/>
      <c r="U146" s="1" t="n"/>
      <c r="V146" s="56" t="n"/>
      <c r="W146" s="57" t="n"/>
      <c r="X146" s="56" t="n"/>
      <c r="Y146" s="56" t="n"/>
      <c r="Z146" s="57" t="n"/>
      <c r="AA146" s="56" t="n"/>
      <c r="AB146" s="56" t="n"/>
      <c r="AC146" s="1" t="n"/>
      <c r="AD146" s="56" t="n"/>
      <c r="AE146" s="1" t="n"/>
      <c r="AF146" s="56" t="n"/>
      <c r="AG146" s="1" t="n"/>
      <c r="AH146" s="56" t="n"/>
      <c r="AI146" s="56" t="n"/>
      <c r="AJ146" s="1" t="n"/>
      <c r="AK146" s="1" t="n"/>
      <c r="AL146" s="1" t="n"/>
      <c r="AM146" s="1" t="n"/>
      <c r="AN146" s="1" t="n"/>
    </row>
    <row r="147" ht="15.75" customHeight="1" s="9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55" t="n"/>
      <c r="N147" s="55" t="n"/>
      <c r="O147" s="55" t="n"/>
      <c r="P147" s="55" t="n"/>
      <c r="Q147" s="55" t="n"/>
      <c r="R147" s="55" t="n"/>
      <c r="S147" s="55" t="n"/>
      <c r="T147" s="56" t="n"/>
      <c r="U147" s="1" t="n"/>
      <c r="V147" s="56" t="n"/>
      <c r="W147" s="57" t="n"/>
      <c r="X147" s="56" t="n"/>
      <c r="Y147" s="56" t="n"/>
      <c r="Z147" s="57" t="n"/>
      <c r="AA147" s="56" t="n"/>
      <c r="AB147" s="56" t="n"/>
      <c r="AC147" s="1" t="n"/>
      <c r="AD147" s="56" t="n"/>
      <c r="AE147" s="1" t="n"/>
      <c r="AF147" s="56" t="n"/>
      <c r="AG147" s="1" t="n"/>
      <c r="AH147" s="56" t="n"/>
      <c r="AI147" s="56" t="n"/>
      <c r="AJ147" s="1" t="n"/>
      <c r="AK147" s="1" t="n"/>
      <c r="AL147" s="1" t="n"/>
      <c r="AM147" s="1" t="n"/>
      <c r="AN147" s="1" t="n"/>
    </row>
    <row r="148" ht="15.75" customHeight="1" s="9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55" t="n"/>
      <c r="N148" s="55" t="n"/>
      <c r="O148" s="55" t="n"/>
      <c r="P148" s="55" t="n"/>
      <c r="Q148" s="55" t="n"/>
      <c r="R148" s="55" t="n"/>
      <c r="S148" s="55" t="n"/>
      <c r="T148" s="56" t="n"/>
      <c r="U148" s="1" t="n"/>
      <c r="V148" s="56" t="n"/>
      <c r="W148" s="57" t="n"/>
      <c r="X148" s="56" t="n"/>
      <c r="Y148" s="56" t="n"/>
      <c r="Z148" s="57" t="n"/>
      <c r="AA148" s="56" t="n"/>
      <c r="AB148" s="56" t="n"/>
      <c r="AC148" s="1" t="n"/>
      <c r="AD148" s="56" t="n"/>
      <c r="AE148" s="1" t="n"/>
      <c r="AF148" s="56" t="n"/>
      <c r="AG148" s="1" t="n"/>
      <c r="AH148" s="56" t="n"/>
      <c r="AI148" s="56" t="n"/>
      <c r="AJ148" s="1" t="n"/>
      <c r="AK148" s="1" t="n"/>
      <c r="AL148" s="1" t="n"/>
      <c r="AM148" s="1" t="n"/>
      <c r="AN148" s="1" t="n"/>
    </row>
    <row r="149" ht="15.75" customHeight="1" s="9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55" t="n"/>
      <c r="N149" s="55" t="n"/>
      <c r="O149" s="55" t="n"/>
      <c r="P149" s="55" t="n"/>
      <c r="Q149" s="55" t="n"/>
      <c r="R149" s="55" t="n"/>
      <c r="S149" s="55" t="n"/>
      <c r="T149" s="56" t="n"/>
      <c r="U149" s="1" t="n"/>
      <c r="V149" s="56" t="n"/>
      <c r="W149" s="57" t="n"/>
      <c r="X149" s="56" t="n"/>
      <c r="Y149" s="56" t="n"/>
      <c r="Z149" s="57" t="n"/>
      <c r="AA149" s="56" t="n"/>
      <c r="AB149" s="56" t="n"/>
      <c r="AC149" s="1" t="n"/>
      <c r="AD149" s="56" t="n"/>
      <c r="AE149" s="1" t="n"/>
      <c r="AF149" s="56" t="n"/>
      <c r="AG149" s="1" t="n"/>
      <c r="AH149" s="56" t="n"/>
      <c r="AI149" s="56" t="n"/>
      <c r="AJ149" s="1" t="n"/>
      <c r="AK149" s="1" t="n"/>
      <c r="AL149" s="1" t="n"/>
      <c r="AM149" s="1" t="n"/>
      <c r="AN149" s="1" t="n"/>
    </row>
    <row r="150" ht="15.75" customHeight="1" s="9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55" t="n"/>
      <c r="N150" s="55" t="n"/>
      <c r="O150" s="55" t="n"/>
      <c r="P150" s="55" t="n"/>
      <c r="Q150" s="55" t="n"/>
      <c r="R150" s="55" t="n"/>
      <c r="S150" s="55" t="n"/>
      <c r="T150" s="56" t="n"/>
      <c r="U150" s="1" t="n"/>
      <c r="V150" s="56" t="n"/>
      <c r="W150" s="57" t="n"/>
      <c r="X150" s="56" t="n"/>
      <c r="Y150" s="56" t="n"/>
      <c r="Z150" s="57" t="n"/>
      <c r="AA150" s="56" t="n"/>
      <c r="AB150" s="56" t="n"/>
      <c r="AC150" s="1" t="n"/>
      <c r="AD150" s="56" t="n"/>
      <c r="AE150" s="1" t="n"/>
      <c r="AF150" s="56" t="n"/>
      <c r="AG150" s="1" t="n"/>
      <c r="AH150" s="56" t="n"/>
      <c r="AI150" s="56" t="n"/>
      <c r="AJ150" s="1" t="n"/>
      <c r="AK150" s="1" t="n"/>
      <c r="AL150" s="1" t="n"/>
      <c r="AM150" s="1" t="n"/>
      <c r="AN150" s="1" t="n"/>
    </row>
    <row r="151" ht="15.75" customHeight="1" s="9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55" t="n"/>
      <c r="N151" s="55" t="n"/>
      <c r="O151" s="55" t="n"/>
      <c r="P151" s="55" t="n"/>
      <c r="Q151" s="55" t="n"/>
      <c r="R151" s="55" t="n"/>
      <c r="S151" s="55" t="n"/>
      <c r="T151" s="56" t="n"/>
      <c r="U151" s="1" t="n"/>
      <c r="V151" s="56" t="n"/>
      <c r="W151" s="57" t="n"/>
      <c r="X151" s="56" t="n"/>
      <c r="Y151" s="56" t="n"/>
      <c r="Z151" s="57" t="n"/>
      <c r="AA151" s="56" t="n"/>
      <c r="AB151" s="56" t="n"/>
      <c r="AC151" s="1" t="n"/>
      <c r="AD151" s="56" t="n"/>
      <c r="AE151" s="1" t="n"/>
      <c r="AF151" s="56" t="n"/>
      <c r="AG151" s="1" t="n"/>
      <c r="AH151" s="56" t="n"/>
      <c r="AI151" s="56" t="n"/>
      <c r="AJ151" s="1" t="n"/>
      <c r="AK151" s="1" t="n"/>
      <c r="AL151" s="1" t="n"/>
      <c r="AM151" s="1" t="n"/>
      <c r="AN151" s="1" t="n"/>
    </row>
    <row r="152" ht="15.75" customHeight="1" s="9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55" t="n"/>
      <c r="N152" s="55" t="n"/>
      <c r="O152" s="55" t="n"/>
      <c r="P152" s="55" t="n"/>
      <c r="Q152" s="55" t="n"/>
      <c r="R152" s="55" t="n"/>
      <c r="S152" s="55" t="n"/>
      <c r="T152" s="56" t="n"/>
      <c r="U152" s="1" t="n"/>
      <c r="V152" s="56" t="n"/>
      <c r="W152" s="57" t="n"/>
      <c r="X152" s="56" t="n"/>
      <c r="Y152" s="56" t="n"/>
      <c r="Z152" s="57" t="n"/>
      <c r="AA152" s="56" t="n"/>
      <c r="AB152" s="56" t="n"/>
      <c r="AC152" s="1" t="n"/>
      <c r="AD152" s="56" t="n"/>
      <c r="AE152" s="1" t="n"/>
      <c r="AF152" s="56" t="n"/>
      <c r="AG152" s="1" t="n"/>
      <c r="AH152" s="56" t="n"/>
      <c r="AI152" s="56" t="n"/>
      <c r="AJ152" s="1" t="n"/>
      <c r="AK152" s="1" t="n"/>
      <c r="AL152" s="1" t="n"/>
      <c r="AM152" s="1" t="n"/>
      <c r="AN152" s="1" t="n"/>
    </row>
    <row r="153" ht="15.75" customHeight="1" s="9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55" t="n"/>
      <c r="N153" s="55" t="n"/>
      <c r="O153" s="55" t="n"/>
      <c r="P153" s="55" t="n"/>
      <c r="Q153" s="55" t="n"/>
      <c r="R153" s="55" t="n"/>
      <c r="S153" s="55" t="n"/>
      <c r="T153" s="56" t="n"/>
      <c r="U153" s="1" t="n"/>
      <c r="V153" s="56" t="n"/>
      <c r="W153" s="57" t="n"/>
      <c r="X153" s="56" t="n"/>
      <c r="Y153" s="56" t="n"/>
      <c r="Z153" s="57" t="n"/>
      <c r="AA153" s="56" t="n"/>
      <c r="AB153" s="56" t="n"/>
      <c r="AC153" s="1" t="n"/>
      <c r="AD153" s="56" t="n"/>
      <c r="AE153" s="1" t="n"/>
      <c r="AF153" s="56" t="n"/>
      <c r="AG153" s="1" t="n"/>
      <c r="AH153" s="56" t="n"/>
      <c r="AI153" s="56" t="n"/>
      <c r="AJ153" s="1" t="n"/>
      <c r="AK153" s="1" t="n"/>
      <c r="AL153" s="1" t="n"/>
      <c r="AM153" s="1" t="n"/>
      <c r="AN153" s="1" t="n"/>
    </row>
    <row r="154" ht="15.75" customHeight="1" s="9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55" t="n"/>
      <c r="N154" s="55" t="n"/>
      <c r="O154" s="55" t="n"/>
      <c r="P154" s="55" t="n"/>
      <c r="Q154" s="55" t="n"/>
      <c r="R154" s="55" t="n"/>
      <c r="S154" s="55" t="n"/>
      <c r="T154" s="56" t="n"/>
      <c r="U154" s="1" t="n"/>
      <c r="V154" s="56" t="n"/>
      <c r="W154" s="57" t="n"/>
      <c r="X154" s="56" t="n"/>
      <c r="Y154" s="56" t="n"/>
      <c r="Z154" s="57" t="n"/>
      <c r="AA154" s="56" t="n"/>
      <c r="AB154" s="56" t="n"/>
      <c r="AC154" s="1" t="n"/>
      <c r="AD154" s="56" t="n"/>
      <c r="AE154" s="1" t="n"/>
      <c r="AF154" s="56" t="n"/>
      <c r="AG154" s="1" t="n"/>
      <c r="AH154" s="56" t="n"/>
      <c r="AI154" s="56" t="n"/>
      <c r="AJ154" s="1" t="n"/>
      <c r="AK154" s="1" t="n"/>
      <c r="AL154" s="1" t="n"/>
      <c r="AM154" s="1" t="n"/>
      <c r="AN154" s="1" t="n"/>
    </row>
    <row r="155" ht="15.75" customHeight="1" s="9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55" t="n"/>
      <c r="N155" s="55" t="n"/>
      <c r="O155" s="55" t="n"/>
      <c r="P155" s="55" t="n"/>
      <c r="Q155" s="55" t="n"/>
      <c r="R155" s="55" t="n"/>
      <c r="S155" s="55" t="n"/>
      <c r="T155" s="56" t="n"/>
      <c r="U155" s="1" t="n"/>
      <c r="V155" s="56" t="n"/>
      <c r="W155" s="57" t="n"/>
      <c r="X155" s="56" t="n"/>
      <c r="Y155" s="56" t="n"/>
      <c r="Z155" s="57" t="n"/>
      <c r="AA155" s="56" t="n"/>
      <c r="AB155" s="56" t="n"/>
      <c r="AC155" s="1" t="n"/>
      <c r="AD155" s="56" t="n"/>
      <c r="AE155" s="1" t="n"/>
      <c r="AF155" s="56" t="n"/>
      <c r="AG155" s="1" t="n"/>
      <c r="AH155" s="56" t="n"/>
      <c r="AI155" s="56" t="n"/>
      <c r="AJ155" s="1" t="n"/>
      <c r="AK155" s="1" t="n"/>
      <c r="AL155" s="1" t="n"/>
      <c r="AM155" s="1" t="n"/>
      <c r="AN155" s="1" t="n"/>
    </row>
    <row r="156" ht="15.75" customHeight="1" s="9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55" t="n"/>
      <c r="N156" s="55" t="n"/>
      <c r="O156" s="55" t="n"/>
      <c r="P156" s="55" t="n"/>
      <c r="Q156" s="55" t="n"/>
      <c r="R156" s="55" t="n"/>
      <c r="S156" s="55" t="n"/>
      <c r="T156" s="56" t="n"/>
      <c r="U156" s="1" t="n"/>
      <c r="V156" s="56" t="n"/>
      <c r="W156" s="57" t="n"/>
      <c r="X156" s="56" t="n"/>
      <c r="Y156" s="56" t="n"/>
      <c r="Z156" s="57" t="n"/>
      <c r="AA156" s="56" t="n"/>
      <c r="AB156" s="56" t="n"/>
      <c r="AC156" s="1" t="n"/>
      <c r="AD156" s="56" t="n"/>
      <c r="AE156" s="1" t="n"/>
      <c r="AF156" s="56" t="n"/>
      <c r="AG156" s="1" t="n"/>
      <c r="AH156" s="56" t="n"/>
      <c r="AI156" s="56" t="n"/>
      <c r="AJ156" s="1" t="n"/>
      <c r="AK156" s="1" t="n"/>
      <c r="AL156" s="1" t="n"/>
      <c r="AM156" s="1" t="n"/>
      <c r="AN156" s="1" t="n"/>
    </row>
    <row r="157" ht="15.75" customHeight="1" s="9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55" t="n"/>
      <c r="N157" s="55" t="n"/>
      <c r="O157" s="55" t="n"/>
      <c r="P157" s="55" t="n"/>
      <c r="Q157" s="55" t="n"/>
      <c r="R157" s="55" t="n"/>
      <c r="S157" s="55" t="n"/>
      <c r="T157" s="56" t="n"/>
      <c r="U157" s="1" t="n"/>
      <c r="V157" s="56" t="n"/>
      <c r="W157" s="57" t="n"/>
      <c r="X157" s="56" t="n"/>
      <c r="Y157" s="56" t="n"/>
      <c r="Z157" s="57" t="n"/>
      <c r="AA157" s="56" t="n"/>
      <c r="AB157" s="56" t="n"/>
      <c r="AC157" s="1" t="n"/>
      <c r="AD157" s="56" t="n"/>
      <c r="AE157" s="1" t="n"/>
      <c r="AF157" s="56" t="n"/>
      <c r="AG157" s="1" t="n"/>
      <c r="AH157" s="56" t="n"/>
      <c r="AI157" s="56" t="n"/>
      <c r="AJ157" s="1" t="n"/>
      <c r="AK157" s="1" t="n"/>
      <c r="AL157" s="1" t="n"/>
      <c r="AM157" s="1" t="n"/>
      <c r="AN157" s="1" t="n"/>
    </row>
    <row r="158" ht="15.75" customHeight="1" s="9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55" t="n"/>
      <c r="N158" s="55" t="n"/>
      <c r="O158" s="55" t="n"/>
      <c r="P158" s="55" t="n"/>
      <c r="Q158" s="55" t="n"/>
      <c r="R158" s="55" t="n"/>
      <c r="S158" s="55" t="n"/>
      <c r="T158" s="56" t="n"/>
      <c r="U158" s="1" t="n"/>
      <c r="V158" s="56" t="n"/>
      <c r="W158" s="57" t="n"/>
      <c r="X158" s="56" t="n"/>
      <c r="Y158" s="56" t="n"/>
      <c r="Z158" s="57" t="n"/>
      <c r="AA158" s="56" t="n"/>
      <c r="AB158" s="56" t="n"/>
      <c r="AC158" s="1" t="n"/>
      <c r="AD158" s="56" t="n"/>
      <c r="AE158" s="1" t="n"/>
      <c r="AF158" s="56" t="n"/>
      <c r="AG158" s="1" t="n"/>
      <c r="AH158" s="56" t="n"/>
      <c r="AI158" s="56" t="n"/>
      <c r="AJ158" s="1" t="n"/>
      <c r="AK158" s="1" t="n"/>
      <c r="AL158" s="1" t="n"/>
      <c r="AM158" s="1" t="n"/>
      <c r="AN158" s="1" t="n"/>
    </row>
    <row r="159" ht="15.75" customHeight="1" s="9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55" t="n"/>
      <c r="N159" s="55" t="n"/>
      <c r="O159" s="55" t="n"/>
      <c r="P159" s="55" t="n"/>
      <c r="Q159" s="55" t="n"/>
      <c r="R159" s="55" t="n"/>
      <c r="S159" s="55" t="n"/>
      <c r="T159" s="56" t="n"/>
      <c r="U159" s="1" t="n"/>
      <c r="V159" s="56" t="n"/>
      <c r="W159" s="57" t="n"/>
      <c r="X159" s="56" t="n"/>
      <c r="Y159" s="56" t="n"/>
      <c r="Z159" s="57" t="n"/>
      <c r="AA159" s="56" t="n"/>
      <c r="AB159" s="56" t="n"/>
      <c r="AC159" s="1" t="n"/>
      <c r="AD159" s="56" t="n"/>
      <c r="AE159" s="1" t="n"/>
      <c r="AF159" s="56" t="n"/>
      <c r="AG159" s="1" t="n"/>
      <c r="AH159" s="56" t="n"/>
      <c r="AI159" s="56" t="n"/>
      <c r="AJ159" s="1" t="n"/>
      <c r="AK159" s="1" t="n"/>
      <c r="AL159" s="1" t="n"/>
      <c r="AM159" s="1" t="n"/>
      <c r="AN159" s="1" t="n"/>
    </row>
    <row r="160" ht="15.75" customHeight="1" s="9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55" t="n"/>
      <c r="N160" s="55" t="n"/>
      <c r="O160" s="55" t="n"/>
      <c r="P160" s="55" t="n"/>
      <c r="Q160" s="55" t="n"/>
      <c r="R160" s="55" t="n"/>
      <c r="S160" s="55" t="n"/>
      <c r="T160" s="56" t="n"/>
      <c r="U160" s="1" t="n"/>
      <c r="V160" s="56" t="n"/>
      <c r="W160" s="57" t="n"/>
      <c r="X160" s="56" t="n"/>
      <c r="Y160" s="56" t="n"/>
      <c r="Z160" s="57" t="n"/>
      <c r="AA160" s="56" t="n"/>
      <c r="AB160" s="56" t="n"/>
      <c r="AC160" s="1" t="n"/>
      <c r="AD160" s="56" t="n"/>
      <c r="AE160" s="1" t="n"/>
      <c r="AF160" s="56" t="n"/>
      <c r="AG160" s="1" t="n"/>
      <c r="AH160" s="56" t="n"/>
      <c r="AI160" s="56" t="n"/>
      <c r="AJ160" s="1" t="n"/>
      <c r="AK160" s="1" t="n"/>
      <c r="AL160" s="1" t="n"/>
      <c r="AM160" s="1" t="n"/>
      <c r="AN160" s="1" t="n"/>
    </row>
    <row r="161" ht="15.75" customHeight="1" s="9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55" t="n"/>
      <c r="N161" s="55" t="n"/>
      <c r="O161" s="55" t="n"/>
      <c r="P161" s="55" t="n"/>
      <c r="Q161" s="55" t="n"/>
      <c r="R161" s="55" t="n"/>
      <c r="S161" s="55" t="n"/>
      <c r="T161" s="56" t="n"/>
      <c r="U161" s="1" t="n"/>
      <c r="V161" s="56" t="n"/>
      <c r="W161" s="57" t="n"/>
      <c r="X161" s="56" t="n"/>
      <c r="Y161" s="56" t="n"/>
      <c r="Z161" s="57" t="n"/>
      <c r="AA161" s="56" t="n"/>
      <c r="AB161" s="56" t="n"/>
      <c r="AC161" s="1" t="n"/>
      <c r="AD161" s="56" t="n"/>
      <c r="AE161" s="1" t="n"/>
      <c r="AF161" s="56" t="n"/>
      <c r="AG161" s="1" t="n"/>
      <c r="AH161" s="56" t="n"/>
      <c r="AI161" s="56" t="n"/>
      <c r="AJ161" s="1" t="n"/>
      <c r="AK161" s="1" t="n"/>
      <c r="AL161" s="1" t="n"/>
      <c r="AM161" s="1" t="n"/>
      <c r="AN161" s="1" t="n"/>
    </row>
    <row r="162" ht="15.75" customHeight="1" s="9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55" t="n"/>
      <c r="N162" s="55" t="n"/>
      <c r="O162" s="55" t="n"/>
      <c r="P162" s="55" t="n"/>
      <c r="Q162" s="55" t="n"/>
      <c r="R162" s="55" t="n"/>
      <c r="S162" s="55" t="n"/>
      <c r="T162" s="56" t="n"/>
      <c r="U162" s="1" t="n"/>
      <c r="V162" s="56" t="n"/>
      <c r="W162" s="57" t="n"/>
      <c r="X162" s="56" t="n"/>
      <c r="Y162" s="56" t="n"/>
      <c r="Z162" s="57" t="n"/>
      <c r="AA162" s="56" t="n"/>
      <c r="AB162" s="56" t="n"/>
      <c r="AC162" s="1" t="n"/>
      <c r="AD162" s="56" t="n"/>
      <c r="AE162" s="1" t="n"/>
      <c r="AF162" s="56" t="n"/>
      <c r="AG162" s="1" t="n"/>
      <c r="AH162" s="56" t="n"/>
      <c r="AI162" s="56" t="n"/>
      <c r="AJ162" s="1" t="n"/>
      <c r="AK162" s="1" t="n"/>
      <c r="AL162" s="1" t="n"/>
      <c r="AM162" s="1" t="n"/>
      <c r="AN162" s="1" t="n"/>
    </row>
    <row r="163" ht="15.75" customHeight="1" s="9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55" t="n"/>
      <c r="N163" s="55" t="n"/>
      <c r="O163" s="55" t="n"/>
      <c r="P163" s="55" t="n"/>
      <c r="Q163" s="55" t="n"/>
      <c r="R163" s="55" t="n"/>
      <c r="S163" s="55" t="n"/>
      <c r="T163" s="56" t="n"/>
      <c r="U163" s="1" t="n"/>
      <c r="V163" s="56" t="n"/>
      <c r="W163" s="57" t="n"/>
      <c r="X163" s="56" t="n"/>
      <c r="Y163" s="56" t="n"/>
      <c r="Z163" s="57" t="n"/>
      <c r="AA163" s="56" t="n"/>
      <c r="AB163" s="56" t="n"/>
      <c r="AC163" s="1" t="n"/>
      <c r="AD163" s="56" t="n"/>
      <c r="AE163" s="1" t="n"/>
      <c r="AF163" s="56" t="n"/>
      <c r="AG163" s="1" t="n"/>
      <c r="AH163" s="56" t="n"/>
      <c r="AI163" s="56" t="n"/>
      <c r="AJ163" s="1" t="n"/>
      <c r="AK163" s="1" t="n"/>
      <c r="AL163" s="1" t="n"/>
      <c r="AM163" s="1" t="n"/>
      <c r="AN163" s="1" t="n"/>
    </row>
    <row r="164" ht="15.75" customHeight="1" s="9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55" t="n"/>
      <c r="N164" s="55" t="n"/>
      <c r="O164" s="55" t="n"/>
      <c r="P164" s="55" t="n"/>
      <c r="Q164" s="55" t="n"/>
      <c r="R164" s="55" t="n"/>
      <c r="S164" s="55" t="n"/>
      <c r="T164" s="56" t="n"/>
      <c r="U164" s="1" t="n"/>
      <c r="V164" s="56" t="n"/>
      <c r="W164" s="57" t="n"/>
      <c r="X164" s="56" t="n"/>
      <c r="Y164" s="56" t="n"/>
      <c r="Z164" s="57" t="n"/>
      <c r="AA164" s="56" t="n"/>
      <c r="AB164" s="56" t="n"/>
      <c r="AC164" s="1" t="n"/>
      <c r="AD164" s="56" t="n"/>
      <c r="AE164" s="1" t="n"/>
      <c r="AF164" s="56" t="n"/>
      <c r="AG164" s="1" t="n"/>
      <c r="AH164" s="56" t="n"/>
      <c r="AI164" s="56" t="n"/>
      <c r="AJ164" s="1" t="n"/>
      <c r="AK164" s="1" t="n"/>
      <c r="AL164" s="1" t="n"/>
      <c r="AM164" s="1" t="n"/>
      <c r="AN164" s="1" t="n"/>
    </row>
    <row r="165" ht="15.75" customHeight="1" s="9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55" t="n"/>
      <c r="N165" s="55" t="n"/>
      <c r="O165" s="55" t="n"/>
      <c r="P165" s="55" t="n"/>
      <c r="Q165" s="55" t="n"/>
      <c r="R165" s="55" t="n"/>
      <c r="S165" s="55" t="n"/>
      <c r="T165" s="56" t="n"/>
      <c r="U165" s="1" t="n"/>
      <c r="V165" s="56" t="n"/>
      <c r="W165" s="57" t="n"/>
      <c r="X165" s="56" t="n"/>
      <c r="Y165" s="56" t="n"/>
      <c r="Z165" s="57" t="n"/>
      <c r="AA165" s="56" t="n"/>
      <c r="AB165" s="56" t="n"/>
      <c r="AC165" s="1" t="n"/>
      <c r="AD165" s="56" t="n"/>
      <c r="AE165" s="1" t="n"/>
      <c r="AF165" s="56" t="n"/>
      <c r="AG165" s="1" t="n"/>
      <c r="AH165" s="56" t="n"/>
      <c r="AI165" s="56" t="n"/>
      <c r="AJ165" s="1" t="n"/>
      <c r="AK165" s="1" t="n"/>
      <c r="AL165" s="1" t="n"/>
      <c r="AM165" s="1" t="n"/>
      <c r="AN165" s="1" t="n"/>
    </row>
    <row r="166" ht="15.75" customHeight="1" s="9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55" t="n"/>
      <c r="N166" s="55" t="n"/>
      <c r="O166" s="55" t="n"/>
      <c r="P166" s="55" t="n"/>
      <c r="Q166" s="55" t="n"/>
      <c r="R166" s="55" t="n"/>
      <c r="S166" s="55" t="n"/>
      <c r="T166" s="56" t="n"/>
      <c r="U166" s="1" t="n"/>
      <c r="V166" s="56" t="n"/>
      <c r="W166" s="57" t="n"/>
      <c r="X166" s="56" t="n"/>
      <c r="Y166" s="56" t="n"/>
      <c r="Z166" s="57" t="n"/>
      <c r="AA166" s="56" t="n"/>
      <c r="AB166" s="56" t="n"/>
      <c r="AC166" s="1" t="n"/>
      <c r="AD166" s="56" t="n"/>
      <c r="AE166" s="1" t="n"/>
      <c r="AF166" s="56" t="n"/>
      <c r="AG166" s="1" t="n"/>
      <c r="AH166" s="56" t="n"/>
      <c r="AI166" s="56" t="n"/>
      <c r="AJ166" s="1" t="n"/>
      <c r="AK166" s="1" t="n"/>
      <c r="AL166" s="1" t="n"/>
      <c r="AM166" s="1" t="n"/>
      <c r="AN166" s="1" t="n"/>
    </row>
    <row r="167" ht="15.75" customHeight="1" s="9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55" t="n"/>
      <c r="N167" s="55" t="n"/>
      <c r="O167" s="55" t="n"/>
      <c r="P167" s="55" t="n"/>
      <c r="Q167" s="55" t="n"/>
      <c r="R167" s="55" t="n"/>
      <c r="S167" s="55" t="n"/>
      <c r="T167" s="56" t="n"/>
      <c r="U167" s="1" t="n"/>
      <c r="V167" s="56" t="n"/>
      <c r="W167" s="57" t="n"/>
      <c r="X167" s="56" t="n"/>
      <c r="Y167" s="56" t="n"/>
      <c r="Z167" s="57" t="n"/>
      <c r="AA167" s="56" t="n"/>
      <c r="AB167" s="56" t="n"/>
      <c r="AC167" s="1" t="n"/>
      <c r="AD167" s="56" t="n"/>
      <c r="AE167" s="1" t="n"/>
      <c r="AF167" s="56" t="n"/>
      <c r="AG167" s="1" t="n"/>
      <c r="AH167" s="56" t="n"/>
      <c r="AI167" s="56" t="n"/>
      <c r="AJ167" s="1" t="n"/>
      <c r="AK167" s="1" t="n"/>
      <c r="AL167" s="1" t="n"/>
      <c r="AM167" s="1" t="n"/>
      <c r="AN167" s="1" t="n"/>
    </row>
    <row r="168" ht="15.75" customHeight="1" s="9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55" t="n"/>
      <c r="N168" s="55" t="n"/>
      <c r="O168" s="55" t="n"/>
      <c r="P168" s="55" t="n"/>
      <c r="Q168" s="55" t="n"/>
      <c r="R168" s="55" t="n"/>
      <c r="S168" s="55" t="n"/>
      <c r="T168" s="56" t="n"/>
      <c r="U168" s="1" t="n"/>
      <c r="V168" s="56" t="n"/>
      <c r="W168" s="57" t="n"/>
      <c r="X168" s="56" t="n"/>
      <c r="Y168" s="56" t="n"/>
      <c r="Z168" s="57" t="n"/>
      <c r="AA168" s="56" t="n"/>
      <c r="AB168" s="56" t="n"/>
      <c r="AC168" s="1" t="n"/>
      <c r="AD168" s="56" t="n"/>
      <c r="AE168" s="1" t="n"/>
      <c r="AF168" s="56" t="n"/>
      <c r="AG168" s="1" t="n"/>
      <c r="AH168" s="56" t="n"/>
      <c r="AI168" s="56" t="n"/>
      <c r="AJ168" s="1" t="n"/>
      <c r="AK168" s="1" t="n"/>
      <c r="AL168" s="1" t="n"/>
      <c r="AM168" s="1" t="n"/>
      <c r="AN168" s="1" t="n"/>
    </row>
    <row r="169" ht="15.75" customHeight="1" s="9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55" t="n"/>
      <c r="N169" s="55" t="n"/>
      <c r="O169" s="55" t="n"/>
      <c r="P169" s="55" t="n"/>
      <c r="Q169" s="55" t="n"/>
      <c r="R169" s="55" t="n"/>
      <c r="S169" s="55" t="n"/>
      <c r="T169" s="56" t="n"/>
      <c r="U169" s="1" t="n"/>
      <c r="V169" s="56" t="n"/>
      <c r="W169" s="57" t="n"/>
      <c r="X169" s="56" t="n"/>
      <c r="Y169" s="56" t="n"/>
      <c r="Z169" s="57" t="n"/>
      <c r="AA169" s="56" t="n"/>
      <c r="AB169" s="56" t="n"/>
      <c r="AC169" s="1" t="n"/>
      <c r="AD169" s="56" t="n"/>
      <c r="AE169" s="1" t="n"/>
      <c r="AF169" s="56" t="n"/>
      <c r="AG169" s="1" t="n"/>
      <c r="AH169" s="56" t="n"/>
      <c r="AI169" s="56" t="n"/>
      <c r="AJ169" s="1" t="n"/>
      <c r="AK169" s="1" t="n"/>
      <c r="AL169" s="1" t="n"/>
      <c r="AM169" s="1" t="n"/>
      <c r="AN169" s="1" t="n"/>
    </row>
    <row r="170" ht="15.75" customHeight="1" s="9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55" t="n"/>
      <c r="N170" s="55" t="n"/>
      <c r="O170" s="55" t="n"/>
      <c r="P170" s="55" t="n"/>
      <c r="Q170" s="55" t="n"/>
      <c r="R170" s="55" t="n"/>
      <c r="S170" s="55" t="n"/>
      <c r="T170" s="56" t="n"/>
      <c r="U170" s="1" t="n"/>
      <c r="V170" s="56" t="n"/>
      <c r="W170" s="57" t="n"/>
      <c r="X170" s="56" t="n"/>
      <c r="Y170" s="56" t="n"/>
      <c r="Z170" s="57" t="n"/>
      <c r="AA170" s="56" t="n"/>
      <c r="AB170" s="56" t="n"/>
      <c r="AC170" s="1" t="n"/>
      <c r="AD170" s="56" t="n"/>
      <c r="AE170" s="1" t="n"/>
      <c r="AF170" s="56" t="n"/>
      <c r="AG170" s="1" t="n"/>
      <c r="AH170" s="56" t="n"/>
      <c r="AI170" s="56" t="n"/>
      <c r="AJ170" s="1" t="n"/>
      <c r="AK170" s="1" t="n"/>
      <c r="AL170" s="1" t="n"/>
      <c r="AM170" s="1" t="n"/>
      <c r="AN170" s="1" t="n"/>
    </row>
    <row r="171" ht="15.75" customHeight="1" s="9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55" t="n"/>
      <c r="N171" s="55" t="n"/>
      <c r="O171" s="55" t="n"/>
      <c r="P171" s="55" t="n"/>
      <c r="Q171" s="55" t="n"/>
      <c r="R171" s="55" t="n"/>
      <c r="S171" s="55" t="n"/>
      <c r="T171" s="56" t="n"/>
      <c r="U171" s="1" t="n"/>
      <c r="V171" s="56" t="n"/>
      <c r="W171" s="57" t="n"/>
      <c r="X171" s="56" t="n"/>
      <c r="Y171" s="56" t="n"/>
      <c r="Z171" s="57" t="n"/>
      <c r="AA171" s="56" t="n"/>
      <c r="AB171" s="56" t="n"/>
      <c r="AC171" s="1" t="n"/>
      <c r="AD171" s="56" t="n"/>
      <c r="AE171" s="1" t="n"/>
      <c r="AF171" s="56" t="n"/>
      <c r="AG171" s="1" t="n"/>
      <c r="AH171" s="56" t="n"/>
      <c r="AI171" s="56" t="n"/>
      <c r="AJ171" s="1" t="n"/>
      <c r="AK171" s="1" t="n"/>
      <c r="AL171" s="1" t="n"/>
      <c r="AM171" s="1" t="n"/>
      <c r="AN171" s="1" t="n"/>
    </row>
    <row r="172" ht="15.75" customHeight="1" s="9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55" t="n"/>
      <c r="N172" s="55" t="n"/>
      <c r="O172" s="55" t="n"/>
      <c r="P172" s="55" t="n"/>
      <c r="Q172" s="55" t="n"/>
      <c r="R172" s="55" t="n"/>
      <c r="S172" s="55" t="n"/>
      <c r="T172" s="56" t="n"/>
      <c r="U172" s="1" t="n"/>
      <c r="V172" s="56" t="n"/>
      <c r="W172" s="57" t="n"/>
      <c r="X172" s="56" t="n"/>
      <c r="Y172" s="56" t="n"/>
      <c r="Z172" s="57" t="n"/>
      <c r="AA172" s="56" t="n"/>
      <c r="AB172" s="56" t="n"/>
      <c r="AC172" s="1" t="n"/>
      <c r="AD172" s="56" t="n"/>
      <c r="AE172" s="1" t="n"/>
      <c r="AF172" s="56" t="n"/>
      <c r="AG172" s="1" t="n"/>
      <c r="AH172" s="56" t="n"/>
      <c r="AI172" s="56" t="n"/>
      <c r="AJ172" s="1" t="n"/>
      <c r="AK172" s="1" t="n"/>
      <c r="AL172" s="1" t="n"/>
      <c r="AM172" s="1" t="n"/>
      <c r="AN172" s="1" t="n"/>
    </row>
    <row r="173" ht="15.75" customHeight="1" s="9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55" t="n"/>
      <c r="N173" s="55" t="n"/>
      <c r="O173" s="55" t="n"/>
      <c r="P173" s="55" t="n"/>
      <c r="Q173" s="55" t="n"/>
      <c r="R173" s="55" t="n"/>
      <c r="S173" s="55" t="n"/>
      <c r="T173" s="56" t="n"/>
      <c r="U173" s="1" t="n"/>
      <c r="V173" s="56" t="n"/>
      <c r="W173" s="57" t="n"/>
      <c r="X173" s="56" t="n"/>
      <c r="Y173" s="56" t="n"/>
      <c r="Z173" s="57" t="n"/>
      <c r="AA173" s="56" t="n"/>
      <c r="AB173" s="56" t="n"/>
      <c r="AC173" s="1" t="n"/>
      <c r="AD173" s="56" t="n"/>
      <c r="AE173" s="1" t="n"/>
      <c r="AF173" s="56" t="n"/>
      <c r="AG173" s="1" t="n"/>
      <c r="AH173" s="56" t="n"/>
      <c r="AI173" s="56" t="n"/>
      <c r="AJ173" s="1" t="n"/>
      <c r="AK173" s="1" t="n"/>
      <c r="AL173" s="1" t="n"/>
      <c r="AM173" s="1" t="n"/>
      <c r="AN173" s="1" t="n"/>
    </row>
    <row r="174" ht="15.75" customHeight="1" s="9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55" t="n"/>
      <c r="N174" s="55" t="n"/>
      <c r="O174" s="55" t="n"/>
      <c r="P174" s="55" t="n"/>
      <c r="Q174" s="55" t="n"/>
      <c r="R174" s="55" t="n"/>
      <c r="S174" s="55" t="n"/>
      <c r="T174" s="56" t="n"/>
      <c r="U174" s="1" t="n"/>
      <c r="V174" s="56" t="n"/>
      <c r="W174" s="57" t="n"/>
      <c r="X174" s="56" t="n"/>
      <c r="Y174" s="56" t="n"/>
      <c r="Z174" s="57" t="n"/>
      <c r="AA174" s="56" t="n"/>
      <c r="AB174" s="56" t="n"/>
      <c r="AC174" s="1" t="n"/>
      <c r="AD174" s="56" t="n"/>
      <c r="AE174" s="1" t="n"/>
      <c r="AF174" s="56" t="n"/>
      <c r="AG174" s="1" t="n"/>
      <c r="AH174" s="56" t="n"/>
      <c r="AI174" s="56" t="n"/>
      <c r="AJ174" s="1" t="n"/>
      <c r="AK174" s="1" t="n"/>
      <c r="AL174" s="1" t="n"/>
      <c r="AM174" s="1" t="n"/>
      <c r="AN174" s="1" t="n"/>
    </row>
    <row r="175" ht="15.75" customHeight="1" s="9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55" t="n"/>
      <c r="N175" s="55" t="n"/>
      <c r="O175" s="55" t="n"/>
      <c r="P175" s="55" t="n"/>
      <c r="Q175" s="55" t="n"/>
      <c r="R175" s="55" t="n"/>
      <c r="S175" s="55" t="n"/>
      <c r="T175" s="56" t="n"/>
      <c r="U175" s="1" t="n"/>
      <c r="V175" s="56" t="n"/>
      <c r="W175" s="57" t="n"/>
      <c r="X175" s="56" t="n"/>
      <c r="Y175" s="56" t="n"/>
      <c r="Z175" s="57" t="n"/>
      <c r="AA175" s="56" t="n"/>
      <c r="AB175" s="56" t="n"/>
      <c r="AC175" s="1" t="n"/>
      <c r="AD175" s="56" t="n"/>
      <c r="AE175" s="1" t="n"/>
      <c r="AF175" s="56" t="n"/>
      <c r="AG175" s="1" t="n"/>
      <c r="AH175" s="56" t="n"/>
      <c r="AI175" s="56" t="n"/>
      <c r="AJ175" s="1" t="n"/>
      <c r="AK175" s="1" t="n"/>
      <c r="AL175" s="1" t="n"/>
      <c r="AM175" s="1" t="n"/>
      <c r="AN175" s="1" t="n"/>
    </row>
    <row r="176" ht="15.75" customHeight="1" s="9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55" t="n"/>
      <c r="N176" s="55" t="n"/>
      <c r="O176" s="55" t="n"/>
      <c r="P176" s="55" t="n"/>
      <c r="Q176" s="55" t="n"/>
      <c r="R176" s="55" t="n"/>
      <c r="S176" s="55" t="n"/>
      <c r="T176" s="56" t="n"/>
      <c r="U176" s="1" t="n"/>
      <c r="V176" s="56" t="n"/>
      <c r="W176" s="57" t="n"/>
      <c r="X176" s="56" t="n"/>
      <c r="Y176" s="56" t="n"/>
      <c r="Z176" s="57" t="n"/>
      <c r="AA176" s="56" t="n"/>
      <c r="AB176" s="56" t="n"/>
      <c r="AC176" s="1" t="n"/>
      <c r="AD176" s="56" t="n"/>
      <c r="AE176" s="1" t="n"/>
      <c r="AF176" s="56" t="n"/>
      <c r="AG176" s="1" t="n"/>
      <c r="AH176" s="56" t="n"/>
      <c r="AI176" s="56" t="n"/>
      <c r="AJ176" s="1" t="n"/>
      <c r="AK176" s="1" t="n"/>
      <c r="AL176" s="1" t="n"/>
      <c r="AM176" s="1" t="n"/>
      <c r="AN176" s="1" t="n"/>
    </row>
    <row r="177" ht="15.75" customHeight="1" s="9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55" t="n"/>
      <c r="N177" s="55" t="n"/>
      <c r="O177" s="55" t="n"/>
      <c r="P177" s="55" t="n"/>
      <c r="Q177" s="55" t="n"/>
      <c r="R177" s="55" t="n"/>
      <c r="S177" s="55" t="n"/>
      <c r="T177" s="56" t="n"/>
      <c r="U177" s="1" t="n"/>
      <c r="V177" s="56" t="n"/>
      <c r="W177" s="57" t="n"/>
      <c r="X177" s="56" t="n"/>
      <c r="Y177" s="56" t="n"/>
      <c r="Z177" s="57" t="n"/>
      <c r="AA177" s="56" t="n"/>
      <c r="AB177" s="56" t="n"/>
      <c r="AC177" s="1" t="n"/>
      <c r="AD177" s="56" t="n"/>
      <c r="AE177" s="1" t="n"/>
      <c r="AF177" s="56" t="n"/>
      <c r="AG177" s="1" t="n"/>
      <c r="AH177" s="56" t="n"/>
      <c r="AI177" s="56" t="n"/>
      <c r="AJ177" s="1" t="n"/>
      <c r="AK177" s="1" t="n"/>
      <c r="AL177" s="1" t="n"/>
      <c r="AM177" s="1" t="n"/>
      <c r="AN177" s="1" t="n"/>
    </row>
    <row r="178" ht="15.75" customHeight="1" s="9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55" t="n"/>
      <c r="N178" s="55" t="n"/>
      <c r="O178" s="55" t="n"/>
      <c r="P178" s="55" t="n"/>
      <c r="Q178" s="55" t="n"/>
      <c r="R178" s="55" t="n"/>
      <c r="S178" s="55" t="n"/>
      <c r="T178" s="56" t="n"/>
      <c r="U178" s="1" t="n"/>
      <c r="V178" s="56" t="n"/>
      <c r="W178" s="57" t="n"/>
      <c r="X178" s="56" t="n"/>
      <c r="Y178" s="56" t="n"/>
      <c r="Z178" s="57" t="n"/>
      <c r="AA178" s="56" t="n"/>
      <c r="AB178" s="56" t="n"/>
      <c r="AC178" s="1" t="n"/>
      <c r="AD178" s="56" t="n"/>
      <c r="AE178" s="1" t="n"/>
      <c r="AF178" s="56" t="n"/>
      <c r="AG178" s="1" t="n"/>
      <c r="AH178" s="56" t="n"/>
      <c r="AI178" s="56" t="n"/>
      <c r="AJ178" s="1" t="n"/>
      <c r="AK178" s="1" t="n"/>
      <c r="AL178" s="1" t="n"/>
      <c r="AM178" s="1" t="n"/>
      <c r="AN178" s="1" t="n"/>
    </row>
    <row r="179" ht="15.75" customHeight="1" s="9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55" t="n"/>
      <c r="N179" s="55" t="n"/>
      <c r="O179" s="55" t="n"/>
      <c r="P179" s="55" t="n"/>
      <c r="Q179" s="55" t="n"/>
      <c r="R179" s="55" t="n"/>
      <c r="S179" s="55" t="n"/>
      <c r="T179" s="56" t="n"/>
      <c r="U179" s="1" t="n"/>
      <c r="V179" s="56" t="n"/>
      <c r="W179" s="57" t="n"/>
      <c r="X179" s="56" t="n"/>
      <c r="Y179" s="56" t="n"/>
      <c r="Z179" s="57" t="n"/>
      <c r="AA179" s="56" t="n"/>
      <c r="AB179" s="56" t="n"/>
      <c r="AC179" s="1" t="n"/>
      <c r="AD179" s="56" t="n"/>
      <c r="AE179" s="1" t="n"/>
      <c r="AF179" s="56" t="n"/>
      <c r="AG179" s="1" t="n"/>
      <c r="AH179" s="56" t="n"/>
      <c r="AI179" s="56" t="n"/>
      <c r="AJ179" s="1" t="n"/>
      <c r="AK179" s="1" t="n"/>
      <c r="AL179" s="1" t="n"/>
      <c r="AM179" s="1" t="n"/>
      <c r="AN179" s="1" t="n"/>
    </row>
    <row r="180" ht="15.75" customHeight="1" s="9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55" t="n"/>
      <c r="N180" s="55" t="n"/>
      <c r="O180" s="55" t="n"/>
      <c r="P180" s="55" t="n"/>
      <c r="Q180" s="55" t="n"/>
      <c r="R180" s="55" t="n"/>
      <c r="S180" s="55" t="n"/>
      <c r="T180" s="56" t="n"/>
      <c r="U180" s="1" t="n"/>
      <c r="V180" s="56" t="n"/>
      <c r="W180" s="57" t="n"/>
      <c r="X180" s="56" t="n"/>
      <c r="Y180" s="56" t="n"/>
      <c r="Z180" s="57" t="n"/>
      <c r="AA180" s="56" t="n"/>
      <c r="AB180" s="56" t="n"/>
      <c r="AC180" s="1" t="n"/>
      <c r="AD180" s="56" t="n"/>
      <c r="AE180" s="1" t="n"/>
      <c r="AF180" s="56" t="n"/>
      <c r="AG180" s="1" t="n"/>
      <c r="AH180" s="56" t="n"/>
      <c r="AI180" s="56" t="n"/>
      <c r="AJ180" s="1" t="n"/>
      <c r="AK180" s="1" t="n"/>
      <c r="AL180" s="1" t="n"/>
      <c r="AM180" s="1" t="n"/>
      <c r="AN180" s="1" t="n"/>
    </row>
    <row r="181" ht="15.75" customHeight="1" s="9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55" t="n"/>
      <c r="N181" s="55" t="n"/>
      <c r="O181" s="55" t="n"/>
      <c r="P181" s="55" t="n"/>
      <c r="Q181" s="55" t="n"/>
      <c r="R181" s="55" t="n"/>
      <c r="S181" s="55" t="n"/>
      <c r="T181" s="56" t="n"/>
      <c r="U181" s="1" t="n"/>
      <c r="V181" s="56" t="n"/>
      <c r="W181" s="57" t="n"/>
      <c r="X181" s="56" t="n"/>
      <c r="Y181" s="56" t="n"/>
      <c r="Z181" s="57" t="n"/>
      <c r="AA181" s="56" t="n"/>
      <c r="AB181" s="56" t="n"/>
      <c r="AC181" s="1" t="n"/>
      <c r="AD181" s="56" t="n"/>
      <c r="AE181" s="1" t="n"/>
      <c r="AF181" s="56" t="n"/>
      <c r="AG181" s="1" t="n"/>
      <c r="AH181" s="56" t="n"/>
      <c r="AI181" s="56" t="n"/>
      <c r="AJ181" s="1" t="n"/>
      <c r="AK181" s="1" t="n"/>
      <c r="AL181" s="1" t="n"/>
      <c r="AM181" s="1" t="n"/>
      <c r="AN181" s="1" t="n"/>
    </row>
    <row r="182" ht="15.75" customHeight="1" s="9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55" t="n"/>
      <c r="N182" s="55" t="n"/>
      <c r="O182" s="55" t="n"/>
      <c r="P182" s="55" t="n"/>
      <c r="Q182" s="55" t="n"/>
      <c r="R182" s="55" t="n"/>
      <c r="S182" s="55" t="n"/>
      <c r="T182" s="56" t="n"/>
      <c r="U182" s="1" t="n"/>
      <c r="V182" s="56" t="n"/>
      <c r="W182" s="57" t="n"/>
      <c r="X182" s="56" t="n"/>
      <c r="Y182" s="56" t="n"/>
      <c r="Z182" s="57" t="n"/>
      <c r="AA182" s="56" t="n"/>
      <c r="AB182" s="56" t="n"/>
      <c r="AC182" s="1" t="n"/>
      <c r="AD182" s="56" t="n"/>
      <c r="AE182" s="1" t="n"/>
      <c r="AF182" s="56" t="n"/>
      <c r="AG182" s="1" t="n"/>
      <c r="AH182" s="56" t="n"/>
      <c r="AI182" s="56" t="n"/>
      <c r="AJ182" s="1" t="n"/>
      <c r="AK182" s="1" t="n"/>
      <c r="AL182" s="1" t="n"/>
      <c r="AM182" s="1" t="n"/>
      <c r="AN182" s="1" t="n"/>
    </row>
    <row r="183" ht="15.75" customHeight="1" s="9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55" t="n"/>
      <c r="N183" s="55" t="n"/>
      <c r="O183" s="55" t="n"/>
      <c r="P183" s="55" t="n"/>
      <c r="Q183" s="55" t="n"/>
      <c r="R183" s="55" t="n"/>
      <c r="S183" s="55" t="n"/>
      <c r="T183" s="56" t="n"/>
      <c r="U183" s="1" t="n"/>
      <c r="V183" s="56" t="n"/>
      <c r="W183" s="57" t="n"/>
      <c r="X183" s="56" t="n"/>
      <c r="Y183" s="56" t="n"/>
      <c r="Z183" s="57" t="n"/>
      <c r="AA183" s="56" t="n"/>
      <c r="AB183" s="56" t="n"/>
      <c r="AC183" s="1" t="n"/>
      <c r="AD183" s="56" t="n"/>
      <c r="AE183" s="1" t="n"/>
      <c r="AF183" s="56" t="n"/>
      <c r="AG183" s="1" t="n"/>
      <c r="AH183" s="56" t="n"/>
      <c r="AI183" s="56" t="n"/>
      <c r="AJ183" s="1" t="n"/>
      <c r="AK183" s="1" t="n"/>
      <c r="AL183" s="1" t="n"/>
      <c r="AM183" s="1" t="n"/>
      <c r="AN183" s="1" t="n"/>
    </row>
    <row r="184" ht="15.75" customHeight="1" s="9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55" t="n"/>
      <c r="N184" s="55" t="n"/>
      <c r="O184" s="55" t="n"/>
      <c r="P184" s="55" t="n"/>
      <c r="Q184" s="55" t="n"/>
      <c r="R184" s="55" t="n"/>
      <c r="S184" s="55" t="n"/>
      <c r="T184" s="56" t="n"/>
      <c r="U184" s="1" t="n"/>
      <c r="V184" s="56" t="n"/>
      <c r="W184" s="57" t="n"/>
      <c r="X184" s="56" t="n"/>
      <c r="Y184" s="56" t="n"/>
      <c r="Z184" s="57" t="n"/>
      <c r="AA184" s="56" t="n"/>
      <c r="AB184" s="56" t="n"/>
      <c r="AC184" s="1" t="n"/>
      <c r="AD184" s="56" t="n"/>
      <c r="AE184" s="1" t="n"/>
      <c r="AF184" s="56" t="n"/>
      <c r="AG184" s="1" t="n"/>
      <c r="AH184" s="56" t="n"/>
      <c r="AI184" s="56" t="n"/>
      <c r="AJ184" s="1" t="n"/>
      <c r="AK184" s="1" t="n"/>
      <c r="AL184" s="1" t="n"/>
      <c r="AM184" s="1" t="n"/>
      <c r="AN184" s="1" t="n"/>
    </row>
    <row r="185" ht="15.75" customHeight="1" s="9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55" t="n"/>
      <c r="N185" s="55" t="n"/>
      <c r="O185" s="55" t="n"/>
      <c r="P185" s="55" t="n"/>
      <c r="Q185" s="55" t="n"/>
      <c r="R185" s="55" t="n"/>
      <c r="S185" s="55" t="n"/>
      <c r="T185" s="56" t="n"/>
      <c r="U185" s="1" t="n"/>
      <c r="V185" s="56" t="n"/>
      <c r="W185" s="57" t="n"/>
      <c r="X185" s="56" t="n"/>
      <c r="Y185" s="56" t="n"/>
      <c r="Z185" s="57" t="n"/>
      <c r="AA185" s="56" t="n"/>
      <c r="AB185" s="56" t="n"/>
      <c r="AC185" s="1" t="n"/>
      <c r="AD185" s="56" t="n"/>
      <c r="AE185" s="1" t="n"/>
      <c r="AF185" s="56" t="n"/>
      <c r="AG185" s="1" t="n"/>
      <c r="AH185" s="56" t="n"/>
      <c r="AI185" s="56" t="n"/>
      <c r="AJ185" s="1" t="n"/>
      <c r="AK185" s="1" t="n"/>
      <c r="AL185" s="1" t="n"/>
      <c r="AM185" s="1" t="n"/>
      <c r="AN185" s="1" t="n"/>
    </row>
    <row r="186" ht="15.75" customHeight="1" s="9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55" t="n"/>
      <c r="N186" s="55" t="n"/>
      <c r="O186" s="55" t="n"/>
      <c r="P186" s="55" t="n"/>
      <c r="Q186" s="55" t="n"/>
      <c r="R186" s="55" t="n"/>
      <c r="S186" s="55" t="n"/>
      <c r="T186" s="56" t="n"/>
      <c r="U186" s="1" t="n"/>
      <c r="V186" s="56" t="n"/>
      <c r="W186" s="57" t="n"/>
      <c r="X186" s="56" t="n"/>
      <c r="Y186" s="56" t="n"/>
      <c r="Z186" s="57" t="n"/>
      <c r="AA186" s="56" t="n"/>
      <c r="AB186" s="56" t="n"/>
      <c r="AC186" s="1" t="n"/>
      <c r="AD186" s="56" t="n"/>
      <c r="AE186" s="1" t="n"/>
      <c r="AF186" s="56" t="n"/>
      <c r="AG186" s="1" t="n"/>
      <c r="AH186" s="56" t="n"/>
      <c r="AI186" s="56" t="n"/>
      <c r="AJ186" s="1" t="n"/>
      <c r="AK186" s="1" t="n"/>
      <c r="AL186" s="1" t="n"/>
      <c r="AM186" s="1" t="n"/>
      <c r="AN186" s="1" t="n"/>
    </row>
    <row r="187" ht="15.75" customHeight="1" s="9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55" t="n"/>
      <c r="N187" s="55" t="n"/>
      <c r="O187" s="55" t="n"/>
      <c r="P187" s="55" t="n"/>
      <c r="Q187" s="55" t="n"/>
      <c r="R187" s="55" t="n"/>
      <c r="S187" s="55" t="n"/>
      <c r="T187" s="56" t="n"/>
      <c r="U187" s="1" t="n"/>
      <c r="V187" s="56" t="n"/>
      <c r="W187" s="57" t="n"/>
      <c r="X187" s="56" t="n"/>
      <c r="Y187" s="56" t="n"/>
      <c r="Z187" s="57" t="n"/>
      <c r="AA187" s="56" t="n"/>
      <c r="AB187" s="56" t="n"/>
      <c r="AC187" s="1" t="n"/>
      <c r="AD187" s="56" t="n"/>
      <c r="AE187" s="1" t="n"/>
      <c r="AF187" s="56" t="n"/>
      <c r="AG187" s="1" t="n"/>
      <c r="AH187" s="56" t="n"/>
      <c r="AI187" s="56" t="n"/>
      <c r="AJ187" s="1" t="n"/>
      <c r="AK187" s="1" t="n"/>
      <c r="AL187" s="1" t="n"/>
      <c r="AM187" s="1" t="n"/>
      <c r="AN187" s="1" t="n"/>
    </row>
    <row r="188" ht="15.75" customHeight="1" s="9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55" t="n"/>
      <c r="N188" s="55" t="n"/>
      <c r="O188" s="55" t="n"/>
      <c r="P188" s="55" t="n"/>
      <c r="Q188" s="55" t="n"/>
      <c r="R188" s="55" t="n"/>
      <c r="S188" s="55" t="n"/>
      <c r="T188" s="56" t="n"/>
      <c r="U188" s="1" t="n"/>
      <c r="V188" s="56" t="n"/>
      <c r="W188" s="57" t="n"/>
      <c r="X188" s="56" t="n"/>
      <c r="Y188" s="56" t="n"/>
      <c r="Z188" s="57" t="n"/>
      <c r="AA188" s="56" t="n"/>
      <c r="AB188" s="56" t="n"/>
      <c r="AC188" s="1" t="n"/>
      <c r="AD188" s="56" t="n"/>
      <c r="AE188" s="1" t="n"/>
      <c r="AF188" s="56" t="n"/>
      <c r="AG188" s="1" t="n"/>
      <c r="AH188" s="56" t="n"/>
      <c r="AI188" s="56" t="n"/>
      <c r="AJ188" s="1" t="n"/>
      <c r="AK188" s="1" t="n"/>
      <c r="AL188" s="1" t="n"/>
      <c r="AM188" s="1" t="n"/>
      <c r="AN188" s="1" t="n"/>
    </row>
    <row r="189" ht="15.75" customHeight="1" s="9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55" t="n"/>
      <c r="N189" s="55" t="n"/>
      <c r="O189" s="55" t="n"/>
      <c r="P189" s="55" t="n"/>
      <c r="Q189" s="55" t="n"/>
      <c r="R189" s="55" t="n"/>
      <c r="S189" s="55" t="n"/>
      <c r="T189" s="56" t="n"/>
      <c r="U189" s="1" t="n"/>
      <c r="V189" s="56" t="n"/>
      <c r="W189" s="57" t="n"/>
      <c r="X189" s="56" t="n"/>
      <c r="Y189" s="56" t="n"/>
      <c r="Z189" s="57" t="n"/>
      <c r="AA189" s="56" t="n"/>
      <c r="AB189" s="56" t="n"/>
      <c r="AC189" s="1" t="n"/>
      <c r="AD189" s="56" t="n"/>
      <c r="AE189" s="1" t="n"/>
      <c r="AF189" s="56" t="n"/>
      <c r="AG189" s="1" t="n"/>
      <c r="AH189" s="56" t="n"/>
      <c r="AI189" s="56" t="n"/>
      <c r="AJ189" s="1" t="n"/>
      <c r="AK189" s="1" t="n"/>
      <c r="AL189" s="1" t="n"/>
      <c r="AM189" s="1" t="n"/>
      <c r="AN189" s="1" t="n"/>
    </row>
    <row r="190" ht="15.75" customHeight="1" s="9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55" t="n"/>
      <c r="N190" s="55" t="n"/>
      <c r="O190" s="55" t="n"/>
      <c r="P190" s="55" t="n"/>
      <c r="Q190" s="55" t="n"/>
      <c r="R190" s="55" t="n"/>
      <c r="S190" s="55" t="n"/>
      <c r="T190" s="56" t="n"/>
      <c r="U190" s="1" t="n"/>
      <c r="V190" s="56" t="n"/>
      <c r="W190" s="57" t="n"/>
      <c r="X190" s="56" t="n"/>
      <c r="Y190" s="56" t="n"/>
      <c r="Z190" s="57" t="n"/>
      <c r="AA190" s="56" t="n"/>
      <c r="AB190" s="56" t="n"/>
      <c r="AC190" s="1" t="n"/>
      <c r="AD190" s="56" t="n"/>
      <c r="AE190" s="1" t="n"/>
      <c r="AF190" s="56" t="n"/>
      <c r="AG190" s="1" t="n"/>
      <c r="AH190" s="56" t="n"/>
      <c r="AI190" s="56" t="n"/>
      <c r="AJ190" s="1" t="n"/>
      <c r="AK190" s="1" t="n"/>
      <c r="AL190" s="1" t="n"/>
      <c r="AM190" s="1" t="n"/>
      <c r="AN190" s="1" t="n"/>
    </row>
    <row r="191" ht="15.75" customHeight="1" s="9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55" t="n"/>
      <c r="N191" s="55" t="n"/>
      <c r="O191" s="55" t="n"/>
      <c r="P191" s="55" t="n"/>
      <c r="Q191" s="55" t="n"/>
      <c r="R191" s="55" t="n"/>
      <c r="S191" s="55" t="n"/>
      <c r="T191" s="56" t="n"/>
      <c r="U191" s="1" t="n"/>
      <c r="V191" s="56" t="n"/>
      <c r="W191" s="57" t="n"/>
      <c r="X191" s="56" t="n"/>
      <c r="Y191" s="56" t="n"/>
      <c r="Z191" s="57" t="n"/>
      <c r="AA191" s="56" t="n"/>
      <c r="AB191" s="56" t="n"/>
      <c r="AC191" s="1" t="n"/>
      <c r="AD191" s="56" t="n"/>
      <c r="AE191" s="1" t="n"/>
      <c r="AF191" s="56" t="n"/>
      <c r="AG191" s="1" t="n"/>
      <c r="AH191" s="56" t="n"/>
      <c r="AI191" s="56" t="n"/>
      <c r="AJ191" s="1" t="n"/>
      <c r="AK191" s="1" t="n"/>
      <c r="AL191" s="1" t="n"/>
      <c r="AM191" s="1" t="n"/>
      <c r="AN191" s="1" t="n"/>
    </row>
    <row r="192" ht="15.75" customHeight="1" s="9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55" t="n"/>
      <c r="N192" s="55" t="n"/>
      <c r="O192" s="55" t="n"/>
      <c r="P192" s="55" t="n"/>
      <c r="Q192" s="55" t="n"/>
      <c r="R192" s="55" t="n"/>
      <c r="S192" s="55" t="n"/>
      <c r="T192" s="56" t="n"/>
      <c r="U192" s="1" t="n"/>
      <c r="V192" s="56" t="n"/>
      <c r="W192" s="57" t="n"/>
      <c r="X192" s="56" t="n"/>
      <c r="Y192" s="56" t="n"/>
      <c r="Z192" s="57" t="n"/>
      <c r="AA192" s="56" t="n"/>
      <c r="AB192" s="56" t="n"/>
      <c r="AC192" s="1" t="n"/>
      <c r="AD192" s="56" t="n"/>
      <c r="AE192" s="1" t="n"/>
      <c r="AF192" s="56" t="n"/>
      <c r="AG192" s="1" t="n"/>
      <c r="AH192" s="56" t="n"/>
      <c r="AI192" s="56" t="n"/>
      <c r="AJ192" s="1" t="n"/>
      <c r="AK192" s="1" t="n"/>
      <c r="AL192" s="1" t="n"/>
      <c r="AM192" s="1" t="n"/>
      <c r="AN192" s="1" t="n"/>
    </row>
    <row r="193" ht="15.75" customHeight="1" s="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55" t="n"/>
      <c r="N193" s="55" t="n"/>
      <c r="O193" s="55" t="n"/>
      <c r="P193" s="55" t="n"/>
      <c r="Q193" s="55" t="n"/>
      <c r="R193" s="55" t="n"/>
      <c r="S193" s="55" t="n"/>
      <c r="T193" s="56" t="n"/>
      <c r="U193" s="1" t="n"/>
      <c r="V193" s="56" t="n"/>
      <c r="W193" s="57" t="n"/>
      <c r="X193" s="56" t="n"/>
      <c r="Y193" s="56" t="n"/>
      <c r="Z193" s="57" t="n"/>
      <c r="AA193" s="56" t="n"/>
      <c r="AB193" s="56" t="n"/>
      <c r="AC193" s="1" t="n"/>
      <c r="AD193" s="56" t="n"/>
      <c r="AE193" s="1" t="n"/>
      <c r="AF193" s="56" t="n"/>
      <c r="AG193" s="1" t="n"/>
      <c r="AH193" s="56" t="n"/>
      <c r="AI193" s="56" t="n"/>
      <c r="AJ193" s="1" t="n"/>
      <c r="AK193" s="1" t="n"/>
      <c r="AL193" s="1" t="n"/>
      <c r="AM193" s="1" t="n"/>
      <c r="AN193" s="1" t="n"/>
    </row>
    <row r="194" ht="15.75" customHeight="1" s="9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55" t="n"/>
      <c r="N194" s="55" t="n"/>
      <c r="O194" s="55" t="n"/>
      <c r="P194" s="55" t="n"/>
      <c r="Q194" s="55" t="n"/>
      <c r="R194" s="55" t="n"/>
      <c r="S194" s="55" t="n"/>
      <c r="T194" s="56" t="n"/>
      <c r="U194" s="1" t="n"/>
      <c r="V194" s="56" t="n"/>
      <c r="W194" s="57" t="n"/>
      <c r="X194" s="56" t="n"/>
      <c r="Y194" s="56" t="n"/>
      <c r="Z194" s="57" t="n"/>
      <c r="AA194" s="56" t="n"/>
      <c r="AB194" s="56" t="n"/>
      <c r="AC194" s="1" t="n"/>
      <c r="AD194" s="56" t="n"/>
      <c r="AE194" s="1" t="n"/>
      <c r="AF194" s="56" t="n"/>
      <c r="AG194" s="1" t="n"/>
      <c r="AH194" s="56" t="n"/>
      <c r="AI194" s="56" t="n"/>
      <c r="AJ194" s="1" t="n"/>
      <c r="AK194" s="1" t="n"/>
      <c r="AL194" s="1" t="n"/>
      <c r="AM194" s="1" t="n"/>
      <c r="AN194" s="1" t="n"/>
    </row>
    <row r="195" ht="15.75" customHeight="1" s="9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55" t="n"/>
      <c r="N195" s="55" t="n"/>
      <c r="O195" s="55" t="n"/>
      <c r="P195" s="55" t="n"/>
      <c r="Q195" s="55" t="n"/>
      <c r="R195" s="55" t="n"/>
      <c r="S195" s="55" t="n"/>
      <c r="T195" s="56" t="n"/>
      <c r="U195" s="1" t="n"/>
      <c r="V195" s="56" t="n"/>
      <c r="W195" s="57" t="n"/>
      <c r="X195" s="56" t="n"/>
      <c r="Y195" s="56" t="n"/>
      <c r="Z195" s="57" t="n"/>
      <c r="AA195" s="56" t="n"/>
      <c r="AB195" s="56" t="n"/>
      <c r="AC195" s="1" t="n"/>
      <c r="AD195" s="56" t="n"/>
      <c r="AE195" s="1" t="n"/>
      <c r="AF195" s="56" t="n"/>
      <c r="AG195" s="1" t="n"/>
      <c r="AH195" s="56" t="n"/>
      <c r="AI195" s="56" t="n"/>
      <c r="AJ195" s="1" t="n"/>
      <c r="AK195" s="1" t="n"/>
      <c r="AL195" s="1" t="n"/>
      <c r="AM195" s="1" t="n"/>
      <c r="AN195" s="1" t="n"/>
    </row>
    <row r="196" ht="15.75" customHeight="1" s="9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55" t="n"/>
      <c r="N196" s="55" t="n"/>
      <c r="O196" s="55" t="n"/>
      <c r="P196" s="55" t="n"/>
      <c r="Q196" s="55" t="n"/>
      <c r="R196" s="55" t="n"/>
      <c r="S196" s="55" t="n"/>
      <c r="T196" s="56" t="n"/>
      <c r="U196" s="1" t="n"/>
      <c r="V196" s="56" t="n"/>
      <c r="W196" s="57" t="n"/>
      <c r="X196" s="56" t="n"/>
      <c r="Y196" s="56" t="n"/>
      <c r="Z196" s="57" t="n"/>
      <c r="AA196" s="56" t="n"/>
      <c r="AB196" s="56" t="n"/>
      <c r="AC196" s="1" t="n"/>
      <c r="AD196" s="56" t="n"/>
      <c r="AE196" s="1" t="n"/>
      <c r="AF196" s="56" t="n"/>
      <c r="AG196" s="1" t="n"/>
      <c r="AH196" s="56" t="n"/>
      <c r="AI196" s="56" t="n"/>
      <c r="AJ196" s="1" t="n"/>
      <c r="AK196" s="1" t="n"/>
      <c r="AL196" s="1" t="n"/>
      <c r="AM196" s="1" t="n"/>
      <c r="AN196" s="1" t="n"/>
    </row>
    <row r="197" ht="15.75" customHeight="1" s="9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55" t="n"/>
      <c r="N197" s="55" t="n"/>
      <c r="O197" s="55" t="n"/>
      <c r="P197" s="55" t="n"/>
      <c r="Q197" s="55" t="n"/>
      <c r="R197" s="55" t="n"/>
      <c r="S197" s="55" t="n"/>
      <c r="T197" s="56" t="n"/>
      <c r="U197" s="1" t="n"/>
      <c r="V197" s="56" t="n"/>
      <c r="W197" s="57" t="n"/>
      <c r="X197" s="56" t="n"/>
      <c r="Y197" s="56" t="n"/>
      <c r="Z197" s="57" t="n"/>
      <c r="AA197" s="56" t="n"/>
      <c r="AB197" s="56" t="n"/>
      <c r="AC197" s="1" t="n"/>
      <c r="AD197" s="56" t="n"/>
      <c r="AE197" s="1" t="n"/>
      <c r="AF197" s="56" t="n"/>
      <c r="AG197" s="1" t="n"/>
      <c r="AH197" s="56" t="n"/>
      <c r="AI197" s="56" t="n"/>
      <c r="AJ197" s="1" t="n"/>
      <c r="AK197" s="1" t="n"/>
      <c r="AL197" s="1" t="n"/>
      <c r="AM197" s="1" t="n"/>
      <c r="AN197" s="1" t="n"/>
    </row>
    <row r="198" ht="15.75" customHeight="1" s="9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55" t="n"/>
      <c r="N198" s="55" t="n"/>
      <c r="O198" s="55" t="n"/>
      <c r="P198" s="55" t="n"/>
      <c r="Q198" s="55" t="n"/>
      <c r="R198" s="55" t="n"/>
      <c r="S198" s="55" t="n"/>
      <c r="T198" s="56" t="n"/>
      <c r="U198" s="1" t="n"/>
      <c r="V198" s="56" t="n"/>
      <c r="W198" s="57" t="n"/>
      <c r="X198" s="56" t="n"/>
      <c r="Y198" s="56" t="n"/>
      <c r="Z198" s="57" t="n"/>
      <c r="AA198" s="56" t="n"/>
      <c r="AB198" s="56" t="n"/>
      <c r="AC198" s="1" t="n"/>
      <c r="AD198" s="56" t="n"/>
      <c r="AE198" s="1" t="n"/>
      <c r="AF198" s="56" t="n"/>
      <c r="AG198" s="1" t="n"/>
      <c r="AH198" s="56" t="n"/>
      <c r="AI198" s="56" t="n"/>
      <c r="AJ198" s="1" t="n"/>
      <c r="AK198" s="1" t="n"/>
      <c r="AL198" s="1" t="n"/>
      <c r="AM198" s="1" t="n"/>
      <c r="AN198" s="1" t="n"/>
    </row>
    <row r="199" ht="15.75" customHeight="1" s="9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55" t="n"/>
      <c r="N199" s="55" t="n"/>
      <c r="O199" s="55" t="n"/>
      <c r="P199" s="55" t="n"/>
      <c r="Q199" s="55" t="n"/>
      <c r="R199" s="55" t="n"/>
      <c r="S199" s="55" t="n"/>
      <c r="T199" s="56" t="n"/>
      <c r="U199" s="1" t="n"/>
      <c r="V199" s="56" t="n"/>
      <c r="W199" s="57" t="n"/>
      <c r="X199" s="56" t="n"/>
      <c r="Y199" s="56" t="n"/>
      <c r="Z199" s="57" t="n"/>
      <c r="AA199" s="56" t="n"/>
      <c r="AB199" s="56" t="n"/>
      <c r="AC199" s="1" t="n"/>
      <c r="AD199" s="56" t="n"/>
      <c r="AE199" s="1" t="n"/>
      <c r="AF199" s="56" t="n"/>
      <c r="AG199" s="1" t="n"/>
      <c r="AH199" s="56" t="n"/>
      <c r="AI199" s="56" t="n"/>
      <c r="AJ199" s="1" t="n"/>
      <c r="AK199" s="1" t="n"/>
      <c r="AL199" s="1" t="n"/>
      <c r="AM199" s="1" t="n"/>
      <c r="AN199" s="1" t="n"/>
    </row>
    <row r="200" ht="15.75" customHeight="1" s="9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55" t="n"/>
      <c r="N200" s="55" t="n"/>
      <c r="O200" s="55" t="n"/>
      <c r="P200" s="55" t="n"/>
      <c r="Q200" s="55" t="n"/>
      <c r="R200" s="55" t="n"/>
      <c r="S200" s="55" t="n"/>
      <c r="T200" s="56" t="n"/>
      <c r="U200" s="1" t="n"/>
      <c r="V200" s="56" t="n"/>
      <c r="W200" s="57" t="n"/>
      <c r="X200" s="56" t="n"/>
      <c r="Y200" s="56" t="n"/>
      <c r="Z200" s="57" t="n"/>
      <c r="AA200" s="56" t="n"/>
      <c r="AB200" s="56" t="n"/>
      <c r="AC200" s="1" t="n"/>
      <c r="AD200" s="56" t="n"/>
      <c r="AE200" s="1" t="n"/>
      <c r="AF200" s="56" t="n"/>
      <c r="AG200" s="1" t="n"/>
      <c r="AH200" s="56" t="n"/>
      <c r="AI200" s="56" t="n"/>
      <c r="AJ200" s="1" t="n"/>
      <c r="AK200" s="1" t="n"/>
      <c r="AL200" s="1" t="n"/>
      <c r="AM200" s="1" t="n"/>
      <c r="AN200" s="1" t="n"/>
    </row>
    <row r="201" ht="15.75" customHeight="1" s="9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55" t="n"/>
      <c r="N201" s="55" t="n"/>
      <c r="O201" s="55" t="n"/>
      <c r="P201" s="55" t="n"/>
      <c r="Q201" s="55" t="n"/>
      <c r="R201" s="55" t="n"/>
      <c r="S201" s="55" t="n"/>
      <c r="T201" s="56" t="n"/>
      <c r="U201" s="1" t="n"/>
      <c r="V201" s="56" t="n"/>
      <c r="W201" s="57" t="n"/>
      <c r="X201" s="56" t="n"/>
      <c r="Y201" s="56" t="n"/>
      <c r="Z201" s="57" t="n"/>
      <c r="AA201" s="56" t="n"/>
      <c r="AB201" s="56" t="n"/>
      <c r="AC201" s="1" t="n"/>
      <c r="AD201" s="56" t="n"/>
      <c r="AE201" s="1" t="n"/>
      <c r="AF201" s="56" t="n"/>
      <c r="AG201" s="1" t="n"/>
      <c r="AH201" s="56" t="n"/>
      <c r="AI201" s="56" t="n"/>
      <c r="AJ201" s="1" t="n"/>
      <c r="AK201" s="1" t="n"/>
      <c r="AL201" s="1" t="n"/>
      <c r="AM201" s="1" t="n"/>
      <c r="AN201" s="1" t="n"/>
    </row>
    <row r="202" ht="15.75" customHeight="1" s="9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55" t="n"/>
      <c r="N202" s="55" t="n"/>
      <c r="O202" s="55" t="n"/>
      <c r="P202" s="55" t="n"/>
      <c r="Q202" s="55" t="n"/>
      <c r="R202" s="55" t="n"/>
      <c r="S202" s="55" t="n"/>
      <c r="T202" s="56" t="n"/>
      <c r="U202" s="1" t="n"/>
      <c r="V202" s="56" t="n"/>
      <c r="W202" s="57" t="n"/>
      <c r="X202" s="56" t="n"/>
      <c r="Y202" s="56" t="n"/>
      <c r="Z202" s="57" t="n"/>
      <c r="AA202" s="56" t="n"/>
      <c r="AB202" s="56" t="n"/>
      <c r="AC202" s="1" t="n"/>
      <c r="AD202" s="56" t="n"/>
      <c r="AE202" s="1" t="n"/>
      <c r="AF202" s="56" t="n"/>
      <c r="AG202" s="1" t="n"/>
      <c r="AH202" s="56" t="n"/>
      <c r="AI202" s="56" t="n"/>
      <c r="AJ202" s="1" t="n"/>
      <c r="AK202" s="1" t="n"/>
      <c r="AL202" s="1" t="n"/>
      <c r="AM202" s="1" t="n"/>
      <c r="AN202" s="1" t="n"/>
    </row>
    <row r="203" ht="15.75" customHeight="1" s="9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55" t="n"/>
      <c r="N203" s="55" t="n"/>
      <c r="O203" s="55" t="n"/>
      <c r="P203" s="55" t="n"/>
      <c r="Q203" s="55" t="n"/>
      <c r="R203" s="55" t="n"/>
      <c r="S203" s="55" t="n"/>
      <c r="T203" s="56" t="n"/>
      <c r="U203" s="1" t="n"/>
      <c r="V203" s="56" t="n"/>
      <c r="W203" s="57" t="n"/>
      <c r="X203" s="56" t="n"/>
      <c r="Y203" s="56" t="n"/>
      <c r="Z203" s="57" t="n"/>
      <c r="AA203" s="56" t="n"/>
      <c r="AB203" s="56" t="n"/>
      <c r="AC203" s="1" t="n"/>
      <c r="AD203" s="56" t="n"/>
      <c r="AE203" s="1" t="n"/>
      <c r="AF203" s="56" t="n"/>
      <c r="AG203" s="1" t="n"/>
      <c r="AH203" s="56" t="n"/>
      <c r="AI203" s="56" t="n"/>
      <c r="AJ203" s="1" t="n"/>
      <c r="AK203" s="1" t="n"/>
      <c r="AL203" s="1" t="n"/>
      <c r="AM203" s="1" t="n"/>
      <c r="AN203" s="1" t="n"/>
    </row>
    <row r="204" ht="15.75" customHeight="1" s="9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55" t="n"/>
      <c r="N204" s="55" t="n"/>
      <c r="O204" s="55" t="n"/>
      <c r="P204" s="55" t="n"/>
      <c r="Q204" s="55" t="n"/>
      <c r="R204" s="55" t="n"/>
      <c r="S204" s="55" t="n"/>
      <c r="T204" s="56" t="n"/>
      <c r="U204" s="1" t="n"/>
      <c r="V204" s="56" t="n"/>
      <c r="W204" s="57" t="n"/>
      <c r="X204" s="56" t="n"/>
      <c r="Y204" s="56" t="n"/>
      <c r="Z204" s="57" t="n"/>
      <c r="AA204" s="56" t="n"/>
      <c r="AB204" s="56" t="n"/>
      <c r="AC204" s="1" t="n"/>
      <c r="AD204" s="56" t="n"/>
      <c r="AE204" s="1" t="n"/>
      <c r="AF204" s="56" t="n"/>
      <c r="AG204" s="1" t="n"/>
      <c r="AH204" s="56" t="n"/>
      <c r="AI204" s="56" t="n"/>
      <c r="AJ204" s="1" t="n"/>
      <c r="AK204" s="1" t="n"/>
      <c r="AL204" s="1" t="n"/>
      <c r="AM204" s="1" t="n"/>
      <c r="AN204" s="1" t="n"/>
    </row>
    <row r="205" ht="15.75" customHeight="1" s="9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55" t="n"/>
      <c r="N205" s="55" t="n"/>
      <c r="O205" s="55" t="n"/>
      <c r="P205" s="55" t="n"/>
      <c r="Q205" s="55" t="n"/>
      <c r="R205" s="55" t="n"/>
      <c r="S205" s="55" t="n"/>
      <c r="T205" s="56" t="n"/>
      <c r="U205" s="1" t="n"/>
      <c r="V205" s="56" t="n"/>
      <c r="W205" s="57" t="n"/>
      <c r="X205" s="56" t="n"/>
      <c r="Y205" s="56" t="n"/>
      <c r="Z205" s="57" t="n"/>
      <c r="AA205" s="56" t="n"/>
      <c r="AB205" s="56" t="n"/>
      <c r="AC205" s="1" t="n"/>
      <c r="AD205" s="56" t="n"/>
      <c r="AE205" s="1" t="n"/>
      <c r="AF205" s="56" t="n"/>
      <c r="AG205" s="1" t="n"/>
      <c r="AH205" s="56" t="n"/>
      <c r="AI205" s="56" t="n"/>
      <c r="AJ205" s="1" t="n"/>
      <c r="AK205" s="1" t="n"/>
      <c r="AL205" s="1" t="n"/>
      <c r="AM205" s="1" t="n"/>
      <c r="AN205" s="1" t="n"/>
    </row>
    <row r="206" ht="15.75" customHeight="1" s="9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55" t="n"/>
      <c r="N206" s="55" t="n"/>
      <c r="O206" s="55" t="n"/>
      <c r="P206" s="55" t="n"/>
      <c r="Q206" s="55" t="n"/>
      <c r="R206" s="55" t="n"/>
      <c r="S206" s="55" t="n"/>
      <c r="T206" s="56" t="n"/>
      <c r="U206" s="1" t="n"/>
      <c r="V206" s="56" t="n"/>
      <c r="W206" s="57" t="n"/>
      <c r="X206" s="56" t="n"/>
      <c r="Y206" s="56" t="n"/>
      <c r="Z206" s="57" t="n"/>
      <c r="AA206" s="56" t="n"/>
      <c r="AB206" s="56" t="n"/>
      <c r="AC206" s="1" t="n"/>
      <c r="AD206" s="56" t="n"/>
      <c r="AE206" s="1" t="n"/>
      <c r="AF206" s="56" t="n"/>
      <c r="AG206" s="1" t="n"/>
      <c r="AH206" s="56" t="n"/>
      <c r="AI206" s="56" t="n"/>
      <c r="AJ206" s="1" t="n"/>
      <c r="AK206" s="1" t="n"/>
      <c r="AL206" s="1" t="n"/>
      <c r="AM206" s="1" t="n"/>
      <c r="AN206" s="1" t="n"/>
    </row>
    <row r="207" ht="15.75" customHeight="1" s="9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55" t="n"/>
      <c r="N207" s="55" t="n"/>
      <c r="O207" s="55" t="n"/>
      <c r="P207" s="55" t="n"/>
      <c r="Q207" s="55" t="n"/>
      <c r="R207" s="55" t="n"/>
      <c r="S207" s="55" t="n"/>
      <c r="T207" s="56" t="n"/>
      <c r="U207" s="1" t="n"/>
      <c r="V207" s="56" t="n"/>
      <c r="W207" s="57" t="n"/>
      <c r="X207" s="56" t="n"/>
      <c r="Y207" s="56" t="n"/>
      <c r="Z207" s="57" t="n"/>
      <c r="AA207" s="56" t="n"/>
      <c r="AB207" s="56" t="n"/>
      <c r="AC207" s="1" t="n"/>
      <c r="AD207" s="56" t="n"/>
      <c r="AE207" s="1" t="n"/>
      <c r="AF207" s="56" t="n"/>
      <c r="AG207" s="1" t="n"/>
      <c r="AH207" s="56" t="n"/>
      <c r="AI207" s="56" t="n"/>
      <c r="AJ207" s="1" t="n"/>
      <c r="AK207" s="1" t="n"/>
      <c r="AL207" s="1" t="n"/>
      <c r="AM207" s="1" t="n"/>
      <c r="AN207" s="1" t="n"/>
    </row>
    <row r="208" ht="15.75" customHeight="1" s="9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55" t="n"/>
      <c r="N208" s="55" t="n"/>
      <c r="O208" s="55" t="n"/>
      <c r="P208" s="55" t="n"/>
      <c r="Q208" s="55" t="n"/>
      <c r="R208" s="55" t="n"/>
      <c r="S208" s="55" t="n"/>
      <c r="T208" s="56" t="n"/>
      <c r="U208" s="1" t="n"/>
      <c r="V208" s="56" t="n"/>
      <c r="W208" s="57" t="n"/>
      <c r="X208" s="56" t="n"/>
      <c r="Y208" s="56" t="n"/>
      <c r="Z208" s="57" t="n"/>
      <c r="AA208" s="56" t="n"/>
      <c r="AB208" s="56" t="n"/>
      <c r="AC208" s="1" t="n"/>
      <c r="AD208" s="56" t="n"/>
      <c r="AE208" s="1" t="n"/>
      <c r="AF208" s="56" t="n"/>
      <c r="AG208" s="1" t="n"/>
      <c r="AH208" s="56" t="n"/>
      <c r="AI208" s="56" t="n"/>
      <c r="AJ208" s="1" t="n"/>
      <c r="AK208" s="1" t="n"/>
      <c r="AL208" s="1" t="n"/>
      <c r="AM208" s="1" t="n"/>
      <c r="AN208" s="1" t="n"/>
    </row>
    <row r="209" ht="15.75" customHeight="1" s="9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55" t="n"/>
      <c r="N209" s="55" t="n"/>
      <c r="O209" s="55" t="n"/>
      <c r="P209" s="55" t="n"/>
      <c r="Q209" s="55" t="n"/>
      <c r="R209" s="55" t="n"/>
      <c r="S209" s="55" t="n"/>
      <c r="T209" s="56" t="n"/>
      <c r="U209" s="1" t="n"/>
      <c r="V209" s="56" t="n"/>
      <c r="W209" s="57" t="n"/>
      <c r="X209" s="56" t="n"/>
      <c r="Y209" s="56" t="n"/>
      <c r="Z209" s="57" t="n"/>
      <c r="AA209" s="56" t="n"/>
      <c r="AB209" s="56" t="n"/>
      <c r="AC209" s="1" t="n"/>
      <c r="AD209" s="56" t="n"/>
      <c r="AE209" s="1" t="n"/>
      <c r="AF209" s="56" t="n"/>
      <c r="AG209" s="1" t="n"/>
      <c r="AH209" s="56" t="n"/>
      <c r="AI209" s="56" t="n"/>
      <c r="AJ209" s="1" t="n"/>
      <c r="AK209" s="1" t="n"/>
      <c r="AL209" s="1" t="n"/>
      <c r="AM209" s="1" t="n"/>
      <c r="AN209" s="1" t="n"/>
    </row>
    <row r="210" ht="15.75" customHeight="1" s="9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55" t="n"/>
      <c r="N210" s="55" t="n"/>
      <c r="O210" s="55" t="n"/>
      <c r="P210" s="55" t="n"/>
      <c r="Q210" s="55" t="n"/>
      <c r="R210" s="55" t="n"/>
      <c r="S210" s="55" t="n"/>
      <c r="T210" s="56" t="n"/>
      <c r="U210" s="1" t="n"/>
      <c r="V210" s="56" t="n"/>
      <c r="W210" s="57" t="n"/>
      <c r="X210" s="56" t="n"/>
      <c r="Y210" s="56" t="n"/>
      <c r="Z210" s="57" t="n"/>
      <c r="AA210" s="56" t="n"/>
      <c r="AB210" s="56" t="n"/>
      <c r="AC210" s="1" t="n"/>
      <c r="AD210" s="56" t="n"/>
      <c r="AE210" s="1" t="n"/>
      <c r="AF210" s="56" t="n"/>
      <c r="AG210" s="1" t="n"/>
      <c r="AH210" s="56" t="n"/>
      <c r="AI210" s="56" t="n"/>
      <c r="AJ210" s="1" t="n"/>
      <c r="AK210" s="1" t="n"/>
      <c r="AL210" s="1" t="n"/>
      <c r="AM210" s="1" t="n"/>
      <c r="AN210" s="1" t="n"/>
    </row>
    <row r="211" ht="15.75" customHeight="1" s="9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55" t="n"/>
      <c r="N211" s="55" t="n"/>
      <c r="O211" s="55" t="n"/>
      <c r="P211" s="55" t="n"/>
      <c r="Q211" s="55" t="n"/>
      <c r="R211" s="55" t="n"/>
      <c r="S211" s="55" t="n"/>
      <c r="T211" s="56" t="n"/>
      <c r="U211" s="1" t="n"/>
      <c r="V211" s="56" t="n"/>
      <c r="W211" s="57" t="n"/>
      <c r="X211" s="56" t="n"/>
      <c r="Y211" s="56" t="n"/>
      <c r="Z211" s="57" t="n"/>
      <c r="AA211" s="56" t="n"/>
      <c r="AB211" s="56" t="n"/>
      <c r="AC211" s="1" t="n"/>
      <c r="AD211" s="56" t="n"/>
      <c r="AE211" s="1" t="n"/>
      <c r="AF211" s="56" t="n"/>
      <c r="AG211" s="1" t="n"/>
      <c r="AH211" s="56" t="n"/>
      <c r="AI211" s="56" t="n"/>
      <c r="AJ211" s="1" t="n"/>
      <c r="AK211" s="1" t="n"/>
      <c r="AL211" s="1" t="n"/>
      <c r="AM211" s="1" t="n"/>
      <c r="AN211" s="1" t="n"/>
    </row>
    <row r="212" ht="15.75" customHeight="1" s="9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55" t="n"/>
      <c r="N212" s="55" t="n"/>
      <c r="O212" s="55" t="n"/>
      <c r="P212" s="55" t="n"/>
      <c r="Q212" s="55" t="n"/>
      <c r="R212" s="55" t="n"/>
      <c r="S212" s="55" t="n"/>
      <c r="T212" s="56" t="n"/>
      <c r="U212" s="1" t="n"/>
      <c r="V212" s="56" t="n"/>
      <c r="W212" s="57" t="n"/>
      <c r="X212" s="56" t="n"/>
      <c r="Y212" s="56" t="n"/>
      <c r="Z212" s="57" t="n"/>
      <c r="AA212" s="56" t="n"/>
      <c r="AB212" s="56" t="n"/>
      <c r="AC212" s="1" t="n"/>
      <c r="AD212" s="56" t="n"/>
      <c r="AE212" s="1" t="n"/>
      <c r="AF212" s="56" t="n"/>
      <c r="AG212" s="1" t="n"/>
      <c r="AH212" s="56" t="n"/>
      <c r="AI212" s="56" t="n"/>
      <c r="AJ212" s="1" t="n"/>
      <c r="AK212" s="1" t="n"/>
      <c r="AL212" s="1" t="n"/>
      <c r="AM212" s="1" t="n"/>
      <c r="AN212" s="1" t="n"/>
    </row>
    <row r="213" ht="15.75" customHeight="1" s="9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55" t="n"/>
      <c r="N213" s="55" t="n"/>
      <c r="O213" s="55" t="n"/>
      <c r="P213" s="55" t="n"/>
      <c r="Q213" s="55" t="n"/>
      <c r="R213" s="55" t="n"/>
      <c r="S213" s="55" t="n"/>
      <c r="T213" s="56" t="n"/>
      <c r="U213" s="1" t="n"/>
      <c r="V213" s="56" t="n"/>
      <c r="W213" s="57" t="n"/>
      <c r="X213" s="56" t="n"/>
      <c r="Y213" s="56" t="n"/>
      <c r="Z213" s="57" t="n"/>
      <c r="AA213" s="56" t="n"/>
      <c r="AB213" s="56" t="n"/>
      <c r="AC213" s="1" t="n"/>
      <c r="AD213" s="56" t="n"/>
      <c r="AE213" s="1" t="n"/>
      <c r="AF213" s="56" t="n"/>
      <c r="AG213" s="1" t="n"/>
      <c r="AH213" s="56" t="n"/>
      <c r="AI213" s="56" t="n"/>
      <c r="AJ213" s="1" t="n"/>
      <c r="AK213" s="1" t="n"/>
      <c r="AL213" s="1" t="n"/>
      <c r="AM213" s="1" t="n"/>
      <c r="AN213" s="1" t="n"/>
    </row>
    <row r="214" ht="15.75" customHeight="1" s="9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55" t="n"/>
      <c r="N214" s="55" t="n"/>
      <c r="O214" s="55" t="n"/>
      <c r="P214" s="55" t="n"/>
      <c r="Q214" s="55" t="n"/>
      <c r="R214" s="55" t="n"/>
      <c r="S214" s="55" t="n"/>
      <c r="T214" s="56" t="n"/>
      <c r="U214" s="1" t="n"/>
      <c r="V214" s="56" t="n"/>
      <c r="W214" s="57" t="n"/>
      <c r="X214" s="56" t="n"/>
      <c r="Y214" s="56" t="n"/>
      <c r="Z214" s="57" t="n"/>
      <c r="AA214" s="56" t="n"/>
      <c r="AB214" s="56" t="n"/>
      <c r="AC214" s="1" t="n"/>
      <c r="AD214" s="56" t="n"/>
      <c r="AE214" s="1" t="n"/>
      <c r="AF214" s="56" t="n"/>
      <c r="AG214" s="1" t="n"/>
      <c r="AH214" s="56" t="n"/>
      <c r="AI214" s="56" t="n"/>
      <c r="AJ214" s="1" t="n"/>
      <c r="AK214" s="1" t="n"/>
      <c r="AL214" s="1" t="n"/>
      <c r="AM214" s="1" t="n"/>
      <c r="AN214" s="1" t="n"/>
    </row>
    <row r="215" ht="15.75" customHeight="1" s="9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55" t="n"/>
      <c r="N215" s="55" t="n"/>
      <c r="O215" s="55" t="n"/>
      <c r="P215" s="55" t="n"/>
      <c r="Q215" s="55" t="n"/>
      <c r="R215" s="55" t="n"/>
      <c r="S215" s="55" t="n"/>
      <c r="T215" s="56" t="n"/>
      <c r="U215" s="1" t="n"/>
      <c r="V215" s="56" t="n"/>
      <c r="W215" s="57" t="n"/>
      <c r="X215" s="56" t="n"/>
      <c r="Y215" s="56" t="n"/>
      <c r="Z215" s="57" t="n"/>
      <c r="AA215" s="56" t="n"/>
      <c r="AB215" s="56" t="n"/>
      <c r="AC215" s="1" t="n"/>
      <c r="AD215" s="56" t="n"/>
      <c r="AE215" s="1" t="n"/>
      <c r="AF215" s="56" t="n"/>
      <c r="AG215" s="1" t="n"/>
      <c r="AH215" s="56" t="n"/>
      <c r="AI215" s="56" t="n"/>
      <c r="AJ215" s="1" t="n"/>
      <c r="AK215" s="1" t="n"/>
      <c r="AL215" s="1" t="n"/>
      <c r="AM215" s="1" t="n"/>
      <c r="AN215" s="1" t="n"/>
    </row>
    <row r="216" ht="15.75" customHeight="1" s="9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55" t="n"/>
      <c r="N216" s="55" t="n"/>
      <c r="O216" s="55" t="n"/>
      <c r="P216" s="55" t="n"/>
      <c r="Q216" s="55" t="n"/>
      <c r="R216" s="55" t="n"/>
      <c r="S216" s="55" t="n"/>
      <c r="T216" s="56" t="n"/>
      <c r="U216" s="1" t="n"/>
      <c r="V216" s="56" t="n"/>
      <c r="W216" s="57" t="n"/>
      <c r="X216" s="56" t="n"/>
      <c r="Y216" s="56" t="n"/>
      <c r="Z216" s="57" t="n"/>
      <c r="AA216" s="56" t="n"/>
      <c r="AB216" s="56" t="n"/>
      <c r="AC216" s="1" t="n"/>
      <c r="AD216" s="56" t="n"/>
      <c r="AE216" s="1" t="n"/>
      <c r="AF216" s="56" t="n"/>
      <c r="AG216" s="1" t="n"/>
      <c r="AH216" s="56" t="n"/>
      <c r="AI216" s="56" t="n"/>
      <c r="AJ216" s="1" t="n"/>
      <c r="AK216" s="1" t="n"/>
      <c r="AL216" s="1" t="n"/>
      <c r="AM216" s="1" t="n"/>
      <c r="AN216" s="1" t="n"/>
    </row>
    <row r="217" ht="15.75" customHeight="1" s="9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</row>
    <row r="218" ht="15.75" customHeight="1" s="9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</row>
    <row r="219" ht="15.75" customHeight="1" s="9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</row>
    <row r="220" ht="15.75" customHeight="1" s="9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</row>
    <row r="221" ht="15.75" customHeight="1" s="9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</row>
    <row r="222" ht="15.75" customHeight="1" s="9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</row>
    <row r="223" ht="15.75" customHeight="1" s="9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</row>
    <row r="224" ht="15.75" customHeight="1" s="9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</row>
    <row r="225" ht="15.75" customHeight="1" s="9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</row>
    <row r="226" ht="15.75" customHeight="1" s="9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</row>
    <row r="227" ht="15.75" customHeight="1" s="9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</row>
    <row r="228" ht="15.75" customHeight="1" s="9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</row>
    <row r="229" ht="15.75" customHeight="1" s="9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</row>
    <row r="230" ht="15.75" customHeight="1" s="9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</row>
    <row r="231" ht="15.75" customHeight="1" s="9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</row>
    <row r="232" ht="15.75" customHeight="1" s="9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</row>
    <row r="233" ht="15.75" customHeight="1" s="9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</row>
    <row r="234" ht="15.75" customHeight="1" s="9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</row>
    <row r="235" ht="15.75" customHeight="1" s="9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</row>
    <row r="236" ht="15.75" customHeight="1" s="9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</row>
    <row r="237" ht="15.75" customHeight="1" s="9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</row>
    <row r="238" ht="15.75" customHeight="1" s="9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</row>
    <row r="239" ht="15.75" customHeight="1" s="9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</row>
    <row r="240" ht="15.75" customHeight="1" s="9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</row>
    <row r="241" ht="15.75" customHeight="1" s="9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</row>
    <row r="242" ht="15.75" customHeight="1" s="9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</row>
    <row r="243" ht="15.75" customHeight="1" s="9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</row>
    <row r="244" ht="15.75" customHeight="1" s="9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</row>
    <row r="245" ht="15.75" customHeight="1" s="9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</row>
    <row r="246" ht="15.75" customHeight="1" s="9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</row>
    <row r="247" ht="15.75" customHeight="1" s="9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</row>
    <row r="248" ht="15.75" customHeight="1" s="9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</row>
    <row r="249" ht="15.75" customHeight="1" s="9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</row>
    <row r="250" ht="15.75" customHeight="1" s="9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</row>
    <row r="251" ht="15.75" customHeight="1" s="9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</row>
    <row r="252" ht="15.75" customHeight="1" s="9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</row>
    <row r="253" ht="15.75" customHeight="1" s="9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</row>
    <row r="254" ht="15.75" customHeight="1" s="9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</row>
    <row r="255" ht="15.75" customHeight="1" s="9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</row>
    <row r="256" ht="15.75" customHeight="1" s="9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</row>
    <row r="257" ht="15.75" customHeight="1" s="9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</row>
    <row r="258" ht="15.75" customHeight="1" s="9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</row>
    <row r="259" ht="15.75" customHeight="1" s="9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</row>
    <row r="260" ht="15.75" customHeight="1" s="9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</row>
    <row r="261" ht="15.75" customHeight="1" s="9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</row>
    <row r="262" ht="15.75" customHeight="1" s="9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</row>
    <row r="263" ht="15.75" customHeight="1" s="9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</row>
    <row r="264" ht="15.75" customHeight="1" s="9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</row>
    <row r="265" ht="15.75" customHeight="1" s="9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</row>
    <row r="266" ht="15.75" customHeight="1" s="9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</row>
    <row r="267" ht="15.75" customHeight="1" s="9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</row>
    <row r="268" ht="15.75" customHeight="1" s="9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</row>
    <row r="269" ht="15.75" customHeight="1" s="9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</row>
    <row r="270" ht="15.75" customHeight="1" s="9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</row>
    <row r="271" ht="15.75" customHeight="1" s="9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</row>
    <row r="272" ht="15.75" customHeight="1" s="9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</row>
    <row r="273" ht="15.75" customHeight="1" s="9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</row>
    <row r="274" ht="15.75" customHeight="1" s="9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</row>
    <row r="275" ht="15.75" customHeight="1" s="9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</row>
    <row r="276" ht="15.75" customHeight="1" s="9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</row>
    <row r="277" ht="15.75" customHeight="1" s="9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</row>
    <row r="278" ht="15.75" customHeight="1" s="9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</row>
    <row r="279" ht="15.75" customHeight="1" s="9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</row>
    <row r="280" ht="15.75" customHeight="1" s="9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</row>
    <row r="281" ht="15.75" customHeight="1" s="9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</row>
    <row r="282" ht="15.75" customHeight="1" s="9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</row>
    <row r="283" ht="15.75" customHeight="1" s="9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</row>
    <row r="284" ht="15.75" customHeight="1" s="9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</row>
    <row r="285" ht="15.75" customHeight="1" s="9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</row>
    <row r="286" ht="15.75" customHeight="1" s="9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</row>
    <row r="287" ht="15.75" customHeight="1" s="9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</row>
    <row r="288" ht="15.75" customHeight="1" s="9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</row>
    <row r="289" ht="15.75" customHeight="1" s="9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</row>
    <row r="290" ht="15.75" customHeight="1" s="9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</row>
    <row r="291" ht="15.75" customHeight="1" s="9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</row>
    <row r="292" ht="15.75" customHeight="1" s="9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</row>
    <row r="293" ht="15.75" customHeight="1" s="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</row>
    <row r="294" ht="15.75" customHeight="1" s="9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</row>
    <row r="295" ht="15.75" customHeight="1" s="9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</row>
    <row r="296" ht="15.75" customHeight="1" s="9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</row>
    <row r="297" ht="15.75" customHeight="1" s="9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</row>
    <row r="298" ht="15.75" customHeight="1" s="9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</row>
    <row r="299" ht="15.75" customHeight="1" s="9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</row>
    <row r="300" ht="15.75" customHeight="1" s="9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</row>
    <row r="301" ht="15.75" customHeight="1" s="9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</row>
    <row r="302" ht="15.75" customHeight="1" s="9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</row>
    <row r="303" ht="15.75" customHeight="1" s="9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</row>
    <row r="304" ht="15.75" customHeight="1" s="9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</row>
    <row r="305" ht="15.75" customHeight="1" s="9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</row>
    <row r="306" ht="15.75" customHeight="1" s="9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</row>
    <row r="307" ht="15.75" customHeight="1" s="9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</row>
    <row r="308" ht="15.75" customHeight="1" s="9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</row>
    <row r="309" ht="15.75" customHeight="1" s="9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</row>
    <row r="310" ht="15.75" customHeight="1" s="9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</row>
    <row r="311" ht="15.75" customHeight="1" s="9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</row>
    <row r="312" ht="15.75" customHeight="1" s="9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</row>
    <row r="313" ht="15.75" customHeight="1" s="9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</row>
    <row r="314" ht="15.75" customHeight="1" s="9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</row>
    <row r="315" ht="15.75" customHeight="1" s="9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</row>
    <row r="316" ht="15.75" customHeight="1" s="9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</row>
    <row r="317" ht="15.75" customHeight="1" s="9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</row>
    <row r="318" ht="15.75" customHeight="1" s="9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</row>
    <row r="319" ht="15.75" customHeight="1" s="9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</row>
    <row r="320" ht="15.75" customHeight="1" s="9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</row>
    <row r="321" ht="15.75" customHeight="1" s="9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</row>
    <row r="322" ht="15.75" customHeight="1" s="9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</row>
    <row r="323" ht="15.75" customHeight="1" s="9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</row>
    <row r="324" ht="15.75" customHeight="1" s="9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</row>
    <row r="325" ht="15.75" customHeight="1" s="9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</row>
    <row r="326" ht="15.75" customHeight="1" s="9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</row>
    <row r="327" ht="15.75" customHeight="1" s="9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</row>
    <row r="328" ht="15.75" customHeight="1" s="9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</row>
    <row r="329" ht="15.75" customHeight="1" s="9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</row>
    <row r="330" ht="15.75" customHeight="1" s="9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</row>
    <row r="331" ht="15.75" customHeight="1" s="9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</row>
    <row r="332" ht="15.75" customHeight="1" s="9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</row>
    <row r="333" ht="15.75" customHeight="1" s="9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</row>
    <row r="334" ht="15.75" customHeight="1" s="9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</row>
    <row r="335" ht="15.75" customHeight="1" s="9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</row>
    <row r="336" ht="15.75" customHeight="1" s="9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</row>
    <row r="337" ht="15.75" customHeight="1" s="9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</row>
    <row r="338" ht="15.75" customHeight="1" s="9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</row>
    <row r="339" ht="15.75" customHeight="1" s="9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</row>
    <row r="340" ht="15.75" customHeight="1" s="9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</row>
    <row r="341" ht="15.75" customHeight="1" s="9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</row>
    <row r="342" ht="15.75" customHeight="1" s="9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</row>
    <row r="343" ht="15.75" customHeight="1" s="9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</row>
    <row r="344" ht="15.75" customHeight="1" s="9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</row>
    <row r="345" ht="15.75" customHeight="1" s="9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</row>
    <row r="346" ht="15.75" customHeight="1" s="9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</row>
    <row r="347" ht="15.75" customHeight="1" s="9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</row>
    <row r="348" ht="15.75" customHeight="1" s="9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</row>
    <row r="349" ht="15.75" customHeight="1" s="9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</row>
    <row r="350" ht="15.75" customHeight="1" s="9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</row>
    <row r="351" ht="15.75" customHeight="1" s="9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</row>
    <row r="352" ht="15.75" customHeight="1" s="9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</row>
    <row r="353" ht="15.75" customHeight="1" s="9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</row>
    <row r="354" ht="15.75" customHeight="1" s="9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</row>
    <row r="355" ht="15.75" customHeight="1" s="9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</row>
    <row r="356" ht="15.75" customHeight="1" s="9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</row>
    <row r="357" ht="15.75" customHeight="1" s="9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</row>
    <row r="358" ht="15.75" customHeight="1" s="9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</row>
    <row r="359" ht="15.75" customHeight="1" s="9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</row>
    <row r="360" ht="15.75" customHeight="1" s="9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</row>
    <row r="361" ht="15.75" customHeight="1" s="9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</row>
    <row r="362" ht="15.75" customHeight="1" s="9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</row>
    <row r="363" ht="15.75" customHeight="1" s="9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</row>
    <row r="364" ht="15.75" customHeight="1" s="9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</row>
    <row r="365" ht="15.75" customHeight="1" s="9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</row>
    <row r="366" ht="15.75" customHeight="1" s="9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</row>
    <row r="367" ht="15.75" customHeight="1" s="9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</row>
    <row r="368" ht="15.75" customHeight="1" s="9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</row>
    <row r="369" ht="15.75" customHeight="1" s="9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</row>
    <row r="370" ht="15.75" customHeight="1" s="9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</row>
    <row r="371" ht="15.75" customHeight="1" s="9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</row>
    <row r="372" ht="15.75" customHeight="1" s="9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</row>
    <row r="373" ht="15.75" customHeight="1" s="9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</row>
    <row r="374" ht="15.75" customHeight="1" s="9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</row>
    <row r="375" ht="15.75" customHeight="1" s="9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</row>
    <row r="376" ht="15.75" customHeight="1" s="9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</row>
    <row r="377" ht="15.75" customHeight="1" s="9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</row>
    <row r="378" ht="15.75" customHeight="1" s="9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</row>
    <row r="379" ht="15.75" customHeight="1" s="9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</row>
    <row r="380" ht="15.75" customHeight="1" s="9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</row>
    <row r="381" ht="15.75" customHeight="1" s="9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</row>
    <row r="382" ht="15.75" customHeight="1" s="9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</row>
    <row r="383" ht="15.75" customHeight="1" s="9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</row>
    <row r="384" ht="15.75" customHeight="1" s="9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</row>
    <row r="385" ht="15.75" customHeight="1" s="9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</row>
    <row r="386" ht="15.75" customHeight="1" s="9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</row>
    <row r="387" ht="15.75" customHeight="1" s="9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</row>
    <row r="388" ht="15.75" customHeight="1" s="9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</row>
    <row r="389" ht="15.75" customHeight="1" s="9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</row>
    <row r="390" ht="15.75" customHeight="1" s="9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</row>
    <row r="391" ht="15.75" customHeight="1" s="9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</row>
    <row r="392" ht="15.75" customHeight="1" s="9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</row>
    <row r="393" ht="15.75" customHeight="1" s="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</row>
    <row r="394" ht="15.75" customHeight="1" s="9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</row>
    <row r="395" ht="15.75" customHeight="1" s="9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</row>
    <row r="396" ht="15.75" customHeight="1" s="9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</row>
    <row r="397" ht="15.75" customHeight="1" s="9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</row>
    <row r="398" ht="15.75" customHeight="1" s="9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</row>
    <row r="399" ht="15.75" customHeight="1" s="9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</row>
    <row r="400" ht="15.75" customHeight="1" s="9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</row>
    <row r="401" ht="15.75" customHeight="1" s="9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</row>
    <row r="402" ht="15.75" customHeight="1" s="9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</row>
    <row r="403" ht="15.75" customHeight="1" s="9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</row>
    <row r="404" ht="15.75" customHeight="1" s="9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</row>
    <row r="405" ht="15.75" customHeight="1" s="9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</row>
    <row r="406" ht="15.75" customHeight="1" s="9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</row>
    <row r="407" ht="15.75" customHeight="1" s="9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</row>
    <row r="408" ht="15.75" customHeight="1" s="9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</row>
    <row r="409" ht="15.75" customHeight="1" s="9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</row>
    <row r="410" ht="15.75" customHeight="1" s="9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</row>
    <row r="411" ht="15.75" customHeight="1" s="9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</row>
    <row r="412" ht="15.75" customHeight="1" s="9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</row>
    <row r="413" ht="15.75" customHeight="1" s="9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</row>
    <row r="414" ht="15.75" customHeight="1" s="9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</row>
    <row r="415" ht="15.75" customHeight="1" s="9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</row>
    <row r="416" ht="15.75" customHeight="1" s="9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</row>
    <row r="417" ht="15.75" customHeight="1" s="9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</row>
    <row r="418" ht="15.75" customHeight="1" s="9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</row>
    <row r="419" ht="15.75" customHeight="1" s="9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</row>
    <row r="420" ht="15.75" customHeight="1" s="9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</row>
    <row r="421" ht="15.75" customHeight="1" s="9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</row>
    <row r="422" ht="15.75" customHeight="1" s="9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</row>
    <row r="423" ht="15.75" customHeight="1" s="9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</row>
    <row r="424" ht="15.75" customHeight="1" s="9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</row>
    <row r="425" ht="15.75" customHeight="1" s="9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</row>
    <row r="426" ht="15.75" customHeight="1" s="9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</row>
    <row r="427" ht="15.75" customHeight="1" s="9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</row>
    <row r="428" ht="15.75" customHeight="1" s="9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</row>
    <row r="429" ht="15.75" customHeight="1" s="9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</row>
    <row r="430" ht="15.75" customHeight="1" s="9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</row>
    <row r="431" ht="15.75" customHeight="1" s="9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</row>
    <row r="432" ht="15.75" customHeight="1" s="9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</row>
    <row r="433" ht="15.75" customHeight="1" s="9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</row>
    <row r="434" ht="15.75" customHeight="1" s="9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</row>
    <row r="435" ht="15.75" customHeight="1" s="9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</row>
    <row r="436" ht="15.75" customHeight="1" s="9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</row>
    <row r="437" ht="15.75" customHeight="1" s="9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</row>
    <row r="438" ht="15.75" customHeight="1" s="9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</row>
    <row r="439" ht="15.75" customHeight="1" s="9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</row>
    <row r="440" ht="15.75" customHeight="1" s="9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</row>
    <row r="441" ht="15.75" customHeight="1" s="9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</row>
    <row r="442" ht="15.75" customHeight="1" s="9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</row>
    <row r="443" ht="15.75" customHeight="1" s="9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</row>
    <row r="444" ht="15.75" customHeight="1" s="9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</row>
    <row r="445" ht="15.75" customHeight="1" s="9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</row>
    <row r="446" ht="15.75" customHeight="1" s="9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</row>
    <row r="447" ht="15.75" customHeight="1" s="9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</row>
    <row r="448" ht="15.75" customHeight="1" s="9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</row>
    <row r="449" ht="15.75" customHeight="1" s="9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</row>
    <row r="450" ht="15.75" customHeight="1" s="9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</row>
    <row r="451" ht="15.75" customHeight="1" s="9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</row>
    <row r="452" ht="15.75" customHeight="1" s="9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</row>
    <row r="453" ht="15.75" customHeight="1" s="9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</row>
    <row r="454" ht="15.75" customHeight="1" s="9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</row>
    <row r="455" ht="15.75" customHeight="1" s="9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</row>
    <row r="456" ht="15.75" customHeight="1" s="9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</row>
    <row r="457" ht="15.75" customHeight="1" s="9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</row>
    <row r="458" ht="15.75" customHeight="1" s="9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</row>
    <row r="459" ht="15.75" customHeight="1" s="9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</row>
    <row r="460" ht="15.75" customHeight="1" s="9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</row>
    <row r="461" ht="15.75" customHeight="1" s="9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</row>
    <row r="462" ht="15.75" customHeight="1" s="9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</row>
    <row r="463" ht="15.75" customHeight="1" s="9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</row>
    <row r="464" ht="15.75" customHeight="1" s="9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</row>
    <row r="465" ht="15.75" customHeight="1" s="9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</row>
    <row r="466" ht="15.75" customHeight="1" s="9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</row>
    <row r="467" ht="15.75" customHeight="1" s="9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</row>
    <row r="468" ht="15.75" customHeight="1" s="9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</row>
    <row r="469" ht="15.75" customHeight="1" s="9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</row>
    <row r="470" ht="15.75" customHeight="1" s="9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</row>
    <row r="471" ht="15.75" customHeight="1" s="9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</row>
    <row r="472" ht="15.75" customHeight="1" s="9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</row>
    <row r="473" ht="15.75" customHeight="1" s="9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</row>
    <row r="474" ht="15.75" customHeight="1" s="9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</row>
    <row r="475" ht="15.75" customHeight="1" s="9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</row>
    <row r="476" ht="15.75" customHeight="1" s="9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</row>
    <row r="477" ht="15.75" customHeight="1" s="9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</row>
    <row r="478" ht="15.75" customHeight="1" s="9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</row>
    <row r="479" ht="15.75" customHeight="1" s="9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</row>
    <row r="480" ht="15.75" customHeight="1" s="9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</row>
    <row r="481" ht="15.75" customHeight="1" s="9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</row>
    <row r="482" ht="15.75" customHeight="1" s="9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</row>
    <row r="483" ht="15.75" customHeight="1" s="9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</row>
    <row r="484" ht="15.75" customHeight="1" s="9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</row>
    <row r="485" ht="15.75" customHeight="1" s="9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</row>
    <row r="486" ht="15.75" customHeight="1" s="9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</row>
    <row r="487" ht="15.75" customHeight="1" s="9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</row>
    <row r="488" ht="15.75" customHeight="1" s="9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</row>
    <row r="489" ht="15.75" customHeight="1" s="9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</row>
    <row r="490" ht="15.75" customHeight="1" s="9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</row>
    <row r="491" ht="15.75" customHeight="1" s="9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</row>
    <row r="492" ht="15.75" customHeight="1" s="9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</row>
    <row r="493" ht="15.75" customHeight="1" s="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</row>
    <row r="494" ht="15.75" customHeight="1" s="9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</row>
    <row r="495" ht="15.75" customHeight="1" s="9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</row>
    <row r="496" ht="15.75" customHeight="1" s="9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</row>
    <row r="497" ht="15.75" customHeight="1" s="9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</row>
    <row r="498" ht="15.75" customHeight="1" s="9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</row>
    <row r="499" ht="15.75" customHeight="1" s="9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</row>
    <row r="500" ht="15.75" customHeight="1" s="9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</row>
    <row r="501" ht="15.75" customHeight="1" s="9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</row>
    <row r="502" ht="15.75" customHeight="1" s="9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</row>
    <row r="503" ht="15.75" customHeight="1" s="9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</row>
    <row r="504" ht="15.75" customHeight="1" s="9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</row>
    <row r="505" ht="15.75" customHeight="1" s="9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</row>
    <row r="506" ht="15.75" customHeight="1" s="9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</row>
    <row r="507" ht="15.75" customHeight="1" s="9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</row>
    <row r="508" ht="15.75" customHeight="1" s="9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</row>
    <row r="509" ht="15.75" customHeight="1" s="9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</row>
    <row r="510" ht="15.75" customHeight="1" s="9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</row>
    <row r="511" ht="15.75" customHeight="1" s="9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</row>
    <row r="512" ht="15.75" customHeight="1" s="9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</row>
    <row r="513" ht="15.75" customHeight="1" s="9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</row>
    <row r="514" ht="15.75" customHeight="1" s="9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</row>
    <row r="515" ht="15.75" customHeight="1" s="9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</row>
    <row r="516" ht="15.75" customHeight="1" s="9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</row>
    <row r="517" ht="15.75" customHeight="1" s="9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</row>
    <row r="518" ht="15.75" customHeight="1" s="9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</row>
    <row r="519" ht="15.75" customHeight="1" s="9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</row>
    <row r="520" ht="15.75" customHeight="1" s="9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</row>
    <row r="521" ht="15.75" customHeight="1" s="9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</row>
    <row r="522" ht="15.75" customHeight="1" s="9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</row>
    <row r="523" ht="15.75" customHeight="1" s="9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</row>
    <row r="524" ht="15.75" customHeight="1" s="9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</row>
    <row r="525" ht="15.75" customHeight="1" s="9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</row>
    <row r="526" ht="15.75" customHeight="1" s="9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</row>
    <row r="527" ht="15.75" customHeight="1" s="9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</row>
    <row r="528" ht="15.75" customHeight="1" s="9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</row>
    <row r="529" ht="15.75" customHeight="1" s="9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</row>
    <row r="530" ht="15.75" customHeight="1" s="9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</row>
    <row r="531" ht="15.75" customHeight="1" s="9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</row>
    <row r="532" ht="15.75" customHeight="1" s="9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</row>
    <row r="533" ht="15.75" customHeight="1" s="9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</row>
    <row r="534" ht="15.75" customHeight="1" s="9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</row>
    <row r="535" ht="15.75" customHeight="1" s="9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</row>
    <row r="536" ht="15.75" customHeight="1" s="9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</row>
    <row r="537" ht="15.75" customHeight="1" s="9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</row>
    <row r="538" ht="15.75" customHeight="1" s="9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</row>
    <row r="539" ht="15.75" customHeight="1" s="9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</row>
    <row r="540" ht="15.75" customHeight="1" s="9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</row>
    <row r="541" ht="15.75" customHeight="1" s="9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</row>
    <row r="542" ht="15.75" customHeight="1" s="9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</row>
    <row r="543" ht="15.75" customHeight="1" s="9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</row>
    <row r="544" ht="15.75" customHeight="1" s="9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</row>
    <row r="545" ht="15.75" customHeight="1" s="9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</row>
    <row r="546" ht="15.75" customHeight="1" s="9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</row>
    <row r="547" ht="15.75" customHeight="1" s="9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</row>
    <row r="548" ht="15.75" customHeight="1" s="9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</row>
    <row r="549" ht="15.75" customHeight="1" s="9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</row>
    <row r="550" ht="15.75" customHeight="1" s="9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</row>
    <row r="551" ht="15.75" customHeight="1" s="9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</row>
    <row r="552" ht="15.75" customHeight="1" s="9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</row>
    <row r="553" ht="15.75" customHeight="1" s="9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</row>
    <row r="554" ht="15.75" customHeight="1" s="9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</row>
    <row r="555" ht="15.75" customHeight="1" s="9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</row>
    <row r="556" ht="15.75" customHeight="1" s="9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</row>
    <row r="557" ht="15.75" customHeight="1" s="9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</row>
    <row r="558" ht="15.75" customHeight="1" s="9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</row>
    <row r="559" ht="15.75" customHeight="1" s="9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</row>
    <row r="560" ht="15.75" customHeight="1" s="9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</row>
    <row r="561" ht="15.75" customHeight="1" s="9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</row>
    <row r="562" ht="15.75" customHeight="1" s="9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</row>
    <row r="563" ht="15.75" customHeight="1" s="9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</row>
    <row r="564" ht="15.75" customHeight="1" s="9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</row>
    <row r="565" ht="15.75" customHeight="1" s="9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</row>
    <row r="566" ht="15.75" customHeight="1" s="9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</row>
    <row r="567" ht="15.75" customHeight="1" s="9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</row>
    <row r="568" ht="15.75" customHeight="1" s="9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</row>
    <row r="569" ht="15.75" customHeight="1" s="9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</row>
    <row r="570" ht="15.75" customHeight="1" s="9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</row>
    <row r="571" ht="15.75" customHeight="1" s="9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</row>
    <row r="572" ht="15.75" customHeight="1" s="9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</row>
    <row r="573" ht="15.75" customHeight="1" s="9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</row>
    <row r="574" ht="15.75" customHeight="1" s="9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</row>
    <row r="575" ht="15.75" customHeight="1" s="9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</row>
    <row r="576" ht="15.75" customHeight="1" s="9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</row>
    <row r="577" ht="15.75" customHeight="1" s="9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</row>
    <row r="578" ht="15.75" customHeight="1" s="9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</row>
    <row r="579" ht="15.75" customHeight="1" s="9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</row>
    <row r="580" ht="15.75" customHeight="1" s="9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</row>
    <row r="581" ht="15.75" customHeight="1" s="9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</row>
    <row r="582" ht="15.75" customHeight="1" s="9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</row>
    <row r="583" ht="15.75" customHeight="1" s="9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</row>
    <row r="584" ht="15.75" customHeight="1" s="9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</row>
    <row r="585" ht="15.75" customHeight="1" s="9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</row>
    <row r="586" ht="15.75" customHeight="1" s="9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</row>
    <row r="587" ht="15.75" customHeight="1" s="9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</row>
    <row r="588" ht="15.75" customHeight="1" s="9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</row>
    <row r="589" ht="15.75" customHeight="1" s="9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</row>
    <row r="590" ht="15.75" customHeight="1" s="9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</row>
    <row r="591" ht="15.75" customHeight="1" s="9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</row>
    <row r="592" ht="15.75" customHeight="1" s="9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</row>
    <row r="593" ht="15.75" customHeight="1" s="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</row>
    <row r="594" ht="15.75" customHeight="1" s="9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</row>
    <row r="595" ht="15.75" customHeight="1" s="9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</row>
    <row r="596" ht="15.75" customHeight="1" s="9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</row>
    <row r="597" ht="15.75" customHeight="1" s="9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</row>
    <row r="598" ht="15.75" customHeight="1" s="9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</row>
    <row r="599" ht="15.75" customHeight="1" s="9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</row>
    <row r="600" ht="15.75" customHeight="1" s="9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</row>
    <row r="601" ht="15.75" customHeight="1" s="9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</row>
    <row r="602" ht="15.75" customHeight="1" s="9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</row>
    <row r="603" ht="15.75" customHeight="1" s="9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</row>
    <row r="604" ht="15.75" customHeight="1" s="9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</row>
    <row r="605" ht="15.75" customHeight="1" s="9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</row>
    <row r="606" ht="15.75" customHeight="1" s="9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</row>
    <row r="607" ht="15.75" customHeight="1" s="9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</row>
    <row r="608" ht="15.75" customHeight="1" s="9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</row>
    <row r="609" ht="15.75" customHeight="1" s="9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</row>
    <row r="610" ht="15.75" customHeight="1" s="9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</row>
    <row r="611" ht="15.75" customHeight="1" s="9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</row>
    <row r="612" ht="15.75" customHeight="1" s="9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</row>
    <row r="613" ht="15.75" customHeight="1" s="9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</row>
    <row r="614" ht="15.75" customHeight="1" s="9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</row>
    <row r="615" ht="15.75" customHeight="1" s="9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</row>
    <row r="616" ht="15.75" customHeight="1" s="9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</row>
    <row r="617" ht="15.75" customHeight="1" s="9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</row>
    <row r="618" ht="15.75" customHeight="1" s="9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</row>
    <row r="619" ht="15.75" customHeight="1" s="9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</row>
    <row r="620" ht="15.75" customHeight="1" s="9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</row>
    <row r="621" ht="15.75" customHeight="1" s="9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</row>
    <row r="622" ht="15.75" customHeight="1" s="9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</row>
    <row r="623" ht="15.75" customHeight="1" s="9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</row>
    <row r="624" ht="15.75" customHeight="1" s="9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</row>
    <row r="625" ht="15.75" customHeight="1" s="9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</row>
    <row r="626" ht="15.75" customHeight="1" s="9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</row>
    <row r="627" ht="15.75" customHeight="1" s="9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</row>
    <row r="628" ht="15.75" customHeight="1" s="9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</row>
    <row r="629" ht="15.75" customHeight="1" s="9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</row>
    <row r="630" ht="15.75" customHeight="1" s="9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</row>
    <row r="631" ht="15.75" customHeight="1" s="9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</row>
    <row r="632" ht="15.75" customHeight="1" s="9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</row>
    <row r="633" ht="15.75" customHeight="1" s="9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</row>
    <row r="634" ht="15.75" customHeight="1" s="9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</row>
    <row r="635" ht="15.75" customHeight="1" s="9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</row>
    <row r="636" ht="15.75" customHeight="1" s="9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</row>
    <row r="637" ht="15.75" customHeight="1" s="9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</row>
    <row r="638" ht="15.75" customHeight="1" s="9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</row>
    <row r="639" ht="15.75" customHeight="1" s="9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</row>
    <row r="640" ht="15.75" customHeight="1" s="9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</row>
    <row r="641" ht="15.75" customHeight="1" s="9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</row>
    <row r="642" ht="15.75" customHeight="1" s="9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</row>
    <row r="643" ht="15.75" customHeight="1" s="9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</row>
    <row r="644" ht="15.75" customHeight="1" s="9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</row>
    <row r="645" ht="15.75" customHeight="1" s="9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</row>
    <row r="646" ht="15.75" customHeight="1" s="9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</row>
    <row r="647" ht="15.75" customHeight="1" s="9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</row>
    <row r="648" ht="15.75" customHeight="1" s="9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</row>
    <row r="649" ht="15.75" customHeight="1" s="9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</row>
    <row r="650" ht="15.75" customHeight="1" s="9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</row>
    <row r="651" ht="15.75" customHeight="1" s="9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</row>
    <row r="652" ht="15.75" customHeight="1" s="9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</row>
    <row r="653" ht="15.75" customHeight="1" s="9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</row>
    <row r="654" ht="15.75" customHeight="1" s="9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</row>
    <row r="655" ht="15.75" customHeight="1" s="9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</row>
    <row r="656" ht="15.75" customHeight="1" s="9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</row>
    <row r="657" ht="15.75" customHeight="1" s="9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</row>
    <row r="658" ht="15.75" customHeight="1" s="9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</row>
    <row r="659" ht="15.75" customHeight="1" s="9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</row>
    <row r="660" ht="15.75" customHeight="1" s="9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</row>
    <row r="661" ht="15.75" customHeight="1" s="9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</row>
    <row r="662" ht="15.75" customHeight="1" s="9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</row>
    <row r="663" ht="15.75" customHeight="1" s="9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</row>
    <row r="664" ht="15.75" customHeight="1" s="9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</row>
    <row r="665" ht="15.75" customHeight="1" s="9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</row>
    <row r="666" ht="15.75" customHeight="1" s="9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</row>
    <row r="667" ht="15.75" customHeight="1" s="9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</row>
    <row r="668" ht="15.75" customHeight="1" s="9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</row>
    <row r="669" ht="15.75" customHeight="1" s="9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</row>
    <row r="670" ht="15.75" customHeight="1" s="9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</row>
    <row r="671" ht="15.75" customHeight="1" s="9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</row>
    <row r="672" ht="15.75" customHeight="1" s="9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</row>
    <row r="673" ht="15.75" customHeight="1" s="9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</row>
    <row r="674" ht="15.75" customHeight="1" s="9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</row>
    <row r="675" ht="15.75" customHeight="1" s="9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</row>
    <row r="676" ht="15.75" customHeight="1" s="9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</row>
    <row r="677" ht="15.75" customHeight="1" s="9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</row>
    <row r="678" ht="15.75" customHeight="1" s="9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</row>
    <row r="679" ht="15.75" customHeight="1" s="9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</row>
    <row r="680" ht="15.75" customHeight="1" s="9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</row>
    <row r="681" ht="15.75" customHeight="1" s="9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</row>
    <row r="682" ht="15.75" customHeight="1" s="9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</row>
    <row r="683" ht="15.75" customHeight="1" s="9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</row>
    <row r="684" ht="15.75" customHeight="1" s="9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</row>
    <row r="685" ht="15.75" customHeight="1" s="9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</row>
    <row r="686" ht="15.75" customHeight="1" s="9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</row>
    <row r="687" ht="15.75" customHeight="1" s="9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</row>
    <row r="688" ht="15.75" customHeight="1" s="9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</row>
    <row r="689" ht="15.75" customHeight="1" s="9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</row>
    <row r="690" ht="15.75" customHeight="1" s="9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</row>
    <row r="691" ht="15.75" customHeight="1" s="9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</row>
    <row r="692" ht="15.75" customHeight="1" s="9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</row>
    <row r="693" ht="15.75" customHeight="1" s="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</row>
    <row r="694" ht="15.75" customHeight="1" s="9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</row>
    <row r="695" ht="15.75" customHeight="1" s="9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</row>
    <row r="696" ht="15.75" customHeight="1" s="9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</row>
    <row r="697" ht="15.75" customHeight="1" s="9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</row>
    <row r="698" ht="15.75" customHeight="1" s="9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</row>
    <row r="699" ht="15.75" customHeight="1" s="9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</row>
    <row r="700" ht="15.75" customHeight="1" s="9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</row>
    <row r="701" ht="15.75" customHeight="1" s="9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</row>
    <row r="702" ht="15.75" customHeight="1" s="9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</row>
    <row r="703" ht="15.75" customHeight="1" s="9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</row>
    <row r="704" ht="15.75" customHeight="1" s="9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</row>
    <row r="705" ht="15.75" customHeight="1" s="9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</row>
    <row r="706" ht="15.75" customHeight="1" s="9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</row>
    <row r="707" ht="15.75" customHeight="1" s="9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</row>
    <row r="708" ht="15.75" customHeight="1" s="9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</row>
    <row r="709" ht="15.75" customHeight="1" s="9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</row>
    <row r="710" ht="15.75" customHeight="1" s="9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</row>
    <row r="711" ht="15.75" customHeight="1" s="9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</row>
    <row r="712" ht="15.75" customHeight="1" s="9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</row>
    <row r="713" ht="15.75" customHeight="1" s="9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</row>
    <row r="714" ht="15.75" customHeight="1" s="9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</row>
    <row r="715" ht="15.75" customHeight="1" s="9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</row>
    <row r="716" ht="15.75" customHeight="1" s="9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</row>
    <row r="717" ht="15.75" customHeight="1" s="9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</row>
    <row r="718" ht="15.75" customHeight="1" s="9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</row>
    <row r="719" ht="15.75" customHeight="1" s="9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</row>
    <row r="720" ht="15.75" customHeight="1" s="9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</row>
    <row r="721" ht="15.75" customHeight="1" s="9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</row>
    <row r="722" ht="15.75" customHeight="1" s="9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</row>
    <row r="723" ht="15.75" customHeight="1" s="9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</row>
    <row r="724" ht="15.75" customHeight="1" s="9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</row>
    <row r="725" ht="15.75" customHeight="1" s="9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</row>
    <row r="726" ht="15.75" customHeight="1" s="9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</row>
    <row r="727" ht="15.75" customHeight="1" s="9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</row>
    <row r="728" ht="15.75" customHeight="1" s="9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</row>
    <row r="729" ht="15.75" customHeight="1" s="9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</row>
    <row r="730" ht="15.75" customHeight="1" s="9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</row>
    <row r="731" ht="15.75" customHeight="1" s="9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</row>
    <row r="732" ht="15.75" customHeight="1" s="9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</row>
    <row r="733" ht="15.75" customHeight="1" s="9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</row>
    <row r="734" ht="15.75" customHeight="1" s="9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</row>
    <row r="735" ht="15.75" customHeight="1" s="9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</row>
    <row r="736" ht="15.75" customHeight="1" s="9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</row>
    <row r="737" ht="15.75" customHeight="1" s="9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</row>
    <row r="738" ht="15.75" customHeight="1" s="9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</row>
    <row r="739" ht="15.75" customHeight="1" s="9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</row>
    <row r="740" ht="15.75" customHeight="1" s="9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</row>
    <row r="741" ht="15.75" customHeight="1" s="9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</row>
    <row r="742" ht="15.75" customHeight="1" s="9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</row>
    <row r="743" ht="15.75" customHeight="1" s="9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</row>
    <row r="744" ht="15.75" customHeight="1" s="9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</row>
    <row r="745" ht="15.75" customHeight="1" s="9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</row>
    <row r="746" ht="15.75" customHeight="1" s="9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</row>
    <row r="747" ht="15.75" customHeight="1" s="9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</row>
    <row r="748" ht="15.75" customHeight="1" s="9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</row>
    <row r="749" ht="15.75" customHeight="1" s="9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</row>
    <row r="750" ht="15.75" customHeight="1" s="9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</row>
    <row r="751" ht="15.75" customHeight="1" s="9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</row>
    <row r="752" ht="15.75" customHeight="1" s="9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</row>
    <row r="753" ht="15.75" customHeight="1" s="9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</row>
    <row r="754" ht="15.75" customHeight="1" s="9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</row>
    <row r="755" ht="15.75" customHeight="1" s="9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</row>
    <row r="756" ht="15.75" customHeight="1" s="9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</row>
    <row r="757" ht="15.75" customHeight="1" s="9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</row>
    <row r="758" ht="15.75" customHeight="1" s="9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</row>
    <row r="759" ht="15.75" customHeight="1" s="9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</row>
    <row r="760" ht="15.75" customHeight="1" s="9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</row>
    <row r="761" ht="15.75" customHeight="1" s="9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</row>
    <row r="762" ht="15.75" customHeight="1" s="9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</row>
    <row r="763" ht="15.75" customHeight="1" s="9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</row>
    <row r="764" ht="15.75" customHeight="1" s="9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</row>
    <row r="765" ht="15.75" customHeight="1" s="9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</row>
    <row r="766" ht="15.75" customHeight="1" s="9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</row>
    <row r="767" ht="15.75" customHeight="1" s="9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</row>
    <row r="768" ht="15.75" customHeight="1" s="9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</row>
    <row r="769" ht="15.75" customHeight="1" s="9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</row>
    <row r="770" ht="15.75" customHeight="1" s="9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</row>
    <row r="771" ht="15.75" customHeight="1" s="9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</row>
    <row r="772" ht="15.75" customHeight="1" s="9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</row>
    <row r="773" ht="15.75" customHeight="1" s="9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</row>
    <row r="774" ht="15.75" customHeight="1" s="9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</row>
    <row r="775" ht="15.75" customHeight="1" s="9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</row>
    <row r="776" ht="15.75" customHeight="1" s="9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</row>
    <row r="777" ht="15.75" customHeight="1" s="9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</row>
    <row r="778" ht="15.75" customHeight="1" s="9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</row>
    <row r="779" ht="15.75" customHeight="1" s="9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</row>
    <row r="780" ht="15.75" customHeight="1" s="9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</row>
    <row r="781" ht="15.75" customHeight="1" s="9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</row>
    <row r="782" ht="15.75" customHeight="1" s="9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</row>
    <row r="783" ht="15.75" customHeight="1" s="9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</row>
    <row r="784" ht="15.75" customHeight="1" s="9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</row>
    <row r="785" ht="15.75" customHeight="1" s="9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</row>
    <row r="786" ht="15.75" customHeight="1" s="9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</row>
    <row r="787" ht="15.75" customHeight="1" s="9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</row>
    <row r="788" ht="15.75" customHeight="1" s="9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</row>
    <row r="789" ht="15.75" customHeight="1" s="9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</row>
    <row r="790" ht="15.75" customHeight="1" s="9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</row>
    <row r="791" ht="15.75" customHeight="1" s="9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</row>
    <row r="792" ht="15.75" customHeight="1" s="9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</row>
    <row r="793" ht="15.75" customHeight="1" s="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</row>
    <row r="794" ht="15.75" customHeight="1" s="9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</row>
    <row r="795" ht="15.75" customHeight="1" s="9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</row>
    <row r="796" ht="15.75" customHeight="1" s="9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</row>
    <row r="797" ht="15.75" customHeight="1" s="9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</row>
    <row r="798" ht="15.75" customHeight="1" s="9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</row>
    <row r="799" ht="15.75" customHeight="1" s="9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</row>
    <row r="800" ht="15.75" customHeight="1" s="9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</row>
    <row r="801" ht="15.75" customHeight="1" s="9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</row>
    <row r="802" ht="15.75" customHeight="1" s="9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</row>
    <row r="803" ht="15.75" customHeight="1" s="9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</row>
    <row r="804" ht="15.75" customHeight="1" s="9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</row>
    <row r="805" ht="15.75" customHeight="1" s="9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</row>
    <row r="806" ht="15.75" customHeight="1" s="9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</row>
    <row r="807" ht="15.75" customHeight="1" s="9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</row>
    <row r="808" ht="15.75" customHeight="1" s="9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</row>
    <row r="809" ht="15.75" customHeight="1" s="9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</row>
    <row r="810" ht="15.75" customHeight="1" s="9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</row>
    <row r="811" ht="15.75" customHeight="1" s="9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</row>
    <row r="812" ht="15.75" customHeight="1" s="9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</row>
    <row r="813" ht="15.75" customHeight="1" s="9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</row>
    <row r="814" ht="15.75" customHeight="1" s="9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</row>
    <row r="815" ht="15.75" customHeight="1" s="9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</row>
    <row r="816" ht="15.75" customHeight="1" s="9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</row>
    <row r="817" ht="15.75" customHeight="1" s="9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</row>
    <row r="818" ht="15.75" customHeight="1" s="9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</row>
    <row r="819" ht="15.75" customHeight="1" s="9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</row>
    <row r="820" ht="15.75" customHeight="1" s="9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</row>
    <row r="821" ht="15.75" customHeight="1" s="9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</row>
    <row r="822" ht="15.75" customHeight="1" s="9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</row>
    <row r="823" ht="15.75" customHeight="1" s="9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</row>
    <row r="824" ht="15.75" customHeight="1" s="9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</row>
    <row r="825" ht="15.75" customHeight="1" s="9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</row>
    <row r="826" ht="15.75" customHeight="1" s="9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</row>
    <row r="827" ht="15.75" customHeight="1" s="9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</row>
    <row r="828" ht="15.75" customHeight="1" s="9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</row>
    <row r="829" ht="15.75" customHeight="1" s="9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</row>
    <row r="830" ht="15.75" customHeight="1" s="9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</row>
    <row r="831" ht="15.75" customHeight="1" s="9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</row>
    <row r="832" ht="15.75" customHeight="1" s="9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</row>
    <row r="833" ht="15.75" customHeight="1" s="9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</row>
    <row r="834" ht="15.75" customHeight="1" s="9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</row>
    <row r="835" ht="15.75" customHeight="1" s="9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</row>
    <row r="836" ht="15.75" customHeight="1" s="9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</row>
    <row r="837" ht="15.75" customHeight="1" s="9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</row>
    <row r="838" ht="15.75" customHeight="1" s="9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</row>
    <row r="839" ht="15.75" customHeight="1" s="9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</row>
    <row r="840" ht="15.75" customHeight="1" s="9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</row>
    <row r="841" ht="15.75" customHeight="1" s="9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</row>
    <row r="842" ht="15.75" customHeight="1" s="9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</row>
    <row r="843" ht="15.75" customHeight="1" s="9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</row>
    <row r="844" ht="15.75" customHeight="1" s="9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</row>
    <row r="845" ht="15.75" customHeight="1" s="9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</row>
    <row r="846" ht="15.75" customHeight="1" s="9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</row>
    <row r="847" ht="15.75" customHeight="1" s="9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</row>
    <row r="848" ht="15.75" customHeight="1" s="9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</row>
    <row r="849" ht="15.75" customHeight="1" s="9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</row>
    <row r="850" ht="15.75" customHeight="1" s="9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</row>
    <row r="851" ht="15.75" customHeight="1" s="9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</row>
    <row r="852" ht="15.75" customHeight="1" s="9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</row>
    <row r="853" ht="15.75" customHeight="1" s="9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</row>
    <row r="854" ht="15.75" customHeight="1" s="9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</row>
    <row r="855" ht="15.75" customHeight="1" s="9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</row>
    <row r="856" ht="15.75" customHeight="1" s="9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</row>
    <row r="857" ht="15.75" customHeight="1" s="9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</row>
    <row r="858" ht="15.75" customHeight="1" s="9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</row>
    <row r="859" ht="15.75" customHeight="1" s="9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</row>
    <row r="860" ht="15.75" customHeight="1" s="9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</row>
    <row r="861" ht="15.75" customHeight="1" s="9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</row>
    <row r="862" ht="15.75" customHeight="1" s="9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</row>
    <row r="863" ht="15.75" customHeight="1" s="9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</row>
    <row r="864" ht="15.75" customHeight="1" s="9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</row>
    <row r="865" ht="15.75" customHeight="1" s="9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</row>
    <row r="866" ht="15.75" customHeight="1" s="9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</row>
    <row r="867" ht="15.75" customHeight="1" s="9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</row>
    <row r="868" ht="15.75" customHeight="1" s="9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</row>
    <row r="869" ht="15.75" customHeight="1" s="9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</row>
    <row r="870" ht="15.75" customHeight="1" s="9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</row>
    <row r="871" ht="15.75" customHeight="1" s="9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</row>
    <row r="872" ht="15.75" customHeight="1" s="9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</row>
    <row r="873" ht="15.75" customHeight="1" s="9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</row>
    <row r="874" ht="15.75" customHeight="1" s="9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</row>
    <row r="875" ht="15.75" customHeight="1" s="9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</row>
    <row r="876" ht="15.75" customHeight="1" s="9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</row>
    <row r="877" ht="15.75" customHeight="1" s="9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</row>
    <row r="878" ht="15.75" customHeight="1" s="9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</row>
    <row r="879" ht="15.75" customHeight="1" s="9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</row>
    <row r="880" ht="15.75" customHeight="1" s="9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</row>
    <row r="881" ht="15.75" customHeight="1" s="9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</row>
    <row r="882" ht="15.75" customHeight="1" s="9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</row>
    <row r="883" ht="15.75" customHeight="1" s="9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</row>
    <row r="884" ht="15.75" customHeight="1" s="9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</row>
    <row r="885" ht="15.75" customHeight="1" s="9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</row>
    <row r="886" ht="15.75" customHeight="1" s="9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</row>
    <row r="887" ht="15.75" customHeight="1" s="9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</row>
    <row r="888" ht="15.75" customHeight="1" s="9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</row>
    <row r="889" ht="15.75" customHeight="1" s="9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</row>
    <row r="890" ht="15.75" customHeight="1" s="9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</row>
    <row r="891" ht="15.75" customHeight="1" s="9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</row>
    <row r="892" ht="15.75" customHeight="1" s="9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</row>
    <row r="893" ht="15.75" customHeight="1" s="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</row>
    <row r="894" ht="15.75" customHeight="1" s="9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</row>
    <row r="895" ht="15.75" customHeight="1" s="9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</row>
    <row r="896" ht="15.75" customHeight="1" s="9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</row>
    <row r="897" ht="15.75" customHeight="1" s="9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</row>
    <row r="898" ht="15.75" customHeight="1" s="9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</row>
    <row r="899" ht="15.75" customHeight="1" s="9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</row>
    <row r="900" ht="15.75" customHeight="1" s="9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</row>
    <row r="901" ht="15.75" customHeight="1" s="9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</row>
    <row r="902" ht="15.75" customHeight="1" s="9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</row>
    <row r="903" ht="15.75" customHeight="1" s="9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</row>
    <row r="904" ht="15.75" customHeight="1" s="9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</row>
    <row r="905" ht="15.75" customHeight="1" s="9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</row>
    <row r="906" ht="15.75" customHeight="1" s="9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</row>
    <row r="907" ht="15.75" customHeight="1" s="9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</row>
    <row r="908" ht="15.75" customHeight="1" s="9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</row>
    <row r="909" ht="15.75" customHeight="1" s="9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</row>
    <row r="910" ht="15.75" customHeight="1" s="9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</row>
    <row r="911" ht="15.75" customHeight="1" s="9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</row>
    <row r="912" ht="15.75" customHeight="1" s="9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</row>
    <row r="913" ht="15.75" customHeight="1" s="9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</row>
    <row r="914" ht="15.75" customHeight="1" s="9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</row>
    <row r="915" ht="15.75" customHeight="1" s="9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</row>
    <row r="916" ht="15.75" customHeight="1" s="9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</row>
    <row r="917" ht="15.75" customHeight="1" s="9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</row>
    <row r="918" ht="15.75" customHeight="1" s="9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</row>
    <row r="919" ht="15.75" customHeight="1" s="9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</row>
    <row r="920" ht="15.75" customHeight="1" s="9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</row>
    <row r="921" ht="15.75" customHeight="1" s="9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</row>
    <row r="922" ht="15.75" customHeight="1" s="9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</row>
    <row r="923" ht="15.75" customHeight="1" s="9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</row>
    <row r="924" ht="15.75" customHeight="1" s="9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</row>
    <row r="925" ht="15.75" customHeight="1" s="9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</row>
    <row r="926" ht="15.75" customHeight="1" s="9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</row>
    <row r="927" ht="15.75" customHeight="1" s="9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</row>
    <row r="928" ht="15.75" customHeight="1" s="9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</row>
    <row r="929" ht="15.75" customHeight="1" s="9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</row>
    <row r="930" ht="15.75" customHeight="1" s="9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</row>
    <row r="931" ht="15.75" customHeight="1" s="9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</row>
    <row r="932" ht="15.75" customHeight="1" s="9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</row>
    <row r="933" ht="15.75" customHeight="1" s="9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</row>
    <row r="934" ht="15.75" customHeight="1" s="9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</row>
    <row r="935" ht="15.75" customHeight="1" s="9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</row>
    <row r="936" ht="15.75" customHeight="1" s="9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</row>
    <row r="937" ht="15.75" customHeight="1" s="9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</row>
    <row r="938" ht="15.75" customHeight="1" s="9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</row>
    <row r="939" ht="15.75" customHeight="1" s="9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</row>
    <row r="940" ht="15.75" customHeight="1" s="9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</row>
    <row r="941" ht="15.75" customHeight="1" s="9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</row>
    <row r="942" ht="15.75" customHeight="1" s="9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</row>
    <row r="943" ht="15.75" customHeight="1" s="9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</row>
    <row r="944" ht="15.75" customHeight="1" s="9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</row>
    <row r="945" ht="15.75" customHeight="1" s="9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</row>
    <row r="946" ht="15.75" customHeight="1" s="9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</row>
    <row r="947" ht="15.75" customHeight="1" s="9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</row>
    <row r="948" ht="15.75" customHeight="1" s="9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</row>
    <row r="949" ht="15.75" customHeight="1" s="9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</row>
    <row r="950" ht="15.75" customHeight="1" s="9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</row>
    <row r="951" ht="15.75" customHeight="1" s="9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</row>
    <row r="952" ht="15.75" customHeight="1" s="9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</row>
    <row r="953" ht="15.75" customHeight="1" s="9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</row>
    <row r="954" ht="15.75" customHeight="1" s="9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</row>
    <row r="955" ht="15.75" customHeight="1" s="9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</row>
    <row r="956" ht="15.75" customHeight="1" s="9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</row>
    <row r="957" ht="15.75" customHeight="1" s="9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</row>
    <row r="958" ht="15.75" customHeight="1" s="9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</row>
    <row r="959" ht="15.75" customHeight="1" s="9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</row>
    <row r="960" ht="15.75" customHeight="1" s="9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</row>
    <row r="961" ht="15.75" customHeight="1" s="9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</row>
    <row r="962" ht="15.75" customHeight="1" s="9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</row>
    <row r="963" ht="15.75" customHeight="1" s="9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</row>
    <row r="964" ht="15.75" customHeight="1" s="9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</row>
    <row r="965" ht="15.75" customHeight="1" s="9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</row>
    <row r="966" ht="15.75" customHeight="1" s="9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</row>
    <row r="967" ht="15.75" customHeight="1" s="9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</row>
    <row r="968" ht="15.75" customHeight="1" s="9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</row>
    <row r="969" ht="15.75" customHeight="1" s="9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</row>
    <row r="970" ht="15.75" customHeight="1" s="9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</row>
    <row r="971" ht="15.75" customHeight="1" s="9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</row>
    <row r="972" ht="15.75" customHeight="1" s="9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</row>
    <row r="973" ht="15.75" customHeight="1" s="9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</row>
    <row r="974" ht="15.75" customHeight="1" s="9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</row>
    <row r="975" ht="15.75" customHeight="1" s="9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</row>
    <row r="976" ht="15.75" customHeight="1" s="9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</row>
    <row r="977" ht="15.75" customHeight="1" s="9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</row>
    <row r="978" ht="15.75" customHeight="1" s="9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</row>
    <row r="979" ht="15.75" customHeight="1" s="9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</row>
    <row r="980" ht="15.75" customHeight="1" s="9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</row>
    <row r="981" ht="15.75" customHeight="1" s="9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</row>
    <row r="982" ht="15.75" customHeight="1" s="9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</row>
    <row r="983" ht="15.75" customHeight="1" s="9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</row>
    <row r="984" ht="15.75" customHeight="1" s="9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</row>
    <row r="985" ht="15.75" customHeight="1" s="9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</row>
    <row r="986" ht="15.75" customHeight="1" s="9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</row>
    <row r="987" ht="15.75" customHeight="1" s="9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</row>
    <row r="988" ht="15.75" customHeight="1" s="9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</row>
    <row r="989" ht="15.75" customHeight="1" s="9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</row>
    <row r="990" ht="15.75" customHeight="1" s="9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</row>
    <row r="991" ht="15.75" customHeight="1" s="9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</row>
    <row r="992" ht="15.75" customHeight="1" s="9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</row>
    <row r="993" ht="15.75" customHeight="1" s="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</row>
    <row r="994" ht="15.75" customHeight="1" s="9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</row>
    <row r="995" ht="15.75" customHeight="1" s="9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</row>
    <row r="996" ht="15.75" customHeight="1" s="9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</row>
    <row r="997" ht="15.75" customHeight="1" s="9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</row>
    <row r="998" ht="15.75" customHeight="1" s="9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</row>
    <row r="999" ht="15.75" customHeight="1" s="9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</row>
    <row r="1000" ht="15.75" customHeight="1" s="9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</row>
  </sheetData>
  <autoFilter ref="$A$5:$AP$15"/>
  <mergeCells count="7">
    <mergeCell ref="A4:H4"/>
    <mergeCell ref="N4:U4"/>
    <mergeCell ref="AC4:AJ4"/>
    <mergeCell ref="AK4:AN4"/>
    <mergeCell ref="I4:L4"/>
    <mergeCell ref="V4:AB4"/>
    <mergeCell ref="A1:AN1"/>
  </mergeCells>
  <conditionalFormatting sqref="U6:U1000">
    <cfRule type="cellIs" priority="1" operator="equal" dxfId="0">
      <formula>"FALTA"</formula>
    </cfRule>
  </conditionalFormatting>
  <conditionalFormatting sqref="AJ6:AJ1000">
    <cfRule type="cellIs" priority="2" operator="equal" dxfId="1">
      <formula>"abaixo"</formula>
    </cfRule>
    <cfRule type="cellIs" priority="3" operator="equal" dxfId="2">
      <formula>"acima"</formula>
    </cfRule>
  </conditionalFormatting>
  <conditionalFormatting sqref="AK6:AK1000">
    <cfRule type="cellIs" priority="4" operator="equal" dxfId="2">
      <formula>"divergente"</formula>
    </cfRule>
  </conditionalFormatting>
  <conditionalFormatting sqref="A6:AP15">
    <cfRule type="expression" priority="5" dxfId="3">
      <formula>AND($A6&lt;&gt;"",ISEVEN(ROW()))</formula>
    </cfRule>
    <cfRule type="expression" priority="6" dxfId="4">
      <formula>AND($A6&lt;&gt;"",$V6="")</formula>
    </cfRule>
    <cfRule type="expression" priority="7" dxfId="5">
      <formula>AND($A6&lt;&gt;"",$AK6="não")</formula>
    </cfRule>
  </conditionalFormatting>
  <dataValidations count="5">
    <dataValidation sqref="E6:E996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996" showDropDown="0" showInputMessage="0" showErrorMessage="0" allowBlank="1" type="list">
      <formula1>"active,draft,archived"</formula1>
    </dataValidation>
    <dataValidation sqref="U6:U996" showDropDown="0" showInputMessage="0" showErrorMessage="0" allowBlank="1" type="list">
      <formula1>"fornecedor,medido,pesquisado,FALTA"</formula1>
    </dataValidation>
    <dataValidation sqref="F6:F996" showDropDown="0" showInputMessage="0" showErrorMessage="0" allowBlank="1" type="list">
      <formula1>"SOHIPREN,AGRAL,GRECO,AGCO,ADG,LIVENZA"</formula1>
    </dataValidation>
    <dataValidation sqref="AK6:AK996" showDropDown="0" showInputMessage="0" showErrorMessage="0" allowBlank="1" type="list">
      <formula1>"sim,não,divergente"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20" customWidth="1" style="93" min="1" max="1"/>
    <col width="14" customWidth="1" style="93" min="2" max="2"/>
    <col width="29.43" customWidth="1" style="93" min="3" max="3"/>
    <col width="28.86" customWidth="1" style="93" min="4" max="4"/>
    <col width="24.71" customWidth="1" style="93" min="5" max="5"/>
    <col width="14" customWidth="1" style="93" min="6" max="6"/>
    <col width="28" customWidth="1" style="93" min="7" max="7"/>
    <col width="10" customWidth="1" style="93" min="8" max="8"/>
    <col width="18" customWidth="1" style="93" min="9" max="9"/>
    <col width="24" customWidth="1" style="93" min="10" max="10"/>
    <col width="72.86" customWidth="1" style="93" min="11" max="11"/>
    <col width="22" customWidth="1" style="93" min="12" max="12"/>
    <col width="10" customWidth="1" style="93" min="13" max="15"/>
    <col width="14" customWidth="1" style="93" min="16" max="16"/>
    <col width="12" customWidth="1" style="93" min="17" max="17"/>
    <col width="11" customWidth="1" style="93" min="18" max="19"/>
    <col width="14" customWidth="1" style="93" min="20" max="20"/>
    <col width="16" customWidth="1" style="93" min="21" max="22"/>
    <col width="18" customWidth="1" style="93" min="23" max="23"/>
    <col width="14" customWidth="1" style="93" min="24" max="25"/>
    <col width="16" customWidth="1" style="93" min="26" max="26"/>
    <col width="14" customWidth="1" style="93" min="27" max="27"/>
    <col width="16" customWidth="1" style="93" min="28" max="28"/>
    <col width="12" customWidth="1" style="93" min="29" max="29"/>
    <col width="14" customWidth="1" style="93" min="30" max="30"/>
    <col width="18" customWidth="1" style="93" min="31" max="36"/>
    <col width="20" customWidth="1" style="93" min="37" max="37"/>
    <col width="14" customWidth="1" style="93" min="38" max="38"/>
    <col width="18" customWidth="1" style="93" min="39" max="39"/>
    <col width="16" customWidth="1" style="93" min="40" max="40"/>
    <col width="18" customWidth="1" style="93" min="41" max="41"/>
    <col width="0.57" customWidth="1" style="93" min="42" max="42"/>
    <col width="55.86" customWidth="1" style="93" min="44" max="44"/>
  </cols>
  <sheetData>
    <row r="1" ht="30" customHeight="1" s="93">
      <c r="A1" s="5" t="inlineStr">
        <is>
          <t>Q</t>
        </is>
      </c>
      <c r="AR1" s="1" t="n"/>
    </row>
    <row r="2">
      <c r="A2" s="8" t="inlineStr">
        <is>
          <t>Total de SKUs:</t>
        </is>
      </c>
      <c r="B2" s="12">
        <f>COUNTA(A6:A100014)</f>
        <v/>
      </c>
      <c r="C2" s="1" t="n"/>
      <c r="D2" s="8" t="inlineStr">
        <is>
          <t>Faltando embalagem:</t>
        </is>
      </c>
      <c r="E2" s="13">
        <f>COUNTIF(W6:W100014,"FALTA")</f>
        <v/>
      </c>
      <c r="F2" s="1" t="n"/>
      <c r="G2" s="8" t="inlineStr">
        <is>
          <t>Cadastrados Shopify:</t>
        </is>
      </c>
      <c r="H2" s="12">
        <f>COUNTIF(AM6:AM100014,"sim")</f>
        <v/>
      </c>
      <c r="I2" s="1" t="n"/>
      <c r="J2" s="8" t="inlineStr">
        <is>
          <t>Divergentes:</t>
        </is>
      </c>
      <c r="K2" s="17">
        <f>COUNTIF(AM6:AM100014,"divergente")</f>
        <v/>
      </c>
      <c r="L2" s="1" t="n"/>
      <c r="M2" s="18" t="n"/>
      <c r="N2" s="18" t="n"/>
      <c r="O2" s="18" t="n"/>
      <c r="P2" s="18" t="n"/>
      <c r="Q2" s="18" t="n"/>
      <c r="R2" s="18" t="n"/>
      <c r="S2" s="18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R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8" t="n"/>
      <c r="N3" s="18" t="n"/>
      <c r="O3" s="18" t="n"/>
      <c r="P3" s="18" t="n"/>
      <c r="Q3" s="18" t="n"/>
      <c r="R3" s="18" t="n"/>
      <c r="S3" s="18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R3" s="1" t="n"/>
    </row>
    <row r="4" ht="21.75" customHeight="1" s="93">
      <c r="A4" s="20" t="inlineStr">
        <is>
          <t>IDENTIFICAÇÃO</t>
        </is>
      </c>
      <c r="B4" s="102" t="n"/>
      <c r="C4" s="102" t="n"/>
      <c r="D4" s="102" t="n"/>
      <c r="E4" s="102" t="n"/>
      <c r="F4" s="102" t="n"/>
      <c r="G4" s="102" t="n"/>
      <c r="H4" s="102" t="n"/>
      <c r="I4" s="20" t="inlineStr">
        <is>
          <t>APLICAÇÃO TÉCNICA</t>
        </is>
      </c>
      <c r="J4" s="102" t="n"/>
      <c r="K4" s="102" t="n"/>
      <c r="L4" s="102" t="n"/>
      <c r="M4" s="24" t="n"/>
      <c r="N4" s="24" t="n"/>
      <c r="O4" s="20" t="inlineStr">
        <is>
          <t>LOGÍSTICA E EMBALAGEM</t>
        </is>
      </c>
      <c r="P4" s="102" t="n"/>
      <c r="Q4" s="102" t="n"/>
      <c r="R4" s="102" t="n"/>
      <c r="S4" s="102" t="n"/>
      <c r="T4" s="102" t="n"/>
      <c r="U4" s="102" t="n"/>
      <c r="V4" s="102" t="n"/>
      <c r="W4" s="102" t="n"/>
      <c r="X4" s="20" t="inlineStr">
        <is>
          <t>CUSTO E PRECIFICAÇÃO</t>
        </is>
      </c>
      <c r="Y4" s="102" t="n"/>
      <c r="Z4" s="102" t="n"/>
      <c r="AA4" s="102" t="n"/>
      <c r="AB4" s="102" t="n"/>
      <c r="AC4" s="102" t="n"/>
      <c r="AD4" s="102" t="n"/>
      <c r="AE4" s="20" t="inlineStr">
        <is>
          <t>PESQUISA DE MERCADO</t>
        </is>
      </c>
      <c r="AF4" s="102" t="n"/>
      <c r="AG4" s="102" t="n"/>
      <c r="AH4" s="102" t="n"/>
      <c r="AI4" s="102" t="n"/>
      <c r="AJ4" s="102" t="n"/>
      <c r="AK4" s="102" t="n"/>
      <c r="AL4" s="102" t="n"/>
      <c r="AM4" s="20" t="inlineStr">
        <is>
          <t>WORKFLOW</t>
        </is>
      </c>
      <c r="AN4" s="102" t="n"/>
      <c r="AO4" s="102" t="n"/>
      <c r="AP4" s="102" t="n"/>
      <c r="AR4" s="1" t="n"/>
    </row>
    <row r="5" ht="33.75" customHeight="1" s="93">
      <c r="A5" s="25" t="inlineStr">
        <is>
          <t>SKU / Código</t>
        </is>
      </c>
      <c r="B5" s="25" t="inlineStr">
        <is>
          <t>Part Number</t>
        </is>
      </c>
      <c r="C5" s="25" t="inlineStr">
        <is>
          <t>Handle (Shopify)</t>
        </is>
      </c>
      <c r="D5" s="25" t="inlineStr">
        <is>
          <t>Title (PT-BR)</t>
        </is>
      </c>
      <c r="E5" s="25" t="inlineStr">
        <is>
          <t>Product Type</t>
        </is>
      </c>
      <c r="F5" s="25" t="inlineStr">
        <is>
          <t>Vendor (Fabricante)</t>
        </is>
      </c>
      <c r="G5" s="25" t="inlineStr">
        <is>
          <t>Tags (vírgula)</t>
        </is>
      </c>
      <c r="H5" s="25" t="inlineStr">
        <is>
          <t>Status</t>
        </is>
      </c>
      <c r="I5" s="25" t="inlineStr">
        <is>
          <t>Montadora compatível</t>
        </is>
      </c>
      <c r="J5" s="25" t="inlineStr">
        <is>
          <t>Equipamento / Modelo</t>
        </is>
      </c>
      <c r="K5" s="25" t="inlineStr">
        <is>
          <t>Função / Aplicação</t>
        </is>
      </c>
      <c r="L5" s="25" t="inlineStr">
        <is>
          <t>Códigos cruzados</t>
        </is>
      </c>
      <c r="M5" s="25" t="inlineStr">
        <is>
          <t>Qtde Kit</t>
        </is>
      </c>
      <c r="N5" s="25" t="inlineStr">
        <is>
          <t>Lead Time</t>
        </is>
      </c>
      <c r="O5" s="25" t="inlineStr">
        <is>
          <t>Peso (kg)</t>
        </is>
      </c>
      <c r="P5" s="25" t="inlineStr">
        <is>
          <t>Comprimento (cm)</t>
        </is>
      </c>
      <c r="Q5" s="25" t="inlineStr">
        <is>
          <t>Largura (cm)</t>
        </is>
      </c>
      <c r="R5" s="25" t="inlineStr">
        <is>
          <t>Altura (cm)</t>
        </is>
      </c>
      <c r="S5" s="25" t="inlineStr">
        <is>
          <t>Peso cubado (kg) KIT</t>
        </is>
      </c>
      <c r="T5" s="25" t="inlineStr">
        <is>
          <t>Peso cubado (kg)</t>
        </is>
      </c>
      <c r="U5" s="25" t="inlineStr">
        <is>
          <t>Peso considerado (kg)</t>
        </is>
      </c>
      <c r="V5" s="25" t="inlineStr">
        <is>
          <t>Frete fábrica → eCom ()</t>
        </is>
      </c>
      <c r="W5" s="25" t="inlineStr">
        <is>
          <t>Origem do dado embalagem</t>
        </is>
      </c>
      <c r="X5" s="25" t="inlineStr">
        <is>
          <t>Custo unitário ()</t>
        </is>
      </c>
      <c r="Y5" s="25" t="inlineStr">
        <is>
          <t>% Margem de lucro</t>
        </is>
      </c>
      <c r="Z5" s="25" t="inlineStr">
        <is>
          <t>Custo + frete inbound ()</t>
        </is>
      </c>
      <c r="AA5" s="25" t="inlineStr">
        <is>
          <t>Preço c/ margem ()</t>
        </is>
      </c>
      <c r="AB5" s="25" t="inlineStr">
        <is>
          <t>Taxa Mercado Pago (%)</t>
        </is>
      </c>
      <c r="AC5" s="25" t="inlineStr">
        <is>
          <t>Taxa MP ()</t>
        </is>
      </c>
      <c r="AD5" s="25" t="inlineStr">
        <is>
          <t>Preço final site ()</t>
        </is>
      </c>
      <c r="AE5" s="25" t="inlineStr">
        <is>
          <t>Concorrente 1 — Nome</t>
        </is>
      </c>
      <c r="AF5" s="25" t="inlineStr">
        <is>
          <t>Concorrente 1 — Preço ()</t>
        </is>
      </c>
      <c r="AG5" s="25" t="inlineStr">
        <is>
          <t>Concorrente 2 — Nome</t>
        </is>
      </c>
      <c r="AH5" s="25" t="inlineStr">
        <is>
          <t>Concorrente 2 — Preço ()</t>
        </is>
      </c>
      <c r="AI5" s="25" t="inlineStr">
        <is>
          <t>Concorrente 3 — Nome</t>
        </is>
      </c>
      <c r="AJ5" s="25" t="inlineStr">
        <is>
          <t>Concorrente 3 — Preço ()</t>
        </is>
      </c>
      <c r="AK5" s="25" t="inlineStr">
        <is>
          <t>Preço médio concorrência ()</t>
        </is>
      </c>
      <c r="AL5" s="25" t="inlineStr">
        <is>
          <t>Posicionamento</t>
        </is>
      </c>
      <c r="AM5" s="25" t="inlineStr">
        <is>
          <t>Cadastrado Shopify?</t>
        </is>
      </c>
      <c r="AN5" s="25" t="inlineStr">
        <is>
          <t>Última atualização</t>
        </is>
      </c>
      <c r="AO5" s="25" t="inlineStr">
        <is>
          <t>Operador responsável</t>
        </is>
      </c>
      <c r="AP5" s="25" t="inlineStr">
        <is>
          <t>Observações</t>
        </is>
      </c>
      <c r="AQ5" s="25" t="inlineStr">
        <is>
          <t>SKU Shopify (derivado)</t>
        </is>
      </c>
      <c r="AR5" s="25" t="inlineStr">
        <is>
          <t>Título Shopify (derivado)</t>
        </is>
      </c>
      <c r="AS5" s="69" t="inlineStr">
        <is>
          <t>Imagens site (assets)</t>
        </is>
      </c>
      <c r="AT5" s="69" t="n"/>
      <c r="AU5" s="69" t="n"/>
      <c r="AV5" s="69" t="n"/>
      <c r="AW5" s="69" t="n"/>
      <c r="AX5" s="69" t="n"/>
      <c r="AY5" s="69" t="n"/>
      <c r="AZ5" s="69" t="n"/>
      <c r="BA5" s="69" t="n"/>
      <c r="BB5" s="69" t="n"/>
      <c r="BC5" s="69" t="n"/>
      <c r="BD5" s="69" t="n"/>
      <c r="BE5" s="69" t="n"/>
      <c r="BF5" s="69" t="n"/>
      <c r="BG5" s="69" t="n"/>
      <c r="BH5" s="69" t="n"/>
      <c r="BI5" s="69" t="n"/>
      <c r="BJ5" s="69" t="n"/>
      <c r="BK5" s="69" t="n"/>
      <c r="BL5" s="69" t="n"/>
    </row>
    <row r="6">
      <c r="A6" s="1" t="inlineStr">
        <is>
          <t>H-102724</t>
        </is>
      </c>
      <c r="B6" s="1" t="inlineStr">
        <is>
          <t>H-102724</t>
        </is>
      </c>
      <c r="C6" s="1" t="inlineStr">
        <is>
          <t>dedo-retratil-jd-quadrado</t>
        </is>
      </c>
      <c r="D6" s="1" t="inlineStr">
        <is>
          <t>Dedo Retrátil Quadrado - John Deere H-102724 | Plataforma de Corte</t>
        </is>
      </c>
      <c r="E6" s="1" t="inlineStr">
        <is>
          <t>Peças Plásticas Injetadas</t>
        </is>
      </c>
      <c r="F6" s="1" t="inlineStr">
        <is>
          <t>APP</t>
        </is>
      </c>
      <c r="G6" s="1" t="n"/>
      <c r="H6" s="23" t="inlineStr">
        <is>
          <t>active</t>
        </is>
      </c>
      <c r="I6" s="1" t="inlineStr">
        <is>
          <t>JOHN DEERE</t>
        </is>
      </c>
      <c r="J6" s="1" t="inlineStr">
        <is>
          <t>COLHEITADEIRA</t>
        </is>
      </c>
      <c r="K6" s="1">
        <f>LOWER(CONCATENATE("Peças Plastica para ",J6," ",D6))</f>
        <v/>
      </c>
      <c r="L6" s="1" t="n"/>
      <c r="M6" s="70" t="n">
        <v>1</v>
      </c>
      <c r="N6" s="70" t="n">
        <v>5</v>
      </c>
      <c r="O6" s="70" t="n">
        <v>0.074</v>
      </c>
      <c r="P6" s="18" t="n">
        <v>26.5</v>
      </c>
      <c r="Q6" s="18" t="n">
        <v>2</v>
      </c>
      <c r="R6" s="54" t="n">
        <v>2</v>
      </c>
      <c r="S6" s="54">
        <f>IFERROR(IF(AND(P6&gt;0,Q6&gt;0,R6&gt;0),(P6*Q6*R6)/6000,""),"")</f>
        <v/>
      </c>
      <c r="T6" s="34">
        <f>IFERROR(IF(AND(P6&gt;0,Q6&gt;0,R6&gt;0),(P6*Q6*R6)/6000,""),"")</f>
        <v/>
      </c>
      <c r="U6" s="55">
        <f>IFERROR(IF(AND(O6&gt;0,T6&gt;0),MAX(O6,T6),IF(O6&gt;0,O6,IF(T6&gt;0,T6,""))),"")</f>
        <v/>
      </c>
      <c r="V6" s="71" t="n">
        <v>0.53</v>
      </c>
      <c r="W6" s="23" t="inlineStr">
        <is>
          <t>fornecedor</t>
        </is>
      </c>
      <c r="X6" s="23" t="n">
        <v>5</v>
      </c>
      <c r="Y6" s="29" t="n">
        <v>0.3</v>
      </c>
      <c r="Z6" s="50">
        <f>IFERROR(X6+V6,"")</f>
        <v/>
      </c>
      <c r="AA6" s="50">
        <f>IFERROR(IF(Y6&lt;1,Z6/(1-Y6),""),"")</f>
        <v/>
      </c>
      <c r="AB6" s="15">
        <f>'01_CONFIG_GLOBAL'!$C$14</f>
        <v/>
      </c>
      <c r="AC6" s="23">
        <f>IFERROR(AA6*AB6,"")</f>
        <v/>
      </c>
      <c r="AD6" s="23">
        <f>IFERROR(IF(AB6&lt;1,AA6/(1-AB6),""),"")</f>
        <v/>
      </c>
      <c r="AE6" s="23" t="n"/>
      <c r="AF6" s="23" t="n"/>
      <c r="AG6" s="23" t="n"/>
      <c r="AH6" s="23" t="n"/>
      <c r="AI6" s="31" t="n"/>
      <c r="AJ6" s="31" t="n"/>
      <c r="AK6" s="31" t="n"/>
      <c r="AL6" s="31" t="n"/>
      <c r="AM6" s="31" t="inlineStr">
        <is>
          <t>sim</t>
        </is>
      </c>
      <c r="AN6" s="34" t="n"/>
      <c r="AO6" s="34" t="n"/>
      <c r="AP6" s="36" t="inlineStr">
        <is>
          <t>Fotos: assets/JOHN_DEERE_H-102724_ecommerce.png</t>
        </is>
      </c>
      <c r="AQ6" s="23">
        <f>IF(AND(M6&lt;&gt;"",M6&gt;1),A6&amp;"-KIT"&amp;M6,A6)</f>
        <v/>
      </c>
      <c r="AR6" s="36">
        <f>IF(AND(M6&lt;&gt;"",M6&gt;1),D6&amp;" — Kit "&amp;M6&amp;" unidades",D6)</f>
        <v/>
      </c>
      <c r="AS6" s="39" t="inlineStr">
        <is>
          <t>JOHN_DEERE_H-102724_ecommerce.png</t>
        </is>
      </c>
      <c r="AT6" s="41" t="n"/>
      <c r="AU6" s="41" t="n"/>
      <c r="AV6" s="43" t="n"/>
      <c r="AW6" s="41" t="n"/>
      <c r="AX6" s="41" t="n"/>
      <c r="AY6" s="23" t="n"/>
      <c r="AZ6" s="36" t="n"/>
      <c r="BA6" s="23" t="n"/>
      <c r="BB6" s="36" t="n"/>
      <c r="BC6" s="23" t="n"/>
      <c r="BD6" s="36" t="n"/>
      <c r="BE6" s="41" t="n"/>
      <c r="BF6" s="29" t="n"/>
      <c r="BG6" s="23" t="n"/>
      <c r="BH6" s="23" t="n"/>
      <c r="BI6" s="23" t="n"/>
      <c r="BJ6" s="23" t="n"/>
      <c r="BK6" s="44" t="n"/>
      <c r="BL6" s="44" t="n"/>
    </row>
    <row r="7">
      <c r="A7" s="1" t="inlineStr">
        <is>
          <t>H-102724</t>
        </is>
      </c>
      <c r="B7" s="1" t="inlineStr">
        <is>
          <t>H-102724</t>
        </is>
      </c>
      <c r="C7" s="1" t="inlineStr">
        <is>
          <t>dedo-retratil-jd-quadrado</t>
        </is>
      </c>
      <c r="D7" s="1" t="inlineStr">
        <is>
          <t>Dedo Retrátil Quadrado - John Deere H-102724 | Plataforma de Corte</t>
        </is>
      </c>
      <c r="E7" s="1" t="inlineStr">
        <is>
          <t>Peças Plásticas Injetadas</t>
        </is>
      </c>
      <c r="F7" s="1" t="inlineStr">
        <is>
          <t>APP</t>
        </is>
      </c>
      <c r="G7" s="1" t="n"/>
      <c r="H7" s="23" t="inlineStr">
        <is>
          <t>active</t>
        </is>
      </c>
      <c r="I7" s="1" t="inlineStr">
        <is>
          <t>JOHN DEERE</t>
        </is>
      </c>
      <c r="J7" s="1" t="inlineStr">
        <is>
          <t>COLHEITADEIRA</t>
        </is>
      </c>
      <c r="K7" s="1">
        <f>LOWER(CONCATENATE("Peças Plastica para ",J7," ",D7))</f>
        <v/>
      </c>
      <c r="L7" s="1" t="n"/>
      <c r="M7" s="70" t="n">
        <v>50</v>
      </c>
      <c r="N7" s="70" t="n">
        <v>5</v>
      </c>
      <c r="O7" s="70">
        <f>0.074*M7</f>
        <v/>
      </c>
      <c r="P7" s="18" t="n">
        <v>30</v>
      </c>
      <c r="Q7" s="18" t="n">
        <v>22</v>
      </c>
      <c r="R7" s="54" t="n">
        <v>12</v>
      </c>
      <c r="S7" s="54">
        <f>IFERROR(IF(AND(P7&gt;0,Q7&gt;0,R7&gt;0),(P7*Q7*R7)/6000,""),"")</f>
        <v/>
      </c>
      <c r="T7" s="34">
        <f>IFERROR(IF(AND(P7&gt;0,Q7&gt;0,R7&gt;0),(P7*Q7*R7)/6000,""),"")</f>
        <v/>
      </c>
      <c r="U7" s="55">
        <f>IFERROR(IF(AND(O7&gt;0,T7&gt;0),MAX(O7,T7),IF(O7&gt;0,O7,IF(T7&gt;0,T7,""))),"")</f>
        <v/>
      </c>
      <c r="V7" s="71" t="n">
        <v>26.47</v>
      </c>
      <c r="W7" s="23" t="inlineStr">
        <is>
          <t>fornecedor</t>
        </is>
      </c>
      <c r="X7" s="23">
        <f>X6*M7</f>
        <v/>
      </c>
      <c r="Y7" s="29">
        <f>Y6</f>
        <v/>
      </c>
      <c r="Z7" s="50">
        <f>IFERROR(X7+V7,"")</f>
        <v/>
      </c>
      <c r="AA7" s="50">
        <f>IFERROR(IF(Y7&lt;1,Z7/(1-Y7),""),"")</f>
        <v/>
      </c>
      <c r="AB7" s="15">
        <f>'01_CONFIG_GLOBAL'!$C$14</f>
        <v/>
      </c>
      <c r="AC7" s="23">
        <f>IFERROR(AA7*AB7,"")</f>
        <v/>
      </c>
      <c r="AD7" s="23">
        <f>IFERROR(IF(AB7&lt;1,AA7/(1-AB7),""),"")</f>
        <v/>
      </c>
      <c r="AE7" s="23" t="n"/>
      <c r="AF7" s="23" t="n"/>
      <c r="AG7" s="23" t="n"/>
      <c r="AH7" s="23" t="n"/>
      <c r="AI7" s="31" t="n"/>
      <c r="AJ7" s="31" t="n"/>
      <c r="AK7" s="31" t="n"/>
      <c r="AL7" s="31" t="n"/>
      <c r="AM7" s="31" t="inlineStr">
        <is>
          <t>sim</t>
        </is>
      </c>
      <c r="AN7" s="34" t="n"/>
      <c r="AO7" s="34" t="n"/>
      <c r="AP7" s="36" t="n"/>
      <c r="AQ7" s="23">
        <f>IF(AND(M7&lt;&gt;"",M7&gt;1),A7&amp;"-KIT"&amp;M7,A7)</f>
        <v/>
      </c>
      <c r="AR7" s="36">
        <f>IF(AND(M7&lt;&gt;"",M7&gt;1),D7&amp;" — Kit "&amp;M7&amp;" unidades",D7)</f>
        <v/>
      </c>
      <c r="AS7" s="39" t="inlineStr">
        <is>
          <t>JOHN_DEERE_H-102724_ecommerce.png</t>
        </is>
      </c>
      <c r="AT7" s="41" t="n"/>
      <c r="AU7" s="41" t="n"/>
      <c r="AV7" s="43" t="n"/>
      <c r="AW7" s="41" t="n"/>
      <c r="AX7" s="41" t="n"/>
      <c r="AY7" s="23" t="n"/>
      <c r="AZ7" s="36" t="n"/>
      <c r="BA7" s="23" t="n"/>
      <c r="BB7" s="36" t="n"/>
      <c r="BC7" s="23" t="n"/>
      <c r="BD7" s="36" t="n"/>
      <c r="BE7" s="41" t="n"/>
      <c r="BF7" s="29" t="n"/>
      <c r="BG7" s="23" t="n"/>
      <c r="BH7" s="23" t="n"/>
      <c r="BI7" s="23" t="n"/>
      <c r="BJ7" s="23" t="n"/>
      <c r="BK7" s="44" t="n"/>
      <c r="BL7" s="44" t="n"/>
    </row>
    <row r="8">
      <c r="A8" s="1" t="inlineStr">
        <is>
          <t>H-169914</t>
        </is>
      </c>
      <c r="B8" s="1" t="inlineStr">
        <is>
          <t>H-169914</t>
        </is>
      </c>
      <c r="C8" s="1" t="inlineStr">
        <is>
          <t>dedo-retratil-jd</t>
        </is>
      </c>
      <c r="D8" s="1" t="inlineStr">
        <is>
          <t>Dedo Retrátil - John Deere H-169914 | Plataforma de Corte Séries 600/700</t>
        </is>
      </c>
      <c r="E8" s="1" t="inlineStr">
        <is>
          <t>Peças Plásticas Injetadas</t>
        </is>
      </c>
      <c r="F8" s="1" t="inlineStr">
        <is>
          <t>APP</t>
        </is>
      </c>
      <c r="G8" s="1" t="n"/>
      <c r="H8" s="23" t="inlineStr">
        <is>
          <t>active</t>
        </is>
      </c>
      <c r="I8" s="1" t="inlineStr">
        <is>
          <t>JOHN DEERE</t>
        </is>
      </c>
      <c r="J8" s="1" t="inlineStr">
        <is>
          <t>COLHEITADEIRA</t>
        </is>
      </c>
      <c r="K8" s="1">
        <f>LOWER(CONCATENATE("Peças Plastica para ",J8," ",D8))</f>
        <v/>
      </c>
      <c r="L8" s="1" t="n"/>
      <c r="M8" s="70" t="n">
        <v>1</v>
      </c>
      <c r="N8" s="70" t="n">
        <v>5</v>
      </c>
      <c r="O8" s="70" t="n">
        <v>0.08400000000000001</v>
      </c>
      <c r="P8" s="18" t="n">
        <v>28</v>
      </c>
      <c r="Q8" s="18" t="n">
        <v>1.5</v>
      </c>
      <c r="R8" s="54" t="n">
        <v>1.5</v>
      </c>
      <c r="S8" s="54">
        <f>IFERROR(IF(AND(P8&gt;0,Q8&gt;0,R8&gt;0),(P8*Q8*R8)/6000,""),"")</f>
        <v/>
      </c>
      <c r="T8" s="34">
        <f>IFERROR(IF(AND(P8&gt;0,Q8&gt;0,R8&gt;0),(P8*Q8*R8)/6000,""),"")</f>
        <v/>
      </c>
      <c r="U8" s="55">
        <f>IFERROR(IF(AND(O8&gt;0,T8&gt;0),MAX(O8,T8),IF(O8&gt;0,O8,IF(T8&gt;0,T8,""))),"")</f>
        <v/>
      </c>
      <c r="V8" s="71" t="n">
        <v>0.5600000000000001</v>
      </c>
      <c r="W8" s="23" t="inlineStr">
        <is>
          <t>fornecedor</t>
        </is>
      </c>
      <c r="X8" s="23" t="n">
        <v>5</v>
      </c>
      <c r="Y8" s="29" t="n">
        <v>0.3</v>
      </c>
      <c r="Z8" s="50">
        <f>IFERROR(X8+V8,"")</f>
        <v/>
      </c>
      <c r="AA8" s="50">
        <f>IFERROR(IF(Y8&lt;1,Z8/(1-Y8),""),"")</f>
        <v/>
      </c>
      <c r="AB8" s="15">
        <f>'01_CONFIG_GLOBAL'!$C$14</f>
        <v/>
      </c>
      <c r="AC8" s="23">
        <f>IFERROR(AA8*AB8,"")</f>
        <v/>
      </c>
      <c r="AD8" s="23">
        <f>IFERROR(IF(AB8&lt;1,AA8/(1-AB8),""),"")</f>
        <v/>
      </c>
      <c r="AE8" s="23" t="n"/>
      <c r="AF8" s="23" t="n"/>
      <c r="AG8" s="23" t="n"/>
      <c r="AH8" s="23" t="n"/>
      <c r="AI8" s="31" t="n"/>
      <c r="AJ8" s="31" t="n"/>
      <c r="AK8" s="31" t="n"/>
      <c r="AL8" s="31" t="n"/>
      <c r="AM8" s="31" t="inlineStr">
        <is>
          <t>sim</t>
        </is>
      </c>
      <c r="AN8" s="34" t="n"/>
      <c r="AO8" s="34" t="n"/>
      <c r="AP8" s="36" t="inlineStr">
        <is>
          <t>Fotos: assets/JOHN_DEERE_H-169914_ecommerce.png</t>
        </is>
      </c>
      <c r="AQ8" s="23">
        <f>IF(AND(M8&lt;&gt;"",M8&gt;1),A8&amp;"-KIT"&amp;M8,A8)</f>
        <v/>
      </c>
      <c r="AR8" s="36">
        <f>IF(AND(M8&lt;&gt;"",M8&gt;1),D8&amp;" — Kit "&amp;M8&amp;" unidades",D8)</f>
        <v/>
      </c>
      <c r="AS8" s="39" t="inlineStr">
        <is>
          <t>JOHN_DEERE_H-169914_ecommerce.png</t>
        </is>
      </c>
      <c r="AT8" s="41" t="n"/>
      <c r="AU8" s="41" t="n"/>
      <c r="AV8" s="43" t="n"/>
      <c r="AW8" s="41" t="n"/>
      <c r="AX8" s="41" t="n"/>
      <c r="AY8" s="23" t="n"/>
      <c r="AZ8" s="36" t="n"/>
      <c r="BA8" s="23" t="n"/>
      <c r="BB8" s="36" t="n"/>
      <c r="BC8" s="23" t="n"/>
      <c r="BD8" s="36" t="n"/>
      <c r="BE8" s="41" t="n"/>
      <c r="BF8" s="29" t="n"/>
      <c r="BG8" s="23" t="n"/>
      <c r="BH8" s="23" t="n"/>
      <c r="BI8" s="23" t="n"/>
      <c r="BJ8" s="23" t="n"/>
      <c r="BK8" s="44" t="n"/>
      <c r="BL8" s="44" t="n"/>
    </row>
    <row r="9">
      <c r="A9" s="1" t="inlineStr">
        <is>
          <t>H-169914</t>
        </is>
      </c>
      <c r="B9" s="1" t="inlineStr">
        <is>
          <t>H-169914</t>
        </is>
      </c>
      <c r="C9" s="1" t="inlineStr">
        <is>
          <t>dedo-retratil-jd</t>
        </is>
      </c>
      <c r="D9" s="1" t="inlineStr">
        <is>
          <t>Dedo Retrátil - John Deere H-169914 | Plataforma de Corte Séries 600/700</t>
        </is>
      </c>
      <c r="E9" s="1" t="inlineStr">
        <is>
          <t>Peças Plásticas Injetadas</t>
        </is>
      </c>
      <c r="F9" s="1" t="inlineStr">
        <is>
          <t>APP</t>
        </is>
      </c>
      <c r="G9" s="1" t="n"/>
      <c r="H9" s="23" t="inlineStr">
        <is>
          <t>active</t>
        </is>
      </c>
      <c r="I9" s="1" t="inlineStr">
        <is>
          <t>JOHN DEERE</t>
        </is>
      </c>
      <c r="J9" s="1" t="inlineStr">
        <is>
          <t>COLHEITADEIRA</t>
        </is>
      </c>
      <c r="K9" s="1">
        <f>LOWER(CONCATENATE("Peças Plastica para ",J9," ",D9))</f>
        <v/>
      </c>
      <c r="L9" s="1" t="n"/>
      <c r="M9" s="70" t="n">
        <v>50</v>
      </c>
      <c r="N9" s="70" t="n">
        <v>5</v>
      </c>
      <c r="O9" s="70">
        <f>0.084*M9</f>
        <v/>
      </c>
      <c r="P9" s="18" t="n">
        <v>30</v>
      </c>
      <c r="Q9" s="18" t="n">
        <v>22</v>
      </c>
      <c r="R9" s="54" t="n">
        <v>12</v>
      </c>
      <c r="S9" s="54">
        <f>IFERROR(IF(AND(P9&gt;0,Q9&gt;0,R9&gt;0),(P9*Q9*R9)/6000,""),"")</f>
        <v/>
      </c>
      <c r="T9" s="34">
        <f>IFERROR(IF(AND(P9&gt;0,Q9&gt;0,R9&gt;0),(P9*Q9*R9)/6000,""),"")</f>
        <v/>
      </c>
      <c r="U9" s="55">
        <f>IFERROR(IF(AND(O9&gt;0,T9&gt;0),MAX(O9,T9),IF(O9&gt;0,O9,IF(T9&gt;0,T9,""))),"")</f>
        <v/>
      </c>
      <c r="V9" s="71" t="n">
        <v>28.15</v>
      </c>
      <c r="W9" s="23" t="inlineStr">
        <is>
          <t>fornecedor</t>
        </is>
      </c>
      <c r="X9" s="23">
        <f>X8*M9</f>
        <v/>
      </c>
      <c r="Y9" s="29">
        <f>Y8</f>
        <v/>
      </c>
      <c r="Z9" s="50">
        <f>IFERROR(X9+V9,"")</f>
        <v/>
      </c>
      <c r="AA9" s="50">
        <f>IFERROR(IF(Y9&lt;1,Z9/(1-Y9),""),"")</f>
        <v/>
      </c>
      <c r="AB9" s="15">
        <f>'01_CONFIG_GLOBAL'!$C$14</f>
        <v/>
      </c>
      <c r="AC9" s="23">
        <f>IFERROR(AA9*AB9,"")</f>
        <v/>
      </c>
      <c r="AD9" s="23">
        <f>IFERROR(IF(AB9&lt;1,AA9/(1-AB9),""),"")</f>
        <v/>
      </c>
      <c r="AE9" s="23" t="n"/>
      <c r="AF9" s="23" t="n"/>
      <c r="AG9" s="23" t="n"/>
      <c r="AH9" s="23" t="n"/>
      <c r="AI9" s="31" t="n"/>
      <c r="AJ9" s="31" t="n"/>
      <c r="AK9" s="31" t="n"/>
      <c r="AL9" s="31" t="n"/>
      <c r="AM9" s="31" t="inlineStr">
        <is>
          <t>sim</t>
        </is>
      </c>
      <c r="AN9" s="34" t="n"/>
      <c r="AO9" s="34" t="n"/>
      <c r="AP9" s="36" t="n"/>
      <c r="AQ9" s="23">
        <f>IF(AND(M9&lt;&gt;"",M9&gt;1),A9&amp;"-KIT"&amp;M9,A9)</f>
        <v/>
      </c>
      <c r="AR9" s="36">
        <f>IF(AND(M9&lt;&gt;"",M9&gt;1),D9&amp;" — Kit "&amp;M9&amp;" unidades",D9)</f>
        <v/>
      </c>
      <c r="AS9" s="39" t="inlineStr">
        <is>
          <t>JOHN_DEERE_H-169914_ecommerce.png</t>
        </is>
      </c>
      <c r="AT9" s="41" t="n"/>
      <c r="AU9" s="41" t="n"/>
      <c r="AV9" s="43" t="n"/>
      <c r="AW9" s="41" t="n"/>
      <c r="AX9" s="41" t="n"/>
      <c r="AY9" s="23" t="n"/>
      <c r="AZ9" s="36" t="n"/>
      <c r="BA9" s="23" t="n"/>
      <c r="BB9" s="36" t="n"/>
      <c r="BC9" s="23" t="n"/>
      <c r="BD9" s="36" t="n"/>
      <c r="BE9" s="41" t="n"/>
      <c r="BF9" s="29" t="n"/>
      <c r="BG9" s="23" t="n"/>
      <c r="BH9" s="23" t="n"/>
      <c r="BI9" s="23" t="n"/>
      <c r="BJ9" s="23" t="n"/>
      <c r="BK9" s="44" t="n"/>
      <c r="BL9" s="44" t="n"/>
    </row>
    <row r="10">
      <c r="A10" s="1" t="inlineStr">
        <is>
          <t>H-175727</t>
        </is>
      </c>
      <c r="B10" s="1" t="inlineStr">
        <is>
          <t>H-175727</t>
        </is>
      </c>
      <c r="C10" s="1" t="inlineStr">
        <is>
          <t>suporte-do-molinete</t>
        </is>
      </c>
      <c r="D10" s="1" t="inlineStr">
        <is>
          <t>Suporte do Molinete - John Deere H-175727 | Plataforma de Corte</t>
        </is>
      </c>
      <c r="E10" s="1" t="inlineStr">
        <is>
          <t>Peças Plásticas Injetadas</t>
        </is>
      </c>
      <c r="F10" s="1" t="inlineStr">
        <is>
          <t>APP</t>
        </is>
      </c>
      <c r="G10" s="1" t="n"/>
      <c r="H10" s="23" t="inlineStr">
        <is>
          <t>active</t>
        </is>
      </c>
      <c r="I10" s="1" t="inlineStr">
        <is>
          <t>JOHN DEERE</t>
        </is>
      </c>
      <c r="J10" s="1" t="inlineStr">
        <is>
          <t>COLHEITADEIRA</t>
        </is>
      </c>
      <c r="K10" s="1">
        <f>LOWER(CONCATENATE("Peças Plastica para ",J10," ",D10))</f>
        <v/>
      </c>
      <c r="L10" s="1" t="n"/>
      <c r="M10" s="70" t="n">
        <v>1</v>
      </c>
      <c r="N10" s="70" t="n">
        <v>5</v>
      </c>
      <c r="O10" s="70" t="n">
        <v>0.02</v>
      </c>
      <c r="P10" s="18" t="n">
        <v>2.5</v>
      </c>
      <c r="Q10" s="18" t="n">
        <v>8.4</v>
      </c>
      <c r="R10" s="54" t="n">
        <v>3</v>
      </c>
      <c r="S10" s="54">
        <f>IFERROR(IF(AND(P10&gt;0,Q10&gt;0,R10&gt;0),(P10*Q10*R10)/6000,""),"")</f>
        <v/>
      </c>
      <c r="T10" s="34">
        <f>IFERROR(IF(AND(P10&gt;0,Q10&gt;0,R10&gt;0),(P10*Q10*R10)/6000,""),"")</f>
        <v/>
      </c>
      <c r="U10" s="55">
        <f>IFERROR(IF(AND(O10&gt;0,T10&gt;0),MAX(O10,T10),IF(O10&gt;0,O10,IF(T10&gt;0,T10,""))),"")</f>
        <v/>
      </c>
      <c r="V10" s="71" t="n">
        <v>0.37</v>
      </c>
      <c r="W10" s="23" t="inlineStr">
        <is>
          <t>fornecedor</t>
        </is>
      </c>
      <c r="X10" s="23" t="n">
        <v>2.9</v>
      </c>
      <c r="Y10" s="29" t="n">
        <v>0.3</v>
      </c>
      <c r="Z10" s="50">
        <f>IFERROR(X10+V10,"")</f>
        <v/>
      </c>
      <c r="AA10" s="50">
        <f>IFERROR(IF(Y10&lt;1,Z10/(1-Y10),""),"")</f>
        <v/>
      </c>
      <c r="AB10" s="15">
        <f>'01_CONFIG_GLOBAL'!$C$14</f>
        <v/>
      </c>
      <c r="AC10" s="23">
        <f>IFERROR(AA10*AB10,"")</f>
        <v/>
      </c>
      <c r="AD10" s="23">
        <f>IFERROR(IF(AB10&lt;1,AA10/(1-AB10),""),"")</f>
        <v/>
      </c>
      <c r="AE10" s="23" t="n"/>
      <c r="AF10" s="23" t="n"/>
      <c r="AG10" s="23" t="n"/>
      <c r="AH10" s="23" t="n"/>
      <c r="AI10" s="31" t="n"/>
      <c r="AJ10" s="31" t="n"/>
      <c r="AK10" s="31" t="n"/>
      <c r="AL10" s="31" t="n"/>
      <c r="AM10" s="31" t="inlineStr">
        <is>
          <t>sim</t>
        </is>
      </c>
      <c r="AN10" s="34" t="n"/>
      <c r="AO10" s="34" t="n"/>
      <c r="AP10" s="36" t="inlineStr">
        <is>
          <t>Fotos: assets/JOHN_DEERE_H-175727_ecommerce.png</t>
        </is>
      </c>
      <c r="AQ10" s="23">
        <f>IF(AND(M10&lt;&gt;"",M10&gt;1),A10&amp;"-KIT"&amp;M10,A10)</f>
        <v/>
      </c>
      <c r="AR10" s="36">
        <f>IF(AND(M10&lt;&gt;"",M10&gt;1),D10&amp;" — Kit "&amp;M10&amp;" unidades",D10)</f>
        <v/>
      </c>
      <c r="AS10" s="39" t="inlineStr">
        <is>
          <t>JOHN_DEERE_H-175727_ecommerce.png</t>
        </is>
      </c>
      <c r="AT10" s="41" t="n"/>
      <c r="AU10" s="41" t="n"/>
      <c r="AV10" s="43" t="n"/>
      <c r="AW10" s="41" t="n"/>
      <c r="AX10" s="41" t="n"/>
      <c r="AY10" s="23" t="n"/>
      <c r="AZ10" s="36" t="n"/>
      <c r="BA10" s="23" t="n"/>
      <c r="BB10" s="36" t="n"/>
      <c r="BC10" s="23" t="n"/>
      <c r="BD10" s="36" t="n"/>
      <c r="BE10" s="41" t="n"/>
      <c r="BF10" s="29" t="n"/>
      <c r="BG10" s="23" t="n"/>
      <c r="BH10" s="23" t="n"/>
      <c r="BI10" s="23" t="n"/>
      <c r="BJ10" s="23" t="n"/>
      <c r="BK10" s="44" t="n"/>
      <c r="BL10" s="44" t="n"/>
    </row>
    <row r="11">
      <c r="A11" s="1" t="inlineStr">
        <is>
          <t>H-175727</t>
        </is>
      </c>
      <c r="B11" s="1" t="inlineStr">
        <is>
          <t>H-175727</t>
        </is>
      </c>
      <c r="C11" s="1" t="inlineStr">
        <is>
          <t>suporte-do-molinete</t>
        </is>
      </c>
      <c r="D11" s="1" t="inlineStr">
        <is>
          <t>Suporte do Molinete - John Deere H-175727 | Plataforma de Corte</t>
        </is>
      </c>
      <c r="E11" s="1" t="inlineStr">
        <is>
          <t>Peças Plásticas Injetadas</t>
        </is>
      </c>
      <c r="F11" s="1" t="inlineStr">
        <is>
          <t>APP</t>
        </is>
      </c>
      <c r="G11" s="1" t="n"/>
      <c r="H11" s="23" t="inlineStr">
        <is>
          <t>active</t>
        </is>
      </c>
      <c r="I11" s="1" t="inlineStr">
        <is>
          <t>JOHN DEERE</t>
        </is>
      </c>
      <c r="J11" s="1" t="inlineStr">
        <is>
          <t>COLHEITADEIRA</t>
        </is>
      </c>
      <c r="K11" s="1">
        <f>LOWER(CONCATENATE("Peças Plastica para ",J11," ",D11))</f>
        <v/>
      </c>
      <c r="L11" s="1" t="n"/>
      <c r="M11" s="70" t="n">
        <v>50</v>
      </c>
      <c r="N11" s="70" t="n">
        <v>5</v>
      </c>
      <c r="O11" s="70">
        <f>0.02*M11</f>
        <v/>
      </c>
      <c r="P11" s="18" t="n">
        <v>30</v>
      </c>
      <c r="Q11" s="18" t="n">
        <v>10</v>
      </c>
      <c r="R11" s="54" t="n">
        <v>18</v>
      </c>
      <c r="S11" s="54">
        <f>IFERROR(IF(AND(P11&gt;0,Q11&gt;0,R11&gt;0),(P11*Q11*R11)/6000,""),"")</f>
        <v/>
      </c>
      <c r="T11" s="34">
        <f>IFERROR(IF(AND(P11&gt;0,Q11&gt;0,R11&gt;0),(P11*Q11*R11)/6000,""),"")</f>
        <v/>
      </c>
      <c r="U11" s="55">
        <f>IFERROR(IF(AND(O11&gt;0,T11&gt;0),MAX(O11,T11),IF(O11&gt;0,O11,IF(T11&gt;0,T11,""))),"")</f>
        <v/>
      </c>
      <c r="V11" s="71" t="n">
        <v>18.26</v>
      </c>
      <c r="W11" s="23" t="inlineStr">
        <is>
          <t>fornecedor</t>
        </is>
      </c>
      <c r="X11" s="23">
        <f>X10*M11</f>
        <v/>
      </c>
      <c r="Y11" s="29">
        <f>Y10</f>
        <v/>
      </c>
      <c r="Z11" s="50">
        <f>IFERROR(X11+V11,"")</f>
        <v/>
      </c>
      <c r="AA11" s="50">
        <f>IFERROR(IF(Y11&lt;1,Z11/(1-Y11),""),"")</f>
        <v/>
      </c>
      <c r="AB11" s="15">
        <f>'01_CONFIG_GLOBAL'!$C$14</f>
        <v/>
      </c>
      <c r="AC11" s="23">
        <f>IFERROR(AA11*AB11,"")</f>
        <v/>
      </c>
      <c r="AD11" s="23">
        <f>IFERROR(IF(AB11&lt;1,AA11/(1-AB11),""),"")</f>
        <v/>
      </c>
      <c r="AE11" s="23" t="n"/>
      <c r="AF11" s="23" t="n"/>
      <c r="AG11" s="23" t="n"/>
      <c r="AH11" s="23" t="n"/>
      <c r="AI11" s="31" t="n"/>
      <c r="AJ11" s="31" t="n"/>
      <c r="AK11" s="31" t="n"/>
      <c r="AL11" s="31" t="n"/>
      <c r="AM11" s="31" t="inlineStr">
        <is>
          <t>sim</t>
        </is>
      </c>
      <c r="AN11" s="34" t="n"/>
      <c r="AO11" s="34" t="n"/>
      <c r="AP11" s="36" t="n"/>
      <c r="AQ11" s="23">
        <f>IF(AND(M11&lt;&gt;"",M11&gt;1),A11&amp;"-KIT"&amp;M11,A11)</f>
        <v/>
      </c>
      <c r="AR11" s="36">
        <f>IF(AND(M11&lt;&gt;"",M11&gt;1),D11&amp;" — Kit "&amp;M11&amp;" unidades",D11)</f>
        <v/>
      </c>
      <c r="AS11" s="39" t="inlineStr">
        <is>
          <t>JOHN_DEERE_H-175727_ecommerce.png</t>
        </is>
      </c>
      <c r="AT11" s="41" t="n"/>
      <c r="AU11" s="41" t="n"/>
      <c r="AV11" s="43" t="n"/>
      <c r="AW11" s="41" t="n"/>
      <c r="AX11" s="41" t="n"/>
      <c r="AY11" s="23" t="n"/>
      <c r="AZ11" s="36" t="n"/>
      <c r="BA11" s="23" t="n"/>
      <c r="BB11" s="36" t="n"/>
      <c r="BC11" s="23" t="n"/>
      <c r="BD11" s="36" t="n"/>
      <c r="BE11" s="41" t="n"/>
      <c r="BF11" s="29" t="n"/>
      <c r="BG11" s="23" t="n"/>
      <c r="BH11" s="23" t="n"/>
      <c r="BI11" s="23" t="n"/>
      <c r="BJ11" s="23" t="n"/>
      <c r="BK11" s="44" t="n"/>
      <c r="BL11" s="44" t="n"/>
    </row>
    <row r="12">
      <c r="A12" s="1" t="inlineStr">
        <is>
          <t>KK31823</t>
        </is>
      </c>
      <c r="B12" s="1" t="inlineStr">
        <is>
          <t>KK31823</t>
        </is>
      </c>
      <c r="C12" s="1" t="inlineStr">
        <is>
          <t>dedo-recolhedor-algod-o-grande</t>
        </is>
      </c>
      <c r="D12" s="1" t="inlineStr">
        <is>
          <t>Dedo Recolhedor Algodão Grande - John Deere KK31823 | Colhedora de Algodão</t>
        </is>
      </c>
      <c r="E12" s="1" t="inlineStr">
        <is>
          <t>Peças Plásticas Injetadas</t>
        </is>
      </c>
      <c r="F12" s="1" t="inlineStr">
        <is>
          <t>APP</t>
        </is>
      </c>
      <c r="G12" s="1" t="n"/>
      <c r="H12" s="23" t="inlineStr">
        <is>
          <t>active</t>
        </is>
      </c>
      <c r="I12" s="1" t="inlineStr">
        <is>
          <t>JOHN DEERE</t>
        </is>
      </c>
      <c r="J12" s="1" t="inlineStr">
        <is>
          <t>COLHEITADEIRA</t>
        </is>
      </c>
      <c r="K12" s="1">
        <f>LOWER(CONCATENATE("Peças Plastica para ",J12," ",D12))</f>
        <v/>
      </c>
      <c r="L12" s="1" t="n"/>
      <c r="M12" s="70" t="n">
        <v>1</v>
      </c>
      <c r="N12" s="70" t="n">
        <v>5</v>
      </c>
      <c r="O12" s="70">
        <f>0.175*M12</f>
        <v/>
      </c>
      <c r="P12" s="18" t="n">
        <v>33.6</v>
      </c>
      <c r="Q12" s="18" t="n">
        <v>38</v>
      </c>
      <c r="R12" s="54" t="n">
        <v>1</v>
      </c>
      <c r="S12" s="54">
        <f>IFERROR(IF(AND(P12&gt;0,Q12&gt;0,R12&gt;0),(P12*Q12*R12)/6000,""),"")</f>
        <v/>
      </c>
      <c r="T12" s="34">
        <f>IFERROR(IF(AND(P12&gt;0,Q12&gt;0,R12&gt;0),(P12*Q12*R12)/6000,""),"")</f>
        <v/>
      </c>
      <c r="U12" s="55">
        <f>IFERROR(IF(AND(O12&gt;0,T12&gt;0),MAX(O12,T12),IF(O12&gt;0,O12,IF(T12&gt;0,T12,""))),"")</f>
        <v/>
      </c>
      <c r="V12" s="71" t="n">
        <v>27.57</v>
      </c>
      <c r="W12" s="23" t="inlineStr">
        <is>
          <t>fornecedor</t>
        </is>
      </c>
      <c r="X12" s="23" t="n">
        <v>140</v>
      </c>
      <c r="Y12" s="29" t="n">
        <v>0.3</v>
      </c>
      <c r="Z12" s="50">
        <f>IFERROR(X12+V12,"")</f>
        <v/>
      </c>
      <c r="AA12" s="50">
        <f>IFERROR(IF(Y12&lt;1,Z12/(1-Y12),""),"")</f>
        <v/>
      </c>
      <c r="AB12" s="15">
        <f>'01_CONFIG_GLOBAL'!$C$14</f>
        <v/>
      </c>
      <c r="AC12" s="23">
        <f>IFERROR(AA12*AB12,"")</f>
        <v/>
      </c>
      <c r="AD12" s="23">
        <f>IFERROR(IF(AB12&lt;1,AA12/(1-AB12),""),"")</f>
        <v/>
      </c>
      <c r="AE12" s="23" t="n"/>
      <c r="AF12" s="23" t="n"/>
      <c r="AG12" s="23" t="n"/>
      <c r="AH12" s="23" t="n"/>
      <c r="AI12" s="31" t="n"/>
      <c r="AJ12" s="31" t="n"/>
      <c r="AK12" s="31" t="n"/>
      <c r="AL12" s="31" t="n"/>
      <c r="AM12" s="31" t="inlineStr">
        <is>
          <t>sim</t>
        </is>
      </c>
      <c r="AN12" s="34" t="n"/>
      <c r="AO12" s="34" t="n"/>
      <c r="AP12" s="36" t="inlineStr">
        <is>
          <t>Fotos: assets/JOHN_DEERE_KK31823_ecommerce.png</t>
        </is>
      </c>
      <c r="AQ12" s="23">
        <f>IF(AND(M12&lt;&gt;"",M12&gt;1),A12&amp;"-KIT"&amp;M12,A12)</f>
        <v/>
      </c>
      <c r="AR12" s="36">
        <f>IF(AND(M12&lt;&gt;"",M12&gt;1),D12&amp;" — Kit "&amp;M12&amp;" unidades",D12)</f>
        <v/>
      </c>
      <c r="AS12" s="39" t="inlineStr">
        <is>
          <t>JOHN_DEERE_KK31823_ecommerce.png</t>
        </is>
      </c>
      <c r="AT12" s="41" t="n"/>
      <c r="AU12" s="41" t="n"/>
      <c r="AV12" s="43" t="n"/>
      <c r="AW12" s="41" t="n"/>
      <c r="AX12" s="41" t="n"/>
      <c r="AY12" s="23" t="n"/>
      <c r="AZ12" s="36" t="n"/>
      <c r="BA12" s="23" t="n"/>
      <c r="BB12" s="36" t="n"/>
      <c r="BC12" s="23" t="n"/>
      <c r="BD12" s="36" t="n"/>
      <c r="BE12" s="41" t="n"/>
      <c r="BF12" s="29" t="n"/>
      <c r="BG12" s="23" t="n"/>
      <c r="BH12" s="23" t="n"/>
      <c r="BI12" s="23" t="n"/>
      <c r="BJ12" s="23" t="n"/>
      <c r="BK12" s="44" t="n"/>
      <c r="BL12" s="44" t="n"/>
    </row>
    <row r="13">
      <c r="A13" s="1" t="inlineStr">
        <is>
          <t>KK31824</t>
        </is>
      </c>
      <c r="B13" s="1" t="inlineStr">
        <is>
          <t>KK31824</t>
        </is>
      </c>
      <c r="C13" s="1" t="inlineStr">
        <is>
          <t>dedo-recolhedor-algod-o-m-dio</t>
        </is>
      </c>
      <c r="D13" s="1" t="inlineStr">
        <is>
          <t>Dedo Recolhedor Algodão Médio - John Deere KK31824 | Colhedora 7760/CP690</t>
        </is>
      </c>
      <c r="E13" s="1" t="inlineStr">
        <is>
          <t>Peças Plásticas Injetadas</t>
        </is>
      </c>
      <c r="F13" s="1" t="inlineStr">
        <is>
          <t>APP</t>
        </is>
      </c>
      <c r="G13" s="1" t="n"/>
      <c r="H13" s="23" t="inlineStr">
        <is>
          <t>active</t>
        </is>
      </c>
      <c r="I13" s="1" t="inlineStr">
        <is>
          <t>JOHN DEERE</t>
        </is>
      </c>
      <c r="J13" s="1" t="inlineStr">
        <is>
          <t>COLHEITADEIRA</t>
        </is>
      </c>
      <c r="K13" s="1">
        <f>LOWER(CONCATENATE("Peças Plastica para ",J13," ",D13))</f>
        <v/>
      </c>
      <c r="L13" s="1" t="n"/>
      <c r="M13" s="70" t="n">
        <v>1</v>
      </c>
      <c r="N13" s="70" t="n">
        <v>5</v>
      </c>
      <c r="O13" s="70" t="n">
        <v>0.127</v>
      </c>
      <c r="P13" s="18" t="n">
        <v>33.4</v>
      </c>
      <c r="Q13" s="18" t="n">
        <v>27</v>
      </c>
      <c r="R13" s="54" t="n">
        <v>4</v>
      </c>
      <c r="S13" s="54">
        <f>IFERROR(IF(AND(P13&gt;0,Q13&gt;0,R13&gt;0),(P13*Q13*R13)/6000,""),"")</f>
        <v/>
      </c>
      <c r="T13" s="34">
        <f>IFERROR(IF(AND(P13&gt;0,Q13&gt;0,R13&gt;0),(P13*Q13*R13)/6000,""),"")</f>
        <v/>
      </c>
      <c r="U13" s="55">
        <f>IFERROR(IF(AND(O13&gt;0,T13&gt;0),MAX(O13,T13),IF(O13&gt;0,O13,IF(T13&gt;0,T13,""))),"")</f>
        <v/>
      </c>
      <c r="V13" s="71" t="n">
        <v>18.05</v>
      </c>
      <c r="W13" s="23" t="inlineStr">
        <is>
          <t>fornecedor</t>
        </is>
      </c>
      <c r="X13" s="23" t="n">
        <v>110</v>
      </c>
      <c r="Y13" s="29" t="n">
        <v>0.3</v>
      </c>
      <c r="Z13" s="50">
        <f>IFERROR(X13+V13,"")</f>
        <v/>
      </c>
      <c r="AA13" s="50">
        <f>IFERROR(IF(Y13&lt;1,Z13/(1-Y13),""),"")</f>
        <v/>
      </c>
      <c r="AB13" s="15">
        <f>'01_CONFIG_GLOBAL'!$C$14</f>
        <v/>
      </c>
      <c r="AC13" s="23">
        <f>IFERROR(AA13*AB13,"")</f>
        <v/>
      </c>
      <c r="AD13" s="23">
        <f>IFERROR(IF(AB13&lt;1,AA13/(1-AB13),""),"")</f>
        <v/>
      </c>
      <c r="AE13" s="23" t="n"/>
      <c r="AF13" s="23" t="n"/>
      <c r="AG13" s="23" t="n"/>
      <c r="AH13" s="23" t="n"/>
      <c r="AI13" s="31" t="n"/>
      <c r="AJ13" s="31" t="n"/>
      <c r="AK13" s="31" t="n"/>
      <c r="AL13" s="31" t="n"/>
      <c r="AM13" s="31" t="inlineStr">
        <is>
          <t>sim</t>
        </is>
      </c>
      <c r="AN13" s="34" t="n"/>
      <c r="AO13" s="34" t="n"/>
      <c r="AP13" s="36" t="inlineStr">
        <is>
          <t>Fotos: assets/JOHN_DEERE_KK31824_ecommerce.png | CORRIGIDO 21/07: custo 120 é do lote de 25 — linha marcada kit=25 (duplica r38)</t>
        </is>
      </c>
      <c r="AQ13" s="23">
        <f>IF(AND(M13&lt;&gt;"",M13&gt;1),A13&amp;"-KIT"&amp;M13,A13)</f>
        <v/>
      </c>
      <c r="AR13" s="36">
        <f>IF(AND(M13&lt;&gt;"",M13&gt;1),D13&amp;" — Kit "&amp;M13&amp;" unidades",D13)</f>
        <v/>
      </c>
      <c r="AS13" s="39" t="inlineStr">
        <is>
          <t>JOHN_DEERE_KK31824_ecommerce.png</t>
        </is>
      </c>
      <c r="AT13" s="41" t="n"/>
      <c r="AU13" s="41" t="n"/>
      <c r="AV13" s="43" t="n"/>
      <c r="AW13" s="41" t="n"/>
      <c r="AX13" s="41" t="n"/>
      <c r="AY13" s="23" t="n"/>
      <c r="AZ13" s="36" t="n"/>
      <c r="BA13" s="23" t="n"/>
      <c r="BB13" s="36" t="n"/>
      <c r="BC13" s="23" t="n"/>
      <c r="BD13" s="36" t="n"/>
      <c r="BE13" s="41" t="n"/>
      <c r="BF13" s="29" t="n"/>
      <c r="BG13" s="23" t="n"/>
      <c r="BH13" s="23" t="n"/>
      <c r="BI13" s="23" t="n"/>
      <c r="BJ13" s="23" t="n"/>
      <c r="BK13" s="44" t="n"/>
      <c r="BL13" s="44" t="n"/>
    </row>
    <row r="14">
      <c r="A14" s="1" t="inlineStr">
        <is>
          <t>KK31825</t>
        </is>
      </c>
      <c r="B14" s="1" t="inlineStr">
        <is>
          <t>KK31825</t>
        </is>
      </c>
      <c r="C14" s="1" t="inlineStr">
        <is>
          <t>dedo-recolhedor-algod-o-pequeno</t>
        </is>
      </c>
      <c r="D14" s="1" t="inlineStr">
        <is>
          <t>Dedo Recolhedor Algodão Pequeno - John Deere KK31825 | Colhedora 7760/CP690</t>
        </is>
      </c>
      <c r="E14" s="1" t="inlineStr">
        <is>
          <t>Peças Plásticas Injetadas</t>
        </is>
      </c>
      <c r="F14" s="1" t="inlineStr">
        <is>
          <t>APP</t>
        </is>
      </c>
      <c r="G14" s="1" t="n"/>
      <c r="H14" s="23" t="inlineStr">
        <is>
          <t>active</t>
        </is>
      </c>
      <c r="I14" s="1" t="inlineStr">
        <is>
          <t>JOHN DEERE</t>
        </is>
      </c>
      <c r="J14" s="1" t="inlineStr">
        <is>
          <t>COLHEITADEIRA</t>
        </is>
      </c>
      <c r="K14" s="1">
        <f>LOWER(CONCATENATE("Peças Plastica para ",J14," ",D14))</f>
        <v/>
      </c>
      <c r="L14" s="1" t="n"/>
      <c r="M14" s="70" t="n">
        <v>1</v>
      </c>
      <c r="N14" s="70" t="n">
        <v>5</v>
      </c>
      <c r="O14" s="70" t="n">
        <v>0.1</v>
      </c>
      <c r="P14" s="18" t="n">
        <v>33</v>
      </c>
      <c r="Q14" s="18" t="n">
        <v>16.2</v>
      </c>
      <c r="R14" s="54" t="n">
        <v>4</v>
      </c>
      <c r="S14" s="54">
        <f>IFERROR(IF(AND(P14&gt;0,Q14&gt;0,R14&gt;0),(P14*Q14*R14)/6000,""),"")</f>
        <v/>
      </c>
      <c r="T14" s="34">
        <f>IFERROR(IF(AND(P14&gt;0,Q14&gt;0,R14&gt;0),(P14*Q14*R14)/6000,""),"")</f>
        <v/>
      </c>
      <c r="U14" s="55">
        <f>IFERROR(IF(AND(O14&gt;0,T14&gt;0),MAX(O14,T14),IF(O14&gt;0,O14,IF(T14&gt;0,T14,""))),"")</f>
        <v/>
      </c>
      <c r="V14" s="71" t="n">
        <v>16.74</v>
      </c>
      <c r="W14" s="23" t="inlineStr">
        <is>
          <t>fornecedor</t>
        </is>
      </c>
      <c r="X14" s="23" t="n">
        <v>90</v>
      </c>
      <c r="Y14" s="29" t="n">
        <v>0.3</v>
      </c>
      <c r="Z14" s="50">
        <f>IFERROR(X14+V14,"")</f>
        <v/>
      </c>
      <c r="AA14" s="50">
        <f>IFERROR(IF(Y14&lt;1,Z14/(1-Y14),""),"")</f>
        <v/>
      </c>
      <c r="AB14" s="15">
        <f>'01_CONFIG_GLOBAL'!$C$14</f>
        <v/>
      </c>
      <c r="AC14" s="23">
        <f>IFERROR(AA14*AB14,"")</f>
        <v/>
      </c>
      <c r="AD14" s="23">
        <f>IFERROR(IF(AB14&lt;1,AA14/(1-AB14),""),"")</f>
        <v/>
      </c>
      <c r="AE14" s="23" t="n"/>
      <c r="AF14" s="23" t="n"/>
      <c r="AG14" s="23" t="n"/>
      <c r="AH14" s="23" t="n"/>
      <c r="AI14" s="31" t="n"/>
      <c r="AJ14" s="31" t="n"/>
      <c r="AK14" s="31" t="n"/>
      <c r="AL14" s="31" t="n"/>
      <c r="AM14" s="31" t="inlineStr">
        <is>
          <t>sim</t>
        </is>
      </c>
      <c r="AN14" s="34" t="n"/>
      <c r="AO14" s="34" t="n"/>
      <c r="AP14" s="36" t="inlineStr">
        <is>
          <t>Fotos: assets/JOHN_DEERE_KK31825_ecommerce.png | CORRIGIDO 21/07: custo 100 é do lote de 25 — linha marcada kit=25 (duplica r40)</t>
        </is>
      </c>
      <c r="AQ14" s="23">
        <f>IF(AND(M14&lt;&gt;"",M14&gt;1),A14&amp;"-KIT"&amp;M14,A14)</f>
        <v/>
      </c>
      <c r="AR14" s="36">
        <f>IF(AND(M14&lt;&gt;"",M14&gt;1),D14&amp;" — Kit "&amp;M14&amp;" unidades",D14)</f>
        <v/>
      </c>
      <c r="AS14" s="39" t="inlineStr">
        <is>
          <t>JOHN_DEERE_KK31825_ecommerce.png</t>
        </is>
      </c>
      <c r="AT14" s="41" t="n"/>
      <c r="AU14" s="41" t="n"/>
      <c r="AV14" s="43" t="n"/>
      <c r="AW14" s="41" t="n"/>
      <c r="AX14" s="41" t="n"/>
      <c r="AY14" s="23" t="n"/>
      <c r="AZ14" s="36" t="n"/>
      <c r="BA14" s="23" t="n"/>
      <c r="BB14" s="36" t="n"/>
      <c r="BC14" s="23" t="n"/>
      <c r="BD14" s="36" t="n"/>
      <c r="BE14" s="41" t="n"/>
      <c r="BF14" s="29" t="n"/>
      <c r="BG14" s="23" t="n"/>
      <c r="BH14" s="23" t="n"/>
      <c r="BI14" s="23" t="n"/>
      <c r="BJ14" s="23" t="n"/>
      <c r="BK14" s="44" t="n"/>
      <c r="BL14" s="44" t="n"/>
    </row>
    <row r="15">
      <c r="A15" s="1" t="inlineStr">
        <is>
          <t>KK31825</t>
        </is>
      </c>
      <c r="B15" s="1" t="inlineStr">
        <is>
          <t>KK31825</t>
        </is>
      </c>
      <c r="C15" s="1" t="inlineStr">
        <is>
          <t>dedo-recolhedor-algod-o-pequeno</t>
        </is>
      </c>
      <c r="D15" s="1" t="inlineStr">
        <is>
          <t>Dedo Recolhedor Algodão Pequeno - John Deere KK31825 | Colhedora 7760/CP690</t>
        </is>
      </c>
      <c r="E15" s="1" t="inlineStr">
        <is>
          <t>Peças Plásticas Injetadas</t>
        </is>
      </c>
      <c r="F15" s="1" t="inlineStr">
        <is>
          <t>APP</t>
        </is>
      </c>
      <c r="G15" s="1" t="n"/>
      <c r="H15" s="23" t="inlineStr">
        <is>
          <t>draft</t>
        </is>
      </c>
      <c r="I15" s="1" t="inlineStr">
        <is>
          <t>JOHN DEERE</t>
        </is>
      </c>
      <c r="J15" s="1" t="inlineStr">
        <is>
          <t>COLHEITADEIRA</t>
        </is>
      </c>
      <c r="K15" s="1">
        <f>LOWER(CONCATENATE("Peças Plastica para ",J15," ",D15))</f>
        <v/>
      </c>
      <c r="L15" s="1" t="n"/>
      <c r="M15" s="70" t="n">
        <v>2</v>
      </c>
      <c r="N15" s="70" t="n">
        <v>5</v>
      </c>
      <c r="O15" s="70">
        <f>0.1*M15</f>
        <v/>
      </c>
      <c r="P15" s="18" t="n">
        <v>35</v>
      </c>
      <c r="Q15" s="18" t="n">
        <v>20</v>
      </c>
      <c r="R15" s="54" t="n">
        <v>1</v>
      </c>
      <c r="S15" s="54">
        <f>IFERROR(IF(AND(P15&gt;0,Q15&gt;0,R15&gt;0),(P15*Q15*R15)/6000,""),"")</f>
        <v/>
      </c>
      <c r="T15" s="34">
        <f>IFERROR(IF(AND(P15&gt;0,Q15&gt;0,R15&gt;0),(P15*Q15*R15)/6000,""),"")</f>
        <v/>
      </c>
      <c r="U15" s="55">
        <f>IFERROR(IF(AND(O15&gt;0,T15&gt;0),MAX(O15,T15),IF(O15&gt;0,O15,IF(T15&gt;0,T15,""))),"")</f>
        <v/>
      </c>
      <c r="V15" s="71" t="n"/>
      <c r="W15" s="23" t="inlineStr">
        <is>
          <t>fornecedor</t>
        </is>
      </c>
      <c r="X15" s="23">
        <f>X14*M15</f>
        <v/>
      </c>
      <c r="Y15" s="29">
        <f>Y14</f>
        <v/>
      </c>
      <c r="Z15" s="50">
        <f>IFERROR(X15+V15,"")</f>
        <v/>
      </c>
      <c r="AA15" s="50">
        <f>IFERROR(IF(Y15&lt;1,Z15/(1-Y15),""),"")</f>
        <v/>
      </c>
      <c r="AB15" s="15">
        <f>'01_CONFIG_GLOBAL'!$C$14</f>
        <v/>
      </c>
      <c r="AC15" s="23">
        <f>IFERROR(AA15*AB15,"")</f>
        <v/>
      </c>
      <c r="AD15" s="23">
        <f>IFERROR(IF(AB15&lt;1,AA15/(1-AB15),""),"")</f>
        <v/>
      </c>
      <c r="AE15" s="23" t="n"/>
      <c r="AF15" s="23" t="n"/>
      <c r="AG15" s="23" t="n"/>
      <c r="AH15" s="23" t="n"/>
      <c r="AI15" s="31" t="n"/>
      <c r="AJ15" s="31" t="n"/>
      <c r="AK15" s="31" t="n"/>
      <c r="AL15" s="31" t="n"/>
      <c r="AM15" s="31" t="inlineStr">
        <is>
          <t>sim</t>
        </is>
      </c>
      <c r="AN15" s="34" t="n"/>
      <c r="AO15" s="34" t="n"/>
      <c r="AP15" s="36" t="inlineStr">
        <is>
          <t>PENDÊNCIA: custo inconsistente (kit=2 a R$200 vs kit=25 a R$100) — revisar com fornecedor</t>
        </is>
      </c>
      <c r="AQ15" s="23">
        <f>IF(AND(M15&lt;&gt;"",M15&gt;1),A15&amp;"-KIT"&amp;M15,A15)</f>
        <v/>
      </c>
      <c r="AR15" s="36">
        <f>IF(AND(M15&lt;&gt;"",M15&gt;1),D15&amp;" — Kit "&amp;M15&amp;" unidades",D15)</f>
        <v/>
      </c>
      <c r="AS15" s="39" t="inlineStr">
        <is>
          <t>JOHN_DEERE_KK31825_ecommerce.png</t>
        </is>
      </c>
      <c r="AT15" s="41" t="n"/>
      <c r="AU15" s="41" t="n"/>
      <c r="AV15" s="43" t="n"/>
      <c r="AW15" s="41" t="n"/>
      <c r="AX15" s="41" t="n"/>
      <c r="AY15" s="23" t="n"/>
      <c r="AZ15" s="36" t="n"/>
      <c r="BA15" s="23" t="n"/>
      <c r="BB15" s="36" t="n"/>
      <c r="BC15" s="23" t="n"/>
      <c r="BD15" s="36" t="n"/>
      <c r="BE15" s="41" t="n"/>
      <c r="BF15" s="29" t="n"/>
      <c r="BG15" s="23" t="n"/>
      <c r="BH15" s="23" t="n"/>
      <c r="BI15" s="23" t="n"/>
      <c r="BJ15" s="23" t="n"/>
      <c r="BK15" s="44" t="n"/>
      <c r="BL15" s="44" t="n"/>
    </row>
    <row r="16">
      <c r="A16" s="1" t="inlineStr">
        <is>
          <t>N276747</t>
        </is>
      </c>
      <c r="B16" s="1" t="inlineStr">
        <is>
          <t>N276747</t>
        </is>
      </c>
      <c r="C16" s="1" t="inlineStr">
        <is>
          <t>tampa-algod-o</t>
        </is>
      </c>
      <c r="D16" s="1" t="inlineStr">
        <is>
          <t>Tampa Algodão - John Deere N276747 | Colhedora de Algodão</t>
        </is>
      </c>
      <c r="E16" s="1" t="inlineStr">
        <is>
          <t>Peças Plásticas Injetadas</t>
        </is>
      </c>
      <c r="F16" s="1" t="inlineStr">
        <is>
          <t>APP</t>
        </is>
      </c>
      <c r="G16" s="1" t="n"/>
      <c r="H16" s="23" t="inlineStr">
        <is>
          <t>active</t>
        </is>
      </c>
      <c r="I16" s="1" t="inlineStr">
        <is>
          <t>JOHN DEERE</t>
        </is>
      </c>
      <c r="J16" s="1" t="inlineStr">
        <is>
          <t>COLHEITADEIRA</t>
        </is>
      </c>
      <c r="K16" s="1">
        <f>LOWER(CONCATENATE("Peças Plastica para ",J16," ",D16))</f>
        <v/>
      </c>
      <c r="L16" s="1" t="n"/>
      <c r="M16" s="70" t="n">
        <v>1</v>
      </c>
      <c r="N16" s="70" t="n">
        <v>5</v>
      </c>
      <c r="O16" s="70" t="n">
        <v>0.047</v>
      </c>
      <c r="P16" s="18" t="n">
        <v>7.9</v>
      </c>
      <c r="Q16" s="18" t="n">
        <v>8.6</v>
      </c>
      <c r="R16" s="54" t="n">
        <v>7.9</v>
      </c>
      <c r="S16" s="54">
        <f>IFERROR(IF(AND(P16&gt;0,Q16&gt;0,R16&gt;0),(P16*Q16*R16)/6000,""),"")</f>
        <v/>
      </c>
      <c r="T16" s="34">
        <f>IFERROR(IF(AND(P16&gt;0,Q16&gt;0,R16&gt;0),(P16*Q16*R16)/6000,""),"")</f>
        <v/>
      </c>
      <c r="U16" s="55">
        <f>IFERROR(IF(AND(O16&gt;0,T16&gt;0),MAX(O16,T16),IF(O16&gt;0,O16,IF(T16&gt;0,T16,""))),"")</f>
        <v/>
      </c>
      <c r="V16" s="71" t="n">
        <v>1.06</v>
      </c>
      <c r="W16" s="23" t="inlineStr">
        <is>
          <t>fornecedor</t>
        </is>
      </c>
      <c r="X16" s="23" t="n">
        <v>9.9</v>
      </c>
      <c r="Y16" s="29" t="n">
        <v>0.3</v>
      </c>
      <c r="Z16" s="50">
        <f>IFERROR(X16+V16,"")</f>
        <v/>
      </c>
      <c r="AA16" s="50">
        <f>IFERROR(IF(Y16&lt;1,Z16/(1-Y16),""),"")</f>
        <v/>
      </c>
      <c r="AB16" s="15">
        <f>'01_CONFIG_GLOBAL'!$C$14</f>
        <v/>
      </c>
      <c r="AC16" s="23">
        <f>IFERROR(AA16*AB16,"")</f>
        <v/>
      </c>
      <c r="AD16" s="23">
        <f>IFERROR(IF(AB16&lt;1,AA16/(1-AB16),""),"")</f>
        <v/>
      </c>
      <c r="AE16" s="23" t="n"/>
      <c r="AF16" s="23" t="n"/>
      <c r="AG16" s="23" t="n"/>
      <c r="AH16" s="23" t="n"/>
      <c r="AI16" s="31" t="n"/>
      <c r="AJ16" s="31" t="n"/>
      <c r="AK16" s="31" t="n"/>
      <c r="AL16" s="31" t="n"/>
      <c r="AM16" s="31" t="inlineStr">
        <is>
          <t>sim</t>
        </is>
      </c>
      <c r="AN16" s="34" t="n"/>
      <c r="AO16" s="34" t="n"/>
      <c r="AP16" s="36" t="inlineStr">
        <is>
          <t>Fotos: assets/JOHN_DEERE_N276747_ecommerce.png</t>
        </is>
      </c>
      <c r="AQ16" s="23">
        <f>IF(AND(M16&lt;&gt;"",M16&gt;1),A16&amp;"-KIT"&amp;M16,A16)</f>
        <v/>
      </c>
      <c r="AR16" s="36">
        <f>IF(AND(M16&lt;&gt;"",M16&gt;1),D16&amp;" — Kit "&amp;M16&amp;" unidades",D16)</f>
        <v/>
      </c>
      <c r="AS16" s="39" t="inlineStr">
        <is>
          <t>JOHN_DEERE_N276747_ecommerce.png</t>
        </is>
      </c>
      <c r="AT16" s="41" t="n"/>
      <c r="AU16" s="41" t="n"/>
      <c r="AV16" s="43" t="n"/>
      <c r="AW16" s="41" t="n"/>
      <c r="AX16" s="41" t="n"/>
      <c r="AY16" s="23" t="n"/>
      <c r="AZ16" s="36" t="n"/>
      <c r="BA16" s="23" t="n"/>
      <c r="BB16" s="36" t="n"/>
      <c r="BC16" s="23" t="n"/>
      <c r="BD16" s="36" t="n"/>
      <c r="BE16" s="41" t="n"/>
      <c r="BF16" s="29" t="n"/>
      <c r="BG16" s="23" t="n"/>
      <c r="BH16" s="23" t="n"/>
      <c r="BI16" s="23" t="n"/>
      <c r="BJ16" s="23" t="n"/>
      <c r="BK16" s="44" t="n"/>
      <c r="BL16" s="44" t="n"/>
    </row>
    <row r="17">
      <c r="A17" s="1" t="inlineStr">
        <is>
          <t>N276747</t>
        </is>
      </c>
      <c r="B17" s="1" t="inlineStr">
        <is>
          <t>N276747</t>
        </is>
      </c>
      <c r="C17" s="1" t="inlineStr">
        <is>
          <t>tampa-algod-o</t>
        </is>
      </c>
      <c r="D17" s="1" t="inlineStr">
        <is>
          <t>Tampa Algodão - John Deere N276747 | Colhedora de Algodão</t>
        </is>
      </c>
      <c r="E17" s="1" t="inlineStr">
        <is>
          <t>Peças Plásticas Injetadas</t>
        </is>
      </c>
      <c r="F17" s="1" t="inlineStr">
        <is>
          <t>APP</t>
        </is>
      </c>
      <c r="G17" s="1" t="n"/>
      <c r="H17" s="23" t="inlineStr">
        <is>
          <t>active</t>
        </is>
      </c>
      <c r="I17" s="1" t="inlineStr">
        <is>
          <t>JOHN DEERE</t>
        </is>
      </c>
      <c r="J17" s="1" t="inlineStr">
        <is>
          <t>COLHEITADEIRA</t>
        </is>
      </c>
      <c r="K17" s="1">
        <f>LOWER(CONCATENATE("Peças Plastica para ",J17," ",D17))</f>
        <v/>
      </c>
      <c r="L17" s="1" t="n"/>
      <c r="M17" s="70" t="n">
        <v>25</v>
      </c>
      <c r="N17" s="70" t="n">
        <v>5</v>
      </c>
      <c r="O17" s="70">
        <f>0.047*M17</f>
        <v/>
      </c>
      <c r="P17" s="18" t="n">
        <v>45</v>
      </c>
      <c r="Q17" s="18" t="n">
        <v>10</v>
      </c>
      <c r="R17" s="54" t="n">
        <v>45</v>
      </c>
      <c r="S17" s="54">
        <f>IFERROR(IF(AND(P17&gt;0,Q17&gt;0,R17&gt;0),(P17*Q17*R17)/6000,""),"")</f>
        <v/>
      </c>
      <c r="T17" s="34">
        <f>IFERROR(IF(AND(P17&gt;0,Q17&gt;0,R17&gt;0),(P17*Q17*R17)/6000,""),"")</f>
        <v/>
      </c>
      <c r="U17" s="55">
        <f>IFERROR(IF(AND(O17&gt;0,T17&gt;0),MAX(O17,T17),IF(O17&gt;0,O17,IF(T17&gt;0,T17,""))),"")</f>
        <v/>
      </c>
      <c r="V17" s="71" t="n">
        <v>26.44</v>
      </c>
      <c r="W17" s="23" t="inlineStr">
        <is>
          <t>fornecedor</t>
        </is>
      </c>
      <c r="X17" s="23">
        <f>X16*M17</f>
        <v/>
      </c>
      <c r="Y17" s="29">
        <f>Y16</f>
        <v/>
      </c>
      <c r="Z17" s="50">
        <f>IFERROR(X17+V17,"")</f>
        <v/>
      </c>
      <c r="AA17" s="50">
        <f>IFERROR(IF(Y17&lt;1,Z17/(1-Y17),""),"")</f>
        <v/>
      </c>
      <c r="AB17" s="15">
        <f>'01_CONFIG_GLOBAL'!$C$14</f>
        <v/>
      </c>
      <c r="AC17" s="23">
        <f>IFERROR(AA17*AB17,"")</f>
        <v/>
      </c>
      <c r="AD17" s="23">
        <f>IFERROR(IF(AB17&lt;1,AA17/(1-AB17),""),"")</f>
        <v/>
      </c>
      <c r="AE17" s="23" t="n"/>
      <c r="AF17" s="23" t="n"/>
      <c r="AG17" s="23" t="n"/>
      <c r="AH17" s="23" t="n"/>
      <c r="AI17" s="31" t="n"/>
      <c r="AJ17" s="31" t="n"/>
      <c r="AK17" s="31" t="n"/>
      <c r="AL17" s="31" t="n"/>
      <c r="AM17" s="31" t="inlineStr">
        <is>
          <t>sim</t>
        </is>
      </c>
      <c r="AN17" s="34" t="n"/>
      <c r="AO17" s="34" t="n"/>
      <c r="AP17" s="36" t="n"/>
      <c r="AQ17" s="23">
        <f>IF(AND(M17&lt;&gt;"",M17&gt;1),A17&amp;"-KIT"&amp;M17,A17)</f>
        <v/>
      </c>
      <c r="AR17" s="36">
        <f>IF(AND(M17&lt;&gt;"",M17&gt;1),D17&amp;" — Kit "&amp;M17&amp;" unidades",D17)</f>
        <v/>
      </c>
      <c r="AS17" s="39" t="inlineStr">
        <is>
          <t>JOHN_DEERE_N276747_ecommerce.png</t>
        </is>
      </c>
      <c r="AT17" s="41" t="n"/>
      <c r="AU17" s="41" t="n"/>
      <c r="AV17" s="43" t="n"/>
      <c r="AW17" s="41" t="n"/>
      <c r="AX17" s="41" t="n"/>
      <c r="AY17" s="23" t="n"/>
      <c r="AZ17" s="36" t="n"/>
      <c r="BA17" s="23" t="n"/>
      <c r="BB17" s="36" t="n"/>
      <c r="BC17" s="23" t="n"/>
      <c r="BD17" s="36" t="n"/>
      <c r="BE17" s="41" t="n"/>
      <c r="BF17" s="29" t="n"/>
      <c r="BG17" s="23" t="n"/>
      <c r="BH17" s="23" t="n"/>
      <c r="BI17" s="23" t="n"/>
      <c r="BJ17" s="23" t="n"/>
      <c r="BK17" s="44" t="n"/>
      <c r="BL17" s="44" t="n"/>
    </row>
    <row r="18">
      <c r="A18" s="1" t="inlineStr">
        <is>
          <t>A56254</t>
        </is>
      </c>
      <c r="B18" s="1" t="inlineStr">
        <is>
          <t>A56254</t>
        </is>
      </c>
      <c r="C18" s="1" t="inlineStr">
        <is>
          <t>aro-tampa-reservatorio-central-de-sementes</t>
        </is>
      </c>
      <c r="D18" s="1" t="inlineStr">
        <is>
          <t>Aro da Tampa do Reservatório Central de Sementes - John Deere A56254 | Plantadeira</t>
        </is>
      </c>
      <c r="E18" s="1" t="inlineStr">
        <is>
          <t>Peças Plásticas Injetadas</t>
        </is>
      </c>
      <c r="F18" s="1" t="inlineStr">
        <is>
          <t>APP</t>
        </is>
      </c>
      <c r="G18" s="1" t="n"/>
      <c r="H18" s="23" t="inlineStr">
        <is>
          <t>active</t>
        </is>
      </c>
      <c r="I18" s="1" t="inlineStr">
        <is>
          <t>JOHN DEERE</t>
        </is>
      </c>
      <c r="J18" s="1" t="inlineStr">
        <is>
          <t>PLANTADEIRA</t>
        </is>
      </c>
      <c r="K18" s="1">
        <f>LOWER(CONCATENATE("Peças Plastica para ",J18," ",D18))</f>
        <v/>
      </c>
      <c r="L18" s="1" t="n"/>
      <c r="M18" s="70" t="n">
        <v>1</v>
      </c>
      <c r="N18" s="70" t="n">
        <v>5</v>
      </c>
      <c r="O18" s="70" t="n">
        <v>0.22</v>
      </c>
      <c r="P18" s="18" t="n">
        <v>61.9</v>
      </c>
      <c r="Q18" s="18" t="n">
        <v>61.9</v>
      </c>
      <c r="R18" s="54" t="n">
        <v>4.1</v>
      </c>
      <c r="S18" s="54">
        <f>IFERROR(IF(AND(P18&gt;0,Q18&gt;0,R18&gt;0),(P18*Q18*R18)/6000,""),"")</f>
        <v/>
      </c>
      <c r="T18" s="34">
        <f>IFERROR(IF(AND(P18&gt;0,Q18&gt;0,R18&gt;0),(P18*Q18*R18)/6000,""),"")</f>
        <v/>
      </c>
      <c r="U18" s="55">
        <f>IFERROR(IF(AND(O18&gt;0,T18&gt;0),MAX(O18,T18),IF(O18&gt;0,O18,IF(T18&gt;0,T18,""))),"")</f>
        <v/>
      </c>
      <c r="V18" s="71" t="n">
        <v>23.66</v>
      </c>
      <c r="W18" s="23" t="inlineStr">
        <is>
          <t>fornecedor</t>
        </is>
      </c>
      <c r="X18" s="23" t="n">
        <v>50</v>
      </c>
      <c r="Y18" s="29" t="n">
        <v>0.3</v>
      </c>
      <c r="Z18" s="50">
        <f>IFERROR(X18+V18,"")</f>
        <v/>
      </c>
      <c r="AA18" s="50">
        <f>IFERROR(IF(Y18&lt;1,Z18/(1-Y18),""),"")</f>
        <v/>
      </c>
      <c r="AB18" s="15">
        <f>'01_CONFIG_GLOBAL'!$C$14</f>
        <v/>
      </c>
      <c r="AC18" s="23">
        <f>IFERROR(AA18*AB18,"")</f>
        <v/>
      </c>
      <c r="AD18" s="23">
        <f>IFERROR(IF(AB18&lt;1,AA18/(1-AB18),""),"")</f>
        <v/>
      </c>
      <c r="AE18" s="23" t="n"/>
      <c r="AF18" s="23" t="n"/>
      <c r="AG18" s="23" t="n"/>
      <c r="AH18" s="23" t="n"/>
      <c r="AI18" s="31" t="n"/>
      <c r="AJ18" s="31" t="n"/>
      <c r="AK18" s="31" t="n"/>
      <c r="AL18" s="31" t="n"/>
      <c r="AM18" s="31" t="inlineStr">
        <is>
          <t>sim</t>
        </is>
      </c>
      <c r="AN18" s="34" t="n"/>
      <c r="AO18" s="34" t="n"/>
      <c r="AP18" s="36" t="inlineStr">
        <is>
          <t>Fotos: assets/JOHN_DEERE_A56254_ecommerce.png</t>
        </is>
      </c>
      <c r="AQ18" s="23">
        <f>IF(AND(M18&lt;&gt;"",M18&gt;1),A18&amp;"-KIT"&amp;M18,A18)</f>
        <v/>
      </c>
      <c r="AR18" s="36">
        <f>IF(AND(M18&lt;&gt;"",M18&gt;1),D18&amp;" — Kit "&amp;M18&amp;" unidades",D18)</f>
        <v/>
      </c>
      <c r="AS18" s="39" t="inlineStr">
        <is>
          <t>JOHN_DEERE_A56254_ecommerce.png</t>
        </is>
      </c>
      <c r="AT18" s="41" t="n"/>
      <c r="AU18" s="41" t="n"/>
      <c r="AV18" s="43" t="n"/>
      <c r="AW18" s="41" t="n"/>
      <c r="AX18" s="41" t="n"/>
      <c r="AY18" s="23" t="n"/>
      <c r="AZ18" s="36" t="n"/>
      <c r="BA18" s="23" t="n"/>
      <c r="BB18" s="36" t="n"/>
      <c r="BC18" s="23" t="n"/>
      <c r="BD18" s="36" t="n"/>
      <c r="BE18" s="41" t="n"/>
      <c r="BF18" s="29" t="n"/>
      <c r="BG18" s="23" t="n"/>
      <c r="BH18" s="23" t="n"/>
      <c r="BI18" s="23" t="n"/>
      <c r="BJ18" s="23" t="n"/>
      <c r="BK18" s="44" t="n"/>
      <c r="BL18" s="44" t="n"/>
    </row>
    <row r="19">
      <c r="A19" s="1" t="inlineStr">
        <is>
          <t>CQ59313</t>
        </is>
      </c>
      <c r="B19" s="1" t="inlineStr">
        <is>
          <t>CQ59313</t>
        </is>
      </c>
      <c r="C19" s="1" t="inlineStr">
        <is>
          <t>caixa-de-sementes-mini-hooper</t>
        </is>
      </c>
      <c r="D19" s="1" t="inlineStr">
        <is>
          <t>Caixa de Sementes Mini Hopper - John Deere CQ59313 | Plantadeira a Vácuo</t>
        </is>
      </c>
      <c r="E19" s="1" t="inlineStr">
        <is>
          <t>Peças Plásticas Injetadas</t>
        </is>
      </c>
      <c r="F19" s="1" t="inlineStr">
        <is>
          <t>APP</t>
        </is>
      </c>
      <c r="G19" s="1" t="n"/>
      <c r="H19" s="23" t="inlineStr">
        <is>
          <t>active</t>
        </is>
      </c>
      <c r="I19" s="1" t="inlineStr">
        <is>
          <t>JOHN DEERE</t>
        </is>
      </c>
      <c r="J19" s="1" t="inlineStr">
        <is>
          <t>PLANTADEIRA</t>
        </is>
      </c>
      <c r="K19" s="1">
        <f>LOWER(CONCATENATE("Peças Plastica para ",J19," ",D19))</f>
        <v/>
      </c>
      <c r="L19" s="1" t="n"/>
      <c r="M19" s="70" t="n">
        <v>1</v>
      </c>
      <c r="N19" s="70" t="n">
        <v>5</v>
      </c>
      <c r="O19" s="70" t="n">
        <v>0.26</v>
      </c>
      <c r="P19" s="18" t="n">
        <v>11.2</v>
      </c>
      <c r="Q19" s="18" t="n">
        <v>20</v>
      </c>
      <c r="R19" s="54" t="n">
        <v>13.6</v>
      </c>
      <c r="S19" s="54">
        <f>IFERROR(IF(AND(P19&gt;0,Q19&gt;0,R19&gt;0),(P19*Q19*R19)/6000,""),"")</f>
        <v/>
      </c>
      <c r="T19" s="34">
        <f>IFERROR(IF(AND(P19&gt;0,Q19&gt;0,R19&gt;0),(P19*Q19*R19)/6000,""),"")</f>
        <v/>
      </c>
      <c r="U19" s="55">
        <f>IFERROR(IF(AND(O19&gt;0,T19&gt;0),MAX(O19,T19),IF(O19&gt;0,O19,IF(T19&gt;0,T19,""))),"")</f>
        <v/>
      </c>
      <c r="V19" s="71" t="n">
        <v>17.89</v>
      </c>
      <c r="W19" s="23" t="inlineStr">
        <is>
          <t>fornecedor</t>
        </is>
      </c>
      <c r="X19" s="23" t="n">
        <v>27</v>
      </c>
      <c r="Y19" s="29" t="n">
        <v>0.3</v>
      </c>
      <c r="Z19" s="50">
        <f>IFERROR(X19+V19,"")</f>
        <v/>
      </c>
      <c r="AA19" s="50">
        <f>IFERROR(IF(Y19&lt;1,Z19/(1-Y19),""),"")</f>
        <v/>
      </c>
      <c r="AB19" s="15">
        <f>'01_CONFIG_GLOBAL'!$C$14</f>
        <v/>
      </c>
      <c r="AC19" s="23">
        <f>IFERROR(AA19*AB19,"")</f>
        <v/>
      </c>
      <c r="AD19" s="23">
        <f>IFERROR(IF(AB19&lt;1,AA19/(1-AB19),""),"")</f>
        <v/>
      </c>
      <c r="AE19" s="23" t="n"/>
      <c r="AF19" s="23" t="n"/>
      <c r="AG19" s="23" t="n"/>
      <c r="AH19" s="23" t="n"/>
      <c r="AI19" s="31" t="n"/>
      <c r="AJ19" s="31" t="n"/>
      <c r="AK19" s="31" t="n"/>
      <c r="AL19" s="31" t="n"/>
      <c r="AM19" s="31" t="inlineStr">
        <is>
          <t>sim</t>
        </is>
      </c>
      <c r="AN19" s="34" t="n"/>
      <c r="AO19" s="34" t="n"/>
      <c r="AP19" s="36" t="inlineStr">
        <is>
          <t>Fotos: assets/JOHN_DEERE_CQ59313_ecommerce.png</t>
        </is>
      </c>
      <c r="AQ19" s="23">
        <f>IF(AND(M19&lt;&gt;"",M19&gt;1),A19&amp;"-KIT"&amp;M19,A19)</f>
        <v/>
      </c>
      <c r="AR19" s="36">
        <f>IF(AND(M19&lt;&gt;"",M19&gt;1),D19&amp;" — Kit "&amp;M19&amp;" unidades",D19)</f>
        <v/>
      </c>
      <c r="AS19" s="39" t="inlineStr">
        <is>
          <t>JOHN_DEERE_CQ59313_ecommerce.png</t>
        </is>
      </c>
      <c r="AT19" s="41" t="n"/>
      <c r="AU19" s="41" t="n"/>
      <c r="AV19" s="43" t="n"/>
      <c r="AW19" s="41" t="n"/>
      <c r="AX19" s="41" t="n"/>
      <c r="AY19" s="23" t="n"/>
      <c r="AZ19" s="36" t="n"/>
      <c r="BA19" s="23" t="n"/>
      <c r="BB19" s="36" t="n"/>
      <c r="BC19" s="23" t="n"/>
      <c r="BD19" s="36" t="n"/>
      <c r="BE19" s="41" t="n"/>
      <c r="BF19" s="29" t="n"/>
      <c r="BG19" s="23" t="n"/>
      <c r="BH19" s="23" t="n"/>
      <c r="BI19" s="23" t="n"/>
      <c r="BJ19" s="23" t="n"/>
      <c r="BK19" s="44" t="n"/>
      <c r="BL19" s="44" t="n"/>
    </row>
    <row r="20">
      <c r="A20" s="1" t="inlineStr">
        <is>
          <t>CQ65827</t>
        </is>
      </c>
      <c r="B20" s="1" t="inlineStr">
        <is>
          <t>CQ65827</t>
        </is>
      </c>
      <c r="C20" s="1" t="inlineStr">
        <is>
          <t>condutor-jd</t>
        </is>
      </c>
      <c r="D20" s="1" t="inlineStr">
        <is>
          <t>Condutor de Adubo - John Deere CQ65827 | Plantadeiras Séries 1100/2100</t>
        </is>
      </c>
      <c r="E20" s="1" t="inlineStr">
        <is>
          <t>Peças Plásticas Injetadas</t>
        </is>
      </c>
      <c r="F20" s="1" t="inlineStr">
        <is>
          <t>APP</t>
        </is>
      </c>
      <c r="G20" s="1" t="n"/>
      <c r="H20" s="23" t="inlineStr">
        <is>
          <t>active</t>
        </is>
      </c>
      <c r="I20" s="1" t="inlineStr">
        <is>
          <t>JOHN DEERE</t>
        </is>
      </c>
      <c r="J20" s="1" t="inlineStr">
        <is>
          <t>PLANTADEIRA</t>
        </is>
      </c>
      <c r="K20" s="1">
        <f>LOWER(CONCATENATE("Peças Plastica para ",J20," ",D20))</f>
        <v/>
      </c>
      <c r="L20" s="1" t="n"/>
      <c r="M20" s="70" t="n">
        <v>1</v>
      </c>
      <c r="N20" s="70" t="n">
        <v>5</v>
      </c>
      <c r="O20" s="70" t="n">
        <v>0.09</v>
      </c>
      <c r="P20" s="18" t="n">
        <v>9</v>
      </c>
      <c r="Q20" s="18" t="n">
        <v>33</v>
      </c>
      <c r="R20" s="54" t="n">
        <v>6.5</v>
      </c>
      <c r="S20" s="54">
        <f>IFERROR(IF(AND(P20&gt;0,Q20&gt;0,R20&gt;0),(P20*Q20*R20)/6000,""),"")</f>
        <v/>
      </c>
      <c r="T20" s="34">
        <f>IFERROR(IF(AND(P20&gt;0,Q20&gt;0,R20&gt;0),(P20*Q20*R20)/6000,""),"")</f>
        <v/>
      </c>
      <c r="U20" s="55">
        <f>IFERROR(IF(AND(O20&gt;0,T20&gt;0),MAX(O20,T20),IF(O20&gt;0,O20,IF(T20&gt;0,T20,""))),"")</f>
        <v/>
      </c>
      <c r="V20" s="71" t="n">
        <v>1.96</v>
      </c>
      <c r="W20" s="23" t="inlineStr">
        <is>
          <t>fornecedor</t>
        </is>
      </c>
      <c r="X20" s="23" t="n">
        <v>4.1</v>
      </c>
      <c r="Y20" s="29" t="n">
        <v>0.3</v>
      </c>
      <c r="Z20" s="50">
        <f>IFERROR(X20+V20,"")</f>
        <v/>
      </c>
      <c r="AA20" s="50">
        <f>IFERROR(IF(Y20&lt;1,Z20/(1-Y20),""),"")</f>
        <v/>
      </c>
      <c r="AB20" s="15">
        <f>'01_CONFIG_GLOBAL'!$C$14</f>
        <v/>
      </c>
      <c r="AC20" s="23">
        <f>IFERROR(AA20*AB20,"")</f>
        <v/>
      </c>
      <c r="AD20" s="23">
        <f>IFERROR(IF(AB20&lt;1,AA20/(1-AB20),""),"")</f>
        <v/>
      </c>
      <c r="AE20" s="23" t="n"/>
      <c r="AF20" s="23" t="n"/>
      <c r="AG20" s="23" t="n"/>
      <c r="AH20" s="23" t="n"/>
      <c r="AI20" s="31" t="n"/>
      <c r="AJ20" s="31" t="n"/>
      <c r="AK20" s="31" t="n"/>
      <c r="AL20" s="31" t="n"/>
      <c r="AM20" s="31" t="inlineStr">
        <is>
          <t>sim</t>
        </is>
      </c>
      <c r="AN20" s="34" t="n"/>
      <c r="AO20" s="34" t="n"/>
      <c r="AP20" s="36" t="inlineStr">
        <is>
          <t>Fotos: assets/JOHN_DEERE_CQ65827_ecommerce.png</t>
        </is>
      </c>
      <c r="AQ20" s="23">
        <f>IF(AND(M20&lt;&gt;"",M20&gt;1),A20&amp;"-KIT"&amp;M20,A20)</f>
        <v/>
      </c>
      <c r="AR20" s="36">
        <f>IF(AND(M20&lt;&gt;"",M20&gt;1),D20&amp;" — Kit "&amp;M20&amp;" unidades",D20)</f>
        <v/>
      </c>
      <c r="AS20" s="39" t="inlineStr">
        <is>
          <t>JOHN_DEERE_CQ65827_ecommerce.png</t>
        </is>
      </c>
      <c r="AT20" s="41" t="n"/>
      <c r="AU20" s="41" t="n"/>
      <c r="AV20" s="43" t="n"/>
      <c r="AW20" s="41" t="n"/>
      <c r="AX20" s="41" t="n"/>
      <c r="AY20" s="23" t="n"/>
      <c r="AZ20" s="36" t="n"/>
      <c r="BA20" s="23" t="n"/>
      <c r="BB20" s="36" t="n"/>
      <c r="BC20" s="23" t="n"/>
      <c r="BD20" s="36" t="n"/>
      <c r="BE20" s="41" t="n"/>
      <c r="BF20" s="29" t="n"/>
      <c r="BG20" s="23" t="n"/>
      <c r="BH20" s="23" t="n"/>
      <c r="BI20" s="23" t="n"/>
      <c r="BJ20" s="23" t="n"/>
      <c r="BK20" s="44" t="n"/>
      <c r="BL20" s="44" t="n"/>
    </row>
    <row r="21" ht="15.75" customHeight="1" s="93">
      <c r="A21" s="1" t="inlineStr">
        <is>
          <t>CQ65827</t>
        </is>
      </c>
      <c r="B21" s="1" t="inlineStr">
        <is>
          <t>CQ65827</t>
        </is>
      </c>
      <c r="C21" s="1" t="inlineStr">
        <is>
          <t>condutor-jd</t>
        </is>
      </c>
      <c r="D21" s="1" t="inlineStr">
        <is>
          <t>Condutor de Adubo - John Deere CQ65827 | Plantadeiras Séries 1100/2100</t>
        </is>
      </c>
      <c r="E21" s="1" t="inlineStr">
        <is>
          <t>Peças Plásticas Injetadas</t>
        </is>
      </c>
      <c r="F21" s="1" t="inlineStr">
        <is>
          <t>APP</t>
        </is>
      </c>
      <c r="G21" s="1" t="n"/>
      <c r="H21" s="23" t="inlineStr">
        <is>
          <t>active</t>
        </is>
      </c>
      <c r="I21" s="1" t="inlineStr">
        <is>
          <t>JOHN DEERE</t>
        </is>
      </c>
      <c r="J21" s="1" t="inlineStr">
        <is>
          <t>PLANTADEIRA</t>
        </is>
      </c>
      <c r="K21" s="1">
        <f>LOWER(CONCATENATE("Peças Plastica para ",J21," ",D21))</f>
        <v/>
      </c>
      <c r="L21" s="1" t="n"/>
      <c r="M21" s="70" t="n">
        <v>50</v>
      </c>
      <c r="N21" s="70" t="n">
        <v>5</v>
      </c>
      <c r="O21" s="70">
        <f>0.09*M21</f>
        <v/>
      </c>
      <c r="P21" s="18" t="n">
        <v>50</v>
      </c>
      <c r="Q21" s="18" t="n">
        <v>35</v>
      </c>
      <c r="R21" s="54" t="n">
        <v>70</v>
      </c>
      <c r="S21" s="54">
        <f>IFERROR(IF(AND(P21&gt;0,Q21&gt;0,R21&gt;0),(P21*Q21*R21)/6000,""),"")</f>
        <v/>
      </c>
      <c r="T21" s="34">
        <f>IFERROR(IF(AND(P21&gt;0,Q21&gt;0,R21&gt;0),(P21*Q21*R21)/6000,""),"")</f>
        <v/>
      </c>
      <c r="U21" s="55">
        <f>IFERROR(IF(AND(O21&gt;0,T21&gt;0),MAX(O21,T21),IF(O21&gt;0,O21,IF(T21&gt;0,T21,""))),"")</f>
        <v/>
      </c>
      <c r="V21" s="71" t="n">
        <v>98.23</v>
      </c>
      <c r="W21" s="23" t="inlineStr">
        <is>
          <t>fornecedor</t>
        </is>
      </c>
      <c r="X21" s="23">
        <f>X20*M21</f>
        <v/>
      </c>
      <c r="Y21" s="29">
        <f>Y20</f>
        <v/>
      </c>
      <c r="Z21" s="50">
        <f>IFERROR(X21+V21,"")</f>
        <v/>
      </c>
      <c r="AA21" s="50">
        <f>IFERROR(IF(Y21&lt;1,Z21/(1-Y21),""),"")</f>
        <v/>
      </c>
      <c r="AB21" s="15">
        <f>'01_CONFIG_GLOBAL'!$C$14</f>
        <v/>
      </c>
      <c r="AC21" s="23">
        <f>IFERROR(AA21*AB21,"")</f>
        <v/>
      </c>
      <c r="AD21" s="23">
        <f>IFERROR(IF(AB21&lt;1,AA21/(1-AB21),""),"")</f>
        <v/>
      </c>
      <c r="AE21" s="23" t="n"/>
      <c r="AF21" s="23" t="n"/>
      <c r="AG21" s="23" t="n"/>
      <c r="AH21" s="23" t="n"/>
      <c r="AI21" s="31" t="n"/>
      <c r="AJ21" s="31" t="n"/>
      <c r="AK21" s="31" t="n"/>
      <c r="AL21" s="31" t="n"/>
      <c r="AM21" s="31" t="inlineStr">
        <is>
          <t>sim</t>
        </is>
      </c>
      <c r="AN21" s="34" t="n"/>
      <c r="AO21" s="34" t="n"/>
      <c r="AP21" s="36" t="n"/>
      <c r="AQ21" s="23">
        <f>IF(AND(M21&lt;&gt;"",M21&gt;1),A21&amp;"-KIT"&amp;M21,A21)</f>
        <v/>
      </c>
      <c r="AR21" s="36">
        <f>IF(AND(M21&lt;&gt;"",M21&gt;1),D21&amp;" — Kit "&amp;M21&amp;" unidades",D21)</f>
        <v/>
      </c>
      <c r="AS21" s="39" t="inlineStr">
        <is>
          <t>JOHN_DEERE_CQ65827_ecommerce.png</t>
        </is>
      </c>
      <c r="AT21" s="41" t="n"/>
      <c r="AU21" s="41" t="n"/>
      <c r="AV21" s="43" t="n"/>
      <c r="AW21" s="41" t="n"/>
      <c r="AX21" s="41" t="n"/>
      <c r="AY21" s="23" t="n"/>
      <c r="AZ21" s="36" t="n"/>
      <c r="BA21" s="23" t="n"/>
      <c r="BB21" s="36" t="n"/>
      <c r="BC21" s="23" t="n"/>
      <c r="BD21" s="36" t="n"/>
      <c r="BE21" s="41" t="n"/>
      <c r="BF21" s="29" t="n"/>
      <c r="BG21" s="23" t="n"/>
      <c r="BH21" s="23" t="n"/>
      <c r="BI21" s="23" t="n"/>
      <c r="BJ21" s="23" t="n"/>
      <c r="BK21" s="44" t="n"/>
      <c r="BL21" s="44" t="n"/>
    </row>
    <row r="22" ht="15.75" customHeight="1" s="93">
      <c r="A22" s="1" t="inlineStr">
        <is>
          <t>CQ54137</t>
        </is>
      </c>
      <c r="B22" s="1" t="inlineStr">
        <is>
          <t>CQ54137</t>
        </is>
      </c>
      <c r="C22" s="1" t="inlineStr">
        <is>
          <t>condutor-john-deere</t>
        </is>
      </c>
      <c r="D22" s="1" t="inlineStr">
        <is>
          <t>Condutor de Sementes em S - John Deere CQ54137 | Plantadeira</t>
        </is>
      </c>
      <c r="E22" s="1" t="inlineStr">
        <is>
          <t>Peças Plásticas Injetadas</t>
        </is>
      </c>
      <c r="F22" s="1" t="inlineStr">
        <is>
          <t>APP</t>
        </is>
      </c>
      <c r="G22" s="1" t="n"/>
      <c r="H22" s="23" t="inlineStr">
        <is>
          <t>active</t>
        </is>
      </c>
      <c r="I22" s="1" t="inlineStr">
        <is>
          <t>JOHN DEERE</t>
        </is>
      </c>
      <c r="J22" s="1" t="inlineStr">
        <is>
          <t>PLANTADEIRA</t>
        </is>
      </c>
      <c r="K22" s="1">
        <f>LOWER(CONCATENATE("Peças Plastica para ",J22," ",D22))</f>
        <v/>
      </c>
      <c r="L22" s="1" t="n"/>
      <c r="M22" s="70" t="n">
        <v>1</v>
      </c>
      <c r="N22" s="70" t="n">
        <v>5</v>
      </c>
      <c r="O22" s="70" t="n">
        <v>0.075</v>
      </c>
      <c r="P22" s="18" t="n">
        <v>22</v>
      </c>
      <c r="Q22" s="18" t="n">
        <v>7</v>
      </c>
      <c r="R22" s="54" t="n">
        <v>6</v>
      </c>
      <c r="S22" s="54">
        <f>IFERROR(IF(AND(P22&gt;0,Q22&gt;0,R22&gt;0),(P22*Q22*R22)/6000,""),"")</f>
        <v/>
      </c>
      <c r="T22" s="34">
        <f>IFERROR(IF(AND(P22&gt;0,Q22&gt;0,R22&gt;0),(P22*Q22*R22)/6000,""),"")</f>
        <v/>
      </c>
      <c r="U22" s="55">
        <f>IFERROR(IF(AND(O22&gt;0,T22&gt;0),MAX(O22,T22),IF(O22&gt;0,O22,IF(T22&gt;0,T22,""))),"")</f>
        <v/>
      </c>
      <c r="V22" s="71" t="n">
        <v>1.19</v>
      </c>
      <c r="W22" s="23" t="inlineStr">
        <is>
          <t>fornecedor</t>
        </is>
      </c>
      <c r="X22" s="23" t="n">
        <v>4.5</v>
      </c>
      <c r="Y22" s="29" t="n">
        <v>0.3</v>
      </c>
      <c r="Z22" s="50">
        <f>IFERROR(X22+V22,"")</f>
        <v/>
      </c>
      <c r="AA22" s="50">
        <f>IFERROR(IF(Y22&lt;1,Z22/(1-Y22),""),"")</f>
        <v/>
      </c>
      <c r="AB22" s="15">
        <f>'01_CONFIG_GLOBAL'!$C$14</f>
        <v/>
      </c>
      <c r="AC22" s="23">
        <f>IFERROR(AA22*AB22,"")</f>
        <v/>
      </c>
      <c r="AD22" s="23">
        <f>IFERROR(IF(AB22&lt;1,AA22/(1-AB22),""),"")</f>
        <v/>
      </c>
      <c r="AE22" s="23" t="n"/>
      <c r="AF22" s="23" t="n"/>
      <c r="AG22" s="23" t="n"/>
      <c r="AH22" s="23" t="n"/>
      <c r="AI22" s="31" t="n"/>
      <c r="AJ22" s="31" t="n"/>
      <c r="AK22" s="31" t="n"/>
      <c r="AL22" s="31" t="n"/>
      <c r="AM22" s="31" t="inlineStr">
        <is>
          <t>sim</t>
        </is>
      </c>
      <c r="AN22" s="34" t="n"/>
      <c r="AO22" s="34" t="n"/>
      <c r="AP22" s="36" t="inlineStr">
        <is>
          <t>Fotos: assets/JOHN_DEERE_CQ54137_ecommerce.png</t>
        </is>
      </c>
      <c r="AQ22" s="23">
        <f>IF(AND(M22&lt;&gt;"",M22&gt;1),A22&amp;"-KIT"&amp;M22,A22)</f>
        <v/>
      </c>
      <c r="AR22" s="36">
        <f>IF(AND(M22&lt;&gt;"",M22&gt;1),D22&amp;" — Kit "&amp;M22&amp;" unidades",D22)</f>
        <v/>
      </c>
      <c r="AS22" s="39" t="inlineStr">
        <is>
          <t>JOHN_DEERE_CQ54137_ecommerce.png</t>
        </is>
      </c>
      <c r="AT22" s="41" t="n"/>
      <c r="AU22" s="41" t="n"/>
      <c r="AV22" s="43" t="n"/>
      <c r="AW22" s="41" t="n"/>
      <c r="AX22" s="41" t="n"/>
      <c r="AY22" s="23" t="n"/>
      <c r="AZ22" s="36" t="n"/>
      <c r="BA22" s="23" t="n"/>
      <c r="BB22" s="36" t="n"/>
      <c r="BC22" s="23" t="n"/>
      <c r="BD22" s="36" t="n"/>
      <c r="BE22" s="41" t="n"/>
      <c r="BF22" s="29" t="n"/>
      <c r="BG22" s="23" t="n"/>
      <c r="BH22" s="23" t="n"/>
      <c r="BI22" s="23" t="n"/>
      <c r="BJ22" s="23" t="n"/>
      <c r="BK22" s="44" t="n"/>
      <c r="BL22" s="44" t="n"/>
    </row>
    <row r="23" ht="15.75" customHeight="1" s="93">
      <c r="A23" s="1" t="inlineStr">
        <is>
          <t>CQ54137</t>
        </is>
      </c>
      <c r="B23" s="1" t="inlineStr">
        <is>
          <t>CQ54137</t>
        </is>
      </c>
      <c r="C23" s="1" t="inlineStr">
        <is>
          <t>condutor-john-deere</t>
        </is>
      </c>
      <c r="D23" s="1" t="inlineStr">
        <is>
          <t>Condutor de Sementes em S - John Deere CQ54137 | Plantadeira</t>
        </is>
      </c>
      <c r="E23" s="1" t="inlineStr">
        <is>
          <t>Peças Plásticas Injetadas</t>
        </is>
      </c>
      <c r="F23" s="1" t="inlineStr">
        <is>
          <t>APP</t>
        </is>
      </c>
      <c r="G23" s="1" t="n"/>
      <c r="H23" s="23" t="inlineStr">
        <is>
          <t>active</t>
        </is>
      </c>
      <c r="I23" s="1" t="inlineStr">
        <is>
          <t>JOHN DEERE</t>
        </is>
      </c>
      <c r="J23" s="1" t="inlineStr">
        <is>
          <t>PLANTADEIRA</t>
        </is>
      </c>
      <c r="K23" s="1">
        <f>LOWER(CONCATENATE("Peças Plastica para ",J23," ",D23))</f>
        <v/>
      </c>
      <c r="L23" s="1" t="n"/>
      <c r="M23" s="70" t="n">
        <v>50</v>
      </c>
      <c r="N23" s="70" t="n">
        <v>5</v>
      </c>
      <c r="O23" s="70">
        <f>0.075*M23</f>
        <v/>
      </c>
      <c r="P23" s="18" t="n">
        <v>50</v>
      </c>
      <c r="Q23" s="18" t="n">
        <v>40</v>
      </c>
      <c r="R23" s="54" t="n">
        <v>35</v>
      </c>
      <c r="S23" s="54">
        <f>IFERROR(IF(AND(P23&gt;0,Q23&gt;0,R23&gt;0),(P23*Q23*R23)/6000,""),"")</f>
        <v/>
      </c>
      <c r="T23" s="34">
        <f>IFERROR(IF(AND(P23&gt;0,Q23&gt;0,R23&gt;0),(P23*Q23*R23)/6000,""),"")</f>
        <v/>
      </c>
      <c r="U23" s="55">
        <f>IFERROR(IF(AND(O23&gt;0,T23&gt;0),MAX(O23,T23),IF(O23&gt;0,O23,IF(T23&gt;0,T23,""))),"")</f>
        <v/>
      </c>
      <c r="V23" s="71" t="n">
        <v>59.27</v>
      </c>
      <c r="W23" s="23" t="inlineStr">
        <is>
          <t>fornecedor</t>
        </is>
      </c>
      <c r="X23" s="23">
        <f>X22*M23</f>
        <v/>
      </c>
      <c r="Y23" s="29">
        <f>Y22</f>
        <v/>
      </c>
      <c r="Z23" s="50">
        <f>IFERROR(X23+V23,"")</f>
        <v/>
      </c>
      <c r="AA23" s="50">
        <f>IFERROR(IF(Y23&lt;1,Z23/(1-Y23),""),"")</f>
        <v/>
      </c>
      <c r="AB23" s="15">
        <f>'01_CONFIG_GLOBAL'!$C$14</f>
        <v/>
      </c>
      <c r="AC23" s="23">
        <f>IFERROR(AA23*AB23,"")</f>
        <v/>
      </c>
      <c r="AD23" s="23">
        <f>IFERROR(IF(AB23&lt;1,AA23/(1-AB23),""),"")</f>
        <v/>
      </c>
      <c r="AE23" s="23" t="n"/>
      <c r="AF23" s="23" t="n"/>
      <c r="AG23" s="23" t="n"/>
      <c r="AH23" s="23" t="n"/>
      <c r="AI23" s="31" t="n"/>
      <c r="AJ23" s="31" t="n"/>
      <c r="AK23" s="31" t="n"/>
      <c r="AL23" s="31" t="n"/>
      <c r="AM23" s="31" t="inlineStr">
        <is>
          <t>sim</t>
        </is>
      </c>
      <c r="AN23" s="34" t="n"/>
      <c r="AO23" s="34" t="n"/>
      <c r="AP23" s="36" t="n"/>
      <c r="AQ23" s="23">
        <f>IF(AND(M23&lt;&gt;"",M23&gt;1),A23&amp;"-KIT"&amp;M23,A23)</f>
        <v/>
      </c>
      <c r="AR23" s="36">
        <f>IF(AND(M23&lt;&gt;"",M23&gt;1),D23&amp;" — Kit "&amp;M23&amp;" unidades",D23)</f>
        <v/>
      </c>
      <c r="AS23" s="39" t="inlineStr">
        <is>
          <t>JOHN_DEERE_CQ54137_ecommerce.png</t>
        </is>
      </c>
      <c r="AT23" s="41" t="n"/>
      <c r="AU23" s="41" t="n"/>
      <c r="AV23" s="43" t="n"/>
      <c r="AW23" s="41" t="n"/>
      <c r="AX23" s="41" t="n"/>
      <c r="AY23" s="23" t="n"/>
      <c r="AZ23" s="36" t="n"/>
      <c r="BA23" s="23" t="n"/>
      <c r="BB23" s="36" t="n"/>
      <c r="BC23" s="23" t="n"/>
      <c r="BD23" s="36" t="n"/>
      <c r="BE23" s="41" t="n"/>
      <c r="BF23" s="29" t="n"/>
      <c r="BG23" s="23" t="n"/>
      <c r="BH23" s="23" t="n"/>
      <c r="BI23" s="23" t="n"/>
      <c r="BJ23" s="23" t="n"/>
      <c r="BK23" s="44" t="n"/>
      <c r="BL23" s="44" t="n"/>
    </row>
    <row r="24" ht="15.75" customHeight="1" s="93">
      <c r="A24" s="1" t="inlineStr">
        <is>
          <t>AA67780</t>
        </is>
      </c>
      <c r="B24" s="1" t="inlineStr">
        <is>
          <t>AA67780</t>
        </is>
      </c>
      <c r="C24" s="1" t="inlineStr">
        <is>
          <t>condutor-john-deere-acrilico</t>
        </is>
      </c>
      <c r="D24" s="1" t="inlineStr">
        <is>
          <t>Condutor de Sementes em Acrílico - John Deere AA67780 | Plantadeira MaxEmerge</t>
        </is>
      </c>
      <c r="E24" s="1" t="inlineStr">
        <is>
          <t>Peças Plásticas Injetadas</t>
        </is>
      </c>
      <c r="F24" s="1" t="inlineStr">
        <is>
          <t>APP</t>
        </is>
      </c>
      <c r="G24" s="1" t="n"/>
      <c r="H24" s="23" t="inlineStr">
        <is>
          <t>active</t>
        </is>
      </c>
      <c r="I24" s="1" t="inlineStr">
        <is>
          <t>JOHN DEERE</t>
        </is>
      </c>
      <c r="J24" s="1" t="inlineStr">
        <is>
          <t>PLANTADEIRA</t>
        </is>
      </c>
      <c r="K24" s="1">
        <f>LOWER(CONCATENATE("Peças Plastica para ",J24," ",D24))</f>
        <v/>
      </c>
      <c r="L24" s="1" t="n"/>
      <c r="M24" s="70" t="n">
        <v>1</v>
      </c>
      <c r="N24" s="70" t="n">
        <v>5</v>
      </c>
      <c r="O24" s="70">
        <f>0.204</f>
        <v/>
      </c>
      <c r="P24" s="18" t="n">
        <v>12</v>
      </c>
      <c r="Q24" s="18" t="n">
        <v>5</v>
      </c>
      <c r="R24" s="54" t="n">
        <v>50</v>
      </c>
      <c r="S24" s="54">
        <f>IFERROR(IF(AND(P24&gt;0,Q24&gt;0,R24&gt;0),(P24*Q24*R24)/6000,""),"")</f>
        <v/>
      </c>
      <c r="T24" s="34">
        <f>IFERROR(IF(AND(P24&gt;0,Q24&gt;0,R24&gt;0),(P24*Q24*R24)/6000,""),"")</f>
        <v/>
      </c>
      <c r="U24" s="55">
        <f>IFERROR(IF(AND(O24&gt;0,T24&gt;0),MAX(O24,T24),IF(O24&gt;0,O24,IF(T24&gt;0,T24,""))),"")</f>
        <v/>
      </c>
      <c r="V24" s="71" t="n">
        <v>3.49</v>
      </c>
      <c r="W24" s="23" t="inlineStr">
        <is>
          <t>fornecedor</t>
        </is>
      </c>
      <c r="X24" s="23" t="n">
        <v>19.5</v>
      </c>
      <c r="Y24" s="29" t="n">
        <v>0.3</v>
      </c>
      <c r="Z24" s="50">
        <f>IFERROR(X24+V24,"")</f>
        <v/>
      </c>
      <c r="AA24" s="50">
        <f>IFERROR(IF(Y24&lt;1,Z24/(1-Y24),""),"")</f>
        <v/>
      </c>
      <c r="AB24" s="15">
        <f>'01_CONFIG_GLOBAL'!$C$14</f>
        <v/>
      </c>
      <c r="AC24" s="23">
        <f>IFERROR(AA24*AB24,"")</f>
        <v/>
      </c>
      <c r="AD24" s="23">
        <f>IFERROR(IF(AB24&lt;1,AA24/(1-AB24),""),"")</f>
        <v/>
      </c>
      <c r="AE24" s="23" t="n"/>
      <c r="AF24" s="23" t="n"/>
      <c r="AG24" s="23" t="n"/>
      <c r="AH24" s="23" t="n"/>
      <c r="AI24" s="31" t="n"/>
      <c r="AJ24" s="31" t="n"/>
      <c r="AK24" s="31" t="n"/>
      <c r="AL24" s="31" t="n"/>
      <c r="AM24" s="31" t="inlineStr">
        <is>
          <t>sim</t>
        </is>
      </c>
      <c r="AN24" s="34" t="n"/>
      <c r="AO24" s="34" t="n"/>
      <c r="AP24" s="36" t="inlineStr">
        <is>
          <t>Fotos: assets/JOHN_DEERE_AA67780_ecommerce.png</t>
        </is>
      </c>
      <c r="AQ24" s="23">
        <f>IF(AND(M24&lt;&gt;"",M24&gt;1),A24&amp;"-KIT"&amp;M24,A24)</f>
        <v/>
      </c>
      <c r="AR24" s="36">
        <f>IF(AND(M24&lt;&gt;"",M24&gt;1),D24&amp;" — Kit "&amp;M24&amp;" unidades",D24)</f>
        <v/>
      </c>
      <c r="AS24" s="39" t="inlineStr">
        <is>
          <t>JOHN_DEERE_AA67780_ecommerce.png</t>
        </is>
      </c>
      <c r="AT24" s="41" t="n"/>
      <c r="AU24" s="41" t="n"/>
      <c r="AV24" s="43" t="n"/>
      <c r="AW24" s="41" t="n"/>
      <c r="AX24" s="41" t="n"/>
      <c r="AY24" s="23" t="n"/>
      <c r="AZ24" s="36" t="n"/>
      <c r="BA24" s="23" t="n"/>
      <c r="BB24" s="36" t="n"/>
      <c r="BC24" s="23" t="n"/>
      <c r="BD24" s="36" t="n"/>
      <c r="BE24" s="41" t="n"/>
      <c r="BF24" s="29" t="n"/>
      <c r="BG24" s="23" t="n"/>
      <c r="BH24" s="23" t="n"/>
      <c r="BI24" s="23" t="n"/>
      <c r="BJ24" s="23" t="n"/>
      <c r="BK24" s="44" t="n"/>
      <c r="BL24" s="44" t="n"/>
    </row>
    <row r="25" ht="15.75" customHeight="1" s="93">
      <c r="A25" s="1" t="inlineStr">
        <is>
          <t>AA67780</t>
        </is>
      </c>
      <c r="B25" s="1" t="inlineStr">
        <is>
          <t>AA67780</t>
        </is>
      </c>
      <c r="C25" s="1" t="inlineStr">
        <is>
          <t>condutor-john-deere-acrilico</t>
        </is>
      </c>
      <c r="D25" s="1" t="inlineStr">
        <is>
          <t>Condutor de Sementes em Acrílico - John Deere AA67780 | Plantadeira MaxEmerge</t>
        </is>
      </c>
      <c r="E25" s="1" t="inlineStr">
        <is>
          <t>Peças Plásticas Injetadas</t>
        </is>
      </c>
      <c r="F25" s="1" t="inlineStr">
        <is>
          <t>APP</t>
        </is>
      </c>
      <c r="G25" s="1" t="n"/>
      <c r="H25" s="23" t="inlineStr">
        <is>
          <t>active</t>
        </is>
      </c>
      <c r="I25" s="1" t="inlineStr">
        <is>
          <t>JOHN DEERE</t>
        </is>
      </c>
      <c r="J25" s="1" t="inlineStr">
        <is>
          <t>PLANTADEIRA</t>
        </is>
      </c>
      <c r="K25" s="1">
        <f>LOWER(CONCATENATE("Peças Plastica para ",J25," ",D25))</f>
        <v/>
      </c>
      <c r="L25" s="1" t="n"/>
      <c r="M25" s="70" t="n">
        <v>10</v>
      </c>
      <c r="N25" s="70" t="n">
        <v>5</v>
      </c>
      <c r="O25" s="70">
        <f>0.204*M25</f>
        <v/>
      </c>
      <c r="P25" s="18" t="n">
        <v>12</v>
      </c>
      <c r="Q25" s="18" t="n">
        <v>50</v>
      </c>
      <c r="R25" s="54" t="n">
        <v>50</v>
      </c>
      <c r="S25" s="54">
        <f>IFERROR(IF(AND(P25&gt;0,Q25&gt;0,R25&gt;0),(P25*Q25*R25)/6000,""),"")</f>
        <v/>
      </c>
      <c r="T25" s="34">
        <f>IFERROR(IF(AND(P25&gt;0,Q25&gt;0,R25&gt;0),(P25*Q25*R25)/6000,""),"")</f>
        <v/>
      </c>
      <c r="U25" s="55">
        <f>IFERROR(IF(AND(O25&gt;0,T25&gt;0),MAX(O25,T25),IF(O25&gt;0,O25,IF(T25&gt;0,T25,""))),"")</f>
        <v/>
      </c>
      <c r="V25" s="71" t="n">
        <v>34.89</v>
      </c>
      <c r="W25" s="23" t="inlineStr">
        <is>
          <t>fornecedor</t>
        </is>
      </c>
      <c r="X25" s="23">
        <f>X24*M25</f>
        <v/>
      </c>
      <c r="Y25" s="29">
        <f>Y24</f>
        <v/>
      </c>
      <c r="Z25" s="50">
        <f>IFERROR(X25+V25,"")</f>
        <v/>
      </c>
      <c r="AA25" s="50">
        <f>IFERROR(IF(Y25&lt;1,Z25/(1-Y25),""),"")</f>
        <v/>
      </c>
      <c r="AB25" s="15">
        <f>'01_CONFIG_GLOBAL'!$C$14</f>
        <v/>
      </c>
      <c r="AC25" s="23">
        <f>IFERROR(AA25*AB25,"")</f>
        <v/>
      </c>
      <c r="AD25" s="23">
        <f>IFERROR(IF(AB25&lt;1,AA25/(1-AB25),""),"")</f>
        <v/>
      </c>
      <c r="AE25" s="23" t="n"/>
      <c r="AF25" s="23" t="n"/>
      <c r="AG25" s="23" t="n"/>
      <c r="AH25" s="23" t="n"/>
      <c r="AI25" s="31" t="n"/>
      <c r="AJ25" s="31" t="n"/>
      <c r="AK25" s="31" t="n"/>
      <c r="AL25" s="31" t="n"/>
      <c r="AM25" s="31" t="inlineStr">
        <is>
          <t>sim</t>
        </is>
      </c>
      <c r="AN25" s="34" t="n"/>
      <c r="AO25" s="34" t="n"/>
      <c r="AP25" s="36" t="n"/>
      <c r="AQ25" s="23">
        <f>IF(AND(M25&lt;&gt;"",M25&gt;1),A25&amp;"-KIT"&amp;M25,A25)</f>
        <v/>
      </c>
      <c r="AR25" s="36">
        <f>IF(AND(M25&lt;&gt;"",M25&gt;1),D25&amp;" — Kit "&amp;M25&amp;" unidades",D25)</f>
        <v/>
      </c>
      <c r="AS25" s="39" t="inlineStr">
        <is>
          <t>JOHN_DEERE_AA67780_ecommerce.png</t>
        </is>
      </c>
      <c r="AT25" s="41" t="n"/>
      <c r="AU25" s="41" t="n"/>
      <c r="AV25" s="43" t="n"/>
      <c r="AW25" s="41" t="n"/>
      <c r="AX25" s="41" t="n"/>
      <c r="AY25" s="23" t="n"/>
      <c r="AZ25" s="36" t="n"/>
      <c r="BA25" s="23" t="n"/>
      <c r="BB25" s="36" t="n"/>
      <c r="BC25" s="23" t="n"/>
      <c r="BD25" s="36" t="n"/>
      <c r="BE25" s="41" t="n"/>
      <c r="BF25" s="29" t="n"/>
      <c r="BG25" s="23" t="n"/>
      <c r="BH25" s="23" t="n"/>
      <c r="BI25" s="23" t="n"/>
      <c r="BJ25" s="23" t="n"/>
      <c r="BK25" s="44" t="n"/>
      <c r="BL25" s="44" t="n"/>
    </row>
    <row r="26" ht="15.75" customHeight="1" s="93">
      <c r="A26" s="1" t="inlineStr">
        <is>
          <t>CQ73378</t>
        </is>
      </c>
      <c r="B26" s="1" t="inlineStr">
        <is>
          <t>CQ73378</t>
        </is>
      </c>
      <c r="C26" s="1" t="inlineStr">
        <is>
          <t>condutor-plantadeira-john-deere</t>
        </is>
      </c>
      <c r="D26" s="1" t="inlineStr">
        <is>
          <t>Condutor de Sementes - John Deere CQ73378 | Plantadeira</t>
        </is>
      </c>
      <c r="E26" s="1" t="inlineStr">
        <is>
          <t>Peças Plásticas Injetadas</t>
        </is>
      </c>
      <c r="F26" s="1" t="inlineStr">
        <is>
          <t>APP</t>
        </is>
      </c>
      <c r="G26" s="1" t="n"/>
      <c r="H26" s="23" t="inlineStr">
        <is>
          <t>active</t>
        </is>
      </c>
      <c r="I26" s="1" t="inlineStr">
        <is>
          <t>JOHN DEERE</t>
        </is>
      </c>
      <c r="J26" s="1" t="inlineStr">
        <is>
          <t>PLANTADEIRA</t>
        </is>
      </c>
      <c r="K26" s="1">
        <f>LOWER(CONCATENATE("Peças Plastica para ",J26," ",D26))</f>
        <v/>
      </c>
      <c r="L26" s="1" t="n"/>
      <c r="M26" s="70" t="n">
        <v>30</v>
      </c>
      <c r="N26" s="70" t="n">
        <v>5</v>
      </c>
      <c r="O26" s="70">
        <f>0.145*M26</f>
        <v/>
      </c>
      <c r="P26" s="18" t="n">
        <v>38</v>
      </c>
      <c r="Q26" s="18" t="n">
        <v>30</v>
      </c>
      <c r="R26" s="54" t="n">
        <v>60</v>
      </c>
      <c r="S26" s="54">
        <f>IFERROR(IF(AND(P26&gt;0,Q26&gt;0,R26&gt;0),(P26*Q26*R26)/6000,""),"")</f>
        <v/>
      </c>
      <c r="T26" s="34">
        <f>IFERROR(IF(AND(P26&gt;0,Q26&gt;0,R26&gt;0),(P26*Q26*R26)/6000,""),"")</f>
        <v/>
      </c>
      <c r="U26" s="55">
        <f>IFERROR(IF(AND(O26&gt;0,T26&gt;0),MAX(O26,T26),IF(O26&gt;0,O26,IF(T26&gt;0,T26,""))),"")</f>
        <v/>
      </c>
      <c r="V26" s="71" t="n">
        <v>58.56</v>
      </c>
      <c r="W26" s="23" t="inlineStr">
        <is>
          <t>fornecedor</t>
        </is>
      </c>
      <c r="X26" s="23">
        <f>4.67*M26</f>
        <v/>
      </c>
      <c r="Y26" s="29" t="n">
        <v>0.3</v>
      </c>
      <c r="Z26" s="50">
        <f>IFERROR(X26+V26,"")</f>
        <v/>
      </c>
      <c r="AA26" s="50">
        <f>IFERROR(IF(Y26&lt;1,Z26/(1-Y26),""),"")</f>
        <v/>
      </c>
      <c r="AB26" s="15">
        <f>'01_CONFIG_GLOBAL'!$C$14</f>
        <v/>
      </c>
      <c r="AC26" s="23">
        <f>IFERROR(AA26*AB26,"")</f>
        <v/>
      </c>
      <c r="AD26" s="23">
        <f>IFERROR(IF(AB26&lt;1,AA26/(1-AB26),""),"")</f>
        <v/>
      </c>
      <c r="AE26" s="23" t="n"/>
      <c r="AF26" s="23" t="n"/>
      <c r="AG26" s="23" t="n"/>
      <c r="AH26" s="23" t="n"/>
      <c r="AI26" s="31" t="n"/>
      <c r="AJ26" s="31" t="n"/>
      <c r="AK26" s="31" t="n"/>
      <c r="AL26" s="31" t="n"/>
      <c r="AM26" s="31" t="inlineStr">
        <is>
          <t>sim</t>
        </is>
      </c>
      <c r="AN26" s="34" t="n"/>
      <c r="AO26" s="34" t="n"/>
      <c r="AP26" s="36" t="inlineStr">
        <is>
          <t>Fotos: assets/JOHN_DEERE_CQ73378_ecommerce.png</t>
        </is>
      </c>
      <c r="AQ26" s="23">
        <f>IF(AND(M26&lt;&gt;"",M26&gt;1),A26&amp;"-KIT"&amp;M26,A26)</f>
        <v/>
      </c>
      <c r="AR26" s="36">
        <f>IF(AND(M26&lt;&gt;"",M26&gt;1),D26&amp;" — Kit "&amp;M26&amp;" unidades",D26)</f>
        <v/>
      </c>
      <c r="AS26" s="39" t="inlineStr">
        <is>
          <t>JOHN_DEERE_CQ73378_ecommerce.png</t>
        </is>
      </c>
      <c r="AT26" s="41" t="n"/>
      <c r="AU26" s="41" t="n"/>
      <c r="AV26" s="43" t="n"/>
      <c r="AW26" s="41" t="n"/>
      <c r="AX26" s="41" t="n"/>
      <c r="AY26" s="23" t="n"/>
      <c r="AZ26" s="36" t="n"/>
      <c r="BA26" s="23" t="n"/>
      <c r="BB26" s="36" t="n"/>
      <c r="BC26" s="23" t="n"/>
      <c r="BD26" s="36" t="n"/>
      <c r="BE26" s="41" t="n"/>
      <c r="BF26" s="29" t="n"/>
      <c r="BG26" s="23" t="n"/>
      <c r="BH26" s="23" t="n"/>
      <c r="BI26" s="23" t="n"/>
      <c r="BJ26" s="23" t="n"/>
      <c r="BK26" s="44" t="n"/>
      <c r="BL26" s="44" t="n"/>
    </row>
    <row r="27" ht="15.75" customHeight="1" s="93">
      <c r="A27" s="1" t="inlineStr">
        <is>
          <t>A75169</t>
        </is>
      </c>
      <c r="B27" s="1" t="inlineStr">
        <is>
          <t>A75169</t>
        </is>
      </c>
      <c r="C27" s="1" t="inlineStr">
        <is>
          <t>conex-o-pipoqueira-jd</t>
        </is>
      </c>
      <c r="D27" s="1" t="inlineStr">
        <is>
          <t>Conexão Pipoqueira - John Deere A75169 | Plantadeira a Vácuo</t>
        </is>
      </c>
      <c r="E27" s="1" t="inlineStr">
        <is>
          <t>Peças Plásticas Injetadas</t>
        </is>
      </c>
      <c r="F27" s="1" t="inlineStr">
        <is>
          <t>APP</t>
        </is>
      </c>
      <c r="G27" s="1" t="n"/>
      <c r="H27" s="23" t="inlineStr">
        <is>
          <t>active</t>
        </is>
      </c>
      <c r="I27" s="1" t="inlineStr">
        <is>
          <t>JOHN DEERE</t>
        </is>
      </c>
      <c r="J27" s="1" t="inlineStr">
        <is>
          <t>PLANTADEIRA</t>
        </is>
      </c>
      <c r="K27" s="1">
        <f>LOWER(CONCATENATE("Peças Plastica para ",J27," ",D27))</f>
        <v/>
      </c>
      <c r="L27" s="1" t="n"/>
      <c r="M27" s="70" t="n">
        <v>1</v>
      </c>
      <c r="N27" s="70" t="n">
        <v>5</v>
      </c>
      <c r="O27" s="70" t="n">
        <v>0.045</v>
      </c>
      <c r="P27" s="18" t="n">
        <v>6</v>
      </c>
      <c r="Q27" s="18" t="n">
        <v>7</v>
      </c>
      <c r="R27" s="54" t="n">
        <v>6</v>
      </c>
      <c r="S27" s="54">
        <f>IFERROR(IF(AND(P27&gt;0,Q27&gt;0,R27&gt;0),(P27*Q27*R27)/6000,""),"")</f>
        <v/>
      </c>
      <c r="T27" s="34">
        <f>IFERROR(IF(AND(P27&gt;0,Q27&gt;0,R27&gt;0),(P27*Q27*R27)/6000,""),"")</f>
        <v/>
      </c>
      <c r="U27" s="55">
        <f>IFERROR(IF(AND(O27&gt;0,T27&gt;0),MAX(O27,T27),IF(O27&gt;0,O27,IF(T27&gt;0,T27,""))),"")</f>
        <v/>
      </c>
      <c r="V27" s="71" t="n">
        <v>0.53</v>
      </c>
      <c r="W27" s="23" t="inlineStr">
        <is>
          <t>fornecedor</t>
        </is>
      </c>
      <c r="X27" s="23" t="n">
        <v>4.5</v>
      </c>
      <c r="Y27" s="29" t="n">
        <v>0.3</v>
      </c>
      <c r="Z27" s="50">
        <f>IFERROR(X27+V27,"")</f>
        <v/>
      </c>
      <c r="AA27" s="50">
        <f>IFERROR(IF(Y27&lt;1,Z27/(1-Y27),""),"")</f>
        <v/>
      </c>
      <c r="AB27" s="15">
        <f>'01_CONFIG_GLOBAL'!$C$14</f>
        <v/>
      </c>
      <c r="AC27" s="23">
        <f>IFERROR(AA27*AB27,"")</f>
        <v/>
      </c>
      <c r="AD27" s="23">
        <f>IFERROR(IF(AB27&lt;1,AA27/(1-AB27),""),"")</f>
        <v/>
      </c>
      <c r="AE27" s="23" t="n"/>
      <c r="AF27" s="23" t="n"/>
      <c r="AG27" s="23" t="n"/>
      <c r="AH27" s="23" t="n"/>
      <c r="AI27" s="31" t="n"/>
      <c r="AJ27" s="31" t="n"/>
      <c r="AK27" s="31" t="n"/>
      <c r="AL27" s="31" t="n"/>
      <c r="AM27" s="31" t="inlineStr">
        <is>
          <t>sim</t>
        </is>
      </c>
      <c r="AN27" s="34" t="n"/>
      <c r="AO27" s="34" t="n"/>
      <c r="AP27" s="36" t="inlineStr">
        <is>
          <t>Fotos: assets/JOHN_DEERE_A75169_ecommerce.png</t>
        </is>
      </c>
      <c r="AQ27" s="23">
        <f>IF(AND(M27&lt;&gt;"",M27&gt;1),A27&amp;"-KIT"&amp;M27,A27)</f>
        <v/>
      </c>
      <c r="AR27" s="36">
        <f>IF(AND(M27&lt;&gt;"",M27&gt;1),D27&amp;" — Kit "&amp;M27&amp;" unidades",D27)</f>
        <v/>
      </c>
      <c r="AS27" s="39" t="inlineStr">
        <is>
          <t>JOHN_DEERE_A75169_ecommerce.png</t>
        </is>
      </c>
      <c r="AT27" s="41" t="n"/>
      <c r="AU27" s="41" t="n"/>
      <c r="AV27" s="43" t="n"/>
      <c r="AW27" s="41" t="n"/>
      <c r="AX27" s="41" t="n"/>
      <c r="AY27" s="23" t="n"/>
      <c r="AZ27" s="36" t="n"/>
      <c r="BA27" s="23" t="n"/>
      <c r="BB27" s="36" t="n"/>
      <c r="BC27" s="23" t="n"/>
      <c r="BD27" s="36" t="n"/>
      <c r="BE27" s="41" t="n"/>
      <c r="BF27" s="29" t="n"/>
      <c r="BG27" s="23" t="n"/>
      <c r="BH27" s="23" t="n"/>
      <c r="BI27" s="23" t="n"/>
      <c r="BJ27" s="23" t="n"/>
      <c r="BK27" s="44" t="n"/>
      <c r="BL27" s="44" t="n"/>
    </row>
    <row r="28" ht="15.75" customHeight="1" s="93">
      <c r="A28" s="1" t="inlineStr">
        <is>
          <t>A75169</t>
        </is>
      </c>
      <c r="B28" s="1" t="inlineStr">
        <is>
          <t>A75169</t>
        </is>
      </c>
      <c r="C28" s="1" t="inlineStr">
        <is>
          <t>conex-o-pipoqueira-jd</t>
        </is>
      </c>
      <c r="D28" s="1" t="inlineStr">
        <is>
          <t>Conexão Pipoqueira - John Deere A75169 | Plantadeira a Vácuo</t>
        </is>
      </c>
      <c r="E28" s="1" t="inlineStr">
        <is>
          <t>Peças Plásticas Injetadas</t>
        </is>
      </c>
      <c r="F28" s="1" t="inlineStr">
        <is>
          <t>APP</t>
        </is>
      </c>
      <c r="G28" s="1" t="n"/>
      <c r="H28" s="23" t="inlineStr">
        <is>
          <t>active</t>
        </is>
      </c>
      <c r="I28" s="1" t="inlineStr">
        <is>
          <t>JOHN DEERE</t>
        </is>
      </c>
      <c r="J28" s="1" t="inlineStr">
        <is>
          <t>PLANTADEIRA</t>
        </is>
      </c>
      <c r="K28" s="1">
        <f>LOWER(CONCATENATE("Peças Plastica para ",J28," ",D28))</f>
        <v/>
      </c>
      <c r="L28" s="1" t="n"/>
      <c r="M28" s="70" t="n">
        <v>50</v>
      </c>
      <c r="N28" s="70" t="n">
        <v>5</v>
      </c>
      <c r="O28" s="70">
        <f>0.045*M28</f>
        <v/>
      </c>
      <c r="P28" s="18" t="n">
        <v>35</v>
      </c>
      <c r="Q28" s="18" t="n">
        <v>16</v>
      </c>
      <c r="R28" s="54" t="n">
        <v>35</v>
      </c>
      <c r="S28" s="54">
        <f>IFERROR(IF(AND(P28&gt;0,Q28&gt;0,R28&gt;0),(P28*Q28*R28)/6000,""),"")</f>
        <v/>
      </c>
      <c r="T28" s="34">
        <f>IFERROR(IF(AND(P28&gt;0,Q28&gt;0,R28&gt;0),(P28*Q28*R28)/6000,""),"")</f>
        <v/>
      </c>
      <c r="U28" s="55">
        <f>IFERROR(IF(AND(O28&gt;0,T28&gt;0),MAX(O28,T28),IF(O28&gt;0,O28,IF(T28&gt;0,T28,""))),"")</f>
        <v/>
      </c>
      <c r="V28" s="71" t="n">
        <v>26.26</v>
      </c>
      <c r="W28" s="23" t="inlineStr">
        <is>
          <t>fornecedor</t>
        </is>
      </c>
      <c r="X28" s="23">
        <f>X27*M28</f>
        <v/>
      </c>
      <c r="Y28" s="29">
        <f>Y27</f>
        <v/>
      </c>
      <c r="Z28" s="50">
        <f>IFERROR(X28+V28,"")</f>
        <v/>
      </c>
      <c r="AA28" s="50">
        <f>IFERROR(IF(Y28&lt;1,Z28/(1-Y28),""),"")</f>
        <v/>
      </c>
      <c r="AB28" s="15">
        <f>'01_CONFIG_GLOBAL'!$C$14</f>
        <v/>
      </c>
      <c r="AC28" s="23">
        <f>IFERROR(AA28*AB28,"")</f>
        <v/>
      </c>
      <c r="AD28" s="23">
        <f>IFERROR(IF(AB28&lt;1,AA28/(1-AB28),""),"")</f>
        <v/>
      </c>
      <c r="AE28" s="23" t="n"/>
      <c r="AF28" s="23" t="n"/>
      <c r="AG28" s="23" t="n"/>
      <c r="AH28" s="23" t="n"/>
      <c r="AI28" s="31" t="n"/>
      <c r="AJ28" s="31" t="n"/>
      <c r="AK28" s="31" t="n"/>
      <c r="AL28" s="31" t="n"/>
      <c r="AM28" s="31" t="inlineStr">
        <is>
          <t>sim</t>
        </is>
      </c>
      <c r="AN28" s="34" t="n"/>
      <c r="AO28" s="34" t="n"/>
      <c r="AP28" s="36" t="n"/>
      <c r="AQ28" s="23">
        <f>IF(AND(M28&lt;&gt;"",M28&gt;1),A28&amp;"-KIT"&amp;M28,A28)</f>
        <v/>
      </c>
      <c r="AR28" s="36">
        <f>IF(AND(M28&lt;&gt;"",M28&gt;1),D28&amp;" — Kit "&amp;M28&amp;" unidades",D28)</f>
        <v/>
      </c>
      <c r="AS28" s="39" t="inlineStr">
        <is>
          <t>JOHN_DEERE_A75169_ecommerce.png</t>
        </is>
      </c>
      <c r="AT28" s="41" t="n"/>
      <c r="AU28" s="41" t="n"/>
      <c r="AV28" s="43" t="n"/>
      <c r="AW28" s="41" t="n"/>
      <c r="AX28" s="41" t="n"/>
      <c r="AY28" s="23" t="n"/>
      <c r="AZ28" s="36" t="n"/>
      <c r="BA28" s="23" t="n"/>
      <c r="BB28" s="36" t="n"/>
      <c r="BC28" s="23" t="n"/>
      <c r="BD28" s="36" t="n"/>
      <c r="BE28" s="41" t="n"/>
      <c r="BF28" s="29" t="n"/>
      <c r="BG28" s="23" t="n"/>
      <c r="BH28" s="23" t="n"/>
      <c r="BI28" s="23" t="n"/>
      <c r="BJ28" s="23" t="n"/>
      <c r="BK28" s="44" t="n"/>
      <c r="BL28" s="44" t="n"/>
    </row>
    <row r="29" ht="15.75" customHeight="1" s="93">
      <c r="A29" s="1" t="inlineStr">
        <is>
          <t>A71321</t>
        </is>
      </c>
      <c r="B29" s="1" t="inlineStr">
        <is>
          <t>A71321</t>
        </is>
      </c>
      <c r="C29" s="1" t="inlineStr">
        <is>
          <t>engate-condutor-jd</t>
        </is>
      </c>
      <c r="D29" s="1" t="inlineStr">
        <is>
          <t>Engate do Condutor - John Deere A71321 | Plantadeira a Vácuo</t>
        </is>
      </c>
      <c r="E29" s="1" t="inlineStr">
        <is>
          <t>Peças Plásticas Injetadas</t>
        </is>
      </c>
      <c r="F29" s="1" t="inlineStr">
        <is>
          <t>APP</t>
        </is>
      </c>
      <c r="G29" s="1" t="n"/>
      <c r="H29" s="23" t="inlineStr">
        <is>
          <t>active</t>
        </is>
      </c>
      <c r="I29" s="1" t="inlineStr">
        <is>
          <t>JOHN DEERE</t>
        </is>
      </c>
      <c r="J29" s="1" t="inlineStr">
        <is>
          <t>PLANTADEIRA</t>
        </is>
      </c>
      <c r="K29" s="1">
        <f>LOWER(CONCATENATE("Peças Plastica para ",J29," ",D29))</f>
        <v/>
      </c>
      <c r="L29" s="1" t="n"/>
      <c r="M29" s="70" t="n">
        <v>1</v>
      </c>
      <c r="N29" s="70" t="n">
        <v>5</v>
      </c>
      <c r="O29" s="70" t="n">
        <v>0.039</v>
      </c>
      <c r="P29" s="18" t="n">
        <v>9.5</v>
      </c>
      <c r="Q29" s="18" t="n">
        <v>7.5</v>
      </c>
      <c r="R29" s="54" t="n">
        <v>7.5</v>
      </c>
      <c r="S29" s="54">
        <f>IFERROR(IF(AND(P29&gt;0,Q29&gt;0,R29&gt;0),(P29*Q29*R29)/6000,""),"")</f>
        <v/>
      </c>
      <c r="T29" s="34">
        <f>IFERROR(IF(AND(P29&gt;0,Q29&gt;0,R29&gt;0),(P29*Q29*R29)/6000,""),"")</f>
        <v/>
      </c>
      <c r="U29" s="55">
        <f>IFERROR(IF(AND(O29&gt;0,T29&gt;0),MAX(O29,T29),IF(O29&gt;0,O29,IF(T29&gt;0,T29,""))),"")</f>
        <v/>
      </c>
      <c r="V29" s="71" t="n">
        <v>0.64</v>
      </c>
      <c r="W29" s="23" t="inlineStr">
        <is>
          <t>fornecedor</t>
        </is>
      </c>
      <c r="X29" s="23" t="n">
        <v>4.5</v>
      </c>
      <c r="Y29" s="29" t="n">
        <v>0.3</v>
      </c>
      <c r="Z29" s="50">
        <f>IFERROR(X29+V29,"")</f>
        <v/>
      </c>
      <c r="AA29" s="50">
        <f>IFERROR(IF(Y29&lt;1,Z29/(1-Y29),""),"")</f>
        <v/>
      </c>
      <c r="AB29" s="15">
        <f>'01_CONFIG_GLOBAL'!$C$14</f>
        <v/>
      </c>
      <c r="AC29" s="23">
        <f>IFERROR(AA29*AB29,"")</f>
        <v/>
      </c>
      <c r="AD29" s="23">
        <f>IFERROR(IF(AB29&lt;1,AA29/(1-AB29),""),"")</f>
        <v/>
      </c>
      <c r="AE29" s="23" t="n"/>
      <c r="AF29" s="23" t="n"/>
      <c r="AG29" s="23" t="n"/>
      <c r="AH29" s="23" t="n"/>
      <c r="AI29" s="31" t="n"/>
      <c r="AJ29" s="31" t="n"/>
      <c r="AK29" s="31" t="n"/>
      <c r="AL29" s="31" t="n"/>
      <c r="AM29" s="31" t="inlineStr">
        <is>
          <t>sim</t>
        </is>
      </c>
      <c r="AN29" s="34" t="n"/>
      <c r="AO29" s="34" t="n"/>
      <c r="AP29" s="36" t="inlineStr">
        <is>
          <t>Fotos: assets/JOHN_DEERE_A71321_ecommerce.png</t>
        </is>
      </c>
      <c r="AQ29" s="23">
        <f>IF(AND(M29&lt;&gt;"",M29&gt;1),A29&amp;"-KIT"&amp;M29,A29)</f>
        <v/>
      </c>
      <c r="AR29" s="36">
        <f>IF(AND(M29&lt;&gt;"",M29&gt;1),D29&amp;" — Kit "&amp;M29&amp;" unidades",D29)</f>
        <v/>
      </c>
      <c r="AS29" s="39" t="inlineStr">
        <is>
          <t>JOHN_DEERE_A71321_ecommerce.png</t>
        </is>
      </c>
      <c r="AT29" s="41" t="n"/>
      <c r="AU29" s="41" t="n"/>
      <c r="AV29" s="43" t="n"/>
      <c r="AW29" s="41" t="n"/>
      <c r="AX29" s="41" t="n"/>
      <c r="AY29" s="23" t="n"/>
      <c r="AZ29" s="36" t="n"/>
      <c r="BA29" s="23" t="n"/>
      <c r="BB29" s="36" t="n"/>
      <c r="BC29" s="23" t="n"/>
      <c r="BD29" s="36" t="n"/>
      <c r="BE29" s="41" t="n"/>
      <c r="BF29" s="29" t="n"/>
      <c r="BG29" s="23" t="n"/>
      <c r="BH29" s="23" t="n"/>
      <c r="BI29" s="23" t="n"/>
      <c r="BJ29" s="23" t="n"/>
      <c r="BK29" s="44" t="n"/>
      <c r="BL29" s="44" t="n"/>
    </row>
    <row r="30" ht="15.75" customHeight="1" s="93">
      <c r="A30" s="1" t="inlineStr">
        <is>
          <t>A71321</t>
        </is>
      </c>
      <c r="B30" s="1" t="inlineStr">
        <is>
          <t>A71321</t>
        </is>
      </c>
      <c r="C30" s="1" t="inlineStr">
        <is>
          <t>engate-condutor-jd</t>
        </is>
      </c>
      <c r="D30" s="1" t="inlineStr">
        <is>
          <t>Engate do Condutor - John Deere A71321 | Plantadeira a Vácuo</t>
        </is>
      </c>
      <c r="E30" s="1" t="inlineStr">
        <is>
          <t>Peças Plásticas Injetadas</t>
        </is>
      </c>
      <c r="F30" s="1" t="inlineStr">
        <is>
          <t>APP</t>
        </is>
      </c>
      <c r="G30" s="1" t="n"/>
      <c r="H30" s="23" t="inlineStr">
        <is>
          <t>active</t>
        </is>
      </c>
      <c r="I30" s="1" t="inlineStr">
        <is>
          <t>JOHN DEERE</t>
        </is>
      </c>
      <c r="J30" s="1" t="inlineStr">
        <is>
          <t>PLANTADEIRA</t>
        </is>
      </c>
      <c r="K30" s="1">
        <f>LOWER(CONCATENATE("Peças Plastica para ",J30," ",D30))</f>
        <v/>
      </c>
      <c r="L30" s="1" t="n"/>
      <c r="M30" s="70" t="n">
        <v>50</v>
      </c>
      <c r="N30" s="70" t="n">
        <v>5</v>
      </c>
      <c r="O30" s="70">
        <f>0.039*M30</f>
        <v/>
      </c>
      <c r="P30" s="18" t="n">
        <v>20</v>
      </c>
      <c r="Q30" s="18" t="n">
        <v>40</v>
      </c>
      <c r="R30" s="54" t="n">
        <v>40</v>
      </c>
      <c r="S30" s="54">
        <f>IFERROR(IF(AND(P30&gt;0,Q30&gt;0,R30&gt;0),(P30*Q30*R30)/6000,""),"")</f>
        <v/>
      </c>
      <c r="T30" s="34">
        <f>IFERROR(IF(AND(P30&gt;0,Q30&gt;0,R30&gt;0),(P30*Q30*R30)/6000,""),"")</f>
        <v/>
      </c>
      <c r="U30" s="55">
        <f>IFERROR(IF(AND(O30&gt;0,T30&gt;0),MAX(O30,T30),IF(O30&gt;0,O30,IF(T30&gt;0,T30,""))),"")</f>
        <v/>
      </c>
      <c r="V30" s="71" t="n">
        <v>31.99</v>
      </c>
      <c r="W30" s="23" t="inlineStr">
        <is>
          <t>fornecedor</t>
        </is>
      </c>
      <c r="X30" s="23">
        <f>X29*M30</f>
        <v/>
      </c>
      <c r="Y30" s="29">
        <f>Y29</f>
        <v/>
      </c>
      <c r="Z30" s="50">
        <f>IFERROR(X30+V30,"")</f>
        <v/>
      </c>
      <c r="AA30" s="50">
        <f>IFERROR(IF(Y30&lt;1,Z30/(1-Y30),""),"")</f>
        <v/>
      </c>
      <c r="AB30" s="15">
        <f>'01_CONFIG_GLOBAL'!$C$14</f>
        <v/>
      </c>
      <c r="AC30" s="23">
        <f>IFERROR(AA30*AB30,"")</f>
        <v/>
      </c>
      <c r="AD30" s="23">
        <f>IFERROR(IF(AB30&lt;1,AA30/(1-AB30),""),"")</f>
        <v/>
      </c>
      <c r="AE30" s="23" t="n"/>
      <c r="AF30" s="23" t="n"/>
      <c r="AG30" s="23" t="n"/>
      <c r="AH30" s="23" t="n"/>
      <c r="AI30" s="31" t="n"/>
      <c r="AJ30" s="31" t="n"/>
      <c r="AK30" s="31" t="n"/>
      <c r="AL30" s="31" t="n"/>
      <c r="AM30" s="31" t="inlineStr">
        <is>
          <t>sim</t>
        </is>
      </c>
      <c r="AN30" s="34" t="n"/>
      <c r="AO30" s="34" t="n"/>
      <c r="AP30" s="36" t="n"/>
      <c r="AQ30" s="23">
        <f>IF(AND(M30&lt;&gt;"",M30&gt;1),A30&amp;"-KIT"&amp;M30,A30)</f>
        <v/>
      </c>
      <c r="AR30" s="36">
        <f>IF(AND(M30&lt;&gt;"",M30&gt;1),D30&amp;" — Kit "&amp;M30&amp;" unidades",D30)</f>
        <v/>
      </c>
      <c r="AS30" s="39" t="inlineStr">
        <is>
          <t>JOHN_DEERE_A71321_ecommerce.png</t>
        </is>
      </c>
      <c r="AT30" s="41" t="n"/>
      <c r="AU30" s="41" t="n"/>
      <c r="AV30" s="43" t="n"/>
      <c r="AW30" s="41" t="n"/>
      <c r="AX30" s="41" t="n"/>
      <c r="AY30" s="23" t="n"/>
      <c r="AZ30" s="36" t="n"/>
      <c r="BA30" s="23" t="n"/>
      <c r="BB30" s="36" t="n"/>
      <c r="BC30" s="23" t="n"/>
      <c r="BD30" s="36" t="n"/>
      <c r="BE30" s="41" t="n"/>
      <c r="BF30" s="29" t="n"/>
      <c r="BG30" s="23" t="n"/>
      <c r="BH30" s="23" t="n"/>
      <c r="BI30" s="23" t="n"/>
      <c r="BJ30" s="23" t="n"/>
      <c r="BK30" s="44" t="n"/>
      <c r="BL30" s="44" t="n"/>
    </row>
    <row r="31" ht="15.75" customHeight="1" s="93">
      <c r="A31" s="1" t="inlineStr">
        <is>
          <t>A72758</t>
        </is>
      </c>
      <c r="B31" s="1" t="inlineStr">
        <is>
          <t>A72758</t>
        </is>
      </c>
      <c r="C31" s="1" t="inlineStr">
        <is>
          <t>peneira-mini-hooper</t>
        </is>
      </c>
      <c r="D31" s="1" t="inlineStr">
        <is>
          <t>Peneira Mini Hopper - John Deere A72758 | Plantadeira a Vácuo</t>
        </is>
      </c>
      <c r="E31" s="1" t="inlineStr">
        <is>
          <t>Peças Plásticas Injetadas</t>
        </is>
      </c>
      <c r="F31" s="1" t="inlineStr">
        <is>
          <t>APP</t>
        </is>
      </c>
      <c r="G31" s="1" t="n"/>
      <c r="H31" s="23" t="inlineStr">
        <is>
          <t>active</t>
        </is>
      </c>
      <c r="I31" s="1" t="inlineStr">
        <is>
          <t>JOHN DEERE</t>
        </is>
      </c>
      <c r="J31" s="1" t="inlineStr">
        <is>
          <t>PLANTADEIRA</t>
        </is>
      </c>
      <c r="K31" s="1">
        <f>LOWER(CONCATENATE("Peças Plastica para ",J31," ",D31))</f>
        <v/>
      </c>
      <c r="L31" s="1" t="n"/>
      <c r="M31" s="70" t="n">
        <v>1</v>
      </c>
      <c r="N31" s="70" t="n">
        <v>5</v>
      </c>
      <c r="O31" s="70" t="n">
        <v>0.019</v>
      </c>
      <c r="P31" s="18" t="n">
        <v>7</v>
      </c>
      <c r="Q31" s="18" t="n">
        <v>10</v>
      </c>
      <c r="R31" s="54" t="n">
        <v>1.5</v>
      </c>
      <c r="S31" s="54">
        <f>IFERROR(IF(AND(P31&gt;0,Q31&gt;0,R31&gt;0),(P31*Q31*R31)/6000,""),"")</f>
        <v/>
      </c>
      <c r="T31" s="34">
        <f>IFERROR(IF(AND(P31&gt;0,Q31&gt;0,R31&gt;0),(P31*Q31*R31)/6000,""),"")</f>
        <v/>
      </c>
      <c r="U31" s="55">
        <f>IFERROR(IF(AND(O31&gt;0,T31&gt;0),MAX(O31,T31),IF(O31&gt;0,O31,IF(T31&gt;0,T31,""))),"")</f>
        <v/>
      </c>
      <c r="V31" s="71" t="n">
        <v>0.43</v>
      </c>
      <c r="W31" s="23" t="inlineStr">
        <is>
          <t>fornecedor</t>
        </is>
      </c>
      <c r="X31" s="23" t="n">
        <v>5.6</v>
      </c>
      <c r="Y31" s="29" t="n">
        <v>0.3</v>
      </c>
      <c r="Z31" s="50">
        <f>IFERROR(X31+V31,"")</f>
        <v/>
      </c>
      <c r="AA31" s="50">
        <f>IFERROR(IF(Y31&lt;1,Z31/(1-Y31),""),"")</f>
        <v/>
      </c>
      <c r="AB31" s="15">
        <f>'01_CONFIG_GLOBAL'!$C$14</f>
        <v/>
      </c>
      <c r="AC31" s="23">
        <f>IFERROR(AA31*AB31,"")</f>
        <v/>
      </c>
      <c r="AD31" s="23">
        <f>IFERROR(IF(AB31&lt;1,AA31/(1-AB31),""),"")</f>
        <v/>
      </c>
      <c r="AE31" s="23" t="n"/>
      <c r="AF31" s="23" t="n"/>
      <c r="AG31" s="23" t="n"/>
      <c r="AH31" s="23" t="n"/>
      <c r="AI31" s="31" t="n"/>
      <c r="AJ31" s="31" t="n"/>
      <c r="AK31" s="31" t="n"/>
      <c r="AL31" s="31" t="n"/>
      <c r="AM31" s="31" t="inlineStr">
        <is>
          <t>sim</t>
        </is>
      </c>
      <c r="AN31" s="34" t="n"/>
      <c r="AO31" s="34" t="n"/>
      <c r="AP31" s="36" t="inlineStr">
        <is>
          <t>Fotos: assets/JOHN_DEERE_A72758_ecommerce.png</t>
        </is>
      </c>
      <c r="AQ31" s="23">
        <f>IF(AND(M31&lt;&gt;"",M31&gt;1),A31&amp;"-KIT"&amp;M31,A31)</f>
        <v/>
      </c>
      <c r="AR31" s="36">
        <f>IF(AND(M31&lt;&gt;"",M31&gt;1),D31&amp;" — Kit "&amp;M31&amp;" unidades",D31)</f>
        <v/>
      </c>
      <c r="AS31" s="39" t="inlineStr">
        <is>
          <t>JOHN_DEERE_A72758_ecommerce.png</t>
        </is>
      </c>
      <c r="AT31" s="41" t="n"/>
      <c r="AU31" s="41" t="n"/>
      <c r="AV31" s="43" t="n"/>
      <c r="AW31" s="41" t="n"/>
      <c r="AX31" s="41" t="n"/>
      <c r="AY31" s="23" t="n"/>
      <c r="AZ31" s="36" t="n"/>
      <c r="BA31" s="23" t="n"/>
      <c r="BB31" s="36" t="n"/>
      <c r="BC31" s="23" t="n"/>
      <c r="BD31" s="36" t="n"/>
      <c r="BE31" s="41" t="n"/>
      <c r="BF31" s="29" t="n"/>
      <c r="BG31" s="23" t="n"/>
      <c r="BH31" s="23" t="n"/>
      <c r="BI31" s="23" t="n"/>
      <c r="BJ31" s="23" t="n"/>
      <c r="BK31" s="44" t="n"/>
      <c r="BL31" s="44" t="n"/>
    </row>
    <row r="32" ht="15.75" customHeight="1" s="93">
      <c r="A32" s="1" t="inlineStr">
        <is>
          <t>A72758</t>
        </is>
      </c>
      <c r="B32" s="1" t="inlineStr">
        <is>
          <t>A72758</t>
        </is>
      </c>
      <c r="C32" s="1" t="inlineStr">
        <is>
          <t>peneira-mini-hooper</t>
        </is>
      </c>
      <c r="D32" s="1" t="inlineStr">
        <is>
          <t>Peneira Mini Hopper - John Deere A72758 | Plantadeira a Vácuo</t>
        </is>
      </c>
      <c r="E32" s="1" t="inlineStr">
        <is>
          <t>Peças Plásticas Injetadas</t>
        </is>
      </c>
      <c r="F32" s="1" t="inlineStr">
        <is>
          <t>APP</t>
        </is>
      </c>
      <c r="G32" s="1" t="n"/>
      <c r="H32" s="23" t="inlineStr">
        <is>
          <t>active</t>
        </is>
      </c>
      <c r="I32" s="1" t="inlineStr">
        <is>
          <t>JOHN DEERE</t>
        </is>
      </c>
      <c r="J32" s="1" t="inlineStr">
        <is>
          <t>PLANTADEIRA</t>
        </is>
      </c>
      <c r="K32" s="1">
        <f>LOWER(CONCATENATE("Peças Plastica para ",J32," ",D32))</f>
        <v/>
      </c>
      <c r="L32" s="1" t="n"/>
      <c r="M32" s="70" t="n">
        <v>50</v>
      </c>
      <c r="N32" s="70" t="n">
        <v>5</v>
      </c>
      <c r="O32" s="70">
        <f>0.019*M32</f>
        <v/>
      </c>
      <c r="P32" s="18" t="n">
        <v>15</v>
      </c>
      <c r="Q32" s="18" t="n">
        <v>12</v>
      </c>
      <c r="R32" s="54" t="n">
        <v>40</v>
      </c>
      <c r="S32" s="54">
        <f>IFERROR(IF(AND(P32&gt;0,Q32&gt;0,R32&gt;0),(P32*Q32*R32)/6000,""),"")</f>
        <v/>
      </c>
      <c r="T32" s="34">
        <f>IFERROR(IF(AND(P32&gt;0,Q32&gt;0,R32&gt;0),(P32*Q32*R32)/6000,""),"")</f>
        <v/>
      </c>
      <c r="U32" s="55">
        <f>IFERROR(IF(AND(O32&gt;0,T32&gt;0),MAX(O32,T32),IF(O32&gt;0,O32,IF(T32&gt;0,T32,""))),"")</f>
        <v/>
      </c>
      <c r="V32" s="71" t="n">
        <v>21.43</v>
      </c>
      <c r="W32" s="23" t="inlineStr">
        <is>
          <t>fornecedor</t>
        </is>
      </c>
      <c r="X32" s="23">
        <f>X31*M32</f>
        <v/>
      </c>
      <c r="Y32" s="29">
        <f>Y31</f>
        <v/>
      </c>
      <c r="Z32" s="50">
        <f>IFERROR(X32+V32,"")</f>
        <v/>
      </c>
      <c r="AA32" s="50">
        <f>IFERROR(IF(Y32&lt;1,Z32/(1-Y32),""),"")</f>
        <v/>
      </c>
      <c r="AB32" s="15">
        <f>'01_CONFIG_GLOBAL'!$C$14</f>
        <v/>
      </c>
      <c r="AC32" s="23">
        <f>IFERROR(AA32*AB32,"")</f>
        <v/>
      </c>
      <c r="AD32" s="23">
        <f>IFERROR(IF(AB32&lt;1,AA32/(1-AB32),""),"")</f>
        <v/>
      </c>
      <c r="AE32" s="23" t="n"/>
      <c r="AF32" s="23" t="n"/>
      <c r="AG32" s="23" t="n"/>
      <c r="AH32" s="23" t="n"/>
      <c r="AI32" s="31" t="n"/>
      <c r="AJ32" s="31" t="n"/>
      <c r="AK32" s="31" t="n"/>
      <c r="AL32" s="31" t="n"/>
      <c r="AM32" s="31" t="inlineStr">
        <is>
          <t>sim</t>
        </is>
      </c>
      <c r="AN32" s="34" t="n"/>
      <c r="AO32" s="34" t="n"/>
      <c r="AP32" s="36" t="n"/>
      <c r="AQ32" s="23">
        <f>IF(AND(M32&lt;&gt;"",M32&gt;1),A32&amp;"-KIT"&amp;M32,A32)</f>
        <v/>
      </c>
      <c r="AR32" s="36">
        <f>IF(AND(M32&lt;&gt;"",M32&gt;1),D32&amp;" — Kit "&amp;M32&amp;" unidades",D32)</f>
        <v/>
      </c>
      <c r="AS32" s="39" t="inlineStr">
        <is>
          <t>JOHN_DEERE_A72758_ecommerce.png</t>
        </is>
      </c>
      <c r="AT32" s="41" t="n"/>
      <c r="AU32" s="41" t="n"/>
      <c r="AV32" s="43" t="n"/>
      <c r="AW32" s="41" t="n"/>
      <c r="AX32" s="41" t="n"/>
      <c r="AY32" s="23" t="n"/>
      <c r="AZ32" s="36" t="n"/>
      <c r="BA32" s="23" t="n"/>
      <c r="BB32" s="36" t="n"/>
      <c r="BC32" s="23" t="n"/>
      <c r="BD32" s="36" t="n"/>
      <c r="BE32" s="41" t="n"/>
      <c r="BF32" s="29" t="n"/>
      <c r="BG32" s="23" t="n"/>
      <c r="BH32" s="23" t="n"/>
      <c r="BI32" s="23" t="n"/>
      <c r="BJ32" s="23" t="n"/>
      <c r="BK32" s="44" t="n"/>
      <c r="BL32" s="44" t="n"/>
    </row>
    <row r="33" ht="15.75" customHeight="1" s="93">
      <c r="A33" s="1" t="inlineStr">
        <is>
          <t>A78269</t>
        </is>
      </c>
      <c r="B33" s="1" t="inlineStr">
        <is>
          <t>A78269</t>
        </is>
      </c>
      <c r="C33" s="1" t="inlineStr">
        <is>
          <t>tampa-reservatorio-central-de-sementes</t>
        </is>
      </c>
      <c r="D33" s="1" t="inlineStr">
        <is>
          <t>Tampa do Reservatório Central de Sementes - John Deere A78269 | Plantadeira</t>
        </is>
      </c>
      <c r="E33" s="1" t="inlineStr">
        <is>
          <t>Peças Plásticas Injetadas</t>
        </is>
      </c>
      <c r="F33" s="1" t="inlineStr">
        <is>
          <t>APP</t>
        </is>
      </c>
      <c r="G33" s="1" t="n"/>
      <c r="H33" s="23" t="inlineStr">
        <is>
          <t>active</t>
        </is>
      </c>
      <c r="I33" s="1" t="inlineStr">
        <is>
          <t>JOHN DEERE</t>
        </is>
      </c>
      <c r="J33" s="1" t="inlineStr">
        <is>
          <t>PLANTADEIRA</t>
        </is>
      </c>
      <c r="K33" s="1">
        <f>LOWER(CONCATENATE("Peças Plastica para ",J33," ",D33))</f>
        <v/>
      </c>
      <c r="L33" s="1" t="n"/>
      <c r="M33" s="70" t="n">
        <v>1</v>
      </c>
      <c r="N33" s="70" t="n">
        <v>5</v>
      </c>
      <c r="O33" s="70" t="n">
        <v>2.6</v>
      </c>
      <c r="P33" s="18" t="n">
        <v>81.5</v>
      </c>
      <c r="Q33" s="18" t="n">
        <v>81.5</v>
      </c>
      <c r="R33" s="54" t="n">
        <v>9</v>
      </c>
      <c r="S33" s="54">
        <f>IFERROR(IF(AND(P33&gt;0,Q33&gt;0,R33&gt;0),(P33*Q33*R33)/6000,""),"")</f>
        <v/>
      </c>
      <c r="T33" s="34">
        <f>IFERROR(IF(AND(P33&gt;0,Q33&gt;0,R33&gt;0),(P33*Q33*R33)/6000,""),"")</f>
        <v/>
      </c>
      <c r="U33" s="55">
        <f>IFERROR(IF(AND(O33&gt;0,T33&gt;0),MAX(O33,T33),IF(O33&gt;0,O33,IF(T33&gt;0,T33,""))),"")</f>
        <v/>
      </c>
      <c r="V33" s="71" t="n">
        <v>40.88</v>
      </c>
      <c r="W33" s="23" t="inlineStr">
        <is>
          <t>fornecedor</t>
        </is>
      </c>
      <c r="X33" s="23" t="n">
        <v>150</v>
      </c>
      <c r="Y33" s="29" t="n">
        <v>0.3</v>
      </c>
      <c r="Z33" s="50">
        <f>IFERROR(X33+V33,"")</f>
        <v/>
      </c>
      <c r="AA33" s="50">
        <f>IFERROR(IF(Y33&lt;1,Z33/(1-Y33),""),"")</f>
        <v/>
      </c>
      <c r="AB33" s="15">
        <f>'01_CONFIG_GLOBAL'!$C$14</f>
        <v/>
      </c>
      <c r="AC33" s="23">
        <f>IFERROR(AA33*AB33,"")</f>
        <v/>
      </c>
      <c r="AD33" s="23">
        <f>IFERROR(IF(AB33&lt;1,AA33/(1-AB33),""),"")</f>
        <v/>
      </c>
      <c r="AE33" s="23" t="n"/>
      <c r="AF33" s="23" t="n"/>
      <c r="AG33" s="23" t="n"/>
      <c r="AH33" s="23" t="n"/>
      <c r="AI33" s="31" t="n"/>
      <c r="AJ33" s="31" t="n"/>
      <c r="AK33" s="31" t="n"/>
      <c r="AL33" s="31" t="n"/>
      <c r="AM33" s="31" t="inlineStr">
        <is>
          <t>sim</t>
        </is>
      </c>
      <c r="AN33" s="34" t="n"/>
      <c r="AO33" s="34" t="n"/>
      <c r="AP33" s="36" t="inlineStr">
        <is>
          <t>Fotos: assets/JOHN_DEERE_A78269_ecommerce.png</t>
        </is>
      </c>
      <c r="AQ33" s="23">
        <f>IF(AND(M33&lt;&gt;"",M33&gt;1),A33&amp;"-KIT"&amp;M33,A33)</f>
        <v/>
      </c>
      <c r="AR33" s="36">
        <f>IF(AND(M33&lt;&gt;"",M33&gt;1),D33&amp;" — Kit "&amp;M33&amp;" unidades",D33)</f>
        <v/>
      </c>
      <c r="AS33" s="39" t="inlineStr">
        <is>
          <t>JOHN_DEERE_A78269_ecommerce.png</t>
        </is>
      </c>
      <c r="AT33" s="41" t="n"/>
      <c r="AU33" s="41" t="n"/>
      <c r="AV33" s="43" t="n"/>
      <c r="AW33" s="41" t="n"/>
      <c r="AX33" s="41" t="n"/>
      <c r="AY33" s="23" t="n"/>
      <c r="AZ33" s="36" t="n"/>
      <c r="BA33" s="23" t="n"/>
      <c r="BB33" s="36" t="n"/>
      <c r="BC33" s="23" t="n"/>
      <c r="BD33" s="36" t="n"/>
      <c r="BE33" s="41" t="n"/>
      <c r="BF33" s="29" t="n"/>
      <c r="BG33" s="23" t="n"/>
      <c r="BH33" s="23" t="n"/>
      <c r="BI33" s="23" t="n"/>
      <c r="BJ33" s="23" t="n"/>
      <c r="BK33" s="44" t="n"/>
      <c r="BL33" s="44" t="n"/>
    </row>
    <row r="34" ht="15.75" customHeight="1" s="93">
      <c r="A34" s="1" t="inlineStr">
        <is>
          <t>A74430</t>
        </is>
      </c>
      <c r="B34" s="1" t="inlineStr">
        <is>
          <t>A74430</t>
        </is>
      </c>
      <c r="C34" s="1" t="inlineStr">
        <is>
          <t>engate-hidr-rapido</t>
        </is>
      </c>
      <c r="D34" s="1" t="inlineStr">
        <is>
          <t>Engate Hidráulico Rápido - John Deere A74430 | Plantadeira</t>
        </is>
      </c>
      <c r="E34" s="1" t="inlineStr">
        <is>
          <t>Peças Plásticas Injetadas</t>
        </is>
      </c>
      <c r="F34" s="1" t="inlineStr">
        <is>
          <t>APP</t>
        </is>
      </c>
      <c r="G34" s="1" t="n"/>
      <c r="H34" s="23" t="inlineStr">
        <is>
          <t>active</t>
        </is>
      </c>
      <c r="I34" s="1" t="inlineStr">
        <is>
          <t>JOHN DEERE</t>
        </is>
      </c>
      <c r="J34" s="1" t="inlineStr">
        <is>
          <t>PLANTADEIRA</t>
        </is>
      </c>
      <c r="K34" s="1">
        <f>LOWER(CONCATENATE("Peças Plastica para ",J34," ",D34))</f>
        <v/>
      </c>
      <c r="L34" s="1" t="n"/>
      <c r="M34" s="70" t="n">
        <v>1</v>
      </c>
      <c r="N34" s="70" t="n">
        <v>5</v>
      </c>
      <c r="O34" s="70" t="n">
        <v>0.097</v>
      </c>
      <c r="P34" s="18" t="n">
        <v>13</v>
      </c>
      <c r="Q34" s="18" t="n">
        <v>8</v>
      </c>
      <c r="R34" s="54" t="n">
        <v>7</v>
      </c>
      <c r="S34" s="54">
        <f>IFERROR(IF(AND(P34&gt;0,Q34&gt;0,R34&gt;0),(P34*Q34*R34)/6000,""),"")</f>
        <v/>
      </c>
      <c r="T34" s="34">
        <f>IFERROR(IF(AND(P34&gt;0,Q34&gt;0,R34&gt;0),(P34*Q34*R34)/6000,""),"")</f>
        <v/>
      </c>
      <c r="U34" s="55">
        <f>IFERROR(IF(AND(O34&gt;0,T34&gt;0),MAX(O34,T34),IF(O34&gt;0,O34,IF(T34&gt;0,T34,""))),"")</f>
        <v/>
      </c>
      <c r="V34" s="71" t="n">
        <v>2.04</v>
      </c>
      <c r="W34" s="23" t="inlineStr">
        <is>
          <t>fornecedor</t>
        </is>
      </c>
      <c r="X34" s="23" t="n">
        <v>15</v>
      </c>
      <c r="Y34" s="29" t="n">
        <v>0.3</v>
      </c>
      <c r="Z34" s="50">
        <f>IFERROR(X34+V34,"")</f>
        <v/>
      </c>
      <c r="AA34" s="50">
        <f>IFERROR(IF(Y34&lt;1,Z34/(1-Y34),""),"")</f>
        <v/>
      </c>
      <c r="AB34" s="15">
        <f>'01_CONFIG_GLOBAL'!$C$14</f>
        <v/>
      </c>
      <c r="AC34" s="23">
        <f>IFERROR(AA34*AB34,"")</f>
        <v/>
      </c>
      <c r="AD34" s="23">
        <f>IFERROR(IF(AB34&lt;1,AA34/(1-AB34),""),"")</f>
        <v/>
      </c>
      <c r="AE34" s="23" t="n"/>
      <c r="AF34" s="23" t="n"/>
      <c r="AG34" s="23" t="n"/>
      <c r="AH34" s="23" t="n"/>
      <c r="AI34" s="31" t="n"/>
      <c r="AJ34" s="31" t="n"/>
      <c r="AK34" s="31" t="n"/>
      <c r="AL34" s="31" t="n"/>
      <c r="AM34" s="31" t="inlineStr">
        <is>
          <t>sim</t>
        </is>
      </c>
      <c r="AN34" s="34" t="n"/>
      <c r="AO34" s="34" t="n"/>
      <c r="AP34" s="36" t="inlineStr">
        <is>
          <t>Fotos: assets/JOHN_DEERE_A74430_ecommerce.png</t>
        </is>
      </c>
      <c r="AQ34" s="23">
        <f>IF(AND(M34&lt;&gt;"",M34&gt;1),A34&amp;"-KIT"&amp;M34,A34)</f>
        <v/>
      </c>
      <c r="AR34" s="36">
        <f>IF(AND(M34&lt;&gt;"",M34&gt;1),D34&amp;" — Kit "&amp;M34&amp;" unidades",D34)</f>
        <v/>
      </c>
      <c r="AS34" s="39" t="inlineStr">
        <is>
          <t>JOHN_DEERE_A74430_ecommerce.png</t>
        </is>
      </c>
      <c r="AT34" s="41" t="n"/>
      <c r="AU34" s="41" t="n"/>
      <c r="AV34" s="43" t="n"/>
      <c r="AW34" s="41" t="n"/>
      <c r="AX34" s="41" t="n"/>
      <c r="AY34" s="23" t="n"/>
      <c r="AZ34" s="36" t="n"/>
      <c r="BA34" s="23" t="n"/>
      <c r="BB34" s="36" t="n"/>
      <c r="BC34" s="23" t="n"/>
      <c r="BD34" s="36" t="n"/>
      <c r="BE34" s="41" t="n"/>
      <c r="BF34" s="29" t="n"/>
      <c r="BG34" s="23" t="n"/>
      <c r="BH34" s="23" t="n"/>
      <c r="BI34" s="23" t="n"/>
      <c r="BJ34" s="23" t="n"/>
      <c r="BK34" s="44" t="n"/>
      <c r="BL34" s="44" t="n"/>
    </row>
    <row r="35" ht="15.75" customHeight="1" s="93">
      <c r="A35" s="1" t="inlineStr">
        <is>
          <t>A74430</t>
        </is>
      </c>
      <c r="B35" s="1" t="inlineStr">
        <is>
          <t>A74430</t>
        </is>
      </c>
      <c r="C35" s="1" t="inlineStr">
        <is>
          <t>engate-hidr-rapido</t>
        </is>
      </c>
      <c r="D35" s="1" t="inlineStr">
        <is>
          <t>Engate Hidráulico Rápido - John Deere A74430 | Plantadeira</t>
        </is>
      </c>
      <c r="E35" s="1" t="inlineStr">
        <is>
          <t>Peças Plásticas Injetadas</t>
        </is>
      </c>
      <c r="F35" s="1" t="inlineStr">
        <is>
          <t>APP</t>
        </is>
      </c>
      <c r="G35" s="1" t="n"/>
      <c r="H35" s="23" t="inlineStr">
        <is>
          <t>active</t>
        </is>
      </c>
      <c r="I35" s="1" t="inlineStr">
        <is>
          <t>JOHN DEERE</t>
        </is>
      </c>
      <c r="J35" s="1" t="inlineStr">
        <is>
          <t>PLANTADEIRA</t>
        </is>
      </c>
      <c r="K35" s="1">
        <f>LOWER(CONCATENATE("Peças Plastica para ",J35," ",D35))</f>
        <v/>
      </c>
      <c r="L35" s="1" t="n"/>
      <c r="M35" s="70" t="n">
        <v>10</v>
      </c>
      <c r="N35" s="70" t="n">
        <v>5</v>
      </c>
      <c r="O35" s="70">
        <f>0.097*M35</f>
        <v/>
      </c>
      <c r="P35" s="18" t="n">
        <v>15</v>
      </c>
      <c r="Q35" s="18" t="n">
        <v>10</v>
      </c>
      <c r="R35" s="54" t="n">
        <v>70</v>
      </c>
      <c r="S35" s="54">
        <f>IFERROR(IF(AND(P35&gt;0,Q35&gt;0,R35&gt;0),(P35*Q35*R35)/6000,""),"")</f>
        <v/>
      </c>
      <c r="T35" s="34">
        <f>IFERROR(IF(AND(P35&gt;0,Q35&gt;0,R35&gt;0),(P35*Q35*R35)/6000,""),"")</f>
        <v/>
      </c>
      <c r="U35" s="55">
        <f>IFERROR(IF(AND(O35&gt;0,T35&gt;0),MAX(O35,T35),IF(O35&gt;0,O35,IF(T35&gt;0,T35,""))),"")</f>
        <v/>
      </c>
      <c r="V35" s="71" t="n">
        <v>20.35</v>
      </c>
      <c r="W35" s="23" t="inlineStr">
        <is>
          <t>fornecedor</t>
        </is>
      </c>
      <c r="X35" s="23">
        <f>X34*M35</f>
        <v/>
      </c>
      <c r="Y35" s="29">
        <f>Y34</f>
        <v/>
      </c>
      <c r="Z35" s="50">
        <f>IFERROR(X35+V35,"")</f>
        <v/>
      </c>
      <c r="AA35" s="50">
        <f>IFERROR(IF(Y35&lt;1,Z35/(1-Y35),""),"")</f>
        <v/>
      </c>
      <c r="AB35" s="15">
        <f>'01_CONFIG_GLOBAL'!$C$14</f>
        <v/>
      </c>
      <c r="AC35" s="23">
        <f>IFERROR(AA35*AB35,"")</f>
        <v/>
      </c>
      <c r="AD35" s="23">
        <f>IFERROR(IF(AB35&lt;1,AA35/(1-AB35),""),"")</f>
        <v/>
      </c>
      <c r="AE35" s="23" t="n"/>
      <c r="AF35" s="23" t="n"/>
      <c r="AG35" s="23" t="n"/>
      <c r="AH35" s="23" t="n"/>
      <c r="AI35" s="31" t="n"/>
      <c r="AJ35" s="31" t="n"/>
      <c r="AK35" s="31" t="n"/>
      <c r="AL35" s="31" t="n"/>
      <c r="AM35" s="31" t="inlineStr">
        <is>
          <t>sim</t>
        </is>
      </c>
      <c r="AN35" s="34" t="n"/>
      <c r="AO35" s="34" t="n"/>
      <c r="AP35" s="36" t="n"/>
      <c r="AQ35" s="23">
        <f>IF(AND(M35&lt;&gt;"",M35&gt;1),A35&amp;"-KIT"&amp;M35,A35)</f>
        <v/>
      </c>
      <c r="AR35" s="36">
        <f>IF(AND(M35&lt;&gt;"",M35&gt;1),D35&amp;" — Kit "&amp;M35&amp;" unidades",D35)</f>
        <v/>
      </c>
      <c r="AS35" s="39" t="inlineStr">
        <is>
          <t>JOHN_DEERE_A74430_ecommerce.png</t>
        </is>
      </c>
      <c r="AT35" s="41" t="n"/>
      <c r="AU35" s="41" t="n"/>
      <c r="AV35" s="43" t="n"/>
      <c r="AW35" s="41" t="n"/>
      <c r="AX35" s="41" t="n"/>
      <c r="AY35" s="23" t="n"/>
      <c r="AZ35" s="36" t="n"/>
      <c r="BA35" s="23" t="n"/>
      <c r="BB35" s="36" t="n"/>
      <c r="BC35" s="23" t="n"/>
      <c r="BD35" s="36" t="n"/>
      <c r="BE35" s="41" t="n"/>
      <c r="BF35" s="29" t="n"/>
      <c r="BG35" s="23" t="n"/>
      <c r="BH35" s="23" t="n"/>
      <c r="BI35" s="23" t="n"/>
      <c r="BJ35" s="23" t="n"/>
      <c r="BK35" s="44" t="n"/>
      <c r="BL35" s="44" t="n"/>
    </row>
    <row r="36" ht="15.75" customHeight="1" s="93">
      <c r="A36" s="1" t="inlineStr">
        <is>
          <t>KK31823</t>
        </is>
      </c>
      <c r="B36" s="1" t="inlineStr">
        <is>
          <t>KK31823</t>
        </is>
      </c>
      <c r="C36" s="1" t="inlineStr">
        <is>
          <t>dedo-recolhedor-algod-o-grande</t>
        </is>
      </c>
      <c r="D36" s="1" t="inlineStr">
        <is>
          <t>Dedo Recolhedor Algodão Grande - John Deere KK31823 | Colhedora de Algodão</t>
        </is>
      </c>
      <c r="E36" s="1" t="inlineStr">
        <is>
          <t>Peças Plásticas Injetadas</t>
        </is>
      </c>
      <c r="F36" s="1" t="inlineStr">
        <is>
          <t>APP</t>
        </is>
      </c>
      <c r="G36" s="1" t="n"/>
      <c r="H36" s="23" t="inlineStr">
        <is>
          <t>active</t>
        </is>
      </c>
      <c r="I36" s="1" t="inlineStr">
        <is>
          <t>JOHN DEERE</t>
        </is>
      </c>
      <c r="J36" s="1" t="inlineStr">
        <is>
          <t>COLHEITADEIRA</t>
        </is>
      </c>
      <c r="K36" s="1">
        <f>LOWER(CONCATENATE("Peças Plastica para ",J36," ",D36))</f>
        <v/>
      </c>
      <c r="L36" s="1" t="n"/>
      <c r="M36" s="70" t="n">
        <v>25</v>
      </c>
      <c r="N36" s="70" t="n">
        <v>5</v>
      </c>
      <c r="O36" s="70">
        <f>0.175*M36</f>
        <v/>
      </c>
      <c r="P36" s="18" t="n">
        <v>33.6</v>
      </c>
      <c r="Q36" s="18" t="n">
        <v>38</v>
      </c>
      <c r="R36" s="54" t="n">
        <v>4</v>
      </c>
      <c r="S36" s="54">
        <f>IFERROR(IF(AND(P36&gt;0,Q36&gt;0,R36&gt;0),(P36*Q36*R36)/6000,""),"")</f>
        <v/>
      </c>
      <c r="T36" s="34">
        <f>IFERROR(IF(AND(P36&gt;0,Q36&gt;0,R36&gt;0),(P36*Q36*R36)/6000,""),"")</f>
        <v/>
      </c>
      <c r="U36" s="55">
        <f>IFERROR(IF(AND(O36&gt;0,T36&gt;0),MAX(O36,T36),IF(O36&gt;0,O36,IF(T36&gt;0,T36,""))),"")</f>
        <v/>
      </c>
      <c r="V36" s="71" t="n">
        <v>27.57</v>
      </c>
      <c r="W36" s="23" t="inlineStr">
        <is>
          <t>fornecedor</t>
        </is>
      </c>
      <c r="X36" s="23">
        <f>X12/M12*M36</f>
        <v/>
      </c>
      <c r="Y36" s="29" t="n">
        <v>0.3</v>
      </c>
      <c r="Z36" s="50">
        <f>IFERROR(X36+V36,"")</f>
        <v/>
      </c>
      <c r="AA36" s="50">
        <f>IFERROR(IF(Y36&lt;1,Z36/(1-Y36),""),"")</f>
        <v/>
      </c>
      <c r="AB36" s="15">
        <f>'01_CONFIG_GLOBAL'!$C$14</f>
        <v/>
      </c>
      <c r="AC36" s="23">
        <f>IFERROR(AA36*AB36,"")</f>
        <v/>
      </c>
      <c r="AD36" s="23">
        <f>IFERROR(IF(AB36&lt;1,AA36/(1-AB36),""),"")</f>
        <v/>
      </c>
      <c r="AE36" s="23" t="n"/>
      <c r="AF36" s="23" t="n"/>
      <c r="AG36" s="23" t="n"/>
      <c r="AH36" s="23" t="n"/>
      <c r="AI36" s="31" t="n"/>
      <c r="AJ36" s="31" t="n"/>
      <c r="AK36" s="31" t="n"/>
      <c r="AL36" s="31" t="n"/>
      <c r="AM36" s="31" t="inlineStr">
        <is>
          <t>sim</t>
        </is>
      </c>
      <c r="AN36" s="34" t="n"/>
      <c r="AO36" s="34" t="n"/>
      <c r="AP36" s="36" t="inlineStr">
        <is>
          <t>Fotos: assets/JOHN_DEERE_KK31823_ecommerce.png</t>
        </is>
      </c>
      <c r="AQ36" s="23">
        <f>IF(AND(M36&lt;&gt;"",M36&gt;1),A36&amp;"-KIT"&amp;M36,A36)</f>
        <v/>
      </c>
      <c r="AR36" s="36">
        <f>IF(AND(M36&lt;&gt;"",M36&gt;1),D36&amp;" — Kit "&amp;M36&amp;" unidades",D36)</f>
        <v/>
      </c>
      <c r="AS36" s="39" t="inlineStr">
        <is>
          <t>JOHN_DEERE_KK31823_ecommerce.png</t>
        </is>
      </c>
      <c r="AT36" s="41" t="n"/>
      <c r="AU36" s="41" t="n"/>
      <c r="AV36" s="43" t="n"/>
      <c r="AW36" s="41" t="n"/>
      <c r="AX36" s="41" t="n"/>
      <c r="AY36" s="23" t="n"/>
      <c r="AZ36" s="36" t="n"/>
      <c r="BA36" s="23" t="n"/>
      <c r="BB36" s="36" t="n"/>
      <c r="BC36" s="23" t="n"/>
      <c r="BD36" s="36" t="n"/>
      <c r="BE36" s="41" t="n"/>
      <c r="BF36" s="29" t="n"/>
      <c r="BG36" s="23" t="n"/>
      <c r="BH36" s="23" t="n"/>
      <c r="BI36" s="23" t="n"/>
      <c r="BJ36" s="23" t="n"/>
      <c r="BK36" s="44" t="n"/>
      <c r="BL36" s="44" t="n"/>
    </row>
    <row r="37" ht="15.75" customHeight="1" s="93">
      <c r="A37" s="1" t="inlineStr">
        <is>
          <t>KK31823</t>
        </is>
      </c>
      <c r="B37" s="1" t="inlineStr">
        <is>
          <t>KK31823</t>
        </is>
      </c>
      <c r="C37" s="1" t="inlineStr">
        <is>
          <t>dedo-recolhedor-algod-o-grande</t>
        </is>
      </c>
      <c r="D37" s="1" t="inlineStr">
        <is>
          <t>Dedo Recolhedor Algodão Grande - John Deere KK31823 | Colhedora de Algodão</t>
        </is>
      </c>
      <c r="E37" s="1" t="inlineStr">
        <is>
          <t>Peças Plásticas Injetadas</t>
        </is>
      </c>
      <c r="F37" s="1" t="inlineStr">
        <is>
          <t>APP</t>
        </is>
      </c>
      <c r="G37" s="1" t="n"/>
      <c r="H37" s="23" t="inlineStr">
        <is>
          <t>active</t>
        </is>
      </c>
      <c r="I37" s="1" t="inlineStr">
        <is>
          <t>JOHN DEERE</t>
        </is>
      </c>
      <c r="J37" s="1" t="inlineStr">
        <is>
          <t>COLHEITADEIRA</t>
        </is>
      </c>
      <c r="K37" s="1">
        <f>LOWER(CONCATENATE("Peças Plastica para ",J37," ",D37))</f>
        <v/>
      </c>
      <c r="L37" s="1" t="n"/>
      <c r="M37" s="70" t="n">
        <v>50</v>
      </c>
      <c r="N37" s="70" t="n">
        <v>5</v>
      </c>
      <c r="O37" s="70">
        <f>0.175*M37</f>
        <v/>
      </c>
      <c r="P37" s="18" t="n">
        <v>37</v>
      </c>
      <c r="Q37" s="18" t="n">
        <v>40</v>
      </c>
      <c r="R37" s="54" t="n">
        <v>10</v>
      </c>
      <c r="S37" s="54">
        <f>IFERROR(IF(AND(P37&gt;0,Q37&gt;0,R37&gt;0),(P37*Q37*R37)/6000,""),"")</f>
        <v/>
      </c>
      <c r="T37" s="34">
        <f>IFERROR(IF(AND(P37&gt;0,Q37&gt;0,R37&gt;0),(P37*Q37*R37)/6000,""),"")</f>
        <v/>
      </c>
      <c r="U37" s="55">
        <f>IFERROR(IF(AND(O37&gt;0,T37&gt;0),MAX(O37,T37),IF(O37&gt;0,O37,IF(T37&gt;0,T37,""))),"")</f>
        <v/>
      </c>
      <c r="V37" s="71" t="n">
        <v>41.02</v>
      </c>
      <c r="W37" s="23" t="inlineStr">
        <is>
          <t>fornecedor</t>
        </is>
      </c>
      <c r="X37" s="23">
        <f>X12/M12*M37</f>
        <v/>
      </c>
      <c r="Y37" s="29">
        <f>Y12</f>
        <v/>
      </c>
      <c r="Z37" s="50">
        <f>IFERROR(X37+V37,"")</f>
        <v/>
      </c>
      <c r="AA37" s="50">
        <f>IFERROR(IF(Y37&lt;1,Z37/(1-Y37),""),"")</f>
        <v/>
      </c>
      <c r="AB37" s="15">
        <f>'01_CONFIG_GLOBAL'!$C$14</f>
        <v/>
      </c>
      <c r="AC37" s="23">
        <f>IFERROR(AA37*AB37,"")</f>
        <v/>
      </c>
      <c r="AD37" s="23">
        <f>IFERROR(IF(AB37&lt;1,AA37/(1-AB37),""),"")</f>
        <v/>
      </c>
      <c r="AE37" s="23" t="n"/>
      <c r="AF37" s="23" t="n"/>
      <c r="AG37" s="23" t="n"/>
      <c r="AH37" s="23" t="n"/>
      <c r="AI37" s="31" t="n"/>
      <c r="AJ37" s="31" t="n"/>
      <c r="AK37" s="31" t="n"/>
      <c r="AL37" s="31" t="n"/>
      <c r="AM37" s="31" t="inlineStr">
        <is>
          <t>sim</t>
        </is>
      </c>
      <c r="AN37" s="34" t="n"/>
      <c r="AO37" s="34" t="n"/>
      <c r="AP37" s="36" t="n"/>
      <c r="AQ37" s="23">
        <f>IF(AND(M37&lt;&gt;"",M37&gt;1),A37&amp;"-KIT"&amp;M37,A37)</f>
        <v/>
      </c>
      <c r="AR37" s="36">
        <f>IF(AND(M37&lt;&gt;"",M37&gt;1),D37&amp;" — Kit "&amp;M37&amp;" unidades",D37)</f>
        <v/>
      </c>
      <c r="AS37" s="39" t="inlineStr">
        <is>
          <t>JOHN_DEERE_KK31823_ecommerce.png</t>
        </is>
      </c>
      <c r="AT37" s="41" t="n"/>
      <c r="AU37" s="41" t="n"/>
      <c r="AV37" s="43" t="n"/>
      <c r="AW37" s="41" t="n"/>
      <c r="AX37" s="41" t="n"/>
      <c r="AY37" s="23" t="n"/>
      <c r="AZ37" s="36" t="n"/>
      <c r="BA37" s="23" t="n"/>
      <c r="BB37" s="36" t="n"/>
      <c r="BC37" s="23" t="n"/>
      <c r="BD37" s="36" t="n"/>
      <c r="BE37" s="41" t="n"/>
      <c r="BF37" s="29" t="n"/>
      <c r="BG37" s="23" t="n"/>
      <c r="BH37" s="23" t="n"/>
      <c r="BI37" s="23" t="n"/>
      <c r="BJ37" s="23" t="n"/>
      <c r="BK37" s="44" t="n"/>
      <c r="BL37" s="44" t="n"/>
    </row>
    <row r="38" ht="15.75" customHeight="1" s="93">
      <c r="A38" s="1" t="inlineStr">
        <is>
          <t>KK31824</t>
        </is>
      </c>
      <c r="B38" s="1" t="inlineStr">
        <is>
          <t>KK31824</t>
        </is>
      </c>
      <c r="C38" s="1" t="inlineStr">
        <is>
          <t>dedo-recolhedor-algod-o-m-dio</t>
        </is>
      </c>
      <c r="D38" s="1" t="inlineStr">
        <is>
          <t>Dedo Recolhedor Algodão Médio - John Deere KK31824 | Colhedora 7760/CP690</t>
        </is>
      </c>
      <c r="E38" s="1" t="inlineStr">
        <is>
          <t>Peças Plásticas Injetadas</t>
        </is>
      </c>
      <c r="F38" s="1" t="inlineStr">
        <is>
          <t>APP</t>
        </is>
      </c>
      <c r="G38" s="1" t="n"/>
      <c r="H38" s="23" t="inlineStr">
        <is>
          <t>active</t>
        </is>
      </c>
      <c r="I38" s="1" t="inlineStr">
        <is>
          <t>JOHN DEERE</t>
        </is>
      </c>
      <c r="J38" s="1" t="inlineStr">
        <is>
          <t>COLHEITADEIRA</t>
        </is>
      </c>
      <c r="K38" s="1">
        <f>LOWER(CONCATENATE("Peças Plastica para ",J38," ",D38))</f>
        <v/>
      </c>
      <c r="L38" s="1" t="n"/>
      <c r="M38" s="70" t="n">
        <v>25</v>
      </c>
      <c r="N38" s="70" t="n">
        <v>5</v>
      </c>
      <c r="O38" s="70">
        <f>0.127*M38</f>
        <v/>
      </c>
      <c r="P38" s="18" t="n">
        <v>33.4</v>
      </c>
      <c r="Q38" s="18" t="n">
        <v>27</v>
      </c>
      <c r="R38" s="54" t="n">
        <v>4</v>
      </c>
      <c r="S38" s="54">
        <f>IFERROR(IF(AND(P38&gt;0,Q38&gt;0,R38&gt;0),(P38*Q38*R38)/6000,""),"")</f>
        <v/>
      </c>
      <c r="T38" s="34">
        <f>IFERROR(IF(AND(P38&gt;0,Q38&gt;0,R38&gt;0),(P38*Q38*R38)/6000,""),"")</f>
        <v/>
      </c>
      <c r="U38" s="55">
        <f>IFERROR(IF(AND(O38&gt;0,T38&gt;0),MAX(O38,T38),IF(O38&gt;0,O38,IF(T38&gt;0,T38,""))),"")</f>
        <v/>
      </c>
      <c r="V38" s="71" t="n">
        <v>18.05</v>
      </c>
      <c r="W38" s="23" t="inlineStr">
        <is>
          <t>fornecedor</t>
        </is>
      </c>
      <c r="X38" s="23">
        <f>X13/M13*M38</f>
        <v/>
      </c>
      <c r="Y38" s="29" t="n">
        <v>0.3</v>
      </c>
      <c r="Z38" s="50">
        <f>IFERROR(X38+V38,"")</f>
        <v/>
      </c>
      <c r="AA38" s="50">
        <f>IFERROR(IF(Y38&lt;1,Z38/(1-Y38),""),"")</f>
        <v/>
      </c>
      <c r="AB38" s="15">
        <f>'01_CONFIG_GLOBAL'!$C$14</f>
        <v/>
      </c>
      <c r="AC38" s="23">
        <f>IFERROR(AA38*AB38,"")</f>
        <v/>
      </c>
      <c r="AD38" s="23">
        <f>IFERROR(IF(AB38&lt;1,AA38/(1-AB38),""),"")</f>
        <v/>
      </c>
      <c r="AE38" s="23" t="n"/>
      <c r="AF38" s="23" t="n"/>
      <c r="AG38" s="23" t="n"/>
      <c r="AH38" s="23" t="n"/>
      <c r="AI38" s="31" t="n"/>
      <c r="AJ38" s="31" t="n"/>
      <c r="AK38" s="31" t="n"/>
      <c r="AL38" s="31" t="n"/>
      <c r="AM38" s="31" t="inlineStr">
        <is>
          <t>sim</t>
        </is>
      </c>
      <c r="AN38" s="34" t="n"/>
      <c r="AO38" s="34" t="n"/>
      <c r="AP38" s="36" t="inlineStr">
        <is>
          <t>Fotos: assets/JOHN_DEERE_KK31824_ecommerce.png</t>
        </is>
      </c>
      <c r="AQ38" s="23">
        <f>IF(AND(M38&lt;&gt;"",M38&gt;1),A38&amp;"-KIT"&amp;M38,A38)</f>
        <v/>
      </c>
      <c r="AR38" s="36">
        <f>IF(AND(M38&lt;&gt;"",M38&gt;1),D38&amp;" — Kit "&amp;M38&amp;" unidades",D38)</f>
        <v/>
      </c>
      <c r="AS38" s="39" t="inlineStr">
        <is>
          <t>JOHN_DEERE_KK31824_ecommerce.png</t>
        </is>
      </c>
      <c r="AT38" s="41" t="n"/>
      <c r="AU38" s="41" t="n"/>
      <c r="AV38" s="43" t="n"/>
      <c r="AW38" s="41" t="n"/>
      <c r="AX38" s="41" t="n"/>
      <c r="AY38" s="23" t="n"/>
      <c r="AZ38" s="36" t="n"/>
      <c r="BA38" s="23" t="n"/>
      <c r="BB38" s="36" t="n"/>
      <c r="BC38" s="23" t="n"/>
      <c r="BD38" s="36" t="n"/>
      <c r="BE38" s="41" t="n"/>
      <c r="BF38" s="29" t="n"/>
      <c r="BG38" s="23" t="n"/>
      <c r="BH38" s="23" t="n"/>
      <c r="BI38" s="23" t="n"/>
      <c r="BJ38" s="23" t="n"/>
      <c r="BK38" s="44" t="n"/>
      <c r="BL38" s="44" t="n"/>
    </row>
    <row r="39" ht="15.75" customHeight="1" s="93">
      <c r="A39" s="1" t="inlineStr">
        <is>
          <t>KK31824</t>
        </is>
      </c>
      <c r="B39" s="1" t="inlineStr">
        <is>
          <t>KK31824</t>
        </is>
      </c>
      <c r="C39" s="1" t="inlineStr">
        <is>
          <t>dedo-recolhedor-algod-o-m-dio</t>
        </is>
      </c>
      <c r="D39" s="1" t="inlineStr">
        <is>
          <t>Dedo Recolhedor Algodão Médio - John Deere KK31824 | Colhedora 7760/CP690</t>
        </is>
      </c>
      <c r="E39" s="1" t="inlineStr">
        <is>
          <t>Peças Plásticas Injetadas</t>
        </is>
      </c>
      <c r="F39" s="1" t="inlineStr">
        <is>
          <t>APP</t>
        </is>
      </c>
      <c r="G39" s="1" t="n"/>
      <c r="H39" s="23" t="inlineStr">
        <is>
          <t>active</t>
        </is>
      </c>
      <c r="I39" s="1" t="inlineStr">
        <is>
          <t>JOHN DEERE</t>
        </is>
      </c>
      <c r="J39" s="1" t="inlineStr">
        <is>
          <t>COLHEITADEIRA</t>
        </is>
      </c>
      <c r="K39" s="1">
        <f>LOWER(CONCATENATE("Peças Plastica para ",J39," ",D39))</f>
        <v/>
      </c>
      <c r="L39" s="1" t="n"/>
      <c r="M39" s="70" t="n">
        <v>50</v>
      </c>
      <c r="N39" s="70" t="n">
        <v>5</v>
      </c>
      <c r="O39" s="70">
        <f>0.127*M39</f>
        <v/>
      </c>
      <c r="P39" s="18" t="n">
        <v>37</v>
      </c>
      <c r="Q39" s="18" t="n">
        <v>32</v>
      </c>
      <c r="R39" s="54" t="n">
        <v>10</v>
      </c>
      <c r="S39" s="54">
        <f>IFERROR(IF(AND(P39&gt;0,Q39&gt;0,R39&gt;0),(P39*Q39*R39)/6000,""),"")</f>
        <v/>
      </c>
      <c r="T39" s="34">
        <f>IFERROR(IF(AND(P39&gt;0,Q39&gt;0,R39&gt;0),(P39*Q39*R39)/6000,""),"")</f>
        <v/>
      </c>
      <c r="U39" s="55">
        <f>IFERROR(IF(AND(O39&gt;0,T39&gt;0),MAX(O39,T39),IF(O39&gt;0,O39,IF(T39&gt;0,T39,""))),"")</f>
        <v/>
      </c>
      <c r="V39" s="71" t="n">
        <v>21.1</v>
      </c>
      <c r="W39" s="23" t="inlineStr">
        <is>
          <t>fornecedor</t>
        </is>
      </c>
      <c r="X39" s="23">
        <f>X13/M13*M39</f>
        <v/>
      </c>
      <c r="Y39" s="29">
        <f>Y13</f>
        <v/>
      </c>
      <c r="Z39" s="50">
        <f>IFERROR(X39+V39,"")</f>
        <v/>
      </c>
      <c r="AA39" s="50">
        <f>IFERROR(IF(Y39&lt;1,Z39/(1-Y39),""),"")</f>
        <v/>
      </c>
      <c r="AB39" s="15">
        <f>'01_CONFIG_GLOBAL'!$C$14</f>
        <v/>
      </c>
      <c r="AC39" s="23">
        <f>IFERROR(AA39*AB39,"")</f>
        <v/>
      </c>
      <c r="AD39" s="23">
        <f>IFERROR(IF(AB39&lt;1,AA39/(1-AB39),""),"")</f>
        <v/>
      </c>
      <c r="AE39" s="23" t="n"/>
      <c r="AF39" s="23" t="n"/>
      <c r="AG39" s="23" t="n"/>
      <c r="AH39" s="23" t="n"/>
      <c r="AI39" s="31" t="n"/>
      <c r="AJ39" s="31" t="n"/>
      <c r="AK39" s="31" t="n"/>
      <c r="AL39" s="31" t="n"/>
      <c r="AM39" s="31" t="inlineStr">
        <is>
          <t>sim</t>
        </is>
      </c>
      <c r="AN39" s="34" t="n"/>
      <c r="AO39" s="34" t="n"/>
      <c r="AP39" s="36" t="inlineStr">
        <is>
          <t>CORRIGIDO 21/07: custo proporcional ao kit-25 (r38)</t>
        </is>
      </c>
      <c r="AQ39" s="23">
        <f>IF(AND(M39&lt;&gt;"",M39&gt;1),A39&amp;"-KIT"&amp;M39,A39)</f>
        <v/>
      </c>
      <c r="AR39" s="36">
        <f>IF(AND(M39&lt;&gt;"",M39&gt;1),D39&amp;" — Kit "&amp;M39&amp;" unidades",D39)</f>
        <v/>
      </c>
      <c r="AS39" s="39" t="inlineStr">
        <is>
          <t>JOHN_DEERE_KK31824_ecommerce.png</t>
        </is>
      </c>
      <c r="AT39" s="41" t="n"/>
      <c r="AU39" s="41" t="n"/>
      <c r="AV39" s="43" t="n"/>
      <c r="AW39" s="41" t="n"/>
      <c r="AX39" s="41" t="n"/>
      <c r="AY39" s="23" t="n"/>
      <c r="AZ39" s="36" t="n"/>
      <c r="BA39" s="23" t="n"/>
      <c r="BB39" s="36" t="n"/>
      <c r="BC39" s="23" t="n"/>
      <c r="BD39" s="36" t="n"/>
      <c r="BE39" s="41" t="n"/>
      <c r="BF39" s="29" t="n"/>
      <c r="BG39" s="23" t="n"/>
      <c r="BH39" s="23" t="n"/>
      <c r="BI39" s="23" t="n"/>
      <c r="BJ39" s="23" t="n"/>
      <c r="BK39" s="44" t="n"/>
      <c r="BL39" s="44" t="n"/>
    </row>
    <row r="40" ht="15.75" customHeight="1" s="93">
      <c r="A40" s="1" t="inlineStr">
        <is>
          <t>KK31825</t>
        </is>
      </c>
      <c r="B40" s="1" t="inlineStr">
        <is>
          <t>KK31825</t>
        </is>
      </c>
      <c r="C40" s="1" t="inlineStr">
        <is>
          <t>dedo-recolhedor-algod-o-pequeno</t>
        </is>
      </c>
      <c r="D40" s="1" t="inlineStr">
        <is>
          <t>Dedo Recolhedor Algodão Pequeno - John Deere KK31825 | Colhedora 7760/CP690</t>
        </is>
      </c>
      <c r="E40" s="1" t="inlineStr">
        <is>
          <t>Peças Plásticas Injetadas</t>
        </is>
      </c>
      <c r="F40" s="1" t="inlineStr">
        <is>
          <t>APP</t>
        </is>
      </c>
      <c r="G40" s="1" t="n"/>
      <c r="H40" s="23" t="inlineStr">
        <is>
          <t>active</t>
        </is>
      </c>
      <c r="I40" s="1" t="inlineStr">
        <is>
          <t>JOHN DEERE</t>
        </is>
      </c>
      <c r="J40" s="1" t="inlineStr">
        <is>
          <t>COLHEITADEIRA</t>
        </is>
      </c>
      <c r="K40" s="1">
        <f>LOWER(CONCATENATE("Peças Plastica para ",J40," ",D40))</f>
        <v/>
      </c>
      <c r="L40" s="1" t="n"/>
      <c r="M40" s="70" t="n">
        <v>25</v>
      </c>
      <c r="N40" s="70" t="n">
        <v>5</v>
      </c>
      <c r="O40" s="70">
        <f>0.1*M40</f>
        <v/>
      </c>
      <c r="P40" s="18" t="n">
        <v>33</v>
      </c>
      <c r="Q40" s="18" t="n">
        <v>16.2</v>
      </c>
      <c r="R40" s="54" t="n">
        <v>4</v>
      </c>
      <c r="S40" s="54">
        <f>IFERROR(IF(AND(P40&gt;0,Q40&gt;0,R40&gt;0),(P40*Q40*R40)/6000,""),"")</f>
        <v/>
      </c>
      <c r="T40" s="34">
        <f>IFERROR(IF(AND(P40&gt;0,Q40&gt;0,R40&gt;0),(P40*Q40*R40)/6000,""),"")</f>
        <v/>
      </c>
      <c r="U40" s="55">
        <f>IFERROR(IF(AND(O40&gt;0,T40&gt;0),MAX(O40,T40),IF(O40&gt;0,O40,IF(T40&gt;0,T40,""))),"")</f>
        <v/>
      </c>
      <c r="V40" s="71" t="n">
        <v>16.74</v>
      </c>
      <c r="W40" s="23" t="inlineStr">
        <is>
          <t>fornecedor</t>
        </is>
      </c>
      <c r="X40" s="23">
        <f>X14/M14*M40</f>
        <v/>
      </c>
      <c r="Y40" s="29" t="n">
        <v>0.3</v>
      </c>
      <c r="Z40" s="50">
        <f>IFERROR(X40+V40,"")</f>
        <v/>
      </c>
      <c r="AA40" s="50">
        <f>IFERROR(IF(Y40&lt;1,Z40/(1-Y40),""),"")</f>
        <v/>
      </c>
      <c r="AB40" s="15">
        <f>'01_CONFIG_GLOBAL'!$C$14</f>
        <v/>
      </c>
      <c r="AC40" s="23">
        <f>IFERROR(AA40*AB40,"")</f>
        <v/>
      </c>
      <c r="AD40" s="23">
        <f>IFERROR(IF(AB40&lt;1,AA40/(1-AB40),""),"")</f>
        <v/>
      </c>
      <c r="AE40" s="23" t="n"/>
      <c r="AF40" s="23" t="n"/>
      <c r="AG40" s="23" t="n"/>
      <c r="AH40" s="23" t="n"/>
      <c r="AI40" s="31" t="n"/>
      <c r="AJ40" s="31" t="n"/>
      <c r="AK40" s="31" t="n"/>
      <c r="AL40" s="31" t="n"/>
      <c r="AM40" s="31" t="inlineStr">
        <is>
          <t>sim</t>
        </is>
      </c>
      <c r="AN40" s="34" t="n"/>
      <c r="AO40" s="34" t="n"/>
      <c r="AP40" s="36" t="inlineStr">
        <is>
          <t>Fotos: assets/JOHN_DEERE_KK31825_ecommerce.png</t>
        </is>
      </c>
      <c r="AQ40" s="23">
        <f>IF(AND(M40&lt;&gt;"",M40&gt;1),A40&amp;"-KIT"&amp;M40,A40)</f>
        <v/>
      </c>
      <c r="AR40" s="36">
        <f>IF(AND(M40&lt;&gt;"",M40&gt;1),D40&amp;" — Kit "&amp;M40&amp;" unidades",D40)</f>
        <v/>
      </c>
      <c r="AS40" s="39" t="inlineStr">
        <is>
          <t>JOHN_DEERE_KK31825_ecommerce.png</t>
        </is>
      </c>
      <c r="AT40" s="41" t="n"/>
      <c r="AU40" s="41" t="n"/>
      <c r="AV40" s="43" t="n"/>
      <c r="AW40" s="41" t="n"/>
      <c r="AX40" s="41" t="n"/>
      <c r="AY40" s="23" t="n"/>
      <c r="AZ40" s="36" t="n"/>
      <c r="BA40" s="23" t="n"/>
      <c r="BB40" s="36" t="n"/>
      <c r="BC40" s="23" t="n"/>
      <c r="BD40" s="36" t="n"/>
      <c r="BE40" s="41" t="n"/>
      <c r="BF40" s="29" t="n"/>
      <c r="BG40" s="23" t="n"/>
      <c r="BH40" s="23" t="n"/>
      <c r="BI40" s="23" t="n"/>
      <c r="BJ40" s="23" t="n"/>
      <c r="BK40" s="44" t="n"/>
      <c r="BL40" s="44" t="n"/>
    </row>
    <row r="41" ht="15.75" customHeight="1" s="93">
      <c r="A41" s="1" t="inlineStr">
        <is>
          <t>ADG111.2</t>
        </is>
      </c>
      <c r="B41" s="1" t="n"/>
      <c r="C41" s="1" t="n"/>
      <c r="D41" s="1" t="n"/>
      <c r="E41" s="1" t="n"/>
      <c r="F41" s="1" t="n"/>
      <c r="G41" s="1" t="n"/>
      <c r="H41" s="23" t="n"/>
      <c r="I41" s="1" t="n"/>
      <c r="J41" s="1" t="n"/>
      <c r="K41" s="1" t="n"/>
      <c r="L41" s="1" t="n"/>
      <c r="M41" s="70" t="n"/>
      <c r="N41" s="70" t="n">
        <v>5</v>
      </c>
      <c r="O41" s="70" t="n"/>
      <c r="P41" s="18" t="n"/>
      <c r="Q41" s="18" t="n">
        <v>62</v>
      </c>
      <c r="R41" s="54" t="n">
        <v>62</v>
      </c>
      <c r="S41" s="54">
        <f>IFERROR(IF(AND(P41&gt;0,Q41&gt;0,R41&gt;0),(P41*Q41*R41)/6000,""),"")</f>
        <v/>
      </c>
      <c r="T41" s="34">
        <f>IFERROR(IF(AND(P41&gt;0,Q41&gt;0,R41&gt;0),(P41*Q41*R41)/6000,""),"")</f>
        <v/>
      </c>
      <c r="U41" s="55">
        <f>IFERROR(IF(AND(O41&gt;0,T41&gt;0),MAX(O41,T41),IF(O41&gt;0,O41,IF(T41&gt;0,T41,""))),"")</f>
        <v/>
      </c>
      <c r="V41" s="71" t="n"/>
      <c r="W41" s="23" t="n"/>
      <c r="X41" s="23" t="n"/>
      <c r="Y41" s="29" t="n"/>
      <c r="Z41" s="50">
        <f>IFERROR(X41+V41,"")</f>
        <v/>
      </c>
      <c r="AA41" s="50">
        <f>IFERROR(IF(Y41&lt;1,Z41/(1-Y41),""),"")</f>
        <v/>
      </c>
      <c r="AB41" s="15">
        <f>'01_CONFIG_GLOBAL'!$C$14</f>
        <v/>
      </c>
      <c r="AC41" s="23">
        <f>IFERROR(AA41*AB41,"")</f>
        <v/>
      </c>
      <c r="AD41" s="23">
        <f>IFERROR(IF(AB41&lt;1,AA41/(1-AB41),""),"")</f>
        <v/>
      </c>
      <c r="AE41" s="23" t="n"/>
      <c r="AF41" s="23" t="n"/>
      <c r="AG41" s="23" t="n"/>
      <c r="AH41" s="23" t="n"/>
      <c r="AI41" s="31" t="n"/>
      <c r="AJ41" s="31" t="n"/>
      <c r="AK41" s="31" t="n"/>
      <c r="AL41" s="31" t="n"/>
      <c r="AM41" s="31" t="inlineStr">
        <is>
          <t>não</t>
        </is>
      </c>
      <c r="AN41" s="34" t="n"/>
      <c r="AO41" s="34" t="n"/>
      <c r="AP41" s="36" t="n"/>
      <c r="AQ41" s="23">
        <f>IF(AND(M41&lt;&gt;"",M41&gt;1),A41&amp;"-KIT"&amp;M41,A41)</f>
        <v/>
      </c>
      <c r="AR41" s="36">
        <f>IF(AND(M41&lt;&gt;"",M41&gt;1),D41&amp;" — Kit "&amp;M41&amp;" unidades",D41)</f>
        <v/>
      </c>
      <c r="AS41" s="39" t="n"/>
      <c r="AT41" s="41" t="n"/>
      <c r="AU41" s="41" t="n"/>
      <c r="AV41" s="43" t="n"/>
      <c r="AW41" s="41" t="n"/>
      <c r="AX41" s="41" t="n"/>
      <c r="AY41" s="23" t="n"/>
      <c r="AZ41" s="36" t="n"/>
      <c r="BA41" s="23" t="n"/>
      <c r="BB41" s="36" t="n"/>
      <c r="BC41" s="23" t="n"/>
      <c r="BD41" s="36" t="n"/>
      <c r="BE41" s="41" t="n"/>
      <c r="BF41" s="29" t="n"/>
      <c r="BG41" s="23" t="n"/>
      <c r="BH41" s="23" t="n"/>
      <c r="BI41" s="23" t="n"/>
      <c r="BJ41" s="23" t="n"/>
      <c r="BK41" s="44" t="n"/>
      <c r="BL41" s="44" t="n"/>
    </row>
    <row r="42" ht="15.75" customHeight="1" s="93">
      <c r="A42" s="1" t="inlineStr">
        <is>
          <t>ADG117.1</t>
        </is>
      </c>
      <c r="B42" s="1" t="n"/>
      <c r="C42" s="1" t="n"/>
      <c r="D42" s="1" t="n"/>
      <c r="E42" s="1" t="n"/>
      <c r="F42" s="1" t="n"/>
      <c r="G42" s="1" t="n"/>
      <c r="H42" s="23" t="n"/>
      <c r="I42" s="1" t="n"/>
      <c r="J42" s="1" t="n"/>
      <c r="K42" s="1" t="n"/>
      <c r="L42" s="1" t="n"/>
      <c r="M42" s="70" t="n"/>
      <c r="N42" s="70" t="n">
        <v>5</v>
      </c>
      <c r="O42" s="70" t="n"/>
      <c r="P42" s="18" t="n"/>
      <c r="Q42" s="18" t="n">
        <v>36</v>
      </c>
      <c r="R42" s="54" t="n">
        <v>30</v>
      </c>
      <c r="S42" s="54">
        <f>IFERROR(IF(AND(P42&gt;0,Q42&gt;0,R42&gt;0),(P42*Q42*R42)/6000,""),"")</f>
        <v/>
      </c>
      <c r="T42" s="34">
        <f>IFERROR(IF(AND(P42&gt;0,Q42&gt;0,R42&gt;0),(P42*Q42*R42)/6000,""),"")</f>
        <v/>
      </c>
      <c r="U42" s="55">
        <f>IFERROR(IF(AND(O42&gt;0,T42&gt;0),MAX(O42,T42),IF(O42&gt;0,O42,IF(T42&gt;0,T42,""))),"")</f>
        <v/>
      </c>
      <c r="V42" s="71" t="n"/>
      <c r="W42" s="23" t="n"/>
      <c r="X42" s="23" t="n"/>
      <c r="Y42" s="29" t="n"/>
      <c r="Z42" s="50">
        <f>IFERROR(X42+V42,"")</f>
        <v/>
      </c>
      <c r="AA42" s="50">
        <f>IFERROR(IF(Y42&lt;1,Z42/(1-Y42),""),"")</f>
        <v/>
      </c>
      <c r="AB42" s="15">
        <f>'01_CONFIG_GLOBAL'!$C$14</f>
        <v/>
      </c>
      <c r="AC42" s="23">
        <f>IFERROR(AA42*AB42,"")</f>
        <v/>
      </c>
      <c r="AD42" s="23">
        <f>IFERROR(IF(AB42&lt;1,AA42/(1-AB42),""),"")</f>
        <v/>
      </c>
      <c r="AE42" s="23" t="n"/>
      <c r="AF42" s="23" t="n"/>
      <c r="AG42" s="23" t="n"/>
      <c r="AH42" s="23" t="n"/>
      <c r="AI42" s="31" t="n"/>
      <c r="AJ42" s="31" t="n"/>
      <c r="AK42" s="31" t="n"/>
      <c r="AL42" s="31" t="n"/>
      <c r="AM42" s="31" t="inlineStr">
        <is>
          <t>não</t>
        </is>
      </c>
      <c r="AN42" s="34" t="n"/>
      <c r="AO42" s="34" t="n"/>
      <c r="AP42" s="36" t="n"/>
      <c r="AQ42" s="23">
        <f>IF(AND(M42&lt;&gt;"",M42&gt;1),A42&amp;"-KIT"&amp;M42,A42)</f>
        <v/>
      </c>
      <c r="AR42" s="36">
        <f>IF(AND(M42&lt;&gt;"",M42&gt;1),D42&amp;" — Kit "&amp;M42&amp;" unidades",D42)</f>
        <v/>
      </c>
      <c r="AS42" s="39" t="n"/>
      <c r="AT42" s="41" t="n"/>
      <c r="AU42" s="41" t="n"/>
      <c r="AV42" s="43" t="n"/>
      <c r="AW42" s="41" t="n"/>
      <c r="AX42" s="41" t="n"/>
      <c r="AY42" s="23" t="n"/>
      <c r="AZ42" s="36" t="n"/>
      <c r="BA42" s="23" t="n"/>
      <c r="BB42" s="36" t="n"/>
      <c r="BC42" s="23" t="n"/>
      <c r="BD42" s="36" t="n"/>
      <c r="BE42" s="41" t="n"/>
      <c r="BF42" s="29" t="n"/>
      <c r="BG42" s="23" t="n"/>
      <c r="BH42" s="23" t="n"/>
      <c r="BI42" s="23" t="n"/>
      <c r="BJ42" s="23" t="n"/>
      <c r="BK42" s="44" t="n"/>
      <c r="BL42" s="44" t="n"/>
    </row>
    <row r="43" ht="15.75" customHeight="1" s="93">
      <c r="A43" s="1" t="n"/>
      <c r="B43" s="1" t="n"/>
      <c r="C43" s="1" t="n"/>
      <c r="D43" s="1" t="n"/>
      <c r="E43" s="1" t="n"/>
      <c r="F43" s="1" t="n"/>
      <c r="G43" s="1" t="n"/>
      <c r="H43" s="23" t="n"/>
      <c r="I43" s="1" t="n"/>
      <c r="J43" s="1" t="n"/>
      <c r="K43" s="1" t="n"/>
      <c r="L43" s="1" t="n"/>
      <c r="M43" s="70" t="n"/>
      <c r="N43" s="70" t="n"/>
      <c r="O43" s="70" t="n"/>
      <c r="P43" s="18" t="n"/>
      <c r="Q43" s="18" t="n"/>
      <c r="R43" s="54" t="n"/>
      <c r="S43" s="54" t="n"/>
      <c r="T43" s="34" t="n"/>
      <c r="U43" s="55" t="n"/>
      <c r="V43" s="71" t="n"/>
      <c r="W43" s="23" t="n"/>
      <c r="X43" s="23" t="n"/>
      <c r="Y43" s="29" t="n"/>
      <c r="Z43" s="50" t="n"/>
      <c r="AA43" s="50" t="n"/>
      <c r="AB43" s="15" t="n"/>
      <c r="AC43" s="23" t="n"/>
      <c r="AD43" s="23" t="n"/>
      <c r="AE43" s="23" t="n"/>
      <c r="AF43" s="23" t="n"/>
      <c r="AG43" s="23" t="n"/>
      <c r="AH43" s="23" t="n"/>
      <c r="AI43" s="31" t="n"/>
      <c r="AJ43" s="31" t="n"/>
      <c r="AK43" s="31" t="n"/>
      <c r="AL43" s="31" t="n"/>
      <c r="AM43" s="31" t="n"/>
      <c r="AN43" s="34" t="n"/>
      <c r="AO43" s="34" t="n"/>
      <c r="AP43" s="36" t="n"/>
      <c r="AQ43" s="23" t="n"/>
      <c r="AR43" s="36" t="n"/>
      <c r="AS43" s="39" t="n"/>
      <c r="AT43" s="41" t="n"/>
      <c r="AU43" s="41" t="n"/>
      <c r="AV43" s="43" t="n"/>
      <c r="AW43" s="41" t="n"/>
      <c r="AX43" s="41" t="n"/>
      <c r="AY43" s="23" t="n"/>
      <c r="AZ43" s="36" t="n"/>
      <c r="BA43" s="23" t="n"/>
      <c r="BB43" s="36" t="n"/>
      <c r="BC43" s="23" t="n"/>
      <c r="BD43" s="36" t="n"/>
      <c r="BE43" s="41" t="n"/>
      <c r="BF43" s="29" t="n"/>
      <c r="BG43" s="23" t="n"/>
      <c r="BH43" s="23" t="n"/>
      <c r="BI43" s="23" t="n"/>
      <c r="BJ43" s="23" t="n"/>
      <c r="BK43" s="44" t="n"/>
      <c r="BL43" s="44" t="n"/>
    </row>
    <row r="44" ht="15.75" customHeight="1" s="93">
      <c r="A44" s="1" t="n"/>
      <c r="B44" s="1" t="n"/>
      <c r="C44" s="1" t="n"/>
      <c r="D44" s="1" t="n"/>
      <c r="E44" s="1" t="n"/>
      <c r="F44" s="1" t="n"/>
      <c r="G44" s="1" t="n"/>
      <c r="H44" s="23" t="n"/>
      <c r="I44" s="1" t="n"/>
      <c r="J44" s="1" t="n"/>
      <c r="K44" s="1" t="n"/>
      <c r="L44" s="1" t="n"/>
      <c r="M44" s="70" t="n"/>
      <c r="N44" s="70" t="n"/>
      <c r="O44" s="70" t="n"/>
      <c r="P44" s="18" t="n"/>
      <c r="Q44" s="18" t="n"/>
      <c r="R44" s="54" t="n"/>
      <c r="S44" s="54" t="n"/>
      <c r="T44" s="34" t="n"/>
      <c r="U44" s="55" t="n"/>
      <c r="V44" s="71" t="n"/>
      <c r="W44" s="23" t="n"/>
      <c r="X44" s="23" t="n"/>
      <c r="Y44" s="29" t="n"/>
      <c r="Z44" s="50" t="n"/>
      <c r="AA44" s="50" t="n"/>
      <c r="AB44" s="15" t="n"/>
      <c r="AC44" s="23" t="n"/>
      <c r="AD44" s="23" t="n"/>
      <c r="AE44" s="23" t="n"/>
      <c r="AF44" s="23" t="n"/>
      <c r="AG44" s="23" t="n"/>
      <c r="AH44" s="23" t="n"/>
      <c r="AI44" s="31" t="n"/>
      <c r="AJ44" s="31" t="n"/>
      <c r="AK44" s="31" t="n"/>
      <c r="AL44" s="31" t="n"/>
      <c r="AM44" s="31" t="n"/>
      <c r="AN44" s="34" t="n"/>
      <c r="AO44" s="34" t="n"/>
      <c r="AP44" s="36" t="n"/>
      <c r="AQ44" s="23" t="n"/>
      <c r="AR44" s="36" t="n"/>
      <c r="AS44" s="39" t="n"/>
      <c r="AT44" s="41" t="n"/>
      <c r="AU44" s="41" t="n"/>
      <c r="AV44" s="43" t="n"/>
      <c r="AW44" s="41" t="n"/>
      <c r="AX44" s="41" t="n"/>
      <c r="AY44" s="23" t="n"/>
      <c r="AZ44" s="36" t="n"/>
      <c r="BA44" s="23" t="n"/>
      <c r="BB44" s="36" t="n"/>
      <c r="BC44" s="23" t="n"/>
      <c r="BD44" s="36" t="n"/>
      <c r="BE44" s="41" t="n"/>
      <c r="BF44" s="29" t="n"/>
      <c r="BG44" s="23" t="n"/>
      <c r="BH44" s="23" t="n"/>
      <c r="BI44" s="23" t="n"/>
      <c r="BJ44" s="23" t="n"/>
      <c r="BK44" s="44" t="n"/>
      <c r="BL44" s="44" t="n"/>
    </row>
    <row r="45" ht="15.75" customHeight="1" s="93">
      <c r="A45" s="1" t="n"/>
      <c r="B45" s="1" t="n"/>
      <c r="C45" s="1" t="n"/>
      <c r="D45" s="1" t="n"/>
      <c r="E45" s="1" t="n"/>
      <c r="F45" s="1" t="n"/>
      <c r="G45" s="1" t="n"/>
      <c r="H45" s="23" t="n"/>
      <c r="I45" s="1" t="n"/>
      <c r="J45" s="1" t="n"/>
      <c r="K45" s="1" t="n"/>
      <c r="L45" s="1" t="n"/>
      <c r="M45" s="70" t="n"/>
      <c r="N45" s="70" t="n"/>
      <c r="O45" s="70" t="n"/>
      <c r="P45" s="18" t="n"/>
      <c r="Q45" s="18" t="n"/>
      <c r="R45" s="54" t="n"/>
      <c r="S45" s="54" t="n"/>
      <c r="T45" s="34" t="n"/>
      <c r="U45" s="55" t="n"/>
      <c r="V45" s="71" t="n"/>
      <c r="W45" s="23" t="n"/>
      <c r="X45" s="23" t="n"/>
      <c r="Y45" s="29" t="n"/>
      <c r="Z45" s="50" t="n"/>
      <c r="AA45" s="50" t="n"/>
      <c r="AB45" s="15" t="n"/>
      <c r="AC45" s="23" t="n"/>
      <c r="AD45" s="23" t="n"/>
      <c r="AE45" s="23" t="n"/>
      <c r="AF45" s="23" t="n"/>
      <c r="AG45" s="23" t="n"/>
      <c r="AH45" s="23" t="n"/>
      <c r="AI45" s="31" t="n"/>
      <c r="AJ45" s="31" t="n"/>
      <c r="AK45" s="31" t="n"/>
      <c r="AL45" s="31" t="n"/>
      <c r="AM45" s="31" t="n"/>
      <c r="AN45" s="34" t="n"/>
      <c r="AO45" s="34" t="n"/>
      <c r="AP45" s="36" t="n"/>
      <c r="AQ45" s="23" t="n"/>
      <c r="AR45" s="36" t="n"/>
      <c r="AS45" s="39" t="n"/>
      <c r="AT45" s="41" t="n"/>
      <c r="AU45" s="41" t="n"/>
      <c r="AV45" s="43" t="n"/>
      <c r="AW45" s="41" t="n"/>
      <c r="AX45" s="41" t="n"/>
      <c r="AY45" s="23" t="n"/>
      <c r="AZ45" s="36" t="n"/>
      <c r="BA45" s="23" t="n"/>
      <c r="BB45" s="36" t="n"/>
      <c r="BC45" s="23" t="n"/>
      <c r="BD45" s="36" t="n"/>
      <c r="BE45" s="41" t="n"/>
      <c r="BF45" s="29" t="n"/>
      <c r="BG45" s="23" t="n"/>
      <c r="BH45" s="23" t="n"/>
      <c r="BI45" s="23" t="n"/>
      <c r="BJ45" s="23" t="n"/>
      <c r="BK45" s="44" t="n"/>
      <c r="BL45" s="44" t="n"/>
    </row>
    <row r="46" ht="15.75" customHeight="1" s="93">
      <c r="A46" s="1" t="n"/>
      <c r="B46" s="1" t="n"/>
      <c r="C46" s="1" t="n"/>
      <c r="D46" s="1" t="n"/>
      <c r="E46" s="1" t="n"/>
      <c r="F46" s="1" t="n"/>
      <c r="G46" s="1" t="n"/>
      <c r="H46" s="23" t="n"/>
      <c r="I46" s="1" t="n"/>
      <c r="J46" s="1" t="n"/>
      <c r="K46" s="1" t="n"/>
      <c r="L46" s="1" t="n"/>
      <c r="M46" s="70" t="n"/>
      <c r="N46" s="70" t="n"/>
      <c r="O46" s="70" t="n"/>
      <c r="P46" s="18" t="n"/>
      <c r="Q46" s="18" t="n"/>
      <c r="R46" s="54" t="n"/>
      <c r="S46" s="54" t="n"/>
      <c r="T46" s="34" t="n"/>
      <c r="U46" s="55" t="n"/>
      <c r="V46" s="71" t="n"/>
      <c r="W46" s="23" t="n"/>
      <c r="X46" s="23" t="n"/>
      <c r="Y46" s="29" t="n"/>
      <c r="Z46" s="50" t="n"/>
      <c r="AA46" s="50" t="n"/>
      <c r="AB46" s="15" t="n"/>
      <c r="AC46" s="23" t="n"/>
      <c r="AD46" s="23" t="n"/>
      <c r="AE46" s="23" t="n"/>
      <c r="AF46" s="23" t="n"/>
      <c r="AG46" s="23" t="n"/>
      <c r="AH46" s="23" t="n"/>
      <c r="AI46" s="31" t="n"/>
      <c r="AJ46" s="31" t="n"/>
      <c r="AK46" s="31" t="n"/>
      <c r="AL46" s="31" t="n"/>
      <c r="AM46" s="31" t="n"/>
      <c r="AN46" s="34" t="n"/>
      <c r="AO46" s="34" t="n"/>
      <c r="AP46" s="36" t="n"/>
      <c r="AQ46" s="23" t="n"/>
      <c r="AR46" s="36" t="n"/>
      <c r="AS46" s="39" t="n"/>
      <c r="AT46" s="41" t="n"/>
      <c r="AU46" s="41" t="n"/>
      <c r="AV46" s="43" t="n"/>
      <c r="AW46" s="41" t="n"/>
      <c r="AX46" s="41" t="n"/>
      <c r="AY46" s="23" t="n"/>
      <c r="AZ46" s="36" t="n"/>
      <c r="BA46" s="23" t="n"/>
      <c r="BB46" s="36" t="n"/>
      <c r="BC46" s="23" t="n"/>
      <c r="BD46" s="36" t="n"/>
      <c r="BE46" s="41" t="n"/>
      <c r="BF46" s="29" t="n"/>
      <c r="BG46" s="23" t="n"/>
      <c r="BH46" s="23" t="n"/>
      <c r="BI46" s="23" t="n"/>
      <c r="BJ46" s="23" t="n"/>
      <c r="BK46" s="44" t="n"/>
      <c r="BL46" s="44" t="n"/>
    </row>
    <row r="47" ht="15.75" customHeight="1" s="93">
      <c r="A47" s="1" t="n"/>
      <c r="B47" s="1" t="n"/>
      <c r="C47" s="1" t="n"/>
      <c r="D47" s="1" t="n"/>
      <c r="E47" s="1" t="n"/>
      <c r="F47" s="1" t="n"/>
      <c r="G47" s="1" t="n"/>
      <c r="H47" s="23" t="n"/>
      <c r="I47" s="1" t="n"/>
      <c r="J47" s="1" t="n"/>
      <c r="K47" s="1" t="n"/>
      <c r="L47" s="1" t="n"/>
      <c r="M47" s="70" t="n"/>
      <c r="N47" s="70" t="n"/>
      <c r="O47" s="70" t="n"/>
      <c r="P47" s="18" t="n"/>
      <c r="Q47" s="18" t="n"/>
      <c r="R47" s="54" t="n"/>
      <c r="S47" s="54" t="n"/>
      <c r="T47" s="34" t="n"/>
      <c r="U47" s="55" t="n"/>
      <c r="V47" s="71" t="n"/>
      <c r="W47" s="23" t="n"/>
      <c r="X47" s="23" t="n"/>
      <c r="Y47" s="29" t="n"/>
      <c r="Z47" s="50" t="n"/>
      <c r="AA47" s="50" t="n"/>
      <c r="AB47" s="15" t="n"/>
      <c r="AC47" s="23" t="n"/>
      <c r="AD47" s="23" t="n"/>
      <c r="AE47" s="23" t="n"/>
      <c r="AF47" s="23" t="n"/>
      <c r="AG47" s="23" t="n"/>
      <c r="AH47" s="23" t="n"/>
      <c r="AI47" s="31" t="n"/>
      <c r="AJ47" s="31" t="n"/>
      <c r="AK47" s="31" t="n"/>
      <c r="AL47" s="31" t="n"/>
      <c r="AM47" s="31" t="n"/>
      <c r="AN47" s="34" t="n"/>
      <c r="AO47" s="34" t="n"/>
      <c r="AP47" s="36" t="n"/>
      <c r="AQ47" s="23" t="n"/>
      <c r="AR47" s="36" t="n"/>
      <c r="AS47" s="39" t="n"/>
      <c r="AT47" s="41" t="n"/>
      <c r="AU47" s="41" t="n"/>
      <c r="AV47" s="43" t="n"/>
      <c r="AW47" s="41" t="n"/>
      <c r="AX47" s="41" t="n"/>
      <c r="AY47" s="23" t="n"/>
      <c r="AZ47" s="36" t="n"/>
      <c r="BA47" s="23" t="n"/>
      <c r="BB47" s="36" t="n"/>
      <c r="BC47" s="23" t="n"/>
      <c r="BD47" s="36" t="n"/>
      <c r="BE47" s="41" t="n"/>
      <c r="BF47" s="29" t="n"/>
      <c r="BG47" s="23" t="n"/>
      <c r="BH47" s="23" t="n"/>
      <c r="BI47" s="23" t="n"/>
      <c r="BJ47" s="23" t="n"/>
      <c r="BK47" s="44" t="n"/>
      <c r="BL47" s="44" t="n"/>
    </row>
    <row r="48" ht="15.75" customHeight="1" s="93">
      <c r="A48" s="1" t="n"/>
      <c r="B48" s="1" t="n"/>
      <c r="C48" s="1" t="n"/>
      <c r="D48" s="1" t="n"/>
      <c r="E48" s="1" t="n"/>
      <c r="F48" s="1" t="n"/>
      <c r="G48" s="1" t="n"/>
      <c r="H48" s="23" t="n"/>
      <c r="I48" s="1" t="n"/>
      <c r="J48" s="1" t="n"/>
      <c r="K48" s="1" t="n"/>
      <c r="L48" s="1" t="n"/>
      <c r="M48" s="70" t="n"/>
      <c r="N48" s="70" t="n"/>
      <c r="O48" s="70" t="n"/>
      <c r="P48" s="18" t="n"/>
      <c r="Q48" s="18" t="n"/>
      <c r="R48" s="54" t="n"/>
      <c r="S48" s="54" t="n"/>
      <c r="T48" s="34" t="n"/>
      <c r="U48" s="55" t="n"/>
      <c r="V48" s="71" t="n"/>
      <c r="W48" s="23" t="n"/>
      <c r="X48" s="23" t="n"/>
      <c r="Y48" s="29" t="n"/>
      <c r="Z48" s="50" t="n"/>
      <c r="AA48" s="50" t="n"/>
      <c r="AB48" s="15" t="n"/>
      <c r="AC48" s="23" t="n"/>
      <c r="AD48" s="23" t="n"/>
      <c r="AE48" s="23" t="n"/>
      <c r="AF48" s="23" t="n"/>
      <c r="AG48" s="23" t="n"/>
      <c r="AH48" s="23" t="n"/>
      <c r="AI48" s="31" t="n"/>
      <c r="AJ48" s="31" t="n"/>
      <c r="AK48" s="31" t="n"/>
      <c r="AL48" s="31" t="n"/>
      <c r="AM48" s="31" t="n"/>
      <c r="AN48" s="34" t="n"/>
      <c r="AO48" s="34" t="n"/>
      <c r="AP48" s="36" t="n"/>
      <c r="AQ48" s="23" t="n"/>
      <c r="AR48" s="36" t="n"/>
      <c r="AS48" s="39" t="n"/>
      <c r="AT48" s="41" t="n"/>
      <c r="AU48" s="41" t="n"/>
      <c r="AV48" s="43" t="n"/>
      <c r="AW48" s="41" t="n"/>
      <c r="AX48" s="41" t="n"/>
      <c r="AY48" s="23" t="n"/>
      <c r="AZ48" s="36" t="n"/>
      <c r="BA48" s="23" t="n"/>
      <c r="BB48" s="36" t="n"/>
      <c r="BC48" s="23" t="n"/>
      <c r="BD48" s="36" t="n"/>
      <c r="BE48" s="41" t="n"/>
      <c r="BF48" s="29" t="n"/>
      <c r="BG48" s="23" t="n"/>
      <c r="BH48" s="23" t="n"/>
      <c r="BI48" s="23" t="n"/>
      <c r="BJ48" s="23" t="n"/>
      <c r="BK48" s="44" t="n"/>
      <c r="BL48" s="44" t="n"/>
    </row>
    <row r="49" ht="15.75" customHeight="1" s="93">
      <c r="A49" s="1" t="n"/>
      <c r="B49" s="1" t="n"/>
      <c r="C49" s="1" t="n"/>
      <c r="D49" s="1" t="n"/>
      <c r="E49" s="1" t="n"/>
      <c r="F49" s="1" t="n"/>
      <c r="G49" s="1" t="n"/>
      <c r="H49" s="23" t="n"/>
      <c r="I49" s="1" t="n"/>
      <c r="J49" s="1" t="n"/>
      <c r="K49" s="1" t="n"/>
      <c r="L49" s="1" t="n"/>
      <c r="M49" s="70" t="n"/>
      <c r="N49" s="70" t="n"/>
      <c r="O49" s="70" t="n"/>
      <c r="P49" s="18" t="n"/>
      <c r="Q49" s="18" t="n"/>
      <c r="R49" s="54" t="n"/>
      <c r="S49" s="54" t="n"/>
      <c r="T49" s="34" t="n"/>
      <c r="U49" s="55" t="n"/>
      <c r="V49" s="71" t="n"/>
      <c r="W49" s="23" t="n"/>
      <c r="X49" s="23" t="n"/>
      <c r="Y49" s="29" t="n"/>
      <c r="Z49" s="50" t="n"/>
      <c r="AA49" s="50" t="n"/>
      <c r="AB49" s="15" t="n"/>
      <c r="AC49" s="23" t="n"/>
      <c r="AD49" s="23" t="n"/>
      <c r="AE49" s="23" t="n"/>
      <c r="AF49" s="23" t="n"/>
      <c r="AG49" s="23" t="n"/>
      <c r="AH49" s="23" t="n"/>
      <c r="AI49" s="31" t="n"/>
      <c r="AJ49" s="31" t="n"/>
      <c r="AK49" s="31" t="n"/>
      <c r="AL49" s="31" t="n"/>
      <c r="AM49" s="31" t="n"/>
      <c r="AN49" s="34" t="n"/>
      <c r="AO49" s="34" t="n"/>
      <c r="AP49" s="36" t="n"/>
      <c r="AQ49" s="23" t="n"/>
      <c r="AR49" s="36" t="n"/>
      <c r="AS49" s="39" t="n"/>
      <c r="AT49" s="41" t="n"/>
      <c r="AU49" s="41" t="n"/>
      <c r="AV49" s="43" t="n"/>
      <c r="AW49" s="41" t="n"/>
      <c r="AX49" s="41" t="n"/>
      <c r="AY49" s="23" t="n"/>
      <c r="AZ49" s="36" t="n"/>
      <c r="BA49" s="23" t="n"/>
      <c r="BB49" s="36" t="n"/>
      <c r="BC49" s="23" t="n"/>
      <c r="BD49" s="36" t="n"/>
      <c r="BE49" s="41" t="n"/>
      <c r="BF49" s="29" t="n"/>
      <c r="BG49" s="23" t="n"/>
      <c r="BH49" s="23" t="n"/>
      <c r="BI49" s="23" t="n"/>
      <c r="BJ49" s="23" t="n"/>
      <c r="BK49" s="44" t="n"/>
      <c r="BL49" s="44" t="n"/>
    </row>
    <row r="50" ht="15.75" customHeight="1" s="93">
      <c r="A50" s="1" t="n"/>
      <c r="B50" s="1" t="n"/>
      <c r="C50" s="1" t="n"/>
      <c r="D50" s="1" t="n"/>
      <c r="E50" s="1" t="n"/>
      <c r="F50" s="1" t="n"/>
      <c r="G50" s="1" t="n"/>
      <c r="H50" s="23" t="n"/>
      <c r="I50" s="1" t="n"/>
      <c r="J50" s="1" t="n"/>
      <c r="K50" s="1" t="n"/>
      <c r="L50" s="1" t="n"/>
      <c r="M50" s="70" t="n"/>
      <c r="N50" s="70" t="n"/>
      <c r="O50" s="70" t="n"/>
      <c r="P50" s="18" t="n"/>
      <c r="Q50" s="18" t="n"/>
      <c r="R50" s="54" t="n"/>
      <c r="S50" s="54" t="n"/>
      <c r="T50" s="34" t="n"/>
      <c r="U50" s="55" t="n"/>
      <c r="V50" s="71" t="n"/>
      <c r="W50" s="23" t="n"/>
      <c r="X50" s="23" t="n"/>
      <c r="Y50" s="29" t="n"/>
      <c r="Z50" s="50" t="n"/>
      <c r="AA50" s="50" t="n"/>
      <c r="AB50" s="15" t="n"/>
      <c r="AC50" s="23" t="n"/>
      <c r="AD50" s="23" t="n"/>
      <c r="AE50" s="23" t="n"/>
      <c r="AF50" s="23" t="n"/>
      <c r="AG50" s="23" t="n"/>
      <c r="AH50" s="23" t="n"/>
      <c r="AI50" s="31" t="n"/>
      <c r="AJ50" s="31" t="n"/>
      <c r="AK50" s="31" t="n"/>
      <c r="AL50" s="31" t="n"/>
      <c r="AM50" s="31" t="n"/>
      <c r="AN50" s="34" t="n"/>
      <c r="AO50" s="34" t="n"/>
      <c r="AP50" s="36" t="n"/>
      <c r="AQ50" s="23" t="n"/>
      <c r="AR50" s="36" t="n"/>
      <c r="AS50" s="39" t="n"/>
      <c r="AT50" s="41" t="n"/>
      <c r="AU50" s="41" t="n"/>
      <c r="AV50" s="43" t="n"/>
      <c r="AW50" s="41" t="n"/>
      <c r="AX50" s="41" t="n"/>
      <c r="AY50" s="23" t="n"/>
      <c r="AZ50" s="36" t="n"/>
      <c r="BA50" s="23" t="n"/>
      <c r="BB50" s="36" t="n"/>
      <c r="BC50" s="23" t="n"/>
      <c r="BD50" s="36" t="n"/>
      <c r="BE50" s="41" t="n"/>
      <c r="BF50" s="29" t="n"/>
      <c r="BG50" s="23" t="n"/>
      <c r="BH50" s="23" t="n"/>
      <c r="BI50" s="23" t="n"/>
      <c r="BJ50" s="23" t="n"/>
      <c r="BK50" s="44" t="n"/>
      <c r="BL50" s="44" t="n"/>
    </row>
    <row r="51" ht="15.75" customHeight="1" s="93">
      <c r="A51" s="1" t="n"/>
      <c r="B51" s="1" t="n"/>
      <c r="C51" s="1" t="n"/>
      <c r="D51" s="1" t="n"/>
      <c r="E51" s="1" t="n"/>
      <c r="F51" s="1" t="n"/>
      <c r="G51" s="1" t="n"/>
      <c r="H51" s="23" t="n"/>
      <c r="I51" s="1" t="n"/>
      <c r="J51" s="1" t="n"/>
      <c r="K51" s="1" t="n"/>
      <c r="L51" s="1" t="n"/>
      <c r="M51" s="70" t="n"/>
      <c r="N51" s="70" t="n"/>
      <c r="O51" s="70" t="n"/>
      <c r="P51" s="18" t="n"/>
      <c r="Q51" s="18" t="n"/>
      <c r="R51" s="54" t="n"/>
      <c r="S51" s="54" t="n"/>
      <c r="T51" s="34" t="n"/>
      <c r="U51" s="55" t="n"/>
      <c r="V51" s="71" t="n"/>
      <c r="W51" s="23" t="n"/>
      <c r="X51" s="23" t="n"/>
      <c r="Y51" s="29" t="n"/>
      <c r="Z51" s="50" t="n"/>
      <c r="AA51" s="50" t="n"/>
      <c r="AB51" s="15" t="n"/>
      <c r="AC51" s="23" t="n"/>
      <c r="AD51" s="23" t="n"/>
      <c r="AE51" s="23" t="n"/>
      <c r="AF51" s="23" t="n"/>
      <c r="AG51" s="23" t="n"/>
      <c r="AH51" s="23" t="n"/>
      <c r="AI51" s="31" t="n"/>
      <c r="AJ51" s="31" t="n"/>
      <c r="AK51" s="31" t="n"/>
      <c r="AL51" s="31" t="n"/>
      <c r="AM51" s="31" t="n"/>
      <c r="AN51" s="34" t="n"/>
      <c r="AO51" s="34" t="n"/>
      <c r="AP51" s="36" t="n"/>
      <c r="AQ51" s="23" t="n"/>
      <c r="AR51" s="36" t="n"/>
      <c r="AS51" s="39" t="n"/>
      <c r="AT51" s="41" t="n"/>
      <c r="AU51" s="41" t="n"/>
      <c r="AV51" s="43" t="n"/>
      <c r="AW51" s="41" t="n"/>
      <c r="AX51" s="41" t="n"/>
      <c r="AY51" s="23" t="n"/>
      <c r="AZ51" s="36" t="n"/>
      <c r="BA51" s="23" t="n"/>
      <c r="BB51" s="36" t="n"/>
      <c r="BC51" s="23" t="n"/>
      <c r="BD51" s="36" t="n"/>
      <c r="BE51" s="41" t="n"/>
      <c r="BF51" s="29" t="n"/>
      <c r="BG51" s="23" t="n"/>
      <c r="BH51" s="23" t="n"/>
      <c r="BI51" s="23" t="n"/>
      <c r="BJ51" s="23" t="n"/>
      <c r="BK51" s="44" t="n"/>
      <c r="BL51" s="44" t="n"/>
    </row>
    <row r="52" ht="15.75" customHeight="1" s="93">
      <c r="A52" s="1" t="n"/>
      <c r="B52" s="1" t="n"/>
      <c r="C52" s="1" t="n"/>
      <c r="D52" s="1" t="n"/>
      <c r="E52" s="1" t="n"/>
      <c r="F52" s="1" t="n"/>
      <c r="G52" s="1" t="n"/>
      <c r="H52" s="23" t="n"/>
      <c r="I52" s="1" t="n"/>
      <c r="J52" s="1" t="n"/>
      <c r="K52" s="1" t="n"/>
      <c r="L52" s="1" t="n"/>
      <c r="M52" s="70" t="n"/>
      <c r="N52" s="70" t="n"/>
      <c r="O52" s="70" t="n"/>
      <c r="P52" s="18" t="n"/>
      <c r="Q52" s="18" t="n"/>
      <c r="R52" s="54" t="n"/>
      <c r="S52" s="54" t="n"/>
      <c r="T52" s="34" t="n"/>
      <c r="U52" s="55" t="n"/>
      <c r="V52" s="71" t="n"/>
      <c r="W52" s="23" t="n"/>
      <c r="X52" s="23" t="n"/>
      <c r="Y52" s="29" t="n"/>
      <c r="Z52" s="50" t="n"/>
      <c r="AA52" s="50" t="n"/>
      <c r="AB52" s="15" t="n"/>
      <c r="AC52" s="23" t="n"/>
      <c r="AD52" s="23" t="n"/>
      <c r="AE52" s="23" t="n"/>
      <c r="AF52" s="23" t="n"/>
      <c r="AG52" s="23" t="n"/>
      <c r="AH52" s="23" t="n"/>
      <c r="AI52" s="31" t="n"/>
      <c r="AJ52" s="31" t="n"/>
      <c r="AK52" s="31" t="n"/>
      <c r="AL52" s="31" t="n"/>
      <c r="AM52" s="31" t="n"/>
      <c r="AN52" s="34" t="n"/>
      <c r="AO52" s="34" t="n"/>
      <c r="AP52" s="36" t="n"/>
      <c r="AQ52" s="23" t="n"/>
      <c r="AR52" s="36" t="n"/>
      <c r="AS52" s="39" t="n"/>
      <c r="AT52" s="41" t="n"/>
      <c r="AU52" s="41" t="n"/>
      <c r="AV52" s="43" t="n"/>
      <c r="AW52" s="41" t="n"/>
      <c r="AX52" s="41" t="n"/>
      <c r="AY52" s="23" t="n"/>
      <c r="AZ52" s="36" t="n"/>
      <c r="BA52" s="23" t="n"/>
      <c r="BB52" s="36" t="n"/>
      <c r="BC52" s="23" t="n"/>
      <c r="BD52" s="36" t="n"/>
      <c r="BE52" s="41" t="n"/>
      <c r="BF52" s="29" t="n"/>
      <c r="BG52" s="23" t="n"/>
      <c r="BH52" s="23" t="n"/>
      <c r="BI52" s="23" t="n"/>
      <c r="BJ52" s="23" t="n"/>
      <c r="BK52" s="44" t="n"/>
      <c r="BL52" s="44" t="n"/>
    </row>
    <row r="53" ht="15.75" customHeight="1" s="93">
      <c r="A53" s="1" t="n"/>
      <c r="B53" s="1" t="n"/>
      <c r="C53" s="1" t="n"/>
      <c r="D53" s="1" t="n"/>
      <c r="E53" s="1" t="n"/>
      <c r="F53" s="1" t="n"/>
      <c r="G53" s="1" t="n"/>
      <c r="H53" s="23" t="n"/>
      <c r="I53" s="1" t="n"/>
      <c r="J53" s="1" t="n"/>
      <c r="K53" s="1" t="n"/>
      <c r="L53" s="1" t="n"/>
      <c r="M53" s="70" t="n"/>
      <c r="N53" s="70" t="n"/>
      <c r="O53" s="70" t="n"/>
      <c r="P53" s="18" t="n"/>
      <c r="Q53" s="18" t="n"/>
      <c r="R53" s="54" t="n"/>
      <c r="S53" s="54" t="n"/>
      <c r="T53" s="34" t="n"/>
      <c r="U53" s="55" t="n"/>
      <c r="V53" s="71" t="n"/>
      <c r="W53" s="23" t="n"/>
      <c r="X53" s="23" t="n"/>
      <c r="Y53" s="29" t="n"/>
      <c r="Z53" s="50" t="n"/>
      <c r="AA53" s="50" t="n"/>
      <c r="AB53" s="15" t="n"/>
      <c r="AC53" s="23" t="n"/>
      <c r="AD53" s="23" t="n"/>
      <c r="AE53" s="23" t="n"/>
      <c r="AF53" s="23" t="n"/>
      <c r="AG53" s="23" t="n"/>
      <c r="AH53" s="23" t="n"/>
      <c r="AI53" s="31" t="n"/>
      <c r="AJ53" s="31" t="n"/>
      <c r="AK53" s="31" t="n"/>
      <c r="AL53" s="31" t="n"/>
      <c r="AM53" s="31" t="n"/>
      <c r="AN53" s="34" t="n"/>
      <c r="AO53" s="34" t="n"/>
      <c r="AP53" s="36" t="n"/>
      <c r="AQ53" s="23" t="n"/>
      <c r="AR53" s="36" t="n"/>
      <c r="AS53" s="39" t="n"/>
      <c r="AT53" s="41" t="n"/>
      <c r="AU53" s="41" t="n"/>
      <c r="AV53" s="43" t="n"/>
      <c r="AW53" s="41" t="n"/>
      <c r="AX53" s="41" t="n"/>
      <c r="AY53" s="23" t="n"/>
      <c r="AZ53" s="36" t="n"/>
      <c r="BA53" s="23" t="n"/>
      <c r="BB53" s="36" t="n"/>
      <c r="BC53" s="23" t="n"/>
      <c r="BD53" s="36" t="n"/>
      <c r="BE53" s="41" t="n"/>
      <c r="BF53" s="29" t="n"/>
      <c r="BG53" s="23" t="n"/>
      <c r="BH53" s="23" t="n"/>
      <c r="BI53" s="23" t="n"/>
      <c r="BJ53" s="23" t="n"/>
      <c r="BK53" s="44" t="n"/>
      <c r="BL53" s="44" t="n"/>
    </row>
    <row r="54" ht="15.75" customHeight="1" s="93">
      <c r="A54" s="1" t="n"/>
      <c r="B54" s="1" t="n"/>
      <c r="C54" s="1" t="n"/>
      <c r="D54" s="1" t="n"/>
      <c r="E54" s="1" t="n"/>
      <c r="F54" s="1" t="n"/>
      <c r="G54" s="1" t="n"/>
      <c r="H54" s="23" t="n"/>
      <c r="I54" s="1" t="n"/>
      <c r="J54" s="1" t="n"/>
      <c r="K54" s="1" t="n"/>
      <c r="L54" s="1" t="n"/>
      <c r="M54" s="70" t="n"/>
      <c r="N54" s="70" t="n"/>
      <c r="O54" s="70" t="n"/>
      <c r="P54" s="18" t="n"/>
      <c r="Q54" s="18" t="n"/>
      <c r="R54" s="54" t="n"/>
      <c r="S54" s="54" t="n"/>
      <c r="T54" s="34" t="n"/>
      <c r="U54" s="55" t="n"/>
      <c r="V54" s="71" t="n"/>
      <c r="W54" s="23" t="n"/>
      <c r="X54" s="23" t="n"/>
      <c r="Y54" s="29" t="n"/>
      <c r="Z54" s="50" t="n"/>
      <c r="AA54" s="50" t="n"/>
      <c r="AB54" s="15" t="n"/>
      <c r="AC54" s="23" t="n"/>
      <c r="AD54" s="23" t="n"/>
      <c r="AE54" s="23" t="n"/>
      <c r="AF54" s="23" t="n"/>
      <c r="AG54" s="23" t="n"/>
      <c r="AH54" s="23" t="n"/>
      <c r="AI54" s="31" t="n"/>
      <c r="AJ54" s="31" t="n"/>
      <c r="AK54" s="31" t="n"/>
      <c r="AL54" s="31" t="n"/>
      <c r="AM54" s="31" t="n"/>
      <c r="AN54" s="34" t="n"/>
      <c r="AO54" s="34" t="n"/>
      <c r="AP54" s="36" t="n"/>
      <c r="AQ54" s="23" t="n"/>
      <c r="AR54" s="36" t="n"/>
      <c r="AS54" s="39" t="n"/>
      <c r="AT54" s="41" t="n"/>
      <c r="AU54" s="41" t="n"/>
      <c r="AV54" s="43" t="n"/>
      <c r="AW54" s="41" t="n"/>
      <c r="AX54" s="41" t="n"/>
      <c r="AY54" s="23" t="n"/>
      <c r="AZ54" s="36" t="n"/>
      <c r="BA54" s="23" t="n"/>
      <c r="BB54" s="36" t="n"/>
      <c r="BC54" s="23" t="n"/>
      <c r="BD54" s="36" t="n"/>
      <c r="BE54" s="41" t="n"/>
      <c r="BF54" s="29" t="n"/>
      <c r="BG54" s="23" t="n"/>
      <c r="BH54" s="23" t="n"/>
      <c r="BI54" s="23" t="n"/>
      <c r="BJ54" s="23" t="n"/>
      <c r="BK54" s="44" t="n"/>
      <c r="BL54" s="44" t="n"/>
    </row>
    <row r="55" ht="15.75" customHeight="1" s="93">
      <c r="A55" s="1" t="n"/>
      <c r="B55" s="1" t="n"/>
      <c r="C55" s="1" t="n"/>
      <c r="D55" s="1" t="n"/>
      <c r="E55" s="1" t="n"/>
      <c r="F55" s="1" t="n"/>
      <c r="G55" s="1" t="n"/>
      <c r="H55" s="23" t="n"/>
      <c r="I55" s="1" t="n"/>
      <c r="J55" s="1" t="n"/>
      <c r="K55" s="1" t="n"/>
      <c r="L55" s="1" t="n"/>
      <c r="M55" s="70" t="n"/>
      <c r="N55" s="70" t="n"/>
      <c r="O55" s="70" t="n"/>
      <c r="P55" s="18" t="n"/>
      <c r="Q55" s="18" t="n"/>
      <c r="R55" s="54" t="n"/>
      <c r="S55" s="54" t="n"/>
      <c r="T55" s="34" t="n"/>
      <c r="U55" s="55" t="n"/>
      <c r="V55" s="71" t="n"/>
      <c r="W55" s="23" t="n"/>
      <c r="X55" s="23" t="n"/>
      <c r="Y55" s="29" t="n"/>
      <c r="Z55" s="50" t="n"/>
      <c r="AA55" s="50" t="n"/>
      <c r="AB55" s="15" t="n"/>
      <c r="AC55" s="23" t="n"/>
      <c r="AD55" s="23" t="n"/>
      <c r="AE55" s="23" t="n"/>
      <c r="AF55" s="23" t="n"/>
      <c r="AG55" s="23" t="n"/>
      <c r="AH55" s="23" t="n"/>
      <c r="AI55" s="31" t="n"/>
      <c r="AJ55" s="31" t="n"/>
      <c r="AK55" s="31" t="n"/>
      <c r="AL55" s="31" t="n"/>
      <c r="AM55" s="31" t="n"/>
      <c r="AN55" s="34" t="n"/>
      <c r="AO55" s="34" t="n"/>
      <c r="AP55" s="36" t="n"/>
      <c r="AQ55" s="23" t="n"/>
      <c r="AR55" s="36" t="n"/>
      <c r="AS55" s="39" t="n"/>
      <c r="AT55" s="41" t="n"/>
      <c r="AU55" s="41" t="n"/>
      <c r="AV55" s="43" t="n"/>
      <c r="AW55" s="41" t="n"/>
      <c r="AX55" s="41" t="n"/>
      <c r="AY55" s="23" t="n"/>
      <c r="AZ55" s="36" t="n"/>
      <c r="BA55" s="23" t="n"/>
      <c r="BB55" s="36" t="n"/>
      <c r="BC55" s="23" t="n"/>
      <c r="BD55" s="36" t="n"/>
      <c r="BE55" s="41" t="n"/>
      <c r="BF55" s="29" t="n"/>
      <c r="BG55" s="23" t="n"/>
      <c r="BH55" s="23" t="n"/>
      <c r="BI55" s="23" t="n"/>
      <c r="BJ55" s="23" t="n"/>
      <c r="BK55" s="44" t="n"/>
      <c r="BL55" s="44" t="n"/>
    </row>
    <row r="56" ht="15.75" customHeight="1" s="93">
      <c r="A56" s="1" t="n"/>
      <c r="B56" s="1" t="n"/>
      <c r="C56" s="1" t="n"/>
      <c r="D56" s="1" t="n"/>
      <c r="E56" s="1" t="n"/>
      <c r="F56" s="1" t="n"/>
      <c r="G56" s="1" t="n"/>
      <c r="H56" s="23" t="n"/>
      <c r="I56" s="1" t="n"/>
      <c r="J56" s="1" t="n"/>
      <c r="K56" s="1" t="n"/>
      <c r="L56" s="1" t="n"/>
      <c r="M56" s="70" t="n"/>
      <c r="N56" s="70" t="n"/>
      <c r="O56" s="70" t="n"/>
      <c r="P56" s="18" t="n"/>
      <c r="Q56" s="18" t="n"/>
      <c r="R56" s="54" t="n"/>
      <c r="S56" s="54" t="n"/>
      <c r="T56" s="34" t="n"/>
      <c r="U56" s="55" t="n"/>
      <c r="V56" s="71" t="n"/>
      <c r="W56" s="23" t="n"/>
      <c r="X56" s="23" t="n"/>
      <c r="Y56" s="29" t="n"/>
      <c r="Z56" s="50" t="n"/>
      <c r="AA56" s="50" t="n"/>
      <c r="AB56" s="15" t="n"/>
      <c r="AC56" s="23" t="n"/>
      <c r="AD56" s="23" t="n"/>
      <c r="AE56" s="23" t="n"/>
      <c r="AF56" s="23" t="n"/>
      <c r="AG56" s="23" t="n"/>
      <c r="AH56" s="23" t="n"/>
      <c r="AI56" s="31" t="n"/>
      <c r="AJ56" s="31" t="n"/>
      <c r="AK56" s="31" t="n"/>
      <c r="AL56" s="31" t="n"/>
      <c r="AM56" s="31" t="n"/>
      <c r="AN56" s="34" t="n"/>
      <c r="AO56" s="34" t="n"/>
      <c r="AP56" s="36" t="n"/>
      <c r="AQ56" s="23" t="n"/>
      <c r="AR56" s="36" t="n"/>
      <c r="AS56" s="39" t="n"/>
      <c r="AT56" s="41" t="n"/>
      <c r="AU56" s="41" t="n"/>
      <c r="AV56" s="43" t="n"/>
      <c r="AW56" s="41" t="n"/>
      <c r="AX56" s="41" t="n"/>
      <c r="AY56" s="23" t="n"/>
      <c r="AZ56" s="36" t="n"/>
      <c r="BA56" s="23" t="n"/>
      <c r="BB56" s="36" t="n"/>
      <c r="BC56" s="23" t="n"/>
      <c r="BD56" s="36" t="n"/>
      <c r="BE56" s="41" t="n"/>
      <c r="BF56" s="29" t="n"/>
      <c r="BG56" s="23" t="n"/>
      <c r="BH56" s="23" t="n"/>
      <c r="BI56" s="23" t="n"/>
      <c r="BJ56" s="23" t="n"/>
      <c r="BK56" s="44" t="n"/>
      <c r="BL56" s="44" t="n"/>
    </row>
    <row r="57" ht="15.75" customHeight="1" s="93">
      <c r="A57" s="1" t="n"/>
      <c r="B57" s="1" t="n"/>
      <c r="C57" s="1" t="n"/>
      <c r="D57" s="1" t="n"/>
      <c r="E57" s="1" t="n"/>
      <c r="F57" s="1" t="n"/>
      <c r="G57" s="1" t="n"/>
      <c r="H57" s="23" t="n"/>
      <c r="I57" s="1" t="n"/>
      <c r="J57" s="1" t="n"/>
      <c r="K57" s="1" t="n"/>
      <c r="L57" s="1" t="n"/>
      <c r="M57" s="70" t="n"/>
      <c r="N57" s="70" t="n"/>
      <c r="O57" s="70" t="n"/>
      <c r="P57" s="18" t="n"/>
      <c r="Q57" s="18" t="n"/>
      <c r="R57" s="54" t="n"/>
      <c r="S57" s="54" t="n"/>
      <c r="T57" s="34" t="n"/>
      <c r="U57" s="55" t="n"/>
      <c r="V57" s="71" t="n"/>
      <c r="W57" s="23" t="n"/>
      <c r="X57" s="23" t="n"/>
      <c r="Y57" s="29" t="n"/>
      <c r="Z57" s="50" t="n"/>
      <c r="AA57" s="50" t="n"/>
      <c r="AB57" s="15" t="n"/>
      <c r="AC57" s="23" t="n"/>
      <c r="AD57" s="23" t="n"/>
      <c r="AE57" s="23" t="n"/>
      <c r="AF57" s="23" t="n"/>
      <c r="AG57" s="23" t="n"/>
      <c r="AH57" s="23" t="n"/>
      <c r="AI57" s="31" t="n"/>
      <c r="AJ57" s="31" t="n"/>
      <c r="AK57" s="31" t="n"/>
      <c r="AL57" s="31" t="n"/>
      <c r="AM57" s="31" t="n"/>
      <c r="AN57" s="34" t="n"/>
      <c r="AO57" s="34" t="n"/>
      <c r="AP57" s="36" t="n"/>
      <c r="AQ57" s="23" t="n"/>
      <c r="AR57" s="36" t="n"/>
      <c r="AS57" s="39" t="n"/>
      <c r="AT57" s="41" t="n"/>
      <c r="AU57" s="41" t="n"/>
      <c r="AV57" s="43" t="n"/>
      <c r="AW57" s="41" t="n"/>
      <c r="AX57" s="41" t="n"/>
      <c r="AY57" s="23" t="n"/>
      <c r="AZ57" s="36" t="n"/>
      <c r="BA57" s="23" t="n"/>
      <c r="BB57" s="36" t="n"/>
      <c r="BC57" s="23" t="n"/>
      <c r="BD57" s="36" t="n"/>
      <c r="BE57" s="41" t="n"/>
      <c r="BF57" s="29" t="n"/>
      <c r="BG57" s="23" t="n"/>
      <c r="BH57" s="23" t="n"/>
      <c r="BI57" s="23" t="n"/>
      <c r="BJ57" s="23" t="n"/>
      <c r="BK57" s="44" t="n"/>
      <c r="BL57" s="44" t="n"/>
    </row>
    <row r="58" ht="15.75" customHeight="1" s="93">
      <c r="A58" s="1" t="n"/>
      <c r="B58" s="1" t="n"/>
      <c r="C58" s="1" t="n"/>
      <c r="D58" s="1" t="n"/>
      <c r="E58" s="1" t="n"/>
      <c r="F58" s="1" t="n"/>
      <c r="G58" s="1" t="n"/>
      <c r="H58" s="23" t="n"/>
      <c r="I58" s="1" t="n"/>
      <c r="J58" s="1" t="n"/>
      <c r="K58" s="1" t="n"/>
      <c r="L58" s="1" t="n"/>
      <c r="M58" s="70" t="n"/>
      <c r="N58" s="70" t="n"/>
      <c r="O58" s="70" t="n"/>
      <c r="P58" s="18" t="n"/>
      <c r="Q58" s="18" t="n"/>
      <c r="R58" s="54" t="n"/>
      <c r="S58" s="54" t="n"/>
      <c r="T58" s="34" t="n"/>
      <c r="U58" s="55" t="n"/>
      <c r="V58" s="71" t="n"/>
      <c r="W58" s="23" t="n"/>
      <c r="X58" s="23" t="n"/>
      <c r="Y58" s="29" t="n"/>
      <c r="Z58" s="50" t="n"/>
      <c r="AA58" s="50" t="n"/>
      <c r="AB58" s="15" t="n"/>
      <c r="AC58" s="23" t="n"/>
      <c r="AD58" s="23" t="n"/>
      <c r="AE58" s="23" t="n"/>
      <c r="AF58" s="23" t="n"/>
      <c r="AG58" s="23" t="n"/>
      <c r="AH58" s="23" t="n"/>
      <c r="AI58" s="31" t="n"/>
      <c r="AJ58" s="31" t="n"/>
      <c r="AK58" s="31" t="n"/>
      <c r="AL58" s="31" t="n"/>
      <c r="AM58" s="31" t="n"/>
      <c r="AN58" s="34" t="n"/>
      <c r="AO58" s="34" t="n"/>
      <c r="AP58" s="36" t="n"/>
      <c r="AQ58" s="23" t="n"/>
      <c r="AR58" s="36" t="n"/>
      <c r="AS58" s="39" t="n"/>
      <c r="AT58" s="41" t="n"/>
      <c r="AU58" s="41" t="n"/>
      <c r="AV58" s="43" t="n"/>
      <c r="AW58" s="41" t="n"/>
      <c r="AX58" s="41" t="n"/>
      <c r="AY58" s="23" t="n"/>
      <c r="AZ58" s="36" t="n"/>
      <c r="BA58" s="23" t="n"/>
      <c r="BB58" s="36" t="n"/>
      <c r="BC58" s="23" t="n"/>
      <c r="BD58" s="36" t="n"/>
      <c r="BE58" s="41" t="n"/>
      <c r="BF58" s="29" t="n"/>
      <c r="BG58" s="23" t="n"/>
      <c r="BH58" s="23" t="n"/>
      <c r="BI58" s="23" t="n"/>
      <c r="BJ58" s="23" t="n"/>
      <c r="BK58" s="44" t="n"/>
      <c r="BL58" s="44" t="n"/>
    </row>
    <row r="59" ht="15.75" customHeight="1" s="93">
      <c r="A59" s="1" t="n"/>
      <c r="B59" s="1" t="n"/>
      <c r="C59" s="1" t="n"/>
      <c r="D59" s="1" t="n"/>
      <c r="E59" s="1" t="n"/>
      <c r="F59" s="1" t="n"/>
      <c r="G59" s="1" t="n"/>
      <c r="H59" s="23" t="n"/>
      <c r="I59" s="1" t="n"/>
      <c r="J59" s="1" t="n"/>
      <c r="K59" s="1" t="n"/>
      <c r="L59" s="1" t="n"/>
      <c r="M59" s="70" t="n"/>
      <c r="N59" s="70" t="n"/>
      <c r="O59" s="70" t="n"/>
      <c r="P59" s="18" t="n"/>
      <c r="Q59" s="18" t="n"/>
      <c r="R59" s="54" t="n"/>
      <c r="S59" s="54" t="n"/>
      <c r="T59" s="34" t="n"/>
      <c r="U59" s="55" t="n"/>
      <c r="V59" s="71" t="n"/>
      <c r="W59" s="23" t="n"/>
      <c r="X59" s="23" t="n"/>
      <c r="Y59" s="29" t="n"/>
      <c r="Z59" s="50" t="n"/>
      <c r="AA59" s="50" t="n"/>
      <c r="AB59" s="15" t="n"/>
      <c r="AC59" s="23" t="n"/>
      <c r="AD59" s="23" t="n"/>
      <c r="AE59" s="23" t="n"/>
      <c r="AF59" s="23" t="n"/>
      <c r="AG59" s="23" t="n"/>
      <c r="AH59" s="23" t="n"/>
      <c r="AI59" s="31" t="n"/>
      <c r="AJ59" s="31" t="n"/>
      <c r="AK59" s="31" t="n"/>
      <c r="AL59" s="31" t="n"/>
      <c r="AM59" s="31" t="n"/>
      <c r="AN59" s="34" t="n"/>
      <c r="AO59" s="34" t="n"/>
      <c r="AP59" s="36" t="n"/>
      <c r="AQ59" s="23" t="n"/>
      <c r="AR59" s="36" t="n"/>
      <c r="AS59" s="39" t="n"/>
      <c r="AT59" s="41" t="n"/>
      <c r="AU59" s="41" t="n"/>
      <c r="AV59" s="43" t="n"/>
      <c r="AW59" s="41" t="n"/>
      <c r="AX59" s="41" t="n"/>
      <c r="AY59" s="23" t="n"/>
      <c r="AZ59" s="36" t="n"/>
      <c r="BA59" s="23" t="n"/>
      <c r="BB59" s="36" t="n"/>
      <c r="BC59" s="23" t="n"/>
      <c r="BD59" s="36" t="n"/>
      <c r="BE59" s="41" t="n"/>
      <c r="BF59" s="29" t="n"/>
      <c r="BG59" s="23" t="n"/>
      <c r="BH59" s="23" t="n"/>
      <c r="BI59" s="23" t="n"/>
      <c r="BJ59" s="23" t="n"/>
      <c r="BK59" s="44" t="n"/>
      <c r="BL59" s="44" t="n"/>
    </row>
    <row r="60" ht="15.75" customHeight="1" s="93">
      <c r="A60" s="1" t="n"/>
      <c r="B60" s="1" t="n"/>
      <c r="C60" s="1" t="n"/>
      <c r="D60" s="1" t="n"/>
      <c r="E60" s="1" t="n"/>
      <c r="F60" s="1" t="n"/>
      <c r="G60" s="1" t="n"/>
      <c r="H60" s="23" t="n"/>
      <c r="I60" s="1" t="n"/>
      <c r="J60" s="1" t="n"/>
      <c r="K60" s="1" t="n"/>
      <c r="L60" s="1" t="n"/>
      <c r="M60" s="70" t="n"/>
      <c r="N60" s="70" t="n"/>
      <c r="O60" s="70" t="n"/>
      <c r="P60" s="18" t="n"/>
      <c r="Q60" s="18" t="n"/>
      <c r="R60" s="54" t="n"/>
      <c r="S60" s="54" t="n"/>
      <c r="T60" s="34" t="n"/>
      <c r="U60" s="55" t="n"/>
      <c r="V60" s="71" t="n"/>
      <c r="W60" s="23" t="n"/>
      <c r="X60" s="23" t="n"/>
      <c r="Y60" s="29" t="n"/>
      <c r="Z60" s="50" t="n"/>
      <c r="AA60" s="50" t="n"/>
      <c r="AB60" s="15" t="n"/>
      <c r="AC60" s="23" t="n"/>
      <c r="AD60" s="23" t="n"/>
      <c r="AE60" s="23" t="n"/>
      <c r="AF60" s="23" t="n"/>
      <c r="AG60" s="23" t="n"/>
      <c r="AH60" s="23" t="n"/>
      <c r="AI60" s="31" t="n"/>
      <c r="AJ60" s="31" t="n"/>
      <c r="AK60" s="31" t="n"/>
      <c r="AL60" s="31" t="n"/>
      <c r="AM60" s="31" t="n"/>
      <c r="AN60" s="34" t="n"/>
      <c r="AO60" s="34" t="n"/>
      <c r="AP60" s="36" t="n"/>
      <c r="AQ60" s="23" t="n"/>
      <c r="AR60" s="36" t="n"/>
      <c r="AS60" s="39" t="n"/>
      <c r="AT60" s="41" t="n"/>
      <c r="AU60" s="41" t="n"/>
      <c r="AV60" s="43" t="n"/>
      <c r="AW60" s="41" t="n"/>
      <c r="AX60" s="41" t="n"/>
      <c r="AY60" s="23" t="n"/>
      <c r="AZ60" s="36" t="n"/>
      <c r="BA60" s="23" t="n"/>
      <c r="BB60" s="36" t="n"/>
      <c r="BC60" s="23" t="n"/>
      <c r="BD60" s="36" t="n"/>
      <c r="BE60" s="41" t="n"/>
      <c r="BF60" s="29" t="n"/>
      <c r="BG60" s="23" t="n"/>
      <c r="BH60" s="23" t="n"/>
      <c r="BI60" s="23" t="n"/>
      <c r="BJ60" s="23" t="n"/>
      <c r="BK60" s="44" t="n"/>
      <c r="BL60" s="44" t="n"/>
    </row>
    <row r="61" ht="15.75" customHeight="1" s="93">
      <c r="A61" s="1" t="n"/>
      <c r="B61" s="1" t="n"/>
      <c r="C61" s="1" t="n"/>
      <c r="D61" s="1" t="n"/>
      <c r="E61" s="1" t="n"/>
      <c r="F61" s="1" t="n"/>
      <c r="G61" s="1" t="n"/>
      <c r="H61" s="23" t="n"/>
      <c r="I61" s="1" t="n"/>
      <c r="J61" s="1" t="n"/>
      <c r="K61" s="1" t="n"/>
      <c r="L61" s="1" t="n"/>
      <c r="M61" s="70" t="n"/>
      <c r="N61" s="70" t="n"/>
      <c r="O61" s="70" t="n"/>
      <c r="P61" s="18" t="n"/>
      <c r="Q61" s="18" t="n"/>
      <c r="R61" s="54" t="n"/>
      <c r="S61" s="54" t="n"/>
      <c r="T61" s="34" t="n"/>
      <c r="U61" s="55" t="n"/>
      <c r="V61" s="71" t="n"/>
      <c r="W61" s="23" t="n"/>
      <c r="X61" s="23" t="n"/>
      <c r="Y61" s="29" t="n"/>
      <c r="Z61" s="50" t="n"/>
      <c r="AA61" s="50" t="n"/>
      <c r="AB61" s="15" t="n"/>
      <c r="AC61" s="23" t="n"/>
      <c r="AD61" s="23" t="n"/>
      <c r="AE61" s="23" t="n"/>
      <c r="AF61" s="23" t="n"/>
      <c r="AG61" s="23" t="n"/>
      <c r="AH61" s="23" t="n"/>
      <c r="AI61" s="31" t="n"/>
      <c r="AJ61" s="31" t="n"/>
      <c r="AK61" s="31" t="n"/>
      <c r="AL61" s="31" t="n"/>
      <c r="AM61" s="31" t="n"/>
      <c r="AN61" s="34" t="n"/>
      <c r="AO61" s="34" t="n"/>
      <c r="AP61" s="36" t="n"/>
      <c r="AQ61" s="23" t="n"/>
      <c r="AR61" s="36" t="n"/>
      <c r="AS61" s="39" t="n"/>
      <c r="AT61" s="41" t="n"/>
      <c r="AU61" s="41" t="n"/>
      <c r="AV61" s="43" t="n"/>
      <c r="AW61" s="41" t="n"/>
      <c r="AX61" s="41" t="n"/>
      <c r="AY61" s="23" t="n"/>
      <c r="AZ61" s="36" t="n"/>
      <c r="BA61" s="23" t="n"/>
      <c r="BB61" s="36" t="n"/>
      <c r="BC61" s="23" t="n"/>
      <c r="BD61" s="36" t="n"/>
      <c r="BE61" s="41" t="n"/>
      <c r="BF61" s="29" t="n"/>
      <c r="BG61" s="23" t="n"/>
      <c r="BH61" s="23" t="n"/>
      <c r="BI61" s="23" t="n"/>
      <c r="BJ61" s="23" t="n"/>
      <c r="BK61" s="44" t="n"/>
      <c r="BL61" s="44" t="n"/>
    </row>
    <row r="62" ht="15.75" customHeight="1" s="93">
      <c r="A62" s="1" t="n"/>
      <c r="B62" s="1" t="n"/>
      <c r="C62" s="1" t="n"/>
      <c r="D62" s="1" t="n"/>
      <c r="E62" s="1" t="n"/>
      <c r="F62" s="1" t="n"/>
      <c r="G62" s="1" t="n"/>
      <c r="H62" s="23" t="n"/>
      <c r="I62" s="1" t="n"/>
      <c r="J62" s="1" t="n"/>
      <c r="K62" s="1" t="n"/>
      <c r="L62" s="1" t="n"/>
      <c r="M62" s="70" t="n"/>
      <c r="N62" s="70" t="n"/>
      <c r="O62" s="70" t="n"/>
      <c r="P62" s="18" t="n"/>
      <c r="Q62" s="18" t="n"/>
      <c r="R62" s="54" t="n"/>
      <c r="S62" s="54" t="n"/>
      <c r="T62" s="34" t="n"/>
      <c r="U62" s="55" t="n"/>
      <c r="V62" s="71" t="n"/>
      <c r="W62" s="23" t="n"/>
      <c r="X62" s="23" t="n"/>
      <c r="Y62" s="29" t="n"/>
      <c r="Z62" s="50" t="n"/>
      <c r="AA62" s="50" t="n"/>
      <c r="AB62" s="15" t="n"/>
      <c r="AC62" s="23" t="n"/>
      <c r="AD62" s="23" t="n"/>
      <c r="AE62" s="23" t="n"/>
      <c r="AF62" s="23" t="n"/>
      <c r="AG62" s="23" t="n"/>
      <c r="AH62" s="23" t="n"/>
      <c r="AI62" s="31" t="n"/>
      <c r="AJ62" s="31" t="n"/>
      <c r="AK62" s="31" t="n"/>
      <c r="AL62" s="31" t="n"/>
      <c r="AM62" s="31" t="n"/>
      <c r="AN62" s="34" t="n"/>
      <c r="AO62" s="34" t="n"/>
      <c r="AP62" s="36" t="n"/>
      <c r="AQ62" s="23" t="n"/>
      <c r="AR62" s="36" t="n"/>
      <c r="AS62" s="39" t="n"/>
      <c r="AT62" s="41" t="n"/>
      <c r="AU62" s="41" t="n"/>
      <c r="AV62" s="43" t="n"/>
      <c r="AW62" s="41" t="n"/>
      <c r="AX62" s="41" t="n"/>
      <c r="AY62" s="23" t="n"/>
      <c r="AZ62" s="36" t="n"/>
      <c r="BA62" s="23" t="n"/>
      <c r="BB62" s="36" t="n"/>
      <c r="BC62" s="23" t="n"/>
      <c r="BD62" s="36" t="n"/>
      <c r="BE62" s="41" t="n"/>
      <c r="BF62" s="29" t="n"/>
      <c r="BG62" s="23" t="n"/>
      <c r="BH62" s="23" t="n"/>
      <c r="BI62" s="23" t="n"/>
      <c r="BJ62" s="23" t="n"/>
      <c r="BK62" s="44" t="n"/>
      <c r="BL62" s="44" t="n"/>
    </row>
    <row r="63" ht="15.75" customHeight="1" s="93">
      <c r="A63" s="1" t="n"/>
      <c r="B63" s="1" t="n"/>
      <c r="C63" s="1" t="n"/>
      <c r="D63" s="1" t="n"/>
      <c r="E63" s="1" t="n"/>
      <c r="F63" s="1" t="n"/>
      <c r="G63" s="1" t="n"/>
      <c r="H63" s="23" t="n"/>
      <c r="I63" s="1" t="n"/>
      <c r="J63" s="1" t="n"/>
      <c r="K63" s="1" t="n"/>
      <c r="L63" s="1" t="n"/>
      <c r="M63" s="70" t="n"/>
      <c r="N63" s="70" t="n"/>
      <c r="O63" s="70" t="n"/>
      <c r="P63" s="18" t="n"/>
      <c r="Q63" s="18" t="n"/>
      <c r="R63" s="54" t="n"/>
      <c r="S63" s="54" t="n"/>
      <c r="T63" s="34" t="n"/>
      <c r="U63" s="55" t="n"/>
      <c r="V63" s="71" t="n"/>
      <c r="W63" s="23" t="n"/>
      <c r="X63" s="23" t="n"/>
      <c r="Y63" s="29" t="n"/>
      <c r="Z63" s="50" t="n"/>
      <c r="AA63" s="50" t="n"/>
      <c r="AB63" s="15" t="n"/>
      <c r="AC63" s="23" t="n"/>
      <c r="AD63" s="23" t="n"/>
      <c r="AE63" s="23" t="n"/>
      <c r="AF63" s="23" t="n"/>
      <c r="AG63" s="23" t="n"/>
      <c r="AH63" s="23" t="n"/>
      <c r="AI63" s="31" t="n"/>
      <c r="AJ63" s="31" t="n"/>
      <c r="AK63" s="31" t="n"/>
      <c r="AL63" s="31" t="n"/>
      <c r="AM63" s="31" t="n"/>
      <c r="AN63" s="34" t="n"/>
      <c r="AO63" s="34" t="n"/>
      <c r="AP63" s="36" t="n"/>
      <c r="AQ63" s="23" t="n"/>
      <c r="AR63" s="36" t="n"/>
      <c r="AS63" s="39" t="n"/>
      <c r="AT63" s="41" t="n"/>
      <c r="AU63" s="41" t="n"/>
      <c r="AV63" s="43" t="n"/>
      <c r="AW63" s="41" t="n"/>
      <c r="AX63" s="41" t="n"/>
      <c r="AY63" s="23" t="n"/>
      <c r="AZ63" s="36" t="n"/>
      <c r="BA63" s="23" t="n"/>
      <c r="BB63" s="36" t="n"/>
      <c r="BC63" s="23" t="n"/>
      <c r="BD63" s="36" t="n"/>
      <c r="BE63" s="41" t="n"/>
      <c r="BF63" s="29" t="n"/>
      <c r="BG63" s="23" t="n"/>
      <c r="BH63" s="23" t="n"/>
      <c r="BI63" s="23" t="n"/>
      <c r="BJ63" s="23" t="n"/>
      <c r="BK63" s="44" t="n"/>
      <c r="BL63" s="44" t="n"/>
    </row>
    <row r="64" ht="15.75" customHeight="1" s="93">
      <c r="A64" s="1" t="n"/>
      <c r="B64" s="1" t="n"/>
      <c r="C64" s="1" t="n"/>
      <c r="D64" s="1" t="n"/>
      <c r="E64" s="1" t="n"/>
      <c r="F64" s="1" t="n"/>
      <c r="G64" s="1" t="n"/>
      <c r="H64" s="23" t="n"/>
      <c r="I64" s="1" t="n"/>
      <c r="J64" s="1" t="n"/>
      <c r="K64" s="1" t="n"/>
      <c r="L64" s="1" t="n"/>
      <c r="M64" s="70" t="n"/>
      <c r="N64" s="70" t="n"/>
      <c r="O64" s="70" t="n"/>
      <c r="P64" s="18" t="n"/>
      <c r="Q64" s="18" t="n"/>
      <c r="R64" s="54" t="n"/>
      <c r="S64" s="54" t="n"/>
      <c r="T64" s="34" t="n"/>
      <c r="U64" s="55" t="n"/>
      <c r="V64" s="71" t="n"/>
      <c r="W64" s="23" t="n"/>
      <c r="X64" s="23" t="n"/>
      <c r="Y64" s="29" t="n"/>
      <c r="Z64" s="50" t="n"/>
      <c r="AA64" s="50" t="n"/>
      <c r="AB64" s="15" t="n"/>
      <c r="AC64" s="23" t="n"/>
      <c r="AD64" s="23" t="n"/>
      <c r="AE64" s="23" t="n"/>
      <c r="AF64" s="23" t="n"/>
      <c r="AG64" s="23" t="n"/>
      <c r="AH64" s="23" t="n"/>
      <c r="AI64" s="31" t="n"/>
      <c r="AJ64" s="31" t="n"/>
      <c r="AK64" s="31" t="n"/>
      <c r="AL64" s="31" t="n"/>
      <c r="AM64" s="31" t="n"/>
      <c r="AN64" s="34" t="n"/>
      <c r="AO64" s="34" t="n"/>
      <c r="AP64" s="36" t="n"/>
      <c r="AQ64" s="23" t="n"/>
      <c r="AR64" s="36" t="n"/>
      <c r="AS64" s="39" t="n"/>
      <c r="AT64" s="41" t="n"/>
      <c r="AU64" s="41" t="n"/>
      <c r="AV64" s="43" t="n"/>
      <c r="AW64" s="41" t="n"/>
      <c r="AX64" s="41" t="n"/>
      <c r="AY64" s="23" t="n"/>
      <c r="AZ64" s="36" t="n"/>
      <c r="BA64" s="23" t="n"/>
      <c r="BB64" s="36" t="n"/>
      <c r="BC64" s="23" t="n"/>
      <c r="BD64" s="36" t="n"/>
      <c r="BE64" s="41" t="n"/>
      <c r="BF64" s="29" t="n"/>
      <c r="BG64" s="23" t="n"/>
      <c r="BH64" s="23" t="n"/>
      <c r="BI64" s="23" t="n"/>
      <c r="BJ64" s="23" t="n"/>
      <c r="BK64" s="44" t="n"/>
      <c r="BL64" s="44" t="n"/>
    </row>
    <row r="65" ht="15.75" customHeight="1" s="93">
      <c r="A65" s="1" t="n"/>
      <c r="B65" s="1" t="n"/>
      <c r="C65" s="1" t="n"/>
      <c r="D65" s="1" t="n"/>
      <c r="E65" s="1" t="n"/>
      <c r="F65" s="1" t="n"/>
      <c r="G65" s="1" t="n"/>
      <c r="H65" s="23" t="n"/>
      <c r="I65" s="1" t="n"/>
      <c r="J65" s="1" t="n"/>
      <c r="K65" s="1" t="n"/>
      <c r="L65" s="1" t="n"/>
      <c r="M65" s="70" t="n"/>
      <c r="N65" s="70" t="n"/>
      <c r="O65" s="70" t="n"/>
      <c r="P65" s="18" t="n"/>
      <c r="Q65" s="18" t="n"/>
      <c r="R65" s="54" t="n"/>
      <c r="S65" s="54" t="n"/>
      <c r="T65" s="34" t="n"/>
      <c r="U65" s="55" t="n"/>
      <c r="V65" s="71" t="n"/>
      <c r="W65" s="23" t="n"/>
      <c r="X65" s="23" t="n"/>
      <c r="Y65" s="29" t="n"/>
      <c r="Z65" s="50" t="n"/>
      <c r="AA65" s="50" t="n"/>
      <c r="AB65" s="15" t="n"/>
      <c r="AC65" s="23" t="n"/>
      <c r="AD65" s="23" t="n"/>
      <c r="AE65" s="23" t="n"/>
      <c r="AF65" s="23" t="n"/>
      <c r="AG65" s="23" t="n"/>
      <c r="AH65" s="23" t="n"/>
      <c r="AI65" s="31" t="n"/>
      <c r="AJ65" s="31" t="n"/>
      <c r="AK65" s="31" t="n"/>
      <c r="AL65" s="31" t="n"/>
      <c r="AM65" s="31" t="n"/>
      <c r="AN65" s="34" t="n"/>
      <c r="AO65" s="34" t="n"/>
      <c r="AP65" s="36" t="n"/>
      <c r="AQ65" s="23" t="n"/>
      <c r="AR65" s="36" t="n"/>
      <c r="AS65" s="39" t="n"/>
      <c r="AT65" s="41" t="n"/>
      <c r="AU65" s="41" t="n"/>
      <c r="AV65" s="43" t="n"/>
      <c r="AW65" s="41" t="n"/>
      <c r="AX65" s="41" t="n"/>
      <c r="AY65" s="23" t="n"/>
      <c r="AZ65" s="36" t="n"/>
      <c r="BA65" s="23" t="n"/>
      <c r="BB65" s="36" t="n"/>
      <c r="BC65" s="23" t="n"/>
      <c r="BD65" s="36" t="n"/>
      <c r="BE65" s="41" t="n"/>
      <c r="BF65" s="29" t="n"/>
      <c r="BG65" s="23" t="n"/>
      <c r="BH65" s="23" t="n"/>
      <c r="BI65" s="23" t="n"/>
      <c r="BJ65" s="23" t="n"/>
      <c r="BK65" s="44" t="n"/>
      <c r="BL65" s="44" t="n"/>
    </row>
    <row r="66" ht="15.75" customHeight="1" s="93">
      <c r="A66" s="1" t="n"/>
      <c r="B66" s="1" t="n"/>
      <c r="C66" s="1" t="n"/>
      <c r="D66" s="1" t="n"/>
      <c r="E66" s="1" t="n"/>
      <c r="F66" s="1" t="n"/>
      <c r="G66" s="1" t="n"/>
      <c r="H66" s="23" t="n"/>
      <c r="I66" s="1" t="n"/>
      <c r="J66" s="1" t="n"/>
      <c r="K66" s="1" t="n"/>
      <c r="L66" s="1" t="n"/>
      <c r="M66" s="70" t="n"/>
      <c r="N66" s="70" t="n"/>
      <c r="O66" s="70" t="n"/>
      <c r="P66" s="18" t="n"/>
      <c r="Q66" s="18" t="n"/>
      <c r="R66" s="54" t="n"/>
      <c r="S66" s="54" t="n"/>
      <c r="T66" s="34" t="n"/>
      <c r="U66" s="55" t="n"/>
      <c r="V66" s="71" t="n"/>
      <c r="W66" s="23" t="n"/>
      <c r="X66" s="23" t="n"/>
      <c r="Y66" s="29" t="n"/>
      <c r="Z66" s="50" t="n"/>
      <c r="AA66" s="50" t="n"/>
      <c r="AB66" s="15" t="n"/>
      <c r="AC66" s="23" t="n"/>
      <c r="AD66" s="23" t="n"/>
      <c r="AE66" s="23" t="n"/>
      <c r="AF66" s="23" t="n"/>
      <c r="AG66" s="23" t="n"/>
      <c r="AH66" s="23" t="n"/>
      <c r="AI66" s="31" t="n"/>
      <c r="AJ66" s="31" t="n"/>
      <c r="AK66" s="31" t="n"/>
      <c r="AL66" s="31" t="n"/>
      <c r="AM66" s="31" t="n"/>
      <c r="AN66" s="34" t="n"/>
      <c r="AO66" s="34" t="n"/>
      <c r="AP66" s="36" t="n"/>
      <c r="AQ66" s="23" t="n"/>
      <c r="AR66" s="36" t="n"/>
      <c r="AS66" s="39" t="n"/>
      <c r="AT66" s="41" t="n"/>
      <c r="AU66" s="41" t="n"/>
      <c r="AV66" s="43" t="n"/>
      <c r="AW66" s="41" t="n"/>
      <c r="AX66" s="41" t="n"/>
      <c r="AY66" s="23" t="n"/>
      <c r="AZ66" s="36" t="n"/>
      <c r="BA66" s="23" t="n"/>
      <c r="BB66" s="36" t="n"/>
      <c r="BC66" s="23" t="n"/>
      <c r="BD66" s="36" t="n"/>
      <c r="BE66" s="41" t="n"/>
      <c r="BF66" s="29" t="n"/>
      <c r="BG66" s="23" t="n"/>
      <c r="BH66" s="23" t="n"/>
      <c r="BI66" s="23" t="n"/>
      <c r="BJ66" s="23" t="n"/>
      <c r="BK66" s="44" t="n"/>
      <c r="BL66" s="44" t="n"/>
    </row>
    <row r="67" ht="15.75" customHeight="1" s="93">
      <c r="A67" s="1" t="n"/>
      <c r="B67" s="1" t="n"/>
      <c r="C67" s="1" t="n"/>
      <c r="D67" s="1" t="n"/>
      <c r="E67" s="1" t="n"/>
      <c r="F67" s="1" t="n"/>
      <c r="G67" s="1" t="n"/>
      <c r="H67" s="23" t="n"/>
      <c r="I67" s="1" t="n"/>
      <c r="J67" s="1" t="n"/>
      <c r="K67" s="1" t="n"/>
      <c r="L67" s="1" t="n"/>
      <c r="M67" s="70" t="n"/>
      <c r="N67" s="70" t="n"/>
      <c r="O67" s="70" t="n"/>
      <c r="P67" s="18" t="n"/>
      <c r="Q67" s="18" t="n"/>
      <c r="R67" s="54" t="n"/>
      <c r="S67" s="54" t="n"/>
      <c r="T67" s="34" t="n"/>
      <c r="U67" s="55" t="n"/>
      <c r="V67" s="71" t="n"/>
      <c r="W67" s="23" t="n"/>
      <c r="X67" s="23" t="n"/>
      <c r="Y67" s="29" t="n"/>
      <c r="Z67" s="50" t="n"/>
      <c r="AA67" s="50" t="n"/>
      <c r="AB67" s="15" t="n"/>
      <c r="AC67" s="23" t="n"/>
      <c r="AD67" s="23" t="n"/>
      <c r="AE67" s="23" t="n"/>
      <c r="AF67" s="23" t="n"/>
      <c r="AG67" s="23" t="n"/>
      <c r="AH67" s="23" t="n"/>
      <c r="AI67" s="31" t="n"/>
      <c r="AJ67" s="31" t="n"/>
      <c r="AK67" s="31" t="n"/>
      <c r="AL67" s="31" t="n"/>
      <c r="AM67" s="31" t="n"/>
      <c r="AN67" s="34" t="n"/>
      <c r="AO67" s="34" t="n"/>
      <c r="AP67" s="36" t="n"/>
      <c r="AQ67" s="23" t="n"/>
      <c r="AR67" s="36" t="n"/>
      <c r="AS67" s="39" t="n"/>
      <c r="AT67" s="41" t="n"/>
      <c r="AU67" s="41" t="n"/>
      <c r="AV67" s="43" t="n"/>
      <c r="AW67" s="41" t="n"/>
      <c r="AX67" s="41" t="n"/>
      <c r="AY67" s="23" t="n"/>
      <c r="AZ67" s="36" t="n"/>
      <c r="BA67" s="23" t="n"/>
      <c r="BB67" s="36" t="n"/>
      <c r="BC67" s="23" t="n"/>
      <c r="BD67" s="36" t="n"/>
      <c r="BE67" s="41" t="n"/>
      <c r="BF67" s="29" t="n"/>
      <c r="BG67" s="23" t="n"/>
      <c r="BH67" s="23" t="n"/>
      <c r="BI67" s="23" t="n"/>
      <c r="BJ67" s="23" t="n"/>
      <c r="BK67" s="44" t="n"/>
      <c r="BL67" s="44" t="n"/>
    </row>
    <row r="68" ht="15.75" customHeight="1" s="93">
      <c r="A68" s="1" t="n"/>
      <c r="B68" s="1" t="n"/>
      <c r="C68" s="1" t="n"/>
      <c r="D68" s="1" t="n"/>
      <c r="E68" s="1" t="n"/>
      <c r="F68" s="1" t="n"/>
      <c r="G68" s="1" t="n"/>
      <c r="H68" s="23" t="n"/>
      <c r="I68" s="1" t="n"/>
      <c r="J68" s="1" t="n"/>
      <c r="K68" s="1" t="n"/>
      <c r="L68" s="1" t="n"/>
      <c r="M68" s="70" t="n"/>
      <c r="N68" s="70" t="n"/>
      <c r="O68" s="70" t="n"/>
      <c r="P68" s="18" t="n"/>
      <c r="Q68" s="18" t="n"/>
      <c r="R68" s="54" t="n"/>
      <c r="S68" s="54" t="n"/>
      <c r="T68" s="34" t="n"/>
      <c r="U68" s="55" t="n"/>
      <c r="V68" s="71" t="n"/>
      <c r="W68" s="23" t="n"/>
      <c r="X68" s="23" t="n"/>
      <c r="Y68" s="29" t="n"/>
      <c r="Z68" s="50" t="n"/>
      <c r="AA68" s="50" t="n"/>
      <c r="AB68" s="15" t="n"/>
      <c r="AC68" s="23" t="n"/>
      <c r="AD68" s="23" t="n"/>
      <c r="AE68" s="23" t="n"/>
      <c r="AF68" s="23" t="n"/>
      <c r="AG68" s="23" t="n"/>
      <c r="AH68" s="23" t="n"/>
      <c r="AI68" s="31" t="n"/>
      <c r="AJ68" s="31" t="n"/>
      <c r="AK68" s="31" t="n"/>
      <c r="AL68" s="31" t="n"/>
      <c r="AM68" s="31" t="n"/>
      <c r="AN68" s="34" t="n"/>
      <c r="AO68" s="34" t="n"/>
      <c r="AP68" s="36" t="n"/>
      <c r="AQ68" s="23" t="n"/>
      <c r="AR68" s="36" t="n"/>
      <c r="AS68" s="39" t="n"/>
      <c r="AT68" s="41" t="n"/>
      <c r="AU68" s="41" t="n"/>
      <c r="AV68" s="43" t="n"/>
      <c r="AW68" s="41" t="n"/>
      <c r="AX68" s="41" t="n"/>
      <c r="AY68" s="23" t="n"/>
      <c r="AZ68" s="36" t="n"/>
      <c r="BA68" s="23" t="n"/>
      <c r="BB68" s="36" t="n"/>
      <c r="BC68" s="23" t="n"/>
      <c r="BD68" s="36" t="n"/>
      <c r="BE68" s="41" t="n"/>
      <c r="BF68" s="29" t="n"/>
      <c r="BG68" s="23" t="n"/>
      <c r="BH68" s="23" t="n"/>
      <c r="BI68" s="23" t="n"/>
      <c r="BJ68" s="23" t="n"/>
      <c r="BK68" s="44" t="n"/>
      <c r="BL68" s="44" t="n"/>
    </row>
    <row r="69" ht="15.75" customHeight="1" s="9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54" t="n"/>
      <c r="N69" s="54" t="n"/>
      <c r="O69" s="54" t="n"/>
      <c r="P69" s="54" t="n"/>
      <c r="Q69" s="54" t="n"/>
      <c r="R69" s="54" t="n"/>
      <c r="S69" s="54" t="n"/>
      <c r="T69" s="55" t="n"/>
      <c r="U69" s="55" t="n"/>
      <c r="V69" s="56" t="n"/>
      <c r="W69" s="1" t="n"/>
      <c r="X69" s="56" t="n"/>
      <c r="Y69" s="57" t="n"/>
      <c r="Z69" s="56" t="n"/>
      <c r="AA69" s="56" t="n"/>
      <c r="AB69" s="57" t="n"/>
      <c r="AC69" s="56" t="n"/>
      <c r="AD69" s="56" t="n"/>
      <c r="AE69" s="1" t="n"/>
      <c r="AF69" s="56" t="n"/>
      <c r="AG69" s="1" t="n"/>
      <c r="AH69" s="56" t="n"/>
      <c r="AI69" s="1" t="n"/>
      <c r="AJ69" s="56" t="n"/>
      <c r="AK69" s="56" t="n"/>
      <c r="AL69" s="1" t="n"/>
      <c r="AM69" s="1" t="n"/>
      <c r="AN69" s="1" t="n"/>
      <c r="AO69" s="1" t="n"/>
      <c r="AP69" s="1" t="n"/>
      <c r="AR69" s="1" t="n"/>
    </row>
    <row r="70" ht="15.75" customHeight="1" s="9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54" t="n"/>
      <c r="N70" s="54" t="n"/>
      <c r="O70" s="54" t="n"/>
      <c r="P70" s="54" t="n"/>
      <c r="Q70" s="54" t="n"/>
      <c r="R70" s="54" t="n"/>
      <c r="S70" s="54" t="n"/>
      <c r="T70" s="55" t="n"/>
      <c r="U70" s="55" t="n"/>
      <c r="V70" s="56" t="n"/>
      <c r="W70" s="1" t="n"/>
      <c r="X70" s="56" t="n"/>
      <c r="Y70" s="57" t="n"/>
      <c r="Z70" s="56" t="n"/>
      <c r="AA70" s="56" t="n"/>
      <c r="AB70" s="57" t="n"/>
      <c r="AC70" s="56" t="n"/>
      <c r="AD70" s="56" t="n"/>
      <c r="AE70" s="1" t="n"/>
      <c r="AF70" s="56" t="n"/>
      <c r="AG70" s="1" t="n"/>
      <c r="AH70" s="56" t="n"/>
      <c r="AI70" s="1" t="n"/>
      <c r="AJ70" s="56" t="n"/>
      <c r="AK70" s="56" t="n"/>
      <c r="AL70" s="1" t="n"/>
      <c r="AM70" s="1" t="n"/>
      <c r="AN70" s="1" t="n"/>
      <c r="AO70" s="1" t="n"/>
      <c r="AP70" s="1" t="n"/>
      <c r="AR70" s="1" t="n"/>
    </row>
    <row r="71" ht="15.75" customHeight="1" s="9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54" t="n"/>
      <c r="N71" s="54" t="n"/>
      <c r="O71" s="54" t="n"/>
      <c r="P71" s="54" t="n"/>
      <c r="Q71" s="54" t="n"/>
      <c r="R71" s="54" t="n"/>
      <c r="S71" s="54" t="n"/>
      <c r="T71" s="55" t="n"/>
      <c r="U71" s="55" t="n"/>
      <c r="V71" s="56" t="n"/>
      <c r="W71" s="1" t="n"/>
      <c r="X71" s="56" t="n"/>
      <c r="Y71" s="57" t="n"/>
      <c r="Z71" s="56" t="n"/>
      <c r="AA71" s="56" t="n"/>
      <c r="AB71" s="57" t="n"/>
      <c r="AC71" s="56" t="n"/>
      <c r="AD71" s="56" t="n"/>
      <c r="AE71" s="1" t="n"/>
      <c r="AF71" s="56" t="n"/>
      <c r="AG71" s="1" t="n"/>
      <c r="AH71" s="56" t="n"/>
      <c r="AI71" s="1" t="n"/>
      <c r="AJ71" s="56" t="n"/>
      <c r="AK71" s="56" t="n"/>
      <c r="AL71" s="1" t="n"/>
      <c r="AM71" s="1" t="n"/>
      <c r="AN71" s="1" t="n"/>
      <c r="AO71" s="1" t="n"/>
      <c r="AP71" s="1" t="n"/>
      <c r="AR71" s="1" t="n"/>
    </row>
    <row r="72" ht="15.75" customHeight="1" s="9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54" t="n"/>
      <c r="N72" s="54" t="n"/>
      <c r="O72" s="54" t="n"/>
      <c r="P72" s="54" t="n"/>
      <c r="Q72" s="54" t="n"/>
      <c r="R72" s="54" t="n"/>
      <c r="S72" s="54" t="n"/>
      <c r="T72" s="55" t="n"/>
      <c r="U72" s="55" t="n"/>
      <c r="V72" s="56" t="n"/>
      <c r="W72" s="1" t="n"/>
      <c r="X72" s="56" t="n"/>
      <c r="Y72" s="57" t="n"/>
      <c r="Z72" s="56" t="n"/>
      <c r="AA72" s="56" t="n"/>
      <c r="AB72" s="57" t="n"/>
      <c r="AC72" s="56" t="n"/>
      <c r="AD72" s="56" t="n"/>
      <c r="AE72" s="1" t="n"/>
      <c r="AF72" s="56" t="n"/>
      <c r="AG72" s="1" t="n"/>
      <c r="AH72" s="56" t="n"/>
      <c r="AI72" s="1" t="n"/>
      <c r="AJ72" s="56" t="n"/>
      <c r="AK72" s="56" t="n"/>
      <c r="AL72" s="1" t="n"/>
      <c r="AM72" s="1" t="n"/>
      <c r="AN72" s="1" t="n"/>
      <c r="AO72" s="1" t="n"/>
      <c r="AP72" s="1" t="n"/>
      <c r="AR72" s="1" t="n"/>
    </row>
    <row r="73" ht="15.75" customHeight="1" s="9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54" t="n"/>
      <c r="N73" s="54" t="n"/>
      <c r="O73" s="54" t="n"/>
      <c r="P73" s="54" t="n"/>
      <c r="Q73" s="54" t="n"/>
      <c r="R73" s="54" t="n"/>
      <c r="S73" s="54" t="n"/>
      <c r="T73" s="55" t="n"/>
      <c r="U73" s="55" t="n"/>
      <c r="V73" s="56" t="n"/>
      <c r="W73" s="1" t="n"/>
      <c r="X73" s="56" t="n"/>
      <c r="Y73" s="57" t="n"/>
      <c r="Z73" s="56" t="n"/>
      <c r="AA73" s="56" t="n"/>
      <c r="AB73" s="57" t="n"/>
      <c r="AC73" s="56" t="n"/>
      <c r="AD73" s="56" t="n"/>
      <c r="AE73" s="1" t="n"/>
      <c r="AF73" s="56" t="n"/>
      <c r="AG73" s="1" t="n"/>
      <c r="AH73" s="56" t="n"/>
      <c r="AI73" s="1" t="n"/>
      <c r="AJ73" s="56" t="n"/>
      <c r="AK73" s="56" t="n"/>
      <c r="AL73" s="1" t="n"/>
      <c r="AM73" s="1" t="n"/>
      <c r="AN73" s="1" t="n"/>
      <c r="AO73" s="1" t="n"/>
      <c r="AP73" s="1" t="n"/>
      <c r="AR73" s="1" t="n"/>
    </row>
    <row r="74" ht="15.75" customHeight="1" s="9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54" t="n"/>
      <c r="N74" s="54" t="n"/>
      <c r="O74" s="54" t="n"/>
      <c r="P74" s="54" t="n"/>
      <c r="Q74" s="54" t="n"/>
      <c r="R74" s="54" t="n"/>
      <c r="S74" s="54" t="n"/>
      <c r="T74" s="55" t="n"/>
      <c r="U74" s="55" t="n"/>
      <c r="V74" s="56" t="n"/>
      <c r="W74" s="1" t="n"/>
      <c r="X74" s="56" t="n"/>
      <c r="Y74" s="57" t="n"/>
      <c r="Z74" s="56" t="n"/>
      <c r="AA74" s="56" t="n"/>
      <c r="AB74" s="57" t="n"/>
      <c r="AC74" s="56" t="n"/>
      <c r="AD74" s="56" t="n"/>
      <c r="AE74" s="1" t="n"/>
      <c r="AF74" s="56" t="n"/>
      <c r="AG74" s="1" t="n"/>
      <c r="AH74" s="56" t="n"/>
      <c r="AI74" s="1" t="n"/>
      <c r="AJ74" s="56" t="n"/>
      <c r="AK74" s="56" t="n"/>
      <c r="AL74" s="1" t="n"/>
      <c r="AM74" s="1" t="n"/>
      <c r="AN74" s="1" t="n"/>
      <c r="AO74" s="1" t="n"/>
      <c r="AP74" s="1" t="n"/>
      <c r="AR74" s="1" t="n"/>
    </row>
    <row r="75" ht="15.75" customHeight="1" s="9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54" t="n"/>
      <c r="N75" s="54" t="n"/>
      <c r="O75" s="54" t="n"/>
      <c r="P75" s="54" t="n"/>
      <c r="Q75" s="54" t="n"/>
      <c r="R75" s="54" t="n"/>
      <c r="S75" s="54" t="n"/>
      <c r="T75" s="55" t="n"/>
      <c r="U75" s="55" t="n"/>
      <c r="V75" s="56" t="n"/>
      <c r="W75" s="1" t="n"/>
      <c r="X75" s="56" t="n"/>
      <c r="Y75" s="57" t="n"/>
      <c r="Z75" s="56" t="n"/>
      <c r="AA75" s="56" t="n"/>
      <c r="AB75" s="57" t="n"/>
      <c r="AC75" s="56" t="n"/>
      <c r="AD75" s="56" t="n"/>
      <c r="AE75" s="1" t="n"/>
      <c r="AF75" s="56" t="n"/>
      <c r="AG75" s="1" t="n"/>
      <c r="AH75" s="56" t="n"/>
      <c r="AI75" s="1" t="n"/>
      <c r="AJ75" s="56" t="n"/>
      <c r="AK75" s="56" t="n"/>
      <c r="AL75" s="1" t="n"/>
      <c r="AM75" s="1" t="n"/>
      <c r="AN75" s="1" t="n"/>
      <c r="AO75" s="1" t="n"/>
      <c r="AP75" s="1" t="n"/>
      <c r="AR75" s="1" t="n"/>
    </row>
    <row r="76" ht="15.75" customHeight="1" s="9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54" t="n"/>
      <c r="N76" s="54" t="n"/>
      <c r="O76" s="54" t="n"/>
      <c r="P76" s="54" t="n"/>
      <c r="Q76" s="54" t="n"/>
      <c r="R76" s="54" t="n"/>
      <c r="S76" s="54" t="n"/>
      <c r="T76" s="55" t="n"/>
      <c r="U76" s="55" t="n"/>
      <c r="V76" s="56" t="n"/>
      <c r="W76" s="1" t="n"/>
      <c r="X76" s="56" t="n"/>
      <c r="Y76" s="57" t="n"/>
      <c r="Z76" s="56" t="n"/>
      <c r="AA76" s="56" t="n"/>
      <c r="AB76" s="57" t="n"/>
      <c r="AC76" s="56" t="n"/>
      <c r="AD76" s="56" t="n"/>
      <c r="AE76" s="1" t="n"/>
      <c r="AF76" s="56" t="n"/>
      <c r="AG76" s="1" t="n"/>
      <c r="AH76" s="56" t="n"/>
      <c r="AI76" s="1" t="n"/>
      <c r="AJ76" s="56" t="n"/>
      <c r="AK76" s="56" t="n"/>
      <c r="AL76" s="1" t="n"/>
      <c r="AM76" s="1" t="n"/>
      <c r="AN76" s="1" t="n"/>
      <c r="AO76" s="1" t="n"/>
      <c r="AP76" s="1" t="n"/>
      <c r="AR76" s="1" t="n"/>
    </row>
    <row r="77" ht="15.75" customHeight="1" s="9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54" t="n"/>
      <c r="N77" s="54" t="n"/>
      <c r="O77" s="54" t="n"/>
      <c r="P77" s="54" t="n"/>
      <c r="Q77" s="54" t="n"/>
      <c r="R77" s="54" t="n"/>
      <c r="S77" s="54" t="n"/>
      <c r="T77" s="55" t="n"/>
      <c r="U77" s="55" t="n"/>
      <c r="V77" s="56" t="n"/>
      <c r="W77" s="1" t="n"/>
      <c r="X77" s="56" t="n"/>
      <c r="Y77" s="57" t="n"/>
      <c r="Z77" s="56" t="n"/>
      <c r="AA77" s="56" t="n"/>
      <c r="AB77" s="57" t="n"/>
      <c r="AC77" s="56" t="n"/>
      <c r="AD77" s="56" t="n"/>
      <c r="AE77" s="1" t="n"/>
      <c r="AF77" s="56" t="n"/>
      <c r="AG77" s="1" t="n"/>
      <c r="AH77" s="56" t="n"/>
      <c r="AI77" s="1" t="n"/>
      <c r="AJ77" s="56" t="n"/>
      <c r="AK77" s="56" t="n"/>
      <c r="AL77" s="1" t="n"/>
      <c r="AM77" s="1" t="n"/>
      <c r="AN77" s="1" t="n"/>
      <c r="AO77" s="1" t="n"/>
      <c r="AP77" s="1" t="n"/>
      <c r="AR77" s="1" t="n"/>
    </row>
    <row r="78" ht="15.75" customHeight="1" s="9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54" t="n"/>
      <c r="N78" s="54" t="n"/>
      <c r="O78" s="54" t="n"/>
      <c r="P78" s="54" t="n"/>
      <c r="Q78" s="54" t="n"/>
      <c r="R78" s="54" t="n"/>
      <c r="S78" s="54" t="n"/>
      <c r="T78" s="55" t="n"/>
      <c r="U78" s="55" t="n"/>
      <c r="V78" s="56" t="n"/>
      <c r="W78" s="1" t="n"/>
      <c r="X78" s="56" t="n"/>
      <c r="Y78" s="57" t="n"/>
      <c r="Z78" s="56" t="n"/>
      <c r="AA78" s="56" t="n"/>
      <c r="AB78" s="57" t="n"/>
      <c r="AC78" s="56" t="n"/>
      <c r="AD78" s="56" t="n"/>
      <c r="AE78" s="1" t="n"/>
      <c r="AF78" s="56" t="n"/>
      <c r="AG78" s="1" t="n"/>
      <c r="AH78" s="56" t="n"/>
      <c r="AI78" s="1" t="n"/>
      <c r="AJ78" s="56" t="n"/>
      <c r="AK78" s="56" t="n"/>
      <c r="AL78" s="1" t="n"/>
      <c r="AM78" s="1" t="n"/>
      <c r="AN78" s="1" t="n"/>
      <c r="AO78" s="1" t="n"/>
      <c r="AP78" s="1" t="n"/>
      <c r="AR78" s="1" t="n"/>
    </row>
    <row r="79" ht="15.75" customHeight="1" s="9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54" t="n"/>
      <c r="N79" s="54" t="n"/>
      <c r="O79" s="54" t="n"/>
      <c r="P79" s="54" t="n"/>
      <c r="Q79" s="54" t="n"/>
      <c r="R79" s="54" t="n"/>
      <c r="S79" s="54" t="n"/>
      <c r="T79" s="55" t="n"/>
      <c r="U79" s="55" t="n"/>
      <c r="V79" s="56" t="n"/>
      <c r="W79" s="1" t="n"/>
      <c r="X79" s="56" t="n"/>
      <c r="Y79" s="57" t="n"/>
      <c r="Z79" s="56" t="n"/>
      <c r="AA79" s="56" t="n"/>
      <c r="AB79" s="57" t="n"/>
      <c r="AC79" s="56" t="n"/>
      <c r="AD79" s="56" t="n"/>
      <c r="AE79" s="1" t="n"/>
      <c r="AF79" s="56" t="n"/>
      <c r="AG79" s="1" t="n"/>
      <c r="AH79" s="56" t="n"/>
      <c r="AI79" s="1" t="n"/>
      <c r="AJ79" s="56" t="n"/>
      <c r="AK79" s="56" t="n"/>
      <c r="AL79" s="1" t="n"/>
      <c r="AM79" s="1" t="n"/>
      <c r="AN79" s="1" t="n"/>
      <c r="AO79" s="1" t="n"/>
      <c r="AP79" s="1" t="n"/>
      <c r="AR79" s="1" t="n"/>
    </row>
    <row r="80" ht="15.75" customHeight="1" s="9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54" t="n"/>
      <c r="N80" s="54" t="n"/>
      <c r="O80" s="54" t="n"/>
      <c r="P80" s="54" t="n"/>
      <c r="Q80" s="54" t="n"/>
      <c r="R80" s="54" t="n"/>
      <c r="S80" s="54" t="n"/>
      <c r="T80" s="55" t="n"/>
      <c r="U80" s="55" t="n"/>
      <c r="V80" s="56" t="n"/>
      <c r="W80" s="1" t="n"/>
      <c r="X80" s="56" t="n"/>
      <c r="Y80" s="57" t="n"/>
      <c r="Z80" s="56" t="n"/>
      <c r="AA80" s="56" t="n"/>
      <c r="AB80" s="57" t="n"/>
      <c r="AC80" s="56" t="n"/>
      <c r="AD80" s="56" t="n"/>
      <c r="AE80" s="1" t="n"/>
      <c r="AF80" s="56" t="n"/>
      <c r="AG80" s="1" t="n"/>
      <c r="AH80" s="56" t="n"/>
      <c r="AI80" s="1" t="n"/>
      <c r="AJ80" s="56" t="n"/>
      <c r="AK80" s="56" t="n"/>
      <c r="AL80" s="1" t="n"/>
      <c r="AM80" s="1" t="n"/>
      <c r="AN80" s="1" t="n"/>
      <c r="AO80" s="1" t="n"/>
      <c r="AP80" s="1" t="n"/>
      <c r="AR80" s="1" t="n"/>
    </row>
    <row r="81" ht="15.75" customHeight="1" s="9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54" t="n"/>
      <c r="N81" s="54" t="n"/>
      <c r="O81" s="54" t="n"/>
      <c r="P81" s="54" t="n"/>
      <c r="Q81" s="54" t="n"/>
      <c r="R81" s="54" t="n"/>
      <c r="S81" s="54" t="n"/>
      <c r="T81" s="55" t="n"/>
      <c r="U81" s="55" t="n"/>
      <c r="V81" s="56" t="n"/>
      <c r="W81" s="1" t="n"/>
      <c r="X81" s="56" t="n"/>
      <c r="Y81" s="57" t="n"/>
      <c r="Z81" s="56" t="n"/>
      <c r="AA81" s="56" t="n"/>
      <c r="AB81" s="57" t="n"/>
      <c r="AC81" s="56" t="n"/>
      <c r="AD81" s="56" t="n"/>
      <c r="AE81" s="1" t="n"/>
      <c r="AF81" s="56" t="n"/>
      <c r="AG81" s="1" t="n"/>
      <c r="AH81" s="56" t="n"/>
      <c r="AI81" s="1" t="n"/>
      <c r="AJ81" s="56" t="n"/>
      <c r="AK81" s="56" t="n"/>
      <c r="AL81" s="1" t="n"/>
      <c r="AM81" s="1" t="n"/>
      <c r="AN81" s="1" t="n"/>
      <c r="AO81" s="1" t="n"/>
      <c r="AP81" s="1" t="n"/>
      <c r="AR81" s="1" t="n"/>
    </row>
    <row r="82" ht="15.75" customHeight="1" s="9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54" t="n"/>
      <c r="N82" s="54" t="n"/>
      <c r="O82" s="54" t="n"/>
      <c r="P82" s="54" t="n"/>
      <c r="Q82" s="54" t="n"/>
      <c r="R82" s="54" t="n"/>
      <c r="S82" s="54" t="n"/>
      <c r="T82" s="55" t="n"/>
      <c r="U82" s="55" t="n"/>
      <c r="V82" s="56" t="n"/>
      <c r="W82" s="1" t="n"/>
      <c r="X82" s="56" t="n"/>
      <c r="Y82" s="57" t="n"/>
      <c r="Z82" s="56" t="n"/>
      <c r="AA82" s="56" t="n"/>
      <c r="AB82" s="57" t="n"/>
      <c r="AC82" s="56" t="n"/>
      <c r="AD82" s="56" t="n"/>
      <c r="AE82" s="1" t="n"/>
      <c r="AF82" s="56" t="n"/>
      <c r="AG82" s="1" t="n"/>
      <c r="AH82" s="56" t="n"/>
      <c r="AI82" s="1" t="n"/>
      <c r="AJ82" s="56" t="n"/>
      <c r="AK82" s="56" t="n"/>
      <c r="AL82" s="1" t="n"/>
      <c r="AM82" s="1" t="n"/>
      <c r="AN82" s="1" t="n"/>
      <c r="AO82" s="1" t="n"/>
      <c r="AP82" s="1" t="n"/>
      <c r="AR82" s="1" t="n"/>
    </row>
    <row r="83" ht="15.75" customHeight="1" s="9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54" t="n"/>
      <c r="N83" s="54" t="n"/>
      <c r="O83" s="54" t="n"/>
      <c r="P83" s="54" t="n"/>
      <c r="Q83" s="54" t="n"/>
      <c r="R83" s="54" t="n"/>
      <c r="S83" s="54" t="n"/>
      <c r="T83" s="55" t="n"/>
      <c r="U83" s="55" t="n"/>
      <c r="V83" s="56" t="n"/>
      <c r="W83" s="1" t="n"/>
      <c r="X83" s="56" t="n"/>
      <c r="Y83" s="57" t="n"/>
      <c r="Z83" s="56" t="n"/>
      <c r="AA83" s="56" t="n"/>
      <c r="AB83" s="57" t="n"/>
      <c r="AC83" s="56" t="n"/>
      <c r="AD83" s="56" t="n"/>
      <c r="AE83" s="1" t="n"/>
      <c r="AF83" s="56" t="n"/>
      <c r="AG83" s="1" t="n"/>
      <c r="AH83" s="56" t="n"/>
      <c r="AI83" s="1" t="n"/>
      <c r="AJ83" s="56" t="n"/>
      <c r="AK83" s="56" t="n"/>
      <c r="AL83" s="1" t="n"/>
      <c r="AM83" s="1" t="n"/>
      <c r="AN83" s="1" t="n"/>
      <c r="AO83" s="1" t="n"/>
      <c r="AP83" s="1" t="n"/>
      <c r="AR83" s="1" t="n"/>
    </row>
    <row r="84" ht="15.75" customHeight="1" s="9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54" t="n"/>
      <c r="N84" s="54" t="n"/>
      <c r="O84" s="54" t="n"/>
      <c r="P84" s="54" t="n"/>
      <c r="Q84" s="54" t="n"/>
      <c r="R84" s="54" t="n"/>
      <c r="S84" s="54" t="n"/>
      <c r="T84" s="55" t="n"/>
      <c r="U84" s="55" t="n"/>
      <c r="V84" s="56" t="n"/>
      <c r="W84" s="1" t="n"/>
      <c r="X84" s="56" t="n"/>
      <c r="Y84" s="57" t="n"/>
      <c r="Z84" s="56" t="n"/>
      <c r="AA84" s="56" t="n"/>
      <c r="AB84" s="57" t="n"/>
      <c r="AC84" s="56" t="n"/>
      <c r="AD84" s="56" t="n"/>
      <c r="AE84" s="1" t="n"/>
      <c r="AF84" s="56" t="n"/>
      <c r="AG84" s="1" t="n"/>
      <c r="AH84" s="56" t="n"/>
      <c r="AI84" s="1" t="n"/>
      <c r="AJ84" s="56" t="n"/>
      <c r="AK84" s="56" t="n"/>
      <c r="AL84" s="1" t="n"/>
      <c r="AM84" s="1" t="n"/>
      <c r="AN84" s="1" t="n"/>
      <c r="AO84" s="1" t="n"/>
      <c r="AP84" s="1" t="n"/>
      <c r="AR84" s="1" t="n"/>
    </row>
    <row r="85" ht="15.75" customHeight="1" s="9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54" t="n"/>
      <c r="N85" s="54" t="n"/>
      <c r="O85" s="54" t="n"/>
      <c r="P85" s="54" t="n"/>
      <c r="Q85" s="54" t="n"/>
      <c r="R85" s="54" t="n"/>
      <c r="S85" s="54" t="n"/>
      <c r="T85" s="55" t="n"/>
      <c r="U85" s="55" t="n"/>
      <c r="V85" s="56" t="n"/>
      <c r="W85" s="1" t="n"/>
      <c r="X85" s="56" t="n"/>
      <c r="Y85" s="57" t="n"/>
      <c r="Z85" s="56" t="n"/>
      <c r="AA85" s="56" t="n"/>
      <c r="AB85" s="57" t="n"/>
      <c r="AC85" s="56" t="n"/>
      <c r="AD85" s="56" t="n"/>
      <c r="AE85" s="1" t="n"/>
      <c r="AF85" s="56" t="n"/>
      <c r="AG85" s="1" t="n"/>
      <c r="AH85" s="56" t="n"/>
      <c r="AI85" s="1" t="n"/>
      <c r="AJ85" s="56" t="n"/>
      <c r="AK85" s="56" t="n"/>
      <c r="AL85" s="1" t="n"/>
      <c r="AM85" s="1" t="n"/>
      <c r="AN85" s="1" t="n"/>
      <c r="AO85" s="1" t="n"/>
      <c r="AP85" s="1" t="n"/>
      <c r="AR85" s="1" t="n"/>
    </row>
    <row r="86" ht="15.75" customHeight="1" s="9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54" t="n"/>
      <c r="N86" s="54" t="n"/>
      <c r="O86" s="54" t="n"/>
      <c r="P86" s="54" t="n"/>
      <c r="Q86" s="54" t="n"/>
      <c r="R86" s="54" t="n"/>
      <c r="S86" s="54" t="n"/>
      <c r="T86" s="55" t="n"/>
      <c r="U86" s="55" t="n"/>
      <c r="V86" s="56" t="n"/>
      <c r="W86" s="1" t="n"/>
      <c r="X86" s="56" t="n"/>
      <c r="Y86" s="57" t="n"/>
      <c r="Z86" s="56" t="n"/>
      <c r="AA86" s="56" t="n"/>
      <c r="AB86" s="57" t="n"/>
      <c r="AC86" s="56" t="n"/>
      <c r="AD86" s="56" t="n"/>
      <c r="AE86" s="1" t="n"/>
      <c r="AF86" s="56" t="n"/>
      <c r="AG86" s="1" t="n"/>
      <c r="AH86" s="56" t="n"/>
      <c r="AI86" s="1" t="n"/>
      <c r="AJ86" s="56" t="n"/>
      <c r="AK86" s="56" t="n"/>
      <c r="AL86" s="1" t="n"/>
      <c r="AM86" s="1" t="n"/>
      <c r="AN86" s="1" t="n"/>
      <c r="AO86" s="1" t="n"/>
      <c r="AP86" s="1" t="n"/>
      <c r="AR86" s="1" t="n"/>
    </row>
    <row r="87" ht="15.75" customHeight="1" s="9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54" t="n"/>
      <c r="N87" s="54" t="n"/>
      <c r="O87" s="54" t="n"/>
      <c r="P87" s="54" t="n"/>
      <c r="Q87" s="54" t="n"/>
      <c r="R87" s="54" t="n"/>
      <c r="S87" s="54" t="n"/>
      <c r="T87" s="55" t="n"/>
      <c r="U87" s="55" t="n"/>
      <c r="V87" s="56" t="n"/>
      <c r="W87" s="1" t="n"/>
      <c r="X87" s="56" t="n"/>
      <c r="Y87" s="57" t="n"/>
      <c r="Z87" s="56" t="n"/>
      <c r="AA87" s="56" t="n"/>
      <c r="AB87" s="57" t="n"/>
      <c r="AC87" s="56" t="n"/>
      <c r="AD87" s="56" t="n"/>
      <c r="AE87" s="1" t="n"/>
      <c r="AF87" s="56" t="n"/>
      <c r="AG87" s="1" t="n"/>
      <c r="AH87" s="56" t="n"/>
      <c r="AI87" s="1" t="n"/>
      <c r="AJ87" s="56" t="n"/>
      <c r="AK87" s="56" t="n"/>
      <c r="AL87" s="1" t="n"/>
      <c r="AM87" s="1" t="n"/>
      <c r="AN87" s="1" t="n"/>
      <c r="AO87" s="1" t="n"/>
      <c r="AP87" s="1" t="n"/>
      <c r="AR87" s="1" t="n"/>
    </row>
    <row r="88" ht="15.75" customHeight="1" s="9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54" t="n"/>
      <c r="N88" s="54" t="n"/>
      <c r="O88" s="54" t="n"/>
      <c r="P88" s="54" t="n"/>
      <c r="Q88" s="54" t="n"/>
      <c r="R88" s="54" t="n"/>
      <c r="S88" s="54" t="n"/>
      <c r="T88" s="55" t="n"/>
      <c r="U88" s="55" t="n"/>
      <c r="V88" s="56" t="n"/>
      <c r="W88" s="1" t="n"/>
      <c r="X88" s="56" t="n"/>
      <c r="Y88" s="57" t="n"/>
      <c r="Z88" s="56" t="n"/>
      <c r="AA88" s="56" t="n"/>
      <c r="AB88" s="57" t="n"/>
      <c r="AC88" s="56" t="n"/>
      <c r="AD88" s="56" t="n"/>
      <c r="AE88" s="1" t="n"/>
      <c r="AF88" s="56" t="n"/>
      <c r="AG88" s="1" t="n"/>
      <c r="AH88" s="56" t="n"/>
      <c r="AI88" s="1" t="n"/>
      <c r="AJ88" s="56" t="n"/>
      <c r="AK88" s="56" t="n"/>
      <c r="AL88" s="1" t="n"/>
      <c r="AM88" s="1" t="n"/>
      <c r="AN88" s="1" t="n"/>
      <c r="AO88" s="1" t="n"/>
      <c r="AP88" s="1" t="n"/>
      <c r="AR88" s="1" t="n"/>
    </row>
    <row r="89" ht="15.75" customHeight="1" s="9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54" t="n"/>
      <c r="N89" s="54" t="n"/>
      <c r="O89" s="54" t="n"/>
      <c r="P89" s="54" t="n"/>
      <c r="Q89" s="54" t="n"/>
      <c r="R89" s="54" t="n"/>
      <c r="S89" s="54" t="n"/>
      <c r="T89" s="55" t="n"/>
      <c r="U89" s="55" t="n"/>
      <c r="V89" s="56" t="n"/>
      <c r="W89" s="1" t="n"/>
      <c r="X89" s="56" t="n"/>
      <c r="Y89" s="57" t="n"/>
      <c r="Z89" s="56" t="n"/>
      <c r="AA89" s="56" t="n"/>
      <c r="AB89" s="57" t="n"/>
      <c r="AC89" s="56" t="n"/>
      <c r="AD89" s="56" t="n"/>
      <c r="AE89" s="1" t="n"/>
      <c r="AF89" s="56" t="n"/>
      <c r="AG89" s="1" t="n"/>
      <c r="AH89" s="56" t="n"/>
      <c r="AI89" s="1" t="n"/>
      <c r="AJ89" s="56" t="n"/>
      <c r="AK89" s="56" t="n"/>
      <c r="AL89" s="1" t="n"/>
      <c r="AM89" s="1" t="n"/>
      <c r="AN89" s="1" t="n"/>
      <c r="AO89" s="1" t="n"/>
      <c r="AP89" s="1" t="n"/>
      <c r="AR89" s="1" t="n"/>
    </row>
    <row r="90" ht="15.75" customHeight="1" s="9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54" t="n"/>
      <c r="N90" s="54" t="n"/>
      <c r="O90" s="54" t="n"/>
      <c r="P90" s="54" t="n"/>
      <c r="Q90" s="54" t="n"/>
      <c r="R90" s="54" t="n"/>
      <c r="S90" s="54" t="n"/>
      <c r="T90" s="55" t="n"/>
      <c r="U90" s="55" t="n"/>
      <c r="V90" s="56" t="n"/>
      <c r="W90" s="1" t="n"/>
      <c r="X90" s="56" t="n"/>
      <c r="Y90" s="57" t="n"/>
      <c r="Z90" s="56" t="n"/>
      <c r="AA90" s="56" t="n"/>
      <c r="AB90" s="57" t="n"/>
      <c r="AC90" s="56" t="n"/>
      <c r="AD90" s="56" t="n"/>
      <c r="AE90" s="1" t="n"/>
      <c r="AF90" s="56" t="n"/>
      <c r="AG90" s="1" t="n"/>
      <c r="AH90" s="56" t="n"/>
      <c r="AI90" s="1" t="n"/>
      <c r="AJ90" s="56" t="n"/>
      <c r="AK90" s="56" t="n"/>
      <c r="AL90" s="1" t="n"/>
      <c r="AM90" s="1" t="n"/>
      <c r="AN90" s="1" t="n"/>
      <c r="AO90" s="1" t="n"/>
      <c r="AP90" s="1" t="n"/>
      <c r="AR90" s="1" t="n"/>
    </row>
    <row r="91" ht="15.75" customHeight="1" s="9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54" t="n"/>
      <c r="N91" s="54" t="n"/>
      <c r="O91" s="54" t="n"/>
      <c r="P91" s="54" t="n"/>
      <c r="Q91" s="54" t="n"/>
      <c r="R91" s="54" t="n"/>
      <c r="S91" s="54" t="n"/>
      <c r="T91" s="55" t="n"/>
      <c r="U91" s="55" t="n"/>
      <c r="V91" s="56" t="n"/>
      <c r="W91" s="1" t="n"/>
      <c r="X91" s="56" t="n"/>
      <c r="Y91" s="57" t="n"/>
      <c r="Z91" s="56" t="n"/>
      <c r="AA91" s="56" t="n"/>
      <c r="AB91" s="57" t="n"/>
      <c r="AC91" s="56" t="n"/>
      <c r="AD91" s="56" t="n"/>
      <c r="AE91" s="1" t="n"/>
      <c r="AF91" s="56" t="n"/>
      <c r="AG91" s="1" t="n"/>
      <c r="AH91" s="56" t="n"/>
      <c r="AI91" s="1" t="n"/>
      <c r="AJ91" s="56" t="n"/>
      <c r="AK91" s="56" t="n"/>
      <c r="AL91" s="1" t="n"/>
      <c r="AM91" s="1" t="n"/>
      <c r="AN91" s="1" t="n"/>
      <c r="AO91" s="1" t="n"/>
      <c r="AP91" s="1" t="n"/>
      <c r="AR91" s="1" t="n"/>
    </row>
    <row r="92" ht="15.75" customHeight="1" s="9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54" t="n"/>
      <c r="N92" s="54" t="n"/>
      <c r="O92" s="54" t="n"/>
      <c r="P92" s="54" t="n"/>
      <c r="Q92" s="54" t="n"/>
      <c r="R92" s="54" t="n"/>
      <c r="S92" s="54" t="n"/>
      <c r="T92" s="55" t="n"/>
      <c r="U92" s="55" t="n"/>
      <c r="V92" s="56" t="n"/>
      <c r="W92" s="1" t="n"/>
      <c r="X92" s="56" t="n"/>
      <c r="Y92" s="57" t="n"/>
      <c r="Z92" s="56" t="n"/>
      <c r="AA92" s="56" t="n"/>
      <c r="AB92" s="57" t="n"/>
      <c r="AC92" s="56" t="n"/>
      <c r="AD92" s="56" t="n"/>
      <c r="AE92" s="1" t="n"/>
      <c r="AF92" s="56" t="n"/>
      <c r="AG92" s="1" t="n"/>
      <c r="AH92" s="56" t="n"/>
      <c r="AI92" s="1" t="n"/>
      <c r="AJ92" s="56" t="n"/>
      <c r="AK92" s="56" t="n"/>
      <c r="AL92" s="1" t="n"/>
      <c r="AM92" s="1" t="n"/>
      <c r="AN92" s="1" t="n"/>
      <c r="AO92" s="1" t="n"/>
      <c r="AP92" s="1" t="n"/>
      <c r="AR92" s="1" t="n"/>
    </row>
    <row r="93" ht="15.75" customHeight="1" s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54" t="n"/>
      <c r="N93" s="54" t="n"/>
      <c r="O93" s="54" t="n"/>
      <c r="P93" s="54" t="n"/>
      <c r="Q93" s="54" t="n"/>
      <c r="R93" s="54" t="n"/>
      <c r="S93" s="54" t="n"/>
      <c r="T93" s="55" t="n"/>
      <c r="U93" s="55" t="n"/>
      <c r="V93" s="56" t="n"/>
      <c r="W93" s="1" t="n"/>
      <c r="X93" s="56" t="n"/>
      <c r="Y93" s="57" t="n"/>
      <c r="Z93" s="56" t="n"/>
      <c r="AA93" s="56" t="n"/>
      <c r="AB93" s="57" t="n"/>
      <c r="AC93" s="56" t="n"/>
      <c r="AD93" s="56" t="n"/>
      <c r="AE93" s="1" t="n"/>
      <c r="AF93" s="56" t="n"/>
      <c r="AG93" s="1" t="n"/>
      <c r="AH93" s="56" t="n"/>
      <c r="AI93" s="1" t="n"/>
      <c r="AJ93" s="56" t="n"/>
      <c r="AK93" s="56" t="n"/>
      <c r="AL93" s="1" t="n"/>
      <c r="AM93" s="1" t="n"/>
      <c r="AN93" s="1" t="n"/>
      <c r="AO93" s="1" t="n"/>
      <c r="AP93" s="1" t="n"/>
      <c r="AR93" s="1" t="n"/>
    </row>
    <row r="94" ht="15.75" customHeight="1" s="9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54" t="n"/>
      <c r="N94" s="54" t="n"/>
      <c r="O94" s="54" t="n"/>
      <c r="P94" s="54" t="n"/>
      <c r="Q94" s="54" t="n"/>
      <c r="R94" s="54" t="n"/>
      <c r="S94" s="54" t="n"/>
      <c r="T94" s="55" t="n"/>
      <c r="U94" s="55" t="n"/>
      <c r="V94" s="56" t="n"/>
      <c r="W94" s="1" t="n"/>
      <c r="X94" s="56" t="n"/>
      <c r="Y94" s="57" t="n"/>
      <c r="Z94" s="56" t="n"/>
      <c r="AA94" s="56" t="n"/>
      <c r="AB94" s="57" t="n"/>
      <c r="AC94" s="56" t="n"/>
      <c r="AD94" s="56" t="n"/>
      <c r="AE94" s="1" t="n"/>
      <c r="AF94" s="56" t="n"/>
      <c r="AG94" s="1" t="n"/>
      <c r="AH94" s="56" t="n"/>
      <c r="AI94" s="1" t="n"/>
      <c r="AJ94" s="56" t="n"/>
      <c r="AK94" s="56" t="n"/>
      <c r="AL94" s="1" t="n"/>
      <c r="AM94" s="1" t="n"/>
      <c r="AN94" s="1" t="n"/>
      <c r="AO94" s="1" t="n"/>
      <c r="AP94" s="1" t="n"/>
      <c r="AR94" s="1" t="n"/>
    </row>
    <row r="95" ht="15.75" customHeight="1" s="9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54" t="n"/>
      <c r="N95" s="54" t="n"/>
      <c r="O95" s="54" t="n"/>
      <c r="P95" s="54" t="n"/>
      <c r="Q95" s="54" t="n"/>
      <c r="R95" s="54" t="n"/>
      <c r="S95" s="54" t="n"/>
      <c r="T95" s="55" t="n"/>
      <c r="U95" s="55" t="n"/>
      <c r="V95" s="56" t="n"/>
      <c r="W95" s="1" t="n"/>
      <c r="X95" s="56" t="n"/>
      <c r="Y95" s="57" t="n"/>
      <c r="Z95" s="56" t="n"/>
      <c r="AA95" s="56" t="n"/>
      <c r="AB95" s="57" t="n"/>
      <c r="AC95" s="56" t="n"/>
      <c r="AD95" s="56" t="n"/>
      <c r="AE95" s="1" t="n"/>
      <c r="AF95" s="56" t="n"/>
      <c r="AG95" s="1" t="n"/>
      <c r="AH95" s="56" t="n"/>
      <c r="AI95" s="1" t="n"/>
      <c r="AJ95" s="56" t="n"/>
      <c r="AK95" s="56" t="n"/>
      <c r="AL95" s="1" t="n"/>
      <c r="AM95" s="1" t="n"/>
      <c r="AN95" s="1" t="n"/>
      <c r="AO95" s="1" t="n"/>
      <c r="AP95" s="1" t="n"/>
      <c r="AR95" s="1" t="n"/>
    </row>
    <row r="96" ht="15.75" customHeight="1" s="9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54" t="n"/>
      <c r="N96" s="54" t="n"/>
      <c r="O96" s="54" t="n"/>
      <c r="P96" s="54" t="n"/>
      <c r="Q96" s="54" t="n"/>
      <c r="R96" s="54" t="n"/>
      <c r="S96" s="54" t="n"/>
      <c r="T96" s="55" t="n"/>
      <c r="U96" s="55" t="n"/>
      <c r="V96" s="56" t="n"/>
      <c r="W96" s="1" t="n"/>
      <c r="X96" s="56" t="n"/>
      <c r="Y96" s="57" t="n"/>
      <c r="Z96" s="56" t="n"/>
      <c r="AA96" s="56" t="n"/>
      <c r="AB96" s="57" t="n"/>
      <c r="AC96" s="56" t="n"/>
      <c r="AD96" s="56" t="n"/>
      <c r="AE96" s="1" t="n"/>
      <c r="AF96" s="56" t="n"/>
      <c r="AG96" s="1" t="n"/>
      <c r="AH96" s="56" t="n"/>
      <c r="AI96" s="1" t="n"/>
      <c r="AJ96" s="56" t="n"/>
      <c r="AK96" s="56" t="n"/>
      <c r="AL96" s="1" t="n"/>
      <c r="AM96" s="1" t="n"/>
      <c r="AN96" s="1" t="n"/>
      <c r="AO96" s="1" t="n"/>
      <c r="AP96" s="1" t="n"/>
      <c r="AR96" s="1" t="n"/>
    </row>
    <row r="97" ht="15.75" customHeight="1" s="9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54" t="n"/>
      <c r="N97" s="54" t="n"/>
      <c r="O97" s="54" t="n"/>
      <c r="P97" s="54" t="n"/>
      <c r="Q97" s="54" t="n"/>
      <c r="R97" s="54" t="n"/>
      <c r="S97" s="54" t="n"/>
      <c r="T97" s="55" t="n"/>
      <c r="U97" s="55" t="n"/>
      <c r="V97" s="56" t="n"/>
      <c r="W97" s="1" t="n"/>
      <c r="X97" s="56" t="n"/>
      <c r="Y97" s="57" t="n"/>
      <c r="Z97" s="56" t="n"/>
      <c r="AA97" s="56" t="n"/>
      <c r="AB97" s="57" t="n"/>
      <c r="AC97" s="56" t="n"/>
      <c r="AD97" s="56" t="n"/>
      <c r="AE97" s="1" t="n"/>
      <c r="AF97" s="56" t="n"/>
      <c r="AG97" s="1" t="n"/>
      <c r="AH97" s="56" t="n"/>
      <c r="AI97" s="1" t="n"/>
      <c r="AJ97" s="56" t="n"/>
      <c r="AK97" s="56" t="n"/>
      <c r="AL97" s="1" t="n"/>
      <c r="AM97" s="1" t="n"/>
      <c r="AN97" s="1" t="n"/>
      <c r="AO97" s="1" t="n"/>
      <c r="AP97" s="1" t="n"/>
      <c r="AR97" s="1" t="n"/>
    </row>
    <row r="98" ht="15.75" customHeight="1" s="9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54" t="n"/>
      <c r="N98" s="54" t="n"/>
      <c r="O98" s="54" t="n"/>
      <c r="P98" s="54" t="n"/>
      <c r="Q98" s="54" t="n"/>
      <c r="R98" s="54" t="n"/>
      <c r="S98" s="54" t="n"/>
      <c r="T98" s="55" t="n"/>
      <c r="U98" s="55" t="n"/>
      <c r="V98" s="56" t="n"/>
      <c r="W98" s="1" t="n"/>
      <c r="X98" s="56" t="n"/>
      <c r="Y98" s="57" t="n"/>
      <c r="Z98" s="56" t="n"/>
      <c r="AA98" s="56" t="n"/>
      <c r="AB98" s="57" t="n"/>
      <c r="AC98" s="56" t="n"/>
      <c r="AD98" s="56" t="n"/>
      <c r="AE98" s="1" t="n"/>
      <c r="AF98" s="56" t="n"/>
      <c r="AG98" s="1" t="n"/>
      <c r="AH98" s="56" t="n"/>
      <c r="AI98" s="1" t="n"/>
      <c r="AJ98" s="56" t="n"/>
      <c r="AK98" s="56" t="n"/>
      <c r="AL98" s="1" t="n"/>
      <c r="AM98" s="1" t="n"/>
      <c r="AN98" s="1" t="n"/>
      <c r="AO98" s="1" t="n"/>
      <c r="AP98" s="1" t="n"/>
      <c r="AR98" s="1" t="n"/>
    </row>
    <row r="99" ht="15.75" customHeight="1" s="9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54" t="n"/>
      <c r="N99" s="54" t="n"/>
      <c r="O99" s="54" t="n"/>
      <c r="P99" s="54" t="n"/>
      <c r="Q99" s="54" t="n"/>
      <c r="R99" s="54" t="n"/>
      <c r="S99" s="54" t="n"/>
      <c r="T99" s="55" t="n"/>
      <c r="U99" s="55" t="n"/>
      <c r="V99" s="56" t="n"/>
      <c r="W99" s="1" t="n"/>
      <c r="X99" s="56" t="n"/>
      <c r="Y99" s="57" t="n"/>
      <c r="Z99" s="56" t="n"/>
      <c r="AA99" s="56" t="n"/>
      <c r="AB99" s="57" t="n"/>
      <c r="AC99" s="56" t="n"/>
      <c r="AD99" s="56" t="n"/>
      <c r="AE99" s="1" t="n"/>
      <c r="AF99" s="56" t="n"/>
      <c r="AG99" s="1" t="n"/>
      <c r="AH99" s="56" t="n"/>
      <c r="AI99" s="1" t="n"/>
      <c r="AJ99" s="56" t="n"/>
      <c r="AK99" s="56" t="n"/>
      <c r="AL99" s="1" t="n"/>
      <c r="AM99" s="1" t="n"/>
      <c r="AN99" s="1" t="n"/>
      <c r="AO99" s="1" t="n"/>
      <c r="AP99" s="1" t="n"/>
      <c r="AR99" s="1" t="n"/>
    </row>
    <row r="100" ht="15.75" customHeight="1" s="9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54" t="n"/>
      <c r="N100" s="54" t="n"/>
      <c r="O100" s="54" t="n"/>
      <c r="P100" s="54" t="n"/>
      <c r="Q100" s="54" t="n"/>
      <c r="R100" s="54" t="n"/>
      <c r="S100" s="54" t="n"/>
      <c r="T100" s="55" t="n"/>
      <c r="U100" s="55" t="n"/>
      <c r="V100" s="56" t="n"/>
      <c r="W100" s="1" t="n"/>
      <c r="X100" s="56" t="n"/>
      <c r="Y100" s="57" t="n"/>
      <c r="Z100" s="56" t="n"/>
      <c r="AA100" s="56" t="n"/>
      <c r="AB100" s="57" t="n"/>
      <c r="AC100" s="56" t="n"/>
      <c r="AD100" s="56" t="n"/>
      <c r="AE100" s="1" t="n"/>
      <c r="AF100" s="56" t="n"/>
      <c r="AG100" s="1" t="n"/>
      <c r="AH100" s="56" t="n"/>
      <c r="AI100" s="1" t="n"/>
      <c r="AJ100" s="56" t="n"/>
      <c r="AK100" s="56" t="n"/>
      <c r="AL100" s="1" t="n"/>
      <c r="AM100" s="1" t="n"/>
      <c r="AN100" s="1" t="n"/>
      <c r="AO100" s="1" t="n"/>
      <c r="AP100" s="1" t="n"/>
      <c r="AR100" s="1" t="n"/>
    </row>
    <row r="101" ht="15.75" customHeight="1" s="9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54" t="n"/>
      <c r="N101" s="54" t="n"/>
      <c r="O101" s="54" t="n"/>
      <c r="P101" s="54" t="n"/>
      <c r="Q101" s="54" t="n"/>
      <c r="R101" s="54" t="n"/>
      <c r="S101" s="54" t="n"/>
      <c r="T101" s="55" t="n"/>
      <c r="U101" s="55" t="n"/>
      <c r="V101" s="56" t="n"/>
      <c r="W101" s="1" t="n"/>
      <c r="X101" s="56" t="n"/>
      <c r="Y101" s="57" t="n"/>
      <c r="Z101" s="56" t="n"/>
      <c r="AA101" s="56" t="n"/>
      <c r="AB101" s="57" t="n"/>
      <c r="AC101" s="56" t="n"/>
      <c r="AD101" s="56" t="n"/>
      <c r="AE101" s="1" t="n"/>
      <c r="AF101" s="56" t="n"/>
      <c r="AG101" s="1" t="n"/>
      <c r="AH101" s="56" t="n"/>
      <c r="AI101" s="1" t="n"/>
      <c r="AJ101" s="56" t="n"/>
      <c r="AK101" s="56" t="n"/>
      <c r="AL101" s="1" t="n"/>
      <c r="AM101" s="1" t="n"/>
      <c r="AN101" s="1" t="n"/>
      <c r="AO101" s="1" t="n"/>
      <c r="AP101" s="1" t="n"/>
      <c r="AR101" s="1" t="n"/>
    </row>
    <row r="102" ht="15.75" customHeight="1" s="9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54" t="n"/>
      <c r="N102" s="54" t="n"/>
      <c r="O102" s="54" t="n"/>
      <c r="P102" s="54" t="n"/>
      <c r="Q102" s="54" t="n"/>
      <c r="R102" s="54" t="n"/>
      <c r="S102" s="54" t="n"/>
      <c r="T102" s="55" t="n"/>
      <c r="U102" s="55" t="n"/>
      <c r="V102" s="56" t="n"/>
      <c r="W102" s="1" t="n"/>
      <c r="X102" s="56" t="n"/>
      <c r="Y102" s="57" t="n"/>
      <c r="Z102" s="56" t="n"/>
      <c r="AA102" s="56" t="n"/>
      <c r="AB102" s="57" t="n"/>
      <c r="AC102" s="56" t="n"/>
      <c r="AD102" s="56" t="n"/>
      <c r="AE102" s="1" t="n"/>
      <c r="AF102" s="56" t="n"/>
      <c r="AG102" s="1" t="n"/>
      <c r="AH102" s="56" t="n"/>
      <c r="AI102" s="1" t="n"/>
      <c r="AJ102" s="56" t="n"/>
      <c r="AK102" s="56" t="n"/>
      <c r="AL102" s="1" t="n"/>
      <c r="AM102" s="1" t="n"/>
      <c r="AN102" s="1" t="n"/>
      <c r="AO102" s="1" t="n"/>
      <c r="AP102" s="1" t="n"/>
      <c r="AR102" s="1" t="n"/>
    </row>
    <row r="103" ht="15.75" customHeight="1" s="9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54" t="n"/>
      <c r="N103" s="54" t="n"/>
      <c r="O103" s="54" t="n"/>
      <c r="P103" s="54" t="n"/>
      <c r="Q103" s="54" t="n"/>
      <c r="R103" s="54" t="n"/>
      <c r="S103" s="54" t="n"/>
      <c r="T103" s="55" t="n"/>
      <c r="U103" s="55" t="n"/>
      <c r="V103" s="56" t="n"/>
      <c r="W103" s="1" t="n"/>
      <c r="X103" s="56" t="n"/>
      <c r="Y103" s="57" t="n"/>
      <c r="Z103" s="56" t="n"/>
      <c r="AA103" s="56" t="n"/>
      <c r="AB103" s="57" t="n"/>
      <c r="AC103" s="56" t="n"/>
      <c r="AD103" s="56" t="n"/>
      <c r="AE103" s="1" t="n"/>
      <c r="AF103" s="56" t="n"/>
      <c r="AG103" s="1" t="n"/>
      <c r="AH103" s="56" t="n"/>
      <c r="AI103" s="1" t="n"/>
      <c r="AJ103" s="56" t="n"/>
      <c r="AK103" s="56" t="n"/>
      <c r="AL103" s="1" t="n"/>
      <c r="AM103" s="1" t="n"/>
      <c r="AN103" s="1" t="n"/>
      <c r="AO103" s="1" t="n"/>
      <c r="AP103" s="1" t="n"/>
      <c r="AR103" s="1" t="n"/>
    </row>
    <row r="104" ht="15.75" customHeight="1" s="9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54" t="n"/>
      <c r="N104" s="54" t="n"/>
      <c r="O104" s="54" t="n"/>
      <c r="P104" s="54" t="n"/>
      <c r="Q104" s="54" t="n"/>
      <c r="R104" s="54" t="n"/>
      <c r="S104" s="54" t="n"/>
      <c r="T104" s="55" t="n"/>
      <c r="U104" s="55" t="n"/>
      <c r="V104" s="56" t="n"/>
      <c r="W104" s="1" t="n"/>
      <c r="X104" s="56" t="n"/>
      <c r="Y104" s="57" t="n"/>
      <c r="Z104" s="56" t="n"/>
      <c r="AA104" s="56" t="n"/>
      <c r="AB104" s="57" t="n"/>
      <c r="AC104" s="56" t="n"/>
      <c r="AD104" s="56" t="n"/>
      <c r="AE104" s="1" t="n"/>
      <c r="AF104" s="56" t="n"/>
      <c r="AG104" s="1" t="n"/>
      <c r="AH104" s="56" t="n"/>
      <c r="AI104" s="1" t="n"/>
      <c r="AJ104" s="56" t="n"/>
      <c r="AK104" s="56" t="n"/>
      <c r="AL104" s="1" t="n"/>
      <c r="AM104" s="1" t="n"/>
      <c r="AN104" s="1" t="n"/>
      <c r="AO104" s="1" t="n"/>
      <c r="AP104" s="1" t="n"/>
      <c r="AR104" s="1" t="n"/>
    </row>
    <row r="105" ht="15.75" customHeight="1" s="9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54" t="n"/>
      <c r="N105" s="54" t="n"/>
      <c r="O105" s="54" t="n"/>
      <c r="P105" s="54" t="n"/>
      <c r="Q105" s="54" t="n"/>
      <c r="R105" s="54" t="n"/>
      <c r="S105" s="54" t="n"/>
      <c r="T105" s="55" t="n"/>
      <c r="U105" s="55" t="n"/>
      <c r="V105" s="56" t="n"/>
      <c r="W105" s="1" t="n"/>
      <c r="X105" s="56" t="n"/>
      <c r="Y105" s="57" t="n"/>
      <c r="Z105" s="56" t="n"/>
      <c r="AA105" s="56" t="n"/>
      <c r="AB105" s="57" t="n"/>
      <c r="AC105" s="56" t="n"/>
      <c r="AD105" s="56" t="n"/>
      <c r="AE105" s="1" t="n"/>
      <c r="AF105" s="56" t="n"/>
      <c r="AG105" s="1" t="n"/>
      <c r="AH105" s="56" t="n"/>
      <c r="AI105" s="1" t="n"/>
      <c r="AJ105" s="56" t="n"/>
      <c r="AK105" s="56" t="n"/>
      <c r="AL105" s="1" t="n"/>
      <c r="AM105" s="1" t="n"/>
      <c r="AN105" s="1" t="n"/>
      <c r="AO105" s="1" t="n"/>
      <c r="AP105" s="1" t="n"/>
      <c r="AR105" s="1" t="n"/>
    </row>
    <row r="106" ht="15.75" customHeight="1" s="9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54" t="n"/>
      <c r="N106" s="54" t="n"/>
      <c r="O106" s="54" t="n"/>
      <c r="P106" s="54" t="n"/>
      <c r="Q106" s="54" t="n"/>
      <c r="R106" s="54" t="n"/>
      <c r="S106" s="54" t="n"/>
      <c r="T106" s="55" t="n"/>
      <c r="U106" s="55" t="n"/>
      <c r="V106" s="56" t="n"/>
      <c r="W106" s="1" t="n"/>
      <c r="X106" s="56" t="n"/>
      <c r="Y106" s="57" t="n"/>
      <c r="Z106" s="56" t="n"/>
      <c r="AA106" s="56" t="n"/>
      <c r="AB106" s="57" t="n"/>
      <c r="AC106" s="56" t="n"/>
      <c r="AD106" s="56" t="n"/>
      <c r="AE106" s="1" t="n"/>
      <c r="AF106" s="56" t="n"/>
      <c r="AG106" s="1" t="n"/>
      <c r="AH106" s="56" t="n"/>
      <c r="AI106" s="1" t="n"/>
      <c r="AJ106" s="56" t="n"/>
      <c r="AK106" s="56" t="n"/>
      <c r="AL106" s="1" t="n"/>
      <c r="AM106" s="1" t="n"/>
      <c r="AN106" s="1" t="n"/>
      <c r="AO106" s="1" t="n"/>
      <c r="AP106" s="1" t="n"/>
      <c r="AR106" s="1" t="n"/>
    </row>
    <row r="107" ht="15.75" customHeight="1" s="9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54" t="n"/>
      <c r="N107" s="54" t="n"/>
      <c r="O107" s="54" t="n"/>
      <c r="P107" s="54" t="n"/>
      <c r="Q107" s="54" t="n"/>
      <c r="R107" s="54" t="n"/>
      <c r="S107" s="54" t="n"/>
      <c r="T107" s="55" t="n"/>
      <c r="U107" s="55" t="n"/>
      <c r="V107" s="56" t="n"/>
      <c r="W107" s="1" t="n"/>
      <c r="X107" s="56" t="n"/>
      <c r="Y107" s="57" t="n"/>
      <c r="Z107" s="56" t="n"/>
      <c r="AA107" s="56" t="n"/>
      <c r="AB107" s="57" t="n"/>
      <c r="AC107" s="56" t="n"/>
      <c r="AD107" s="56" t="n"/>
      <c r="AE107" s="1" t="n"/>
      <c r="AF107" s="56" t="n"/>
      <c r="AG107" s="1" t="n"/>
      <c r="AH107" s="56" t="n"/>
      <c r="AI107" s="1" t="n"/>
      <c r="AJ107" s="56" t="n"/>
      <c r="AK107" s="56" t="n"/>
      <c r="AL107" s="1" t="n"/>
      <c r="AM107" s="1" t="n"/>
      <c r="AN107" s="1" t="n"/>
      <c r="AO107" s="1" t="n"/>
      <c r="AP107" s="1" t="n"/>
      <c r="AR107" s="1" t="n"/>
    </row>
    <row r="108" ht="15.75" customHeight="1" s="9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54" t="n"/>
      <c r="N108" s="54" t="n"/>
      <c r="O108" s="54" t="n"/>
      <c r="P108" s="54" t="n"/>
      <c r="Q108" s="54" t="n"/>
      <c r="R108" s="54" t="n"/>
      <c r="S108" s="54" t="n"/>
      <c r="T108" s="55" t="n"/>
      <c r="U108" s="55" t="n"/>
      <c r="V108" s="56" t="n"/>
      <c r="W108" s="1" t="n"/>
      <c r="X108" s="56" t="n"/>
      <c r="Y108" s="57" t="n"/>
      <c r="Z108" s="56" t="n"/>
      <c r="AA108" s="56" t="n"/>
      <c r="AB108" s="57" t="n"/>
      <c r="AC108" s="56" t="n"/>
      <c r="AD108" s="56" t="n"/>
      <c r="AE108" s="1" t="n"/>
      <c r="AF108" s="56" t="n"/>
      <c r="AG108" s="1" t="n"/>
      <c r="AH108" s="56" t="n"/>
      <c r="AI108" s="1" t="n"/>
      <c r="AJ108" s="56" t="n"/>
      <c r="AK108" s="56" t="n"/>
      <c r="AL108" s="1" t="n"/>
      <c r="AM108" s="1" t="n"/>
      <c r="AN108" s="1" t="n"/>
      <c r="AO108" s="1" t="n"/>
      <c r="AP108" s="1" t="n"/>
      <c r="AR108" s="1" t="n"/>
    </row>
    <row r="109" ht="15.75" customHeight="1" s="9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54" t="n"/>
      <c r="N109" s="54" t="n"/>
      <c r="O109" s="54" t="n"/>
      <c r="P109" s="54" t="n"/>
      <c r="Q109" s="54" t="n"/>
      <c r="R109" s="54" t="n"/>
      <c r="S109" s="54" t="n"/>
      <c r="T109" s="55" t="n"/>
      <c r="U109" s="55" t="n"/>
      <c r="V109" s="56" t="n"/>
      <c r="W109" s="1" t="n"/>
      <c r="X109" s="56" t="n"/>
      <c r="Y109" s="57" t="n"/>
      <c r="Z109" s="56" t="n"/>
      <c r="AA109" s="56" t="n"/>
      <c r="AB109" s="57" t="n"/>
      <c r="AC109" s="56" t="n"/>
      <c r="AD109" s="56" t="n"/>
      <c r="AE109" s="1" t="n"/>
      <c r="AF109" s="56" t="n"/>
      <c r="AG109" s="1" t="n"/>
      <c r="AH109" s="56" t="n"/>
      <c r="AI109" s="1" t="n"/>
      <c r="AJ109" s="56" t="n"/>
      <c r="AK109" s="56" t="n"/>
      <c r="AL109" s="1" t="n"/>
      <c r="AM109" s="1" t="n"/>
      <c r="AN109" s="1" t="n"/>
      <c r="AO109" s="1" t="n"/>
      <c r="AP109" s="1" t="n"/>
      <c r="AR109" s="1" t="n"/>
    </row>
    <row r="110" ht="15.75" customHeight="1" s="9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54" t="n"/>
      <c r="N110" s="54" t="n"/>
      <c r="O110" s="54" t="n"/>
      <c r="P110" s="54" t="n"/>
      <c r="Q110" s="54" t="n"/>
      <c r="R110" s="54" t="n"/>
      <c r="S110" s="54" t="n"/>
      <c r="T110" s="55" t="n"/>
      <c r="U110" s="55" t="n"/>
      <c r="V110" s="56" t="n"/>
      <c r="W110" s="1" t="n"/>
      <c r="X110" s="56" t="n"/>
      <c r="Y110" s="57" t="n"/>
      <c r="Z110" s="56" t="n"/>
      <c r="AA110" s="56" t="n"/>
      <c r="AB110" s="57" t="n"/>
      <c r="AC110" s="56" t="n"/>
      <c r="AD110" s="56" t="n"/>
      <c r="AE110" s="1" t="n"/>
      <c r="AF110" s="56" t="n"/>
      <c r="AG110" s="1" t="n"/>
      <c r="AH110" s="56" t="n"/>
      <c r="AI110" s="1" t="n"/>
      <c r="AJ110" s="56" t="n"/>
      <c r="AK110" s="56" t="n"/>
      <c r="AL110" s="1" t="n"/>
      <c r="AM110" s="1" t="n"/>
      <c r="AN110" s="1" t="n"/>
      <c r="AO110" s="1" t="n"/>
      <c r="AP110" s="1" t="n"/>
      <c r="AR110" s="1" t="n"/>
    </row>
    <row r="111" ht="15.75" customHeight="1" s="9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54" t="n"/>
      <c r="N111" s="54" t="n"/>
      <c r="O111" s="54" t="n"/>
      <c r="P111" s="54" t="n"/>
      <c r="Q111" s="54" t="n"/>
      <c r="R111" s="54" t="n"/>
      <c r="S111" s="54" t="n"/>
      <c r="T111" s="55" t="n"/>
      <c r="U111" s="55" t="n"/>
      <c r="V111" s="56" t="n"/>
      <c r="W111" s="1" t="n"/>
      <c r="X111" s="56" t="n"/>
      <c r="Y111" s="57" t="n"/>
      <c r="Z111" s="56" t="n"/>
      <c r="AA111" s="56" t="n"/>
      <c r="AB111" s="57" t="n"/>
      <c r="AC111" s="56" t="n"/>
      <c r="AD111" s="56" t="n"/>
      <c r="AE111" s="1" t="n"/>
      <c r="AF111" s="56" t="n"/>
      <c r="AG111" s="1" t="n"/>
      <c r="AH111" s="56" t="n"/>
      <c r="AI111" s="1" t="n"/>
      <c r="AJ111" s="56" t="n"/>
      <c r="AK111" s="56" t="n"/>
      <c r="AL111" s="1" t="n"/>
      <c r="AM111" s="1" t="n"/>
      <c r="AN111" s="1" t="n"/>
      <c r="AO111" s="1" t="n"/>
      <c r="AP111" s="1" t="n"/>
      <c r="AR111" s="1" t="n"/>
    </row>
    <row r="112" ht="15.75" customHeight="1" s="9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54" t="n"/>
      <c r="N112" s="54" t="n"/>
      <c r="O112" s="54" t="n"/>
      <c r="P112" s="54" t="n"/>
      <c r="Q112" s="54" t="n"/>
      <c r="R112" s="54" t="n"/>
      <c r="S112" s="54" t="n"/>
      <c r="T112" s="55" t="n"/>
      <c r="U112" s="55" t="n"/>
      <c r="V112" s="56" t="n"/>
      <c r="W112" s="1" t="n"/>
      <c r="X112" s="56" t="n"/>
      <c r="Y112" s="57" t="n"/>
      <c r="Z112" s="56" t="n"/>
      <c r="AA112" s="56" t="n"/>
      <c r="AB112" s="57" t="n"/>
      <c r="AC112" s="56" t="n"/>
      <c r="AD112" s="56" t="n"/>
      <c r="AE112" s="1" t="n"/>
      <c r="AF112" s="56" t="n"/>
      <c r="AG112" s="1" t="n"/>
      <c r="AH112" s="56" t="n"/>
      <c r="AI112" s="1" t="n"/>
      <c r="AJ112" s="56" t="n"/>
      <c r="AK112" s="56" t="n"/>
      <c r="AL112" s="1" t="n"/>
      <c r="AM112" s="1" t="n"/>
      <c r="AN112" s="1" t="n"/>
      <c r="AO112" s="1" t="n"/>
      <c r="AP112" s="1" t="n"/>
      <c r="AR112" s="1" t="n"/>
    </row>
    <row r="113" ht="15.75" customHeight="1" s="9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54" t="n"/>
      <c r="N113" s="54" t="n"/>
      <c r="O113" s="54" t="n"/>
      <c r="P113" s="54" t="n"/>
      <c r="Q113" s="54" t="n"/>
      <c r="R113" s="54" t="n"/>
      <c r="S113" s="54" t="n"/>
      <c r="T113" s="55" t="n"/>
      <c r="U113" s="55" t="n"/>
      <c r="V113" s="56" t="n"/>
      <c r="W113" s="1" t="n"/>
      <c r="X113" s="56" t="n"/>
      <c r="Y113" s="57" t="n"/>
      <c r="Z113" s="56" t="n"/>
      <c r="AA113" s="56" t="n"/>
      <c r="AB113" s="57" t="n"/>
      <c r="AC113" s="56" t="n"/>
      <c r="AD113" s="56" t="n"/>
      <c r="AE113" s="1" t="n"/>
      <c r="AF113" s="56" t="n"/>
      <c r="AG113" s="1" t="n"/>
      <c r="AH113" s="56" t="n"/>
      <c r="AI113" s="1" t="n"/>
      <c r="AJ113" s="56" t="n"/>
      <c r="AK113" s="56" t="n"/>
      <c r="AL113" s="1" t="n"/>
      <c r="AM113" s="1" t="n"/>
      <c r="AN113" s="1" t="n"/>
      <c r="AO113" s="1" t="n"/>
      <c r="AP113" s="1" t="n"/>
      <c r="AR113" s="1" t="n"/>
    </row>
    <row r="114" ht="15.75" customHeight="1" s="9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54" t="n"/>
      <c r="N114" s="54" t="n"/>
      <c r="O114" s="54" t="n"/>
      <c r="P114" s="54" t="n"/>
      <c r="Q114" s="54" t="n"/>
      <c r="R114" s="54" t="n"/>
      <c r="S114" s="54" t="n"/>
      <c r="T114" s="55" t="n"/>
      <c r="U114" s="55" t="n"/>
      <c r="V114" s="56" t="n"/>
      <c r="W114" s="1" t="n"/>
      <c r="X114" s="56" t="n"/>
      <c r="Y114" s="57" t="n"/>
      <c r="Z114" s="56" t="n"/>
      <c r="AA114" s="56" t="n"/>
      <c r="AB114" s="57" t="n"/>
      <c r="AC114" s="56" t="n"/>
      <c r="AD114" s="56" t="n"/>
      <c r="AE114" s="1" t="n"/>
      <c r="AF114" s="56" t="n"/>
      <c r="AG114" s="1" t="n"/>
      <c r="AH114" s="56" t="n"/>
      <c r="AI114" s="1" t="n"/>
      <c r="AJ114" s="56" t="n"/>
      <c r="AK114" s="56" t="n"/>
      <c r="AL114" s="1" t="n"/>
      <c r="AM114" s="1" t="n"/>
      <c r="AN114" s="1" t="n"/>
      <c r="AO114" s="1" t="n"/>
      <c r="AP114" s="1" t="n"/>
      <c r="AR114" s="1" t="n"/>
    </row>
    <row r="115" ht="15.75" customHeight="1" s="9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54" t="n"/>
      <c r="N115" s="54" t="n"/>
      <c r="O115" s="54" t="n"/>
      <c r="P115" s="54" t="n"/>
      <c r="Q115" s="54" t="n"/>
      <c r="R115" s="54" t="n"/>
      <c r="S115" s="54" t="n"/>
      <c r="T115" s="55" t="n"/>
      <c r="U115" s="55" t="n"/>
      <c r="V115" s="56" t="n"/>
      <c r="W115" s="1" t="n"/>
      <c r="X115" s="56" t="n"/>
      <c r="Y115" s="57" t="n"/>
      <c r="Z115" s="56" t="n"/>
      <c r="AA115" s="56" t="n"/>
      <c r="AB115" s="57" t="n"/>
      <c r="AC115" s="56" t="n"/>
      <c r="AD115" s="56" t="n"/>
      <c r="AE115" s="1" t="n"/>
      <c r="AF115" s="56" t="n"/>
      <c r="AG115" s="1" t="n"/>
      <c r="AH115" s="56" t="n"/>
      <c r="AI115" s="1" t="n"/>
      <c r="AJ115" s="56" t="n"/>
      <c r="AK115" s="56" t="n"/>
      <c r="AL115" s="1" t="n"/>
      <c r="AM115" s="1" t="n"/>
      <c r="AN115" s="1" t="n"/>
      <c r="AO115" s="1" t="n"/>
      <c r="AP115" s="1" t="n"/>
      <c r="AR115" s="1" t="n"/>
    </row>
    <row r="116" ht="15.75" customHeight="1" s="9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54" t="n"/>
      <c r="N116" s="54" t="n"/>
      <c r="O116" s="54" t="n"/>
      <c r="P116" s="54" t="n"/>
      <c r="Q116" s="54" t="n"/>
      <c r="R116" s="54" t="n"/>
      <c r="S116" s="54" t="n"/>
      <c r="T116" s="55" t="n"/>
      <c r="U116" s="55" t="n"/>
      <c r="V116" s="56" t="n"/>
      <c r="W116" s="1" t="n"/>
      <c r="X116" s="56" t="n"/>
      <c r="Y116" s="57" t="n"/>
      <c r="Z116" s="56" t="n"/>
      <c r="AA116" s="56" t="n"/>
      <c r="AB116" s="57" t="n"/>
      <c r="AC116" s="56" t="n"/>
      <c r="AD116" s="56" t="n"/>
      <c r="AE116" s="1" t="n"/>
      <c r="AF116" s="56" t="n"/>
      <c r="AG116" s="1" t="n"/>
      <c r="AH116" s="56" t="n"/>
      <c r="AI116" s="1" t="n"/>
      <c r="AJ116" s="56" t="n"/>
      <c r="AK116" s="56" t="n"/>
      <c r="AL116" s="1" t="n"/>
      <c r="AM116" s="1" t="n"/>
      <c r="AN116" s="1" t="n"/>
      <c r="AO116" s="1" t="n"/>
      <c r="AP116" s="1" t="n"/>
      <c r="AR116" s="1" t="n"/>
    </row>
    <row r="117" ht="15.75" customHeight="1" s="9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54" t="n"/>
      <c r="N117" s="54" t="n"/>
      <c r="O117" s="54" t="n"/>
      <c r="P117" s="54" t="n"/>
      <c r="Q117" s="54" t="n"/>
      <c r="R117" s="54" t="n"/>
      <c r="S117" s="54" t="n"/>
      <c r="T117" s="55" t="n"/>
      <c r="U117" s="55" t="n"/>
      <c r="V117" s="56" t="n"/>
      <c r="W117" s="1" t="n"/>
      <c r="X117" s="56" t="n"/>
      <c r="Y117" s="57" t="n"/>
      <c r="Z117" s="56" t="n"/>
      <c r="AA117" s="56" t="n"/>
      <c r="AB117" s="57" t="n"/>
      <c r="AC117" s="56" t="n"/>
      <c r="AD117" s="56" t="n"/>
      <c r="AE117" s="1" t="n"/>
      <c r="AF117" s="56" t="n"/>
      <c r="AG117" s="1" t="n"/>
      <c r="AH117" s="56" t="n"/>
      <c r="AI117" s="1" t="n"/>
      <c r="AJ117" s="56" t="n"/>
      <c r="AK117" s="56" t="n"/>
      <c r="AL117" s="1" t="n"/>
      <c r="AM117" s="1" t="n"/>
      <c r="AN117" s="1" t="n"/>
      <c r="AO117" s="1" t="n"/>
      <c r="AP117" s="1" t="n"/>
      <c r="AR117" s="1" t="n"/>
    </row>
    <row r="118" ht="15.75" customHeight="1" s="9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54" t="n"/>
      <c r="N118" s="54" t="n"/>
      <c r="O118" s="54" t="n"/>
      <c r="P118" s="54" t="n"/>
      <c r="Q118" s="54" t="n"/>
      <c r="R118" s="54" t="n"/>
      <c r="S118" s="54" t="n"/>
      <c r="T118" s="55" t="n"/>
      <c r="U118" s="55" t="n"/>
      <c r="V118" s="56" t="n"/>
      <c r="W118" s="1" t="n"/>
      <c r="X118" s="56" t="n"/>
      <c r="Y118" s="57" t="n"/>
      <c r="Z118" s="56" t="n"/>
      <c r="AA118" s="56" t="n"/>
      <c r="AB118" s="57" t="n"/>
      <c r="AC118" s="56" t="n"/>
      <c r="AD118" s="56" t="n"/>
      <c r="AE118" s="1" t="n"/>
      <c r="AF118" s="56" t="n"/>
      <c r="AG118" s="1" t="n"/>
      <c r="AH118" s="56" t="n"/>
      <c r="AI118" s="1" t="n"/>
      <c r="AJ118" s="56" t="n"/>
      <c r="AK118" s="56" t="n"/>
      <c r="AL118" s="1" t="n"/>
      <c r="AM118" s="1" t="n"/>
      <c r="AN118" s="1" t="n"/>
      <c r="AO118" s="1" t="n"/>
      <c r="AP118" s="1" t="n"/>
      <c r="AR118" s="1" t="n"/>
    </row>
    <row r="119" ht="15.75" customHeight="1" s="9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54" t="n"/>
      <c r="N119" s="54" t="n"/>
      <c r="O119" s="54" t="n"/>
      <c r="P119" s="54" t="n"/>
      <c r="Q119" s="54" t="n"/>
      <c r="R119" s="54" t="n"/>
      <c r="S119" s="54" t="n"/>
      <c r="T119" s="55" t="n"/>
      <c r="U119" s="55" t="n"/>
      <c r="V119" s="56" t="n"/>
      <c r="W119" s="1" t="n"/>
      <c r="X119" s="56" t="n"/>
      <c r="Y119" s="57" t="n"/>
      <c r="Z119" s="56" t="n"/>
      <c r="AA119" s="56" t="n"/>
      <c r="AB119" s="57" t="n"/>
      <c r="AC119" s="56" t="n"/>
      <c r="AD119" s="56" t="n"/>
      <c r="AE119" s="1" t="n"/>
      <c r="AF119" s="56" t="n"/>
      <c r="AG119" s="1" t="n"/>
      <c r="AH119" s="56" t="n"/>
      <c r="AI119" s="1" t="n"/>
      <c r="AJ119" s="56" t="n"/>
      <c r="AK119" s="56" t="n"/>
      <c r="AL119" s="1" t="n"/>
      <c r="AM119" s="1" t="n"/>
      <c r="AN119" s="1" t="n"/>
      <c r="AO119" s="1" t="n"/>
      <c r="AP119" s="1" t="n"/>
      <c r="AR119" s="1" t="n"/>
    </row>
    <row r="120" ht="15.75" customHeight="1" s="9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54" t="n"/>
      <c r="N120" s="54" t="n"/>
      <c r="O120" s="54" t="n"/>
      <c r="P120" s="54" t="n"/>
      <c r="Q120" s="54" t="n"/>
      <c r="R120" s="54" t="n"/>
      <c r="S120" s="54" t="n"/>
      <c r="T120" s="55" t="n"/>
      <c r="U120" s="55" t="n"/>
      <c r="V120" s="56" t="n"/>
      <c r="W120" s="1" t="n"/>
      <c r="X120" s="56" t="n"/>
      <c r="Y120" s="57" t="n"/>
      <c r="Z120" s="56" t="n"/>
      <c r="AA120" s="56" t="n"/>
      <c r="AB120" s="57" t="n"/>
      <c r="AC120" s="56" t="n"/>
      <c r="AD120" s="56" t="n"/>
      <c r="AE120" s="1" t="n"/>
      <c r="AF120" s="56" t="n"/>
      <c r="AG120" s="1" t="n"/>
      <c r="AH120" s="56" t="n"/>
      <c r="AI120" s="1" t="n"/>
      <c r="AJ120" s="56" t="n"/>
      <c r="AK120" s="56" t="n"/>
      <c r="AL120" s="1" t="n"/>
      <c r="AM120" s="1" t="n"/>
      <c r="AN120" s="1" t="n"/>
      <c r="AO120" s="1" t="n"/>
      <c r="AP120" s="1" t="n"/>
      <c r="AR120" s="1" t="n"/>
    </row>
    <row r="121" ht="15.75" customHeight="1" s="9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54" t="n"/>
      <c r="N121" s="54" t="n"/>
      <c r="O121" s="54" t="n"/>
      <c r="P121" s="54" t="n"/>
      <c r="Q121" s="54" t="n"/>
      <c r="R121" s="54" t="n"/>
      <c r="S121" s="54" t="n"/>
      <c r="T121" s="55" t="n"/>
      <c r="U121" s="55" t="n"/>
      <c r="V121" s="56" t="n"/>
      <c r="W121" s="1" t="n"/>
      <c r="X121" s="56" t="n"/>
      <c r="Y121" s="57" t="n"/>
      <c r="Z121" s="56" t="n"/>
      <c r="AA121" s="56" t="n"/>
      <c r="AB121" s="57" t="n"/>
      <c r="AC121" s="56" t="n"/>
      <c r="AD121" s="56" t="n"/>
      <c r="AE121" s="1" t="n"/>
      <c r="AF121" s="56" t="n"/>
      <c r="AG121" s="1" t="n"/>
      <c r="AH121" s="56" t="n"/>
      <c r="AI121" s="1" t="n"/>
      <c r="AJ121" s="56" t="n"/>
      <c r="AK121" s="56" t="n"/>
      <c r="AL121" s="1" t="n"/>
      <c r="AM121" s="1" t="n"/>
      <c r="AN121" s="1" t="n"/>
      <c r="AO121" s="1" t="n"/>
      <c r="AP121" s="1" t="n"/>
      <c r="AR121" s="1" t="n"/>
    </row>
    <row r="122" ht="15.75" customHeight="1" s="9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54" t="n"/>
      <c r="N122" s="54" t="n"/>
      <c r="O122" s="54" t="n"/>
      <c r="P122" s="54" t="n"/>
      <c r="Q122" s="54" t="n"/>
      <c r="R122" s="54" t="n"/>
      <c r="S122" s="54" t="n"/>
      <c r="T122" s="55" t="n"/>
      <c r="U122" s="55" t="n"/>
      <c r="V122" s="56" t="n"/>
      <c r="W122" s="1" t="n"/>
      <c r="X122" s="56" t="n"/>
      <c r="Y122" s="57" t="n"/>
      <c r="Z122" s="56" t="n"/>
      <c r="AA122" s="56" t="n"/>
      <c r="AB122" s="57" t="n"/>
      <c r="AC122" s="56" t="n"/>
      <c r="AD122" s="56" t="n"/>
      <c r="AE122" s="1" t="n"/>
      <c r="AF122" s="56" t="n"/>
      <c r="AG122" s="1" t="n"/>
      <c r="AH122" s="56" t="n"/>
      <c r="AI122" s="1" t="n"/>
      <c r="AJ122" s="56" t="n"/>
      <c r="AK122" s="56" t="n"/>
      <c r="AL122" s="1" t="n"/>
      <c r="AM122" s="1" t="n"/>
      <c r="AN122" s="1" t="n"/>
      <c r="AO122" s="1" t="n"/>
      <c r="AP122" s="1" t="n"/>
      <c r="AR122" s="1" t="n"/>
    </row>
    <row r="123" ht="15.75" customHeight="1" s="9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54" t="n"/>
      <c r="N123" s="54" t="n"/>
      <c r="O123" s="54" t="n"/>
      <c r="P123" s="54" t="n"/>
      <c r="Q123" s="54" t="n"/>
      <c r="R123" s="54" t="n"/>
      <c r="S123" s="54" t="n"/>
      <c r="T123" s="55" t="n"/>
      <c r="U123" s="55" t="n"/>
      <c r="V123" s="56" t="n"/>
      <c r="W123" s="1" t="n"/>
      <c r="X123" s="56" t="n"/>
      <c r="Y123" s="57" t="n"/>
      <c r="Z123" s="56" t="n"/>
      <c r="AA123" s="56" t="n"/>
      <c r="AB123" s="57" t="n"/>
      <c r="AC123" s="56" t="n"/>
      <c r="AD123" s="56" t="n"/>
      <c r="AE123" s="1" t="n"/>
      <c r="AF123" s="56" t="n"/>
      <c r="AG123" s="1" t="n"/>
      <c r="AH123" s="56" t="n"/>
      <c r="AI123" s="1" t="n"/>
      <c r="AJ123" s="56" t="n"/>
      <c r="AK123" s="56" t="n"/>
      <c r="AL123" s="1" t="n"/>
      <c r="AM123" s="1" t="n"/>
      <c r="AN123" s="1" t="n"/>
      <c r="AO123" s="1" t="n"/>
      <c r="AP123" s="1" t="n"/>
      <c r="AR123" s="1" t="n"/>
    </row>
    <row r="124" ht="15.75" customHeight="1" s="9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54" t="n"/>
      <c r="N124" s="54" t="n"/>
      <c r="O124" s="54" t="n"/>
      <c r="P124" s="54" t="n"/>
      <c r="Q124" s="54" t="n"/>
      <c r="R124" s="54" t="n"/>
      <c r="S124" s="54" t="n"/>
      <c r="T124" s="55" t="n"/>
      <c r="U124" s="55" t="n"/>
      <c r="V124" s="56" t="n"/>
      <c r="W124" s="1" t="n"/>
      <c r="X124" s="56" t="n"/>
      <c r="Y124" s="57" t="n"/>
      <c r="Z124" s="56" t="n"/>
      <c r="AA124" s="56" t="n"/>
      <c r="AB124" s="57" t="n"/>
      <c r="AC124" s="56" t="n"/>
      <c r="AD124" s="56" t="n"/>
      <c r="AE124" s="1" t="n"/>
      <c r="AF124" s="56" t="n"/>
      <c r="AG124" s="1" t="n"/>
      <c r="AH124" s="56" t="n"/>
      <c r="AI124" s="1" t="n"/>
      <c r="AJ124" s="56" t="n"/>
      <c r="AK124" s="56" t="n"/>
      <c r="AL124" s="1" t="n"/>
      <c r="AM124" s="1" t="n"/>
      <c r="AN124" s="1" t="n"/>
      <c r="AO124" s="1" t="n"/>
      <c r="AP124" s="1" t="n"/>
      <c r="AR124" s="1" t="n"/>
    </row>
    <row r="125" ht="15.75" customHeight="1" s="9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54" t="n"/>
      <c r="N125" s="54" t="n"/>
      <c r="O125" s="54" t="n"/>
      <c r="P125" s="54" t="n"/>
      <c r="Q125" s="54" t="n"/>
      <c r="R125" s="54" t="n"/>
      <c r="S125" s="54" t="n"/>
      <c r="T125" s="55" t="n"/>
      <c r="U125" s="55" t="n"/>
      <c r="V125" s="56" t="n"/>
      <c r="W125" s="1" t="n"/>
      <c r="X125" s="56" t="n"/>
      <c r="Y125" s="57" t="n"/>
      <c r="Z125" s="56" t="n"/>
      <c r="AA125" s="56" t="n"/>
      <c r="AB125" s="57" t="n"/>
      <c r="AC125" s="56" t="n"/>
      <c r="AD125" s="56" t="n"/>
      <c r="AE125" s="1" t="n"/>
      <c r="AF125" s="56" t="n"/>
      <c r="AG125" s="1" t="n"/>
      <c r="AH125" s="56" t="n"/>
      <c r="AI125" s="1" t="n"/>
      <c r="AJ125" s="56" t="n"/>
      <c r="AK125" s="56" t="n"/>
      <c r="AL125" s="1" t="n"/>
      <c r="AM125" s="1" t="n"/>
      <c r="AN125" s="1" t="n"/>
      <c r="AO125" s="1" t="n"/>
      <c r="AP125" s="1" t="n"/>
      <c r="AR125" s="1" t="n"/>
    </row>
    <row r="126" ht="15.75" customHeight="1" s="9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54" t="n"/>
      <c r="N126" s="54" t="n"/>
      <c r="O126" s="54" t="n"/>
      <c r="P126" s="54" t="n"/>
      <c r="Q126" s="54" t="n"/>
      <c r="R126" s="54" t="n"/>
      <c r="S126" s="54" t="n"/>
      <c r="T126" s="55" t="n"/>
      <c r="U126" s="55" t="n"/>
      <c r="V126" s="56" t="n"/>
      <c r="W126" s="1" t="n"/>
      <c r="X126" s="56" t="n"/>
      <c r="Y126" s="57" t="n"/>
      <c r="Z126" s="56" t="n"/>
      <c r="AA126" s="56" t="n"/>
      <c r="AB126" s="57" t="n"/>
      <c r="AC126" s="56" t="n"/>
      <c r="AD126" s="56" t="n"/>
      <c r="AE126" s="1" t="n"/>
      <c r="AF126" s="56" t="n"/>
      <c r="AG126" s="1" t="n"/>
      <c r="AH126" s="56" t="n"/>
      <c r="AI126" s="1" t="n"/>
      <c r="AJ126" s="56" t="n"/>
      <c r="AK126" s="56" t="n"/>
      <c r="AL126" s="1" t="n"/>
      <c r="AM126" s="1" t="n"/>
      <c r="AN126" s="1" t="n"/>
      <c r="AO126" s="1" t="n"/>
      <c r="AP126" s="1" t="n"/>
      <c r="AR126" s="1" t="n"/>
    </row>
    <row r="127" ht="15.75" customHeight="1" s="9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54" t="n"/>
      <c r="N127" s="54" t="n"/>
      <c r="O127" s="54" t="n"/>
      <c r="P127" s="54" t="n"/>
      <c r="Q127" s="54" t="n"/>
      <c r="R127" s="54" t="n"/>
      <c r="S127" s="54" t="n"/>
      <c r="T127" s="55" t="n"/>
      <c r="U127" s="55" t="n"/>
      <c r="V127" s="56" t="n"/>
      <c r="W127" s="1" t="n"/>
      <c r="X127" s="56" t="n"/>
      <c r="Y127" s="57" t="n"/>
      <c r="Z127" s="56" t="n"/>
      <c r="AA127" s="56" t="n"/>
      <c r="AB127" s="57" t="n"/>
      <c r="AC127" s="56" t="n"/>
      <c r="AD127" s="56" t="n"/>
      <c r="AE127" s="1" t="n"/>
      <c r="AF127" s="56" t="n"/>
      <c r="AG127" s="1" t="n"/>
      <c r="AH127" s="56" t="n"/>
      <c r="AI127" s="1" t="n"/>
      <c r="AJ127" s="56" t="n"/>
      <c r="AK127" s="56" t="n"/>
      <c r="AL127" s="1" t="n"/>
      <c r="AM127" s="1" t="n"/>
      <c r="AN127" s="1" t="n"/>
      <c r="AO127" s="1" t="n"/>
      <c r="AP127" s="1" t="n"/>
      <c r="AR127" s="1" t="n"/>
    </row>
    <row r="128" ht="15.75" customHeight="1" s="9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54" t="n"/>
      <c r="N128" s="54" t="n"/>
      <c r="O128" s="54" t="n"/>
      <c r="P128" s="54" t="n"/>
      <c r="Q128" s="54" t="n"/>
      <c r="R128" s="54" t="n"/>
      <c r="S128" s="54" t="n"/>
      <c r="T128" s="55" t="n"/>
      <c r="U128" s="55" t="n"/>
      <c r="V128" s="56" t="n"/>
      <c r="W128" s="1" t="n"/>
      <c r="X128" s="56" t="n"/>
      <c r="Y128" s="57" t="n"/>
      <c r="Z128" s="56" t="n"/>
      <c r="AA128" s="56" t="n"/>
      <c r="AB128" s="57" t="n"/>
      <c r="AC128" s="56" t="n"/>
      <c r="AD128" s="56" t="n"/>
      <c r="AE128" s="1" t="n"/>
      <c r="AF128" s="56" t="n"/>
      <c r="AG128" s="1" t="n"/>
      <c r="AH128" s="56" t="n"/>
      <c r="AI128" s="1" t="n"/>
      <c r="AJ128" s="56" t="n"/>
      <c r="AK128" s="56" t="n"/>
      <c r="AL128" s="1" t="n"/>
      <c r="AM128" s="1" t="n"/>
      <c r="AN128" s="1" t="n"/>
      <c r="AO128" s="1" t="n"/>
      <c r="AP128" s="1" t="n"/>
      <c r="AR128" s="1" t="n"/>
    </row>
    <row r="129" ht="15.75" customHeight="1" s="9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54" t="n"/>
      <c r="N129" s="54" t="n"/>
      <c r="O129" s="54" t="n"/>
      <c r="P129" s="54" t="n"/>
      <c r="Q129" s="54" t="n"/>
      <c r="R129" s="54" t="n"/>
      <c r="S129" s="54" t="n"/>
      <c r="T129" s="55" t="n"/>
      <c r="U129" s="55" t="n"/>
      <c r="V129" s="56" t="n"/>
      <c r="W129" s="1" t="n"/>
      <c r="X129" s="56" t="n"/>
      <c r="Y129" s="57" t="n"/>
      <c r="Z129" s="56" t="n"/>
      <c r="AA129" s="56" t="n"/>
      <c r="AB129" s="57" t="n"/>
      <c r="AC129" s="56" t="n"/>
      <c r="AD129" s="56" t="n"/>
      <c r="AE129" s="1" t="n"/>
      <c r="AF129" s="56" t="n"/>
      <c r="AG129" s="1" t="n"/>
      <c r="AH129" s="56" t="n"/>
      <c r="AI129" s="1" t="n"/>
      <c r="AJ129" s="56" t="n"/>
      <c r="AK129" s="56" t="n"/>
      <c r="AL129" s="1" t="n"/>
      <c r="AM129" s="1" t="n"/>
      <c r="AN129" s="1" t="n"/>
      <c r="AO129" s="1" t="n"/>
      <c r="AP129" s="1" t="n"/>
      <c r="AR129" s="1" t="n"/>
    </row>
    <row r="130" ht="15.75" customHeight="1" s="9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54" t="n"/>
      <c r="N130" s="54" t="n"/>
      <c r="O130" s="54" t="n"/>
      <c r="P130" s="54" t="n"/>
      <c r="Q130" s="54" t="n"/>
      <c r="R130" s="54" t="n"/>
      <c r="S130" s="54" t="n"/>
      <c r="T130" s="55" t="n"/>
      <c r="U130" s="55" t="n"/>
      <c r="V130" s="56" t="n"/>
      <c r="W130" s="1" t="n"/>
      <c r="X130" s="56" t="n"/>
      <c r="Y130" s="57" t="n"/>
      <c r="Z130" s="56" t="n"/>
      <c r="AA130" s="56" t="n"/>
      <c r="AB130" s="57" t="n"/>
      <c r="AC130" s="56" t="n"/>
      <c r="AD130" s="56" t="n"/>
      <c r="AE130" s="1" t="n"/>
      <c r="AF130" s="56" t="n"/>
      <c r="AG130" s="1" t="n"/>
      <c r="AH130" s="56" t="n"/>
      <c r="AI130" s="1" t="n"/>
      <c r="AJ130" s="56" t="n"/>
      <c r="AK130" s="56" t="n"/>
      <c r="AL130" s="1" t="n"/>
      <c r="AM130" s="1" t="n"/>
      <c r="AN130" s="1" t="n"/>
      <c r="AO130" s="1" t="n"/>
      <c r="AP130" s="1" t="n"/>
      <c r="AR130" s="1" t="n"/>
    </row>
    <row r="131" ht="15.75" customHeight="1" s="9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54" t="n"/>
      <c r="N131" s="54" t="n"/>
      <c r="O131" s="54" t="n"/>
      <c r="P131" s="54" t="n"/>
      <c r="Q131" s="54" t="n"/>
      <c r="R131" s="54" t="n"/>
      <c r="S131" s="54" t="n"/>
      <c r="T131" s="55" t="n"/>
      <c r="U131" s="55" t="n"/>
      <c r="V131" s="56" t="n"/>
      <c r="W131" s="1" t="n"/>
      <c r="X131" s="56" t="n"/>
      <c r="Y131" s="57" t="n"/>
      <c r="Z131" s="56" t="n"/>
      <c r="AA131" s="56" t="n"/>
      <c r="AB131" s="57" t="n"/>
      <c r="AC131" s="56" t="n"/>
      <c r="AD131" s="56" t="n"/>
      <c r="AE131" s="1" t="n"/>
      <c r="AF131" s="56" t="n"/>
      <c r="AG131" s="1" t="n"/>
      <c r="AH131" s="56" t="n"/>
      <c r="AI131" s="1" t="n"/>
      <c r="AJ131" s="56" t="n"/>
      <c r="AK131" s="56" t="n"/>
      <c r="AL131" s="1" t="n"/>
      <c r="AM131" s="1" t="n"/>
      <c r="AN131" s="1" t="n"/>
      <c r="AO131" s="1" t="n"/>
      <c r="AP131" s="1" t="n"/>
      <c r="AR131" s="1" t="n"/>
    </row>
    <row r="132" ht="15.75" customHeight="1" s="9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54" t="n"/>
      <c r="N132" s="54" t="n"/>
      <c r="O132" s="54" t="n"/>
      <c r="P132" s="54" t="n"/>
      <c r="Q132" s="54" t="n"/>
      <c r="R132" s="54" t="n"/>
      <c r="S132" s="54" t="n"/>
      <c r="T132" s="55" t="n"/>
      <c r="U132" s="55" t="n"/>
      <c r="V132" s="56" t="n"/>
      <c r="W132" s="1" t="n"/>
      <c r="X132" s="56" t="n"/>
      <c r="Y132" s="57" t="n"/>
      <c r="Z132" s="56" t="n"/>
      <c r="AA132" s="56" t="n"/>
      <c r="AB132" s="57" t="n"/>
      <c r="AC132" s="56" t="n"/>
      <c r="AD132" s="56" t="n"/>
      <c r="AE132" s="1" t="n"/>
      <c r="AF132" s="56" t="n"/>
      <c r="AG132" s="1" t="n"/>
      <c r="AH132" s="56" t="n"/>
      <c r="AI132" s="1" t="n"/>
      <c r="AJ132" s="56" t="n"/>
      <c r="AK132" s="56" t="n"/>
      <c r="AL132" s="1" t="n"/>
      <c r="AM132" s="1" t="n"/>
      <c r="AN132" s="1" t="n"/>
      <c r="AO132" s="1" t="n"/>
      <c r="AP132" s="1" t="n"/>
      <c r="AR132" s="1" t="n"/>
    </row>
    <row r="133" ht="15.75" customHeight="1" s="9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54" t="n"/>
      <c r="N133" s="54" t="n"/>
      <c r="O133" s="54" t="n"/>
      <c r="P133" s="54" t="n"/>
      <c r="Q133" s="54" t="n"/>
      <c r="R133" s="54" t="n"/>
      <c r="S133" s="54" t="n"/>
      <c r="T133" s="55" t="n"/>
      <c r="U133" s="55" t="n"/>
      <c r="V133" s="56" t="n"/>
      <c r="W133" s="1" t="n"/>
      <c r="X133" s="56" t="n"/>
      <c r="Y133" s="57" t="n"/>
      <c r="Z133" s="56" t="n"/>
      <c r="AA133" s="56" t="n"/>
      <c r="AB133" s="57" t="n"/>
      <c r="AC133" s="56" t="n"/>
      <c r="AD133" s="56" t="n"/>
      <c r="AE133" s="1" t="n"/>
      <c r="AF133" s="56" t="n"/>
      <c r="AG133" s="1" t="n"/>
      <c r="AH133" s="56" t="n"/>
      <c r="AI133" s="1" t="n"/>
      <c r="AJ133" s="56" t="n"/>
      <c r="AK133" s="56" t="n"/>
      <c r="AL133" s="1" t="n"/>
      <c r="AM133" s="1" t="n"/>
      <c r="AN133" s="1" t="n"/>
      <c r="AO133" s="1" t="n"/>
      <c r="AP133" s="1" t="n"/>
      <c r="AR133" s="1" t="n"/>
    </row>
    <row r="134" ht="15.75" customHeight="1" s="9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54" t="n"/>
      <c r="N134" s="54" t="n"/>
      <c r="O134" s="54" t="n"/>
      <c r="P134" s="54" t="n"/>
      <c r="Q134" s="54" t="n"/>
      <c r="R134" s="54" t="n"/>
      <c r="S134" s="54" t="n"/>
      <c r="T134" s="55" t="n"/>
      <c r="U134" s="55" t="n"/>
      <c r="V134" s="56" t="n"/>
      <c r="W134" s="1" t="n"/>
      <c r="X134" s="56" t="n"/>
      <c r="Y134" s="57" t="n"/>
      <c r="Z134" s="56" t="n"/>
      <c r="AA134" s="56" t="n"/>
      <c r="AB134" s="57" t="n"/>
      <c r="AC134" s="56" t="n"/>
      <c r="AD134" s="56" t="n"/>
      <c r="AE134" s="1" t="n"/>
      <c r="AF134" s="56" t="n"/>
      <c r="AG134" s="1" t="n"/>
      <c r="AH134" s="56" t="n"/>
      <c r="AI134" s="1" t="n"/>
      <c r="AJ134" s="56" t="n"/>
      <c r="AK134" s="56" t="n"/>
      <c r="AL134" s="1" t="n"/>
      <c r="AM134" s="1" t="n"/>
      <c r="AN134" s="1" t="n"/>
      <c r="AO134" s="1" t="n"/>
      <c r="AP134" s="1" t="n"/>
      <c r="AR134" s="1" t="n"/>
    </row>
    <row r="135" ht="15.75" customHeight="1" s="9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54" t="n"/>
      <c r="N135" s="54" t="n"/>
      <c r="O135" s="54" t="n"/>
      <c r="P135" s="54" t="n"/>
      <c r="Q135" s="54" t="n"/>
      <c r="R135" s="54" t="n"/>
      <c r="S135" s="54" t="n"/>
      <c r="T135" s="55" t="n"/>
      <c r="U135" s="55" t="n"/>
      <c r="V135" s="56" t="n"/>
      <c r="W135" s="1" t="n"/>
      <c r="X135" s="56" t="n"/>
      <c r="Y135" s="57" t="n"/>
      <c r="Z135" s="56" t="n"/>
      <c r="AA135" s="56" t="n"/>
      <c r="AB135" s="57" t="n"/>
      <c r="AC135" s="56" t="n"/>
      <c r="AD135" s="56" t="n"/>
      <c r="AE135" s="1" t="n"/>
      <c r="AF135" s="56" t="n"/>
      <c r="AG135" s="1" t="n"/>
      <c r="AH135" s="56" t="n"/>
      <c r="AI135" s="1" t="n"/>
      <c r="AJ135" s="56" t="n"/>
      <c r="AK135" s="56" t="n"/>
      <c r="AL135" s="1" t="n"/>
      <c r="AM135" s="1" t="n"/>
      <c r="AN135" s="1" t="n"/>
      <c r="AO135" s="1" t="n"/>
      <c r="AP135" s="1" t="n"/>
      <c r="AR135" s="1" t="n"/>
    </row>
    <row r="136" ht="15.75" customHeight="1" s="9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54" t="n"/>
      <c r="N136" s="54" t="n"/>
      <c r="O136" s="54" t="n"/>
      <c r="P136" s="54" t="n"/>
      <c r="Q136" s="54" t="n"/>
      <c r="R136" s="54" t="n"/>
      <c r="S136" s="54" t="n"/>
      <c r="T136" s="55" t="n"/>
      <c r="U136" s="55" t="n"/>
      <c r="V136" s="56" t="n"/>
      <c r="W136" s="1" t="n"/>
      <c r="X136" s="56" t="n"/>
      <c r="Y136" s="57" t="n"/>
      <c r="Z136" s="56" t="n"/>
      <c r="AA136" s="56" t="n"/>
      <c r="AB136" s="57" t="n"/>
      <c r="AC136" s="56" t="n"/>
      <c r="AD136" s="56" t="n"/>
      <c r="AE136" s="1" t="n"/>
      <c r="AF136" s="56" t="n"/>
      <c r="AG136" s="1" t="n"/>
      <c r="AH136" s="56" t="n"/>
      <c r="AI136" s="1" t="n"/>
      <c r="AJ136" s="56" t="n"/>
      <c r="AK136" s="56" t="n"/>
      <c r="AL136" s="1" t="n"/>
      <c r="AM136" s="1" t="n"/>
      <c r="AN136" s="1" t="n"/>
      <c r="AO136" s="1" t="n"/>
      <c r="AP136" s="1" t="n"/>
      <c r="AR136" s="1" t="n"/>
    </row>
    <row r="137" ht="15.75" customHeight="1" s="9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54" t="n"/>
      <c r="N137" s="54" t="n"/>
      <c r="O137" s="54" t="n"/>
      <c r="P137" s="54" t="n"/>
      <c r="Q137" s="54" t="n"/>
      <c r="R137" s="54" t="n"/>
      <c r="S137" s="54" t="n"/>
      <c r="T137" s="55" t="n"/>
      <c r="U137" s="55" t="n"/>
      <c r="V137" s="56" t="n"/>
      <c r="W137" s="1" t="n"/>
      <c r="X137" s="56" t="n"/>
      <c r="Y137" s="57" t="n"/>
      <c r="Z137" s="56" t="n"/>
      <c r="AA137" s="56" t="n"/>
      <c r="AB137" s="57" t="n"/>
      <c r="AC137" s="56" t="n"/>
      <c r="AD137" s="56" t="n"/>
      <c r="AE137" s="1" t="n"/>
      <c r="AF137" s="56" t="n"/>
      <c r="AG137" s="1" t="n"/>
      <c r="AH137" s="56" t="n"/>
      <c r="AI137" s="1" t="n"/>
      <c r="AJ137" s="56" t="n"/>
      <c r="AK137" s="56" t="n"/>
      <c r="AL137" s="1" t="n"/>
      <c r="AM137" s="1" t="n"/>
      <c r="AN137" s="1" t="n"/>
      <c r="AO137" s="1" t="n"/>
      <c r="AP137" s="1" t="n"/>
      <c r="AR137" s="1" t="n"/>
    </row>
    <row r="138" ht="15.75" customHeight="1" s="9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54" t="n"/>
      <c r="N138" s="54" t="n"/>
      <c r="O138" s="54" t="n"/>
      <c r="P138" s="54" t="n"/>
      <c r="Q138" s="54" t="n"/>
      <c r="R138" s="54" t="n"/>
      <c r="S138" s="54" t="n"/>
      <c r="T138" s="55" t="n"/>
      <c r="U138" s="55" t="n"/>
      <c r="V138" s="56" t="n"/>
      <c r="W138" s="1" t="n"/>
      <c r="X138" s="56" t="n"/>
      <c r="Y138" s="57" t="n"/>
      <c r="Z138" s="56" t="n"/>
      <c r="AA138" s="56" t="n"/>
      <c r="AB138" s="57" t="n"/>
      <c r="AC138" s="56" t="n"/>
      <c r="AD138" s="56" t="n"/>
      <c r="AE138" s="1" t="n"/>
      <c r="AF138" s="56" t="n"/>
      <c r="AG138" s="1" t="n"/>
      <c r="AH138" s="56" t="n"/>
      <c r="AI138" s="1" t="n"/>
      <c r="AJ138" s="56" t="n"/>
      <c r="AK138" s="56" t="n"/>
      <c r="AL138" s="1" t="n"/>
      <c r="AM138" s="1" t="n"/>
      <c r="AN138" s="1" t="n"/>
      <c r="AO138" s="1" t="n"/>
      <c r="AP138" s="1" t="n"/>
      <c r="AR138" s="1" t="n"/>
    </row>
    <row r="139" ht="15.75" customHeight="1" s="9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54" t="n"/>
      <c r="N139" s="54" t="n"/>
      <c r="O139" s="54" t="n"/>
      <c r="P139" s="54" t="n"/>
      <c r="Q139" s="54" t="n"/>
      <c r="R139" s="54" t="n"/>
      <c r="S139" s="54" t="n"/>
      <c r="T139" s="55" t="n"/>
      <c r="U139" s="55" t="n"/>
      <c r="V139" s="56" t="n"/>
      <c r="W139" s="1" t="n"/>
      <c r="X139" s="56" t="n"/>
      <c r="Y139" s="57" t="n"/>
      <c r="Z139" s="56" t="n"/>
      <c r="AA139" s="56" t="n"/>
      <c r="AB139" s="57" t="n"/>
      <c r="AC139" s="56" t="n"/>
      <c r="AD139" s="56" t="n"/>
      <c r="AE139" s="1" t="n"/>
      <c r="AF139" s="56" t="n"/>
      <c r="AG139" s="1" t="n"/>
      <c r="AH139" s="56" t="n"/>
      <c r="AI139" s="1" t="n"/>
      <c r="AJ139" s="56" t="n"/>
      <c r="AK139" s="56" t="n"/>
      <c r="AL139" s="1" t="n"/>
      <c r="AM139" s="1" t="n"/>
      <c r="AN139" s="1" t="n"/>
      <c r="AO139" s="1" t="n"/>
      <c r="AP139" s="1" t="n"/>
      <c r="AR139" s="1" t="n"/>
    </row>
    <row r="140" ht="15.75" customHeight="1" s="9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54" t="n"/>
      <c r="N140" s="54" t="n"/>
      <c r="O140" s="54" t="n"/>
      <c r="P140" s="54" t="n"/>
      <c r="Q140" s="54" t="n"/>
      <c r="R140" s="54" t="n"/>
      <c r="S140" s="54" t="n"/>
      <c r="T140" s="55" t="n"/>
      <c r="U140" s="55" t="n"/>
      <c r="V140" s="56" t="n"/>
      <c r="W140" s="1" t="n"/>
      <c r="X140" s="56" t="n"/>
      <c r="Y140" s="57" t="n"/>
      <c r="Z140" s="56" t="n"/>
      <c r="AA140" s="56" t="n"/>
      <c r="AB140" s="57" t="n"/>
      <c r="AC140" s="56" t="n"/>
      <c r="AD140" s="56" t="n"/>
      <c r="AE140" s="1" t="n"/>
      <c r="AF140" s="56" t="n"/>
      <c r="AG140" s="1" t="n"/>
      <c r="AH140" s="56" t="n"/>
      <c r="AI140" s="1" t="n"/>
      <c r="AJ140" s="56" t="n"/>
      <c r="AK140" s="56" t="n"/>
      <c r="AL140" s="1" t="n"/>
      <c r="AM140" s="1" t="n"/>
      <c r="AN140" s="1" t="n"/>
      <c r="AO140" s="1" t="n"/>
      <c r="AP140" s="1" t="n"/>
      <c r="AR140" s="1" t="n"/>
    </row>
    <row r="141" ht="15.75" customHeight="1" s="9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54" t="n"/>
      <c r="N141" s="54" t="n"/>
      <c r="O141" s="54" t="n"/>
      <c r="P141" s="54" t="n"/>
      <c r="Q141" s="54" t="n"/>
      <c r="R141" s="54" t="n"/>
      <c r="S141" s="54" t="n"/>
      <c r="T141" s="55" t="n"/>
      <c r="U141" s="55" t="n"/>
      <c r="V141" s="56" t="n"/>
      <c r="W141" s="1" t="n"/>
      <c r="X141" s="56" t="n"/>
      <c r="Y141" s="57" t="n"/>
      <c r="Z141" s="56" t="n"/>
      <c r="AA141" s="56" t="n"/>
      <c r="AB141" s="57" t="n"/>
      <c r="AC141" s="56" t="n"/>
      <c r="AD141" s="56" t="n"/>
      <c r="AE141" s="1" t="n"/>
      <c r="AF141" s="56" t="n"/>
      <c r="AG141" s="1" t="n"/>
      <c r="AH141" s="56" t="n"/>
      <c r="AI141" s="1" t="n"/>
      <c r="AJ141" s="56" t="n"/>
      <c r="AK141" s="56" t="n"/>
      <c r="AL141" s="1" t="n"/>
      <c r="AM141" s="1" t="n"/>
      <c r="AN141" s="1" t="n"/>
      <c r="AO141" s="1" t="n"/>
      <c r="AP141" s="1" t="n"/>
      <c r="AR141" s="1" t="n"/>
    </row>
    <row r="142" ht="15.75" customHeight="1" s="9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54" t="n"/>
      <c r="N142" s="54" t="n"/>
      <c r="O142" s="54" t="n"/>
      <c r="P142" s="54" t="n"/>
      <c r="Q142" s="54" t="n"/>
      <c r="R142" s="54" t="n"/>
      <c r="S142" s="54" t="n"/>
      <c r="T142" s="55" t="n"/>
      <c r="U142" s="55" t="n"/>
      <c r="V142" s="56" t="n"/>
      <c r="W142" s="1" t="n"/>
      <c r="X142" s="56" t="n"/>
      <c r="Y142" s="57" t="n"/>
      <c r="Z142" s="56" t="n"/>
      <c r="AA142" s="56" t="n"/>
      <c r="AB142" s="57" t="n"/>
      <c r="AC142" s="56" t="n"/>
      <c r="AD142" s="56" t="n"/>
      <c r="AE142" s="1" t="n"/>
      <c r="AF142" s="56" t="n"/>
      <c r="AG142" s="1" t="n"/>
      <c r="AH142" s="56" t="n"/>
      <c r="AI142" s="1" t="n"/>
      <c r="AJ142" s="56" t="n"/>
      <c r="AK142" s="56" t="n"/>
      <c r="AL142" s="1" t="n"/>
      <c r="AM142" s="1" t="n"/>
      <c r="AN142" s="1" t="n"/>
      <c r="AO142" s="1" t="n"/>
      <c r="AP142" s="1" t="n"/>
      <c r="AR142" s="1" t="n"/>
    </row>
    <row r="143" ht="15.75" customHeight="1" s="9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54" t="n"/>
      <c r="N143" s="54" t="n"/>
      <c r="O143" s="54" t="n"/>
      <c r="P143" s="54" t="n"/>
      <c r="Q143" s="54" t="n"/>
      <c r="R143" s="54" t="n"/>
      <c r="S143" s="54" t="n"/>
      <c r="T143" s="55" t="n"/>
      <c r="U143" s="55" t="n"/>
      <c r="V143" s="56" t="n"/>
      <c r="W143" s="1" t="n"/>
      <c r="X143" s="56" t="n"/>
      <c r="Y143" s="57" t="n"/>
      <c r="Z143" s="56" t="n"/>
      <c r="AA143" s="56" t="n"/>
      <c r="AB143" s="57" t="n"/>
      <c r="AC143" s="56" t="n"/>
      <c r="AD143" s="56" t="n"/>
      <c r="AE143" s="1" t="n"/>
      <c r="AF143" s="56" t="n"/>
      <c r="AG143" s="1" t="n"/>
      <c r="AH143" s="56" t="n"/>
      <c r="AI143" s="1" t="n"/>
      <c r="AJ143" s="56" t="n"/>
      <c r="AK143" s="56" t="n"/>
      <c r="AL143" s="1" t="n"/>
      <c r="AM143" s="1" t="n"/>
      <c r="AN143" s="1" t="n"/>
      <c r="AO143" s="1" t="n"/>
      <c r="AP143" s="1" t="n"/>
      <c r="AR143" s="1" t="n"/>
    </row>
    <row r="144" ht="15.75" customHeight="1" s="9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54" t="n"/>
      <c r="N144" s="54" t="n"/>
      <c r="O144" s="54" t="n"/>
      <c r="P144" s="54" t="n"/>
      <c r="Q144" s="54" t="n"/>
      <c r="R144" s="54" t="n"/>
      <c r="S144" s="54" t="n"/>
      <c r="T144" s="55" t="n"/>
      <c r="U144" s="55" t="n"/>
      <c r="V144" s="56" t="n"/>
      <c r="W144" s="1" t="n"/>
      <c r="X144" s="56" t="n"/>
      <c r="Y144" s="57" t="n"/>
      <c r="Z144" s="56" t="n"/>
      <c r="AA144" s="56" t="n"/>
      <c r="AB144" s="57" t="n"/>
      <c r="AC144" s="56" t="n"/>
      <c r="AD144" s="56" t="n"/>
      <c r="AE144" s="1" t="n"/>
      <c r="AF144" s="56" t="n"/>
      <c r="AG144" s="1" t="n"/>
      <c r="AH144" s="56" t="n"/>
      <c r="AI144" s="1" t="n"/>
      <c r="AJ144" s="56" t="n"/>
      <c r="AK144" s="56" t="n"/>
      <c r="AL144" s="1" t="n"/>
      <c r="AM144" s="1" t="n"/>
      <c r="AN144" s="1" t="n"/>
      <c r="AO144" s="1" t="n"/>
      <c r="AP144" s="1" t="n"/>
      <c r="AR144" s="1" t="n"/>
    </row>
    <row r="145" ht="15.75" customHeight="1" s="9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54" t="n"/>
      <c r="N145" s="54" t="n"/>
      <c r="O145" s="54" t="n"/>
      <c r="P145" s="54" t="n"/>
      <c r="Q145" s="54" t="n"/>
      <c r="R145" s="54" t="n"/>
      <c r="S145" s="54" t="n"/>
      <c r="T145" s="55" t="n"/>
      <c r="U145" s="55" t="n"/>
      <c r="V145" s="56" t="n"/>
      <c r="W145" s="1" t="n"/>
      <c r="X145" s="56" t="n"/>
      <c r="Y145" s="57" t="n"/>
      <c r="Z145" s="56" t="n"/>
      <c r="AA145" s="56" t="n"/>
      <c r="AB145" s="57" t="n"/>
      <c r="AC145" s="56" t="n"/>
      <c r="AD145" s="56" t="n"/>
      <c r="AE145" s="1" t="n"/>
      <c r="AF145" s="56" t="n"/>
      <c r="AG145" s="1" t="n"/>
      <c r="AH145" s="56" t="n"/>
      <c r="AI145" s="1" t="n"/>
      <c r="AJ145" s="56" t="n"/>
      <c r="AK145" s="56" t="n"/>
      <c r="AL145" s="1" t="n"/>
      <c r="AM145" s="1" t="n"/>
      <c r="AN145" s="1" t="n"/>
      <c r="AO145" s="1" t="n"/>
      <c r="AP145" s="1" t="n"/>
      <c r="AR145" s="1" t="n"/>
    </row>
    <row r="146" ht="15.75" customHeight="1" s="9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54" t="n"/>
      <c r="N146" s="54" t="n"/>
      <c r="O146" s="54" t="n"/>
      <c r="P146" s="54" t="n"/>
      <c r="Q146" s="54" t="n"/>
      <c r="R146" s="54" t="n"/>
      <c r="S146" s="54" t="n"/>
      <c r="T146" s="55" t="n"/>
      <c r="U146" s="55" t="n"/>
      <c r="V146" s="56" t="n"/>
      <c r="W146" s="1" t="n"/>
      <c r="X146" s="56" t="n"/>
      <c r="Y146" s="57" t="n"/>
      <c r="Z146" s="56" t="n"/>
      <c r="AA146" s="56" t="n"/>
      <c r="AB146" s="57" t="n"/>
      <c r="AC146" s="56" t="n"/>
      <c r="AD146" s="56" t="n"/>
      <c r="AE146" s="1" t="n"/>
      <c r="AF146" s="56" t="n"/>
      <c r="AG146" s="1" t="n"/>
      <c r="AH146" s="56" t="n"/>
      <c r="AI146" s="1" t="n"/>
      <c r="AJ146" s="56" t="n"/>
      <c r="AK146" s="56" t="n"/>
      <c r="AL146" s="1" t="n"/>
      <c r="AM146" s="1" t="n"/>
      <c r="AN146" s="1" t="n"/>
      <c r="AO146" s="1" t="n"/>
      <c r="AP146" s="1" t="n"/>
      <c r="AR146" s="1" t="n"/>
    </row>
    <row r="147" ht="15.75" customHeight="1" s="9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54" t="n"/>
      <c r="N147" s="54" t="n"/>
      <c r="O147" s="54" t="n"/>
      <c r="P147" s="54" t="n"/>
      <c r="Q147" s="54" t="n"/>
      <c r="R147" s="54" t="n"/>
      <c r="S147" s="54" t="n"/>
      <c r="T147" s="55" t="n"/>
      <c r="U147" s="55" t="n"/>
      <c r="V147" s="56" t="n"/>
      <c r="W147" s="1" t="n"/>
      <c r="X147" s="56" t="n"/>
      <c r="Y147" s="57" t="n"/>
      <c r="Z147" s="56" t="n"/>
      <c r="AA147" s="56" t="n"/>
      <c r="AB147" s="57" t="n"/>
      <c r="AC147" s="56" t="n"/>
      <c r="AD147" s="56" t="n"/>
      <c r="AE147" s="1" t="n"/>
      <c r="AF147" s="56" t="n"/>
      <c r="AG147" s="1" t="n"/>
      <c r="AH147" s="56" t="n"/>
      <c r="AI147" s="1" t="n"/>
      <c r="AJ147" s="56" t="n"/>
      <c r="AK147" s="56" t="n"/>
      <c r="AL147" s="1" t="n"/>
      <c r="AM147" s="1" t="n"/>
      <c r="AN147" s="1" t="n"/>
      <c r="AO147" s="1" t="n"/>
      <c r="AP147" s="1" t="n"/>
      <c r="AR147" s="1" t="n"/>
    </row>
    <row r="148" ht="15.75" customHeight="1" s="9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54" t="n"/>
      <c r="N148" s="54" t="n"/>
      <c r="O148" s="54" t="n"/>
      <c r="P148" s="54" t="n"/>
      <c r="Q148" s="54" t="n"/>
      <c r="R148" s="54" t="n"/>
      <c r="S148" s="54" t="n"/>
      <c r="T148" s="55" t="n"/>
      <c r="U148" s="55" t="n"/>
      <c r="V148" s="56" t="n"/>
      <c r="W148" s="1" t="n"/>
      <c r="X148" s="56" t="n"/>
      <c r="Y148" s="57" t="n"/>
      <c r="Z148" s="56" t="n"/>
      <c r="AA148" s="56" t="n"/>
      <c r="AB148" s="57" t="n"/>
      <c r="AC148" s="56" t="n"/>
      <c r="AD148" s="56" t="n"/>
      <c r="AE148" s="1" t="n"/>
      <c r="AF148" s="56" t="n"/>
      <c r="AG148" s="1" t="n"/>
      <c r="AH148" s="56" t="n"/>
      <c r="AI148" s="1" t="n"/>
      <c r="AJ148" s="56" t="n"/>
      <c r="AK148" s="56" t="n"/>
      <c r="AL148" s="1" t="n"/>
      <c r="AM148" s="1" t="n"/>
      <c r="AN148" s="1" t="n"/>
      <c r="AO148" s="1" t="n"/>
      <c r="AP148" s="1" t="n"/>
      <c r="AR148" s="1" t="n"/>
    </row>
    <row r="149" ht="15.75" customHeight="1" s="9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54" t="n"/>
      <c r="N149" s="54" t="n"/>
      <c r="O149" s="54" t="n"/>
      <c r="P149" s="54" t="n"/>
      <c r="Q149" s="54" t="n"/>
      <c r="R149" s="54" t="n"/>
      <c r="S149" s="54" t="n"/>
      <c r="T149" s="55" t="n"/>
      <c r="U149" s="55" t="n"/>
      <c r="V149" s="56" t="n"/>
      <c r="W149" s="1" t="n"/>
      <c r="X149" s="56" t="n"/>
      <c r="Y149" s="57" t="n"/>
      <c r="Z149" s="56" t="n"/>
      <c r="AA149" s="56" t="n"/>
      <c r="AB149" s="57" t="n"/>
      <c r="AC149" s="56" t="n"/>
      <c r="AD149" s="56" t="n"/>
      <c r="AE149" s="1" t="n"/>
      <c r="AF149" s="56" t="n"/>
      <c r="AG149" s="1" t="n"/>
      <c r="AH149" s="56" t="n"/>
      <c r="AI149" s="1" t="n"/>
      <c r="AJ149" s="56" t="n"/>
      <c r="AK149" s="56" t="n"/>
      <c r="AL149" s="1" t="n"/>
      <c r="AM149" s="1" t="n"/>
      <c r="AN149" s="1" t="n"/>
      <c r="AO149" s="1" t="n"/>
      <c r="AP149" s="1" t="n"/>
      <c r="AR149" s="1" t="n"/>
    </row>
    <row r="150" ht="15.75" customHeight="1" s="9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54" t="n"/>
      <c r="N150" s="54" t="n"/>
      <c r="O150" s="54" t="n"/>
      <c r="P150" s="54" t="n"/>
      <c r="Q150" s="54" t="n"/>
      <c r="R150" s="54" t="n"/>
      <c r="S150" s="54" t="n"/>
      <c r="T150" s="55" t="n"/>
      <c r="U150" s="55" t="n"/>
      <c r="V150" s="56" t="n"/>
      <c r="W150" s="1" t="n"/>
      <c r="X150" s="56" t="n"/>
      <c r="Y150" s="57" t="n"/>
      <c r="Z150" s="56" t="n"/>
      <c r="AA150" s="56" t="n"/>
      <c r="AB150" s="57" t="n"/>
      <c r="AC150" s="56" t="n"/>
      <c r="AD150" s="56" t="n"/>
      <c r="AE150" s="1" t="n"/>
      <c r="AF150" s="56" t="n"/>
      <c r="AG150" s="1" t="n"/>
      <c r="AH150" s="56" t="n"/>
      <c r="AI150" s="1" t="n"/>
      <c r="AJ150" s="56" t="n"/>
      <c r="AK150" s="56" t="n"/>
      <c r="AL150" s="1" t="n"/>
      <c r="AM150" s="1" t="n"/>
      <c r="AN150" s="1" t="n"/>
      <c r="AO150" s="1" t="n"/>
      <c r="AP150" s="1" t="n"/>
      <c r="AR150" s="1" t="n"/>
    </row>
    <row r="151" ht="15.75" customHeight="1" s="9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54" t="n"/>
      <c r="N151" s="54" t="n"/>
      <c r="O151" s="54" t="n"/>
      <c r="P151" s="54" t="n"/>
      <c r="Q151" s="54" t="n"/>
      <c r="R151" s="54" t="n"/>
      <c r="S151" s="54" t="n"/>
      <c r="T151" s="55" t="n"/>
      <c r="U151" s="55" t="n"/>
      <c r="V151" s="56" t="n"/>
      <c r="W151" s="1" t="n"/>
      <c r="X151" s="56" t="n"/>
      <c r="Y151" s="57" t="n"/>
      <c r="Z151" s="56" t="n"/>
      <c r="AA151" s="56" t="n"/>
      <c r="AB151" s="57" t="n"/>
      <c r="AC151" s="56" t="n"/>
      <c r="AD151" s="56" t="n"/>
      <c r="AE151" s="1" t="n"/>
      <c r="AF151" s="56" t="n"/>
      <c r="AG151" s="1" t="n"/>
      <c r="AH151" s="56" t="n"/>
      <c r="AI151" s="1" t="n"/>
      <c r="AJ151" s="56" t="n"/>
      <c r="AK151" s="56" t="n"/>
      <c r="AL151" s="1" t="n"/>
      <c r="AM151" s="1" t="n"/>
      <c r="AN151" s="1" t="n"/>
      <c r="AO151" s="1" t="n"/>
      <c r="AP151" s="1" t="n"/>
      <c r="AR151" s="1" t="n"/>
    </row>
    <row r="152" ht="15.75" customHeight="1" s="9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54" t="n"/>
      <c r="N152" s="54" t="n"/>
      <c r="O152" s="54" t="n"/>
      <c r="P152" s="54" t="n"/>
      <c r="Q152" s="54" t="n"/>
      <c r="R152" s="54" t="n"/>
      <c r="S152" s="54" t="n"/>
      <c r="T152" s="55" t="n"/>
      <c r="U152" s="55" t="n"/>
      <c r="V152" s="56" t="n"/>
      <c r="W152" s="1" t="n"/>
      <c r="X152" s="56" t="n"/>
      <c r="Y152" s="57" t="n"/>
      <c r="Z152" s="56" t="n"/>
      <c r="AA152" s="56" t="n"/>
      <c r="AB152" s="57" t="n"/>
      <c r="AC152" s="56" t="n"/>
      <c r="AD152" s="56" t="n"/>
      <c r="AE152" s="1" t="n"/>
      <c r="AF152" s="56" t="n"/>
      <c r="AG152" s="1" t="n"/>
      <c r="AH152" s="56" t="n"/>
      <c r="AI152" s="1" t="n"/>
      <c r="AJ152" s="56" t="n"/>
      <c r="AK152" s="56" t="n"/>
      <c r="AL152" s="1" t="n"/>
      <c r="AM152" s="1" t="n"/>
      <c r="AN152" s="1" t="n"/>
      <c r="AO152" s="1" t="n"/>
      <c r="AP152" s="1" t="n"/>
      <c r="AR152" s="1" t="n"/>
    </row>
    <row r="153" ht="15.75" customHeight="1" s="9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54" t="n"/>
      <c r="N153" s="54" t="n"/>
      <c r="O153" s="54" t="n"/>
      <c r="P153" s="54" t="n"/>
      <c r="Q153" s="54" t="n"/>
      <c r="R153" s="54" t="n"/>
      <c r="S153" s="54" t="n"/>
      <c r="T153" s="55" t="n"/>
      <c r="U153" s="55" t="n"/>
      <c r="V153" s="56" t="n"/>
      <c r="W153" s="1" t="n"/>
      <c r="X153" s="56" t="n"/>
      <c r="Y153" s="57" t="n"/>
      <c r="Z153" s="56" t="n"/>
      <c r="AA153" s="56" t="n"/>
      <c r="AB153" s="57" t="n"/>
      <c r="AC153" s="56" t="n"/>
      <c r="AD153" s="56" t="n"/>
      <c r="AE153" s="1" t="n"/>
      <c r="AF153" s="56" t="n"/>
      <c r="AG153" s="1" t="n"/>
      <c r="AH153" s="56" t="n"/>
      <c r="AI153" s="1" t="n"/>
      <c r="AJ153" s="56" t="n"/>
      <c r="AK153" s="56" t="n"/>
      <c r="AL153" s="1" t="n"/>
      <c r="AM153" s="1" t="n"/>
      <c r="AN153" s="1" t="n"/>
      <c r="AO153" s="1" t="n"/>
      <c r="AP153" s="1" t="n"/>
      <c r="AR153" s="1" t="n"/>
    </row>
    <row r="154" ht="15.75" customHeight="1" s="9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54" t="n"/>
      <c r="N154" s="54" t="n"/>
      <c r="O154" s="54" t="n"/>
      <c r="P154" s="54" t="n"/>
      <c r="Q154" s="54" t="n"/>
      <c r="R154" s="54" t="n"/>
      <c r="S154" s="54" t="n"/>
      <c r="T154" s="55" t="n"/>
      <c r="U154" s="55" t="n"/>
      <c r="V154" s="56" t="n"/>
      <c r="W154" s="1" t="n"/>
      <c r="X154" s="56" t="n"/>
      <c r="Y154" s="57" t="n"/>
      <c r="Z154" s="56" t="n"/>
      <c r="AA154" s="56" t="n"/>
      <c r="AB154" s="57" t="n"/>
      <c r="AC154" s="56" t="n"/>
      <c r="AD154" s="56" t="n"/>
      <c r="AE154" s="1" t="n"/>
      <c r="AF154" s="56" t="n"/>
      <c r="AG154" s="1" t="n"/>
      <c r="AH154" s="56" t="n"/>
      <c r="AI154" s="1" t="n"/>
      <c r="AJ154" s="56" t="n"/>
      <c r="AK154" s="56" t="n"/>
      <c r="AL154" s="1" t="n"/>
      <c r="AM154" s="1" t="n"/>
      <c r="AN154" s="1" t="n"/>
      <c r="AO154" s="1" t="n"/>
      <c r="AP154" s="1" t="n"/>
      <c r="AR154" s="1" t="n"/>
    </row>
    <row r="155" ht="15.75" customHeight="1" s="9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54" t="n"/>
      <c r="N155" s="54" t="n"/>
      <c r="O155" s="54" t="n"/>
      <c r="P155" s="54" t="n"/>
      <c r="Q155" s="54" t="n"/>
      <c r="R155" s="54" t="n"/>
      <c r="S155" s="54" t="n"/>
      <c r="T155" s="55" t="n"/>
      <c r="U155" s="55" t="n"/>
      <c r="V155" s="56" t="n"/>
      <c r="W155" s="1" t="n"/>
      <c r="X155" s="56" t="n"/>
      <c r="Y155" s="57" t="n"/>
      <c r="Z155" s="56" t="n"/>
      <c r="AA155" s="56" t="n"/>
      <c r="AB155" s="57" t="n"/>
      <c r="AC155" s="56" t="n"/>
      <c r="AD155" s="56" t="n"/>
      <c r="AE155" s="1" t="n"/>
      <c r="AF155" s="56" t="n"/>
      <c r="AG155" s="1" t="n"/>
      <c r="AH155" s="56" t="n"/>
      <c r="AI155" s="1" t="n"/>
      <c r="AJ155" s="56" t="n"/>
      <c r="AK155" s="56" t="n"/>
      <c r="AL155" s="1" t="n"/>
      <c r="AM155" s="1" t="n"/>
      <c r="AN155" s="1" t="n"/>
      <c r="AO155" s="1" t="n"/>
      <c r="AP155" s="1" t="n"/>
      <c r="AR155" s="1" t="n"/>
    </row>
    <row r="156" ht="15.75" customHeight="1" s="9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54" t="n"/>
      <c r="N156" s="54" t="n"/>
      <c r="O156" s="54" t="n"/>
      <c r="P156" s="54" t="n"/>
      <c r="Q156" s="54" t="n"/>
      <c r="R156" s="54" t="n"/>
      <c r="S156" s="54" t="n"/>
      <c r="T156" s="55" t="n"/>
      <c r="U156" s="55" t="n"/>
      <c r="V156" s="56" t="n"/>
      <c r="W156" s="1" t="n"/>
      <c r="X156" s="56" t="n"/>
      <c r="Y156" s="57" t="n"/>
      <c r="Z156" s="56" t="n"/>
      <c r="AA156" s="56" t="n"/>
      <c r="AB156" s="57" t="n"/>
      <c r="AC156" s="56" t="n"/>
      <c r="AD156" s="56" t="n"/>
      <c r="AE156" s="1" t="n"/>
      <c r="AF156" s="56" t="n"/>
      <c r="AG156" s="1" t="n"/>
      <c r="AH156" s="56" t="n"/>
      <c r="AI156" s="1" t="n"/>
      <c r="AJ156" s="56" t="n"/>
      <c r="AK156" s="56" t="n"/>
      <c r="AL156" s="1" t="n"/>
      <c r="AM156" s="1" t="n"/>
      <c r="AN156" s="1" t="n"/>
      <c r="AO156" s="1" t="n"/>
      <c r="AP156" s="1" t="n"/>
      <c r="AR156" s="1" t="n"/>
    </row>
    <row r="157" ht="15.75" customHeight="1" s="9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54" t="n"/>
      <c r="N157" s="54" t="n"/>
      <c r="O157" s="54" t="n"/>
      <c r="P157" s="54" t="n"/>
      <c r="Q157" s="54" t="n"/>
      <c r="R157" s="54" t="n"/>
      <c r="S157" s="54" t="n"/>
      <c r="T157" s="55" t="n"/>
      <c r="U157" s="55" t="n"/>
      <c r="V157" s="56" t="n"/>
      <c r="W157" s="1" t="n"/>
      <c r="X157" s="56" t="n"/>
      <c r="Y157" s="57" t="n"/>
      <c r="Z157" s="56" t="n"/>
      <c r="AA157" s="56" t="n"/>
      <c r="AB157" s="57" t="n"/>
      <c r="AC157" s="56" t="n"/>
      <c r="AD157" s="56" t="n"/>
      <c r="AE157" s="1" t="n"/>
      <c r="AF157" s="56" t="n"/>
      <c r="AG157" s="1" t="n"/>
      <c r="AH157" s="56" t="n"/>
      <c r="AI157" s="1" t="n"/>
      <c r="AJ157" s="56" t="n"/>
      <c r="AK157" s="56" t="n"/>
      <c r="AL157" s="1" t="n"/>
      <c r="AM157" s="1" t="n"/>
      <c r="AN157" s="1" t="n"/>
      <c r="AO157" s="1" t="n"/>
      <c r="AP157" s="1" t="n"/>
      <c r="AR157" s="1" t="n"/>
    </row>
    <row r="158" ht="15.75" customHeight="1" s="9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54" t="n"/>
      <c r="N158" s="54" t="n"/>
      <c r="O158" s="54" t="n"/>
      <c r="P158" s="54" t="n"/>
      <c r="Q158" s="54" t="n"/>
      <c r="R158" s="54" t="n"/>
      <c r="S158" s="54" t="n"/>
      <c r="T158" s="55" t="n"/>
      <c r="U158" s="55" t="n"/>
      <c r="V158" s="56" t="n"/>
      <c r="W158" s="1" t="n"/>
      <c r="X158" s="56" t="n"/>
      <c r="Y158" s="57" t="n"/>
      <c r="Z158" s="56" t="n"/>
      <c r="AA158" s="56" t="n"/>
      <c r="AB158" s="57" t="n"/>
      <c r="AC158" s="56" t="n"/>
      <c r="AD158" s="56" t="n"/>
      <c r="AE158" s="1" t="n"/>
      <c r="AF158" s="56" t="n"/>
      <c r="AG158" s="1" t="n"/>
      <c r="AH158" s="56" t="n"/>
      <c r="AI158" s="1" t="n"/>
      <c r="AJ158" s="56" t="n"/>
      <c r="AK158" s="56" t="n"/>
      <c r="AL158" s="1" t="n"/>
      <c r="AM158" s="1" t="n"/>
      <c r="AN158" s="1" t="n"/>
      <c r="AO158" s="1" t="n"/>
      <c r="AP158" s="1" t="n"/>
      <c r="AR158" s="1" t="n"/>
    </row>
    <row r="159" ht="15.75" customHeight="1" s="9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54" t="n"/>
      <c r="N159" s="54" t="n"/>
      <c r="O159" s="54" t="n"/>
      <c r="P159" s="54" t="n"/>
      <c r="Q159" s="54" t="n"/>
      <c r="R159" s="54" t="n"/>
      <c r="S159" s="54" t="n"/>
      <c r="T159" s="55" t="n"/>
      <c r="U159" s="55" t="n"/>
      <c r="V159" s="56" t="n"/>
      <c r="W159" s="1" t="n"/>
      <c r="X159" s="56" t="n"/>
      <c r="Y159" s="57" t="n"/>
      <c r="Z159" s="56" t="n"/>
      <c r="AA159" s="56" t="n"/>
      <c r="AB159" s="57" t="n"/>
      <c r="AC159" s="56" t="n"/>
      <c r="AD159" s="56" t="n"/>
      <c r="AE159" s="1" t="n"/>
      <c r="AF159" s="56" t="n"/>
      <c r="AG159" s="1" t="n"/>
      <c r="AH159" s="56" t="n"/>
      <c r="AI159" s="1" t="n"/>
      <c r="AJ159" s="56" t="n"/>
      <c r="AK159" s="56" t="n"/>
      <c r="AL159" s="1" t="n"/>
      <c r="AM159" s="1" t="n"/>
      <c r="AN159" s="1" t="n"/>
      <c r="AO159" s="1" t="n"/>
      <c r="AP159" s="1" t="n"/>
      <c r="AR159" s="1" t="n"/>
    </row>
    <row r="160" ht="15.75" customHeight="1" s="9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54" t="n"/>
      <c r="N160" s="54" t="n"/>
      <c r="O160" s="54" t="n"/>
      <c r="P160" s="54" t="n"/>
      <c r="Q160" s="54" t="n"/>
      <c r="R160" s="54" t="n"/>
      <c r="S160" s="54" t="n"/>
      <c r="T160" s="55" t="n"/>
      <c r="U160" s="55" t="n"/>
      <c r="V160" s="56" t="n"/>
      <c r="W160" s="1" t="n"/>
      <c r="X160" s="56" t="n"/>
      <c r="Y160" s="57" t="n"/>
      <c r="Z160" s="56" t="n"/>
      <c r="AA160" s="56" t="n"/>
      <c r="AB160" s="57" t="n"/>
      <c r="AC160" s="56" t="n"/>
      <c r="AD160" s="56" t="n"/>
      <c r="AE160" s="1" t="n"/>
      <c r="AF160" s="56" t="n"/>
      <c r="AG160" s="1" t="n"/>
      <c r="AH160" s="56" t="n"/>
      <c r="AI160" s="1" t="n"/>
      <c r="AJ160" s="56" t="n"/>
      <c r="AK160" s="56" t="n"/>
      <c r="AL160" s="1" t="n"/>
      <c r="AM160" s="1" t="n"/>
      <c r="AN160" s="1" t="n"/>
      <c r="AO160" s="1" t="n"/>
      <c r="AP160" s="1" t="n"/>
      <c r="AR160" s="1" t="n"/>
    </row>
    <row r="161" ht="15.75" customHeight="1" s="9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54" t="n"/>
      <c r="N161" s="54" t="n"/>
      <c r="O161" s="54" t="n"/>
      <c r="P161" s="54" t="n"/>
      <c r="Q161" s="54" t="n"/>
      <c r="R161" s="54" t="n"/>
      <c r="S161" s="54" t="n"/>
      <c r="T161" s="55" t="n"/>
      <c r="U161" s="55" t="n"/>
      <c r="V161" s="56" t="n"/>
      <c r="W161" s="1" t="n"/>
      <c r="X161" s="56" t="n"/>
      <c r="Y161" s="57" t="n"/>
      <c r="Z161" s="56" t="n"/>
      <c r="AA161" s="56" t="n"/>
      <c r="AB161" s="57" t="n"/>
      <c r="AC161" s="56" t="n"/>
      <c r="AD161" s="56" t="n"/>
      <c r="AE161" s="1" t="n"/>
      <c r="AF161" s="56" t="n"/>
      <c r="AG161" s="1" t="n"/>
      <c r="AH161" s="56" t="n"/>
      <c r="AI161" s="1" t="n"/>
      <c r="AJ161" s="56" t="n"/>
      <c r="AK161" s="56" t="n"/>
      <c r="AL161" s="1" t="n"/>
      <c r="AM161" s="1" t="n"/>
      <c r="AN161" s="1" t="n"/>
      <c r="AO161" s="1" t="n"/>
      <c r="AP161" s="1" t="n"/>
      <c r="AR161" s="1" t="n"/>
    </row>
    <row r="162" ht="15.75" customHeight="1" s="9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54" t="n"/>
      <c r="N162" s="54" t="n"/>
      <c r="O162" s="54" t="n"/>
      <c r="P162" s="54" t="n"/>
      <c r="Q162" s="54" t="n"/>
      <c r="R162" s="54" t="n"/>
      <c r="S162" s="54" t="n"/>
      <c r="T162" s="55" t="n"/>
      <c r="U162" s="55" t="n"/>
      <c r="V162" s="56" t="n"/>
      <c r="W162" s="1" t="n"/>
      <c r="X162" s="56" t="n"/>
      <c r="Y162" s="57" t="n"/>
      <c r="Z162" s="56" t="n"/>
      <c r="AA162" s="56" t="n"/>
      <c r="AB162" s="57" t="n"/>
      <c r="AC162" s="56" t="n"/>
      <c r="AD162" s="56" t="n"/>
      <c r="AE162" s="1" t="n"/>
      <c r="AF162" s="56" t="n"/>
      <c r="AG162" s="1" t="n"/>
      <c r="AH162" s="56" t="n"/>
      <c r="AI162" s="1" t="n"/>
      <c r="AJ162" s="56" t="n"/>
      <c r="AK162" s="56" t="n"/>
      <c r="AL162" s="1" t="n"/>
      <c r="AM162" s="1" t="n"/>
      <c r="AN162" s="1" t="n"/>
      <c r="AO162" s="1" t="n"/>
      <c r="AP162" s="1" t="n"/>
      <c r="AR162" s="1" t="n"/>
    </row>
    <row r="163" ht="15.75" customHeight="1" s="9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54" t="n"/>
      <c r="N163" s="54" t="n"/>
      <c r="O163" s="54" t="n"/>
      <c r="P163" s="54" t="n"/>
      <c r="Q163" s="54" t="n"/>
      <c r="R163" s="54" t="n"/>
      <c r="S163" s="54" t="n"/>
      <c r="T163" s="55" t="n"/>
      <c r="U163" s="55" t="n"/>
      <c r="V163" s="56" t="n"/>
      <c r="W163" s="1" t="n"/>
      <c r="X163" s="56" t="n"/>
      <c r="Y163" s="57" t="n"/>
      <c r="Z163" s="56" t="n"/>
      <c r="AA163" s="56" t="n"/>
      <c r="AB163" s="57" t="n"/>
      <c r="AC163" s="56" t="n"/>
      <c r="AD163" s="56" t="n"/>
      <c r="AE163" s="1" t="n"/>
      <c r="AF163" s="56" t="n"/>
      <c r="AG163" s="1" t="n"/>
      <c r="AH163" s="56" t="n"/>
      <c r="AI163" s="1" t="n"/>
      <c r="AJ163" s="56" t="n"/>
      <c r="AK163" s="56" t="n"/>
      <c r="AL163" s="1" t="n"/>
      <c r="AM163" s="1" t="n"/>
      <c r="AN163" s="1" t="n"/>
      <c r="AO163" s="1" t="n"/>
      <c r="AP163" s="1" t="n"/>
      <c r="AR163" s="1" t="n"/>
    </row>
    <row r="164" ht="15.75" customHeight="1" s="9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54" t="n"/>
      <c r="N164" s="54" t="n"/>
      <c r="O164" s="54" t="n"/>
      <c r="P164" s="54" t="n"/>
      <c r="Q164" s="54" t="n"/>
      <c r="R164" s="54" t="n"/>
      <c r="S164" s="54" t="n"/>
      <c r="T164" s="55" t="n"/>
      <c r="U164" s="55" t="n"/>
      <c r="V164" s="56" t="n"/>
      <c r="W164" s="1" t="n"/>
      <c r="X164" s="56" t="n"/>
      <c r="Y164" s="57" t="n"/>
      <c r="Z164" s="56" t="n"/>
      <c r="AA164" s="56" t="n"/>
      <c r="AB164" s="57" t="n"/>
      <c r="AC164" s="56" t="n"/>
      <c r="AD164" s="56" t="n"/>
      <c r="AE164" s="1" t="n"/>
      <c r="AF164" s="56" t="n"/>
      <c r="AG164" s="1" t="n"/>
      <c r="AH164" s="56" t="n"/>
      <c r="AI164" s="1" t="n"/>
      <c r="AJ164" s="56" t="n"/>
      <c r="AK164" s="56" t="n"/>
      <c r="AL164" s="1" t="n"/>
      <c r="AM164" s="1" t="n"/>
      <c r="AN164" s="1" t="n"/>
      <c r="AO164" s="1" t="n"/>
      <c r="AP164" s="1" t="n"/>
      <c r="AR164" s="1" t="n"/>
    </row>
    <row r="165" ht="15.75" customHeight="1" s="9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54" t="n"/>
      <c r="N165" s="54" t="n"/>
      <c r="O165" s="54" t="n"/>
      <c r="P165" s="54" t="n"/>
      <c r="Q165" s="54" t="n"/>
      <c r="R165" s="54" t="n"/>
      <c r="S165" s="54" t="n"/>
      <c r="T165" s="55" t="n"/>
      <c r="U165" s="55" t="n"/>
      <c r="V165" s="56" t="n"/>
      <c r="W165" s="1" t="n"/>
      <c r="X165" s="56" t="n"/>
      <c r="Y165" s="57" t="n"/>
      <c r="Z165" s="56" t="n"/>
      <c r="AA165" s="56" t="n"/>
      <c r="AB165" s="57" t="n"/>
      <c r="AC165" s="56" t="n"/>
      <c r="AD165" s="56" t="n"/>
      <c r="AE165" s="1" t="n"/>
      <c r="AF165" s="56" t="n"/>
      <c r="AG165" s="1" t="n"/>
      <c r="AH165" s="56" t="n"/>
      <c r="AI165" s="1" t="n"/>
      <c r="AJ165" s="56" t="n"/>
      <c r="AK165" s="56" t="n"/>
      <c r="AL165" s="1" t="n"/>
      <c r="AM165" s="1" t="n"/>
      <c r="AN165" s="1" t="n"/>
      <c r="AO165" s="1" t="n"/>
      <c r="AP165" s="1" t="n"/>
      <c r="AR165" s="1" t="n"/>
    </row>
    <row r="166" ht="15.75" customHeight="1" s="9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54" t="n"/>
      <c r="N166" s="54" t="n"/>
      <c r="O166" s="54" t="n"/>
      <c r="P166" s="54" t="n"/>
      <c r="Q166" s="54" t="n"/>
      <c r="R166" s="54" t="n"/>
      <c r="S166" s="54" t="n"/>
      <c r="T166" s="55" t="n"/>
      <c r="U166" s="55" t="n"/>
      <c r="V166" s="56" t="n"/>
      <c r="W166" s="1" t="n"/>
      <c r="X166" s="56" t="n"/>
      <c r="Y166" s="57" t="n"/>
      <c r="Z166" s="56" t="n"/>
      <c r="AA166" s="56" t="n"/>
      <c r="AB166" s="57" t="n"/>
      <c r="AC166" s="56" t="n"/>
      <c r="AD166" s="56" t="n"/>
      <c r="AE166" s="1" t="n"/>
      <c r="AF166" s="56" t="n"/>
      <c r="AG166" s="1" t="n"/>
      <c r="AH166" s="56" t="n"/>
      <c r="AI166" s="1" t="n"/>
      <c r="AJ166" s="56" t="n"/>
      <c r="AK166" s="56" t="n"/>
      <c r="AL166" s="1" t="n"/>
      <c r="AM166" s="1" t="n"/>
      <c r="AN166" s="1" t="n"/>
      <c r="AO166" s="1" t="n"/>
      <c r="AP166" s="1" t="n"/>
      <c r="AR166" s="1" t="n"/>
    </row>
    <row r="167" ht="15.75" customHeight="1" s="9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54" t="n"/>
      <c r="N167" s="54" t="n"/>
      <c r="O167" s="54" t="n"/>
      <c r="P167" s="54" t="n"/>
      <c r="Q167" s="54" t="n"/>
      <c r="R167" s="54" t="n"/>
      <c r="S167" s="54" t="n"/>
      <c r="T167" s="55" t="n"/>
      <c r="U167" s="55" t="n"/>
      <c r="V167" s="56" t="n"/>
      <c r="W167" s="1" t="n"/>
      <c r="X167" s="56" t="n"/>
      <c r="Y167" s="57" t="n"/>
      <c r="Z167" s="56" t="n"/>
      <c r="AA167" s="56" t="n"/>
      <c r="AB167" s="57" t="n"/>
      <c r="AC167" s="56" t="n"/>
      <c r="AD167" s="56" t="n"/>
      <c r="AE167" s="1" t="n"/>
      <c r="AF167" s="56" t="n"/>
      <c r="AG167" s="1" t="n"/>
      <c r="AH167" s="56" t="n"/>
      <c r="AI167" s="1" t="n"/>
      <c r="AJ167" s="56" t="n"/>
      <c r="AK167" s="56" t="n"/>
      <c r="AL167" s="1" t="n"/>
      <c r="AM167" s="1" t="n"/>
      <c r="AN167" s="1" t="n"/>
      <c r="AO167" s="1" t="n"/>
      <c r="AP167" s="1" t="n"/>
      <c r="AR167" s="1" t="n"/>
    </row>
    <row r="168" ht="15.75" customHeight="1" s="9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54" t="n"/>
      <c r="N168" s="54" t="n"/>
      <c r="O168" s="54" t="n"/>
      <c r="P168" s="54" t="n"/>
      <c r="Q168" s="54" t="n"/>
      <c r="R168" s="54" t="n"/>
      <c r="S168" s="54" t="n"/>
      <c r="T168" s="55" t="n"/>
      <c r="U168" s="55" t="n"/>
      <c r="V168" s="56" t="n"/>
      <c r="W168" s="1" t="n"/>
      <c r="X168" s="56" t="n"/>
      <c r="Y168" s="57" t="n"/>
      <c r="Z168" s="56" t="n"/>
      <c r="AA168" s="56" t="n"/>
      <c r="AB168" s="57" t="n"/>
      <c r="AC168" s="56" t="n"/>
      <c r="AD168" s="56" t="n"/>
      <c r="AE168" s="1" t="n"/>
      <c r="AF168" s="56" t="n"/>
      <c r="AG168" s="1" t="n"/>
      <c r="AH168" s="56" t="n"/>
      <c r="AI168" s="1" t="n"/>
      <c r="AJ168" s="56" t="n"/>
      <c r="AK168" s="56" t="n"/>
      <c r="AL168" s="1" t="n"/>
      <c r="AM168" s="1" t="n"/>
      <c r="AN168" s="1" t="n"/>
      <c r="AO168" s="1" t="n"/>
      <c r="AP168" s="1" t="n"/>
      <c r="AR168" s="1" t="n"/>
    </row>
    <row r="169" ht="15.75" customHeight="1" s="9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54" t="n"/>
      <c r="N169" s="54" t="n"/>
      <c r="O169" s="54" t="n"/>
      <c r="P169" s="54" t="n"/>
      <c r="Q169" s="54" t="n"/>
      <c r="R169" s="54" t="n"/>
      <c r="S169" s="54" t="n"/>
      <c r="T169" s="55" t="n"/>
      <c r="U169" s="55" t="n"/>
      <c r="V169" s="56" t="n"/>
      <c r="W169" s="1" t="n"/>
      <c r="X169" s="56" t="n"/>
      <c r="Y169" s="57" t="n"/>
      <c r="Z169" s="56" t="n"/>
      <c r="AA169" s="56" t="n"/>
      <c r="AB169" s="57" t="n"/>
      <c r="AC169" s="56" t="n"/>
      <c r="AD169" s="56" t="n"/>
      <c r="AE169" s="1" t="n"/>
      <c r="AF169" s="56" t="n"/>
      <c r="AG169" s="1" t="n"/>
      <c r="AH169" s="56" t="n"/>
      <c r="AI169" s="1" t="n"/>
      <c r="AJ169" s="56" t="n"/>
      <c r="AK169" s="56" t="n"/>
      <c r="AL169" s="1" t="n"/>
      <c r="AM169" s="1" t="n"/>
      <c r="AN169" s="1" t="n"/>
      <c r="AO169" s="1" t="n"/>
      <c r="AP169" s="1" t="n"/>
      <c r="AR169" s="1" t="n"/>
    </row>
    <row r="170" ht="15.75" customHeight="1" s="9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54" t="n"/>
      <c r="N170" s="54" t="n"/>
      <c r="O170" s="54" t="n"/>
      <c r="P170" s="54" t="n"/>
      <c r="Q170" s="54" t="n"/>
      <c r="R170" s="54" t="n"/>
      <c r="S170" s="54" t="n"/>
      <c r="T170" s="55" t="n"/>
      <c r="U170" s="55" t="n"/>
      <c r="V170" s="56" t="n"/>
      <c r="W170" s="1" t="n"/>
      <c r="X170" s="56" t="n"/>
      <c r="Y170" s="57" t="n"/>
      <c r="Z170" s="56" t="n"/>
      <c r="AA170" s="56" t="n"/>
      <c r="AB170" s="57" t="n"/>
      <c r="AC170" s="56" t="n"/>
      <c r="AD170" s="56" t="n"/>
      <c r="AE170" s="1" t="n"/>
      <c r="AF170" s="56" t="n"/>
      <c r="AG170" s="1" t="n"/>
      <c r="AH170" s="56" t="n"/>
      <c r="AI170" s="1" t="n"/>
      <c r="AJ170" s="56" t="n"/>
      <c r="AK170" s="56" t="n"/>
      <c r="AL170" s="1" t="n"/>
      <c r="AM170" s="1" t="n"/>
      <c r="AN170" s="1" t="n"/>
      <c r="AO170" s="1" t="n"/>
      <c r="AP170" s="1" t="n"/>
      <c r="AR170" s="1" t="n"/>
    </row>
    <row r="171" ht="15.75" customHeight="1" s="9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54" t="n"/>
      <c r="N171" s="54" t="n"/>
      <c r="O171" s="54" t="n"/>
      <c r="P171" s="54" t="n"/>
      <c r="Q171" s="54" t="n"/>
      <c r="R171" s="54" t="n"/>
      <c r="S171" s="54" t="n"/>
      <c r="T171" s="55" t="n"/>
      <c r="U171" s="55" t="n"/>
      <c r="V171" s="56" t="n"/>
      <c r="W171" s="1" t="n"/>
      <c r="X171" s="56" t="n"/>
      <c r="Y171" s="57" t="n"/>
      <c r="Z171" s="56" t="n"/>
      <c r="AA171" s="56" t="n"/>
      <c r="AB171" s="57" t="n"/>
      <c r="AC171" s="56" t="n"/>
      <c r="AD171" s="56" t="n"/>
      <c r="AE171" s="1" t="n"/>
      <c r="AF171" s="56" t="n"/>
      <c r="AG171" s="1" t="n"/>
      <c r="AH171" s="56" t="n"/>
      <c r="AI171" s="1" t="n"/>
      <c r="AJ171" s="56" t="n"/>
      <c r="AK171" s="56" t="n"/>
      <c r="AL171" s="1" t="n"/>
      <c r="AM171" s="1" t="n"/>
      <c r="AN171" s="1" t="n"/>
      <c r="AO171" s="1" t="n"/>
      <c r="AP171" s="1" t="n"/>
      <c r="AR171" s="1" t="n"/>
    </row>
    <row r="172" ht="15.75" customHeight="1" s="9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54" t="n"/>
      <c r="N172" s="54" t="n"/>
      <c r="O172" s="54" t="n"/>
      <c r="P172" s="54" t="n"/>
      <c r="Q172" s="54" t="n"/>
      <c r="R172" s="54" t="n"/>
      <c r="S172" s="54" t="n"/>
      <c r="T172" s="55" t="n"/>
      <c r="U172" s="55" t="n"/>
      <c r="V172" s="56" t="n"/>
      <c r="W172" s="1" t="n"/>
      <c r="X172" s="56" t="n"/>
      <c r="Y172" s="57" t="n"/>
      <c r="Z172" s="56" t="n"/>
      <c r="AA172" s="56" t="n"/>
      <c r="AB172" s="57" t="n"/>
      <c r="AC172" s="56" t="n"/>
      <c r="AD172" s="56" t="n"/>
      <c r="AE172" s="1" t="n"/>
      <c r="AF172" s="56" t="n"/>
      <c r="AG172" s="1" t="n"/>
      <c r="AH172" s="56" t="n"/>
      <c r="AI172" s="1" t="n"/>
      <c r="AJ172" s="56" t="n"/>
      <c r="AK172" s="56" t="n"/>
      <c r="AL172" s="1" t="n"/>
      <c r="AM172" s="1" t="n"/>
      <c r="AN172" s="1" t="n"/>
      <c r="AO172" s="1" t="n"/>
      <c r="AP172" s="1" t="n"/>
      <c r="AR172" s="1" t="n"/>
    </row>
    <row r="173" ht="15.75" customHeight="1" s="9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54" t="n"/>
      <c r="N173" s="54" t="n"/>
      <c r="O173" s="54" t="n"/>
      <c r="P173" s="54" t="n"/>
      <c r="Q173" s="54" t="n"/>
      <c r="R173" s="54" t="n"/>
      <c r="S173" s="54" t="n"/>
      <c r="T173" s="55" t="n"/>
      <c r="U173" s="55" t="n"/>
      <c r="V173" s="56" t="n"/>
      <c r="W173" s="1" t="n"/>
      <c r="X173" s="56" t="n"/>
      <c r="Y173" s="57" t="n"/>
      <c r="Z173" s="56" t="n"/>
      <c r="AA173" s="56" t="n"/>
      <c r="AB173" s="57" t="n"/>
      <c r="AC173" s="56" t="n"/>
      <c r="AD173" s="56" t="n"/>
      <c r="AE173" s="1" t="n"/>
      <c r="AF173" s="56" t="n"/>
      <c r="AG173" s="1" t="n"/>
      <c r="AH173" s="56" t="n"/>
      <c r="AI173" s="1" t="n"/>
      <c r="AJ173" s="56" t="n"/>
      <c r="AK173" s="56" t="n"/>
      <c r="AL173" s="1" t="n"/>
      <c r="AM173" s="1" t="n"/>
      <c r="AN173" s="1" t="n"/>
      <c r="AO173" s="1" t="n"/>
      <c r="AP173" s="1" t="n"/>
      <c r="AR173" s="1" t="n"/>
    </row>
    <row r="174" ht="15.75" customHeight="1" s="9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54" t="n"/>
      <c r="N174" s="54" t="n"/>
      <c r="O174" s="54" t="n"/>
      <c r="P174" s="54" t="n"/>
      <c r="Q174" s="54" t="n"/>
      <c r="R174" s="54" t="n"/>
      <c r="S174" s="54" t="n"/>
      <c r="T174" s="55" t="n"/>
      <c r="U174" s="55" t="n"/>
      <c r="V174" s="56" t="n"/>
      <c r="W174" s="1" t="n"/>
      <c r="X174" s="56" t="n"/>
      <c r="Y174" s="57" t="n"/>
      <c r="Z174" s="56" t="n"/>
      <c r="AA174" s="56" t="n"/>
      <c r="AB174" s="57" t="n"/>
      <c r="AC174" s="56" t="n"/>
      <c r="AD174" s="56" t="n"/>
      <c r="AE174" s="1" t="n"/>
      <c r="AF174" s="56" t="n"/>
      <c r="AG174" s="1" t="n"/>
      <c r="AH174" s="56" t="n"/>
      <c r="AI174" s="1" t="n"/>
      <c r="AJ174" s="56" t="n"/>
      <c r="AK174" s="56" t="n"/>
      <c r="AL174" s="1" t="n"/>
      <c r="AM174" s="1" t="n"/>
      <c r="AN174" s="1" t="n"/>
      <c r="AO174" s="1" t="n"/>
      <c r="AP174" s="1" t="n"/>
      <c r="AR174" s="1" t="n"/>
    </row>
    <row r="175" ht="15.75" customHeight="1" s="9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54" t="n"/>
      <c r="N175" s="54" t="n"/>
      <c r="O175" s="54" t="n"/>
      <c r="P175" s="54" t="n"/>
      <c r="Q175" s="54" t="n"/>
      <c r="R175" s="54" t="n"/>
      <c r="S175" s="54" t="n"/>
      <c r="T175" s="55" t="n"/>
      <c r="U175" s="55" t="n"/>
      <c r="V175" s="56" t="n"/>
      <c r="W175" s="1" t="n"/>
      <c r="X175" s="56" t="n"/>
      <c r="Y175" s="57" t="n"/>
      <c r="Z175" s="56" t="n"/>
      <c r="AA175" s="56" t="n"/>
      <c r="AB175" s="57" t="n"/>
      <c r="AC175" s="56" t="n"/>
      <c r="AD175" s="56" t="n"/>
      <c r="AE175" s="1" t="n"/>
      <c r="AF175" s="56" t="n"/>
      <c r="AG175" s="1" t="n"/>
      <c r="AH175" s="56" t="n"/>
      <c r="AI175" s="1" t="n"/>
      <c r="AJ175" s="56" t="n"/>
      <c r="AK175" s="56" t="n"/>
      <c r="AL175" s="1" t="n"/>
      <c r="AM175" s="1" t="n"/>
      <c r="AN175" s="1" t="n"/>
      <c r="AO175" s="1" t="n"/>
      <c r="AP175" s="1" t="n"/>
      <c r="AR175" s="1" t="n"/>
    </row>
    <row r="176" ht="15.75" customHeight="1" s="9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54" t="n"/>
      <c r="N176" s="54" t="n"/>
      <c r="O176" s="54" t="n"/>
      <c r="P176" s="54" t="n"/>
      <c r="Q176" s="54" t="n"/>
      <c r="R176" s="54" t="n"/>
      <c r="S176" s="54" t="n"/>
      <c r="T176" s="55" t="n"/>
      <c r="U176" s="55" t="n"/>
      <c r="V176" s="56" t="n"/>
      <c r="W176" s="1" t="n"/>
      <c r="X176" s="56" t="n"/>
      <c r="Y176" s="57" t="n"/>
      <c r="Z176" s="56" t="n"/>
      <c r="AA176" s="56" t="n"/>
      <c r="AB176" s="57" t="n"/>
      <c r="AC176" s="56" t="n"/>
      <c r="AD176" s="56" t="n"/>
      <c r="AE176" s="1" t="n"/>
      <c r="AF176" s="56" t="n"/>
      <c r="AG176" s="1" t="n"/>
      <c r="AH176" s="56" t="n"/>
      <c r="AI176" s="1" t="n"/>
      <c r="AJ176" s="56" t="n"/>
      <c r="AK176" s="56" t="n"/>
      <c r="AL176" s="1" t="n"/>
      <c r="AM176" s="1" t="n"/>
      <c r="AN176" s="1" t="n"/>
      <c r="AO176" s="1" t="n"/>
      <c r="AP176" s="1" t="n"/>
      <c r="AR176" s="1" t="n"/>
    </row>
    <row r="177" ht="15.75" customHeight="1" s="9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54" t="n"/>
      <c r="N177" s="54" t="n"/>
      <c r="O177" s="54" t="n"/>
      <c r="P177" s="54" t="n"/>
      <c r="Q177" s="54" t="n"/>
      <c r="R177" s="54" t="n"/>
      <c r="S177" s="54" t="n"/>
      <c r="T177" s="55" t="n"/>
      <c r="U177" s="55" t="n"/>
      <c r="V177" s="56" t="n"/>
      <c r="W177" s="1" t="n"/>
      <c r="X177" s="56" t="n"/>
      <c r="Y177" s="57" t="n"/>
      <c r="Z177" s="56" t="n"/>
      <c r="AA177" s="56" t="n"/>
      <c r="AB177" s="57" t="n"/>
      <c r="AC177" s="56" t="n"/>
      <c r="AD177" s="56" t="n"/>
      <c r="AE177" s="1" t="n"/>
      <c r="AF177" s="56" t="n"/>
      <c r="AG177" s="1" t="n"/>
      <c r="AH177" s="56" t="n"/>
      <c r="AI177" s="1" t="n"/>
      <c r="AJ177" s="56" t="n"/>
      <c r="AK177" s="56" t="n"/>
      <c r="AL177" s="1" t="n"/>
      <c r="AM177" s="1" t="n"/>
      <c r="AN177" s="1" t="n"/>
      <c r="AO177" s="1" t="n"/>
      <c r="AP177" s="1" t="n"/>
      <c r="AR177" s="1" t="n"/>
    </row>
    <row r="178" ht="15.75" customHeight="1" s="9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54" t="n"/>
      <c r="N178" s="54" t="n"/>
      <c r="O178" s="54" t="n"/>
      <c r="P178" s="54" t="n"/>
      <c r="Q178" s="54" t="n"/>
      <c r="R178" s="54" t="n"/>
      <c r="S178" s="54" t="n"/>
      <c r="T178" s="55" t="n"/>
      <c r="U178" s="55" t="n"/>
      <c r="V178" s="56" t="n"/>
      <c r="W178" s="1" t="n"/>
      <c r="X178" s="56" t="n"/>
      <c r="Y178" s="57" t="n"/>
      <c r="Z178" s="56" t="n"/>
      <c r="AA178" s="56" t="n"/>
      <c r="AB178" s="57" t="n"/>
      <c r="AC178" s="56" t="n"/>
      <c r="AD178" s="56" t="n"/>
      <c r="AE178" s="1" t="n"/>
      <c r="AF178" s="56" t="n"/>
      <c r="AG178" s="1" t="n"/>
      <c r="AH178" s="56" t="n"/>
      <c r="AI178" s="1" t="n"/>
      <c r="AJ178" s="56" t="n"/>
      <c r="AK178" s="56" t="n"/>
      <c r="AL178" s="1" t="n"/>
      <c r="AM178" s="1" t="n"/>
      <c r="AN178" s="1" t="n"/>
      <c r="AO178" s="1" t="n"/>
      <c r="AP178" s="1" t="n"/>
      <c r="AR178" s="1" t="n"/>
    </row>
    <row r="179" ht="15.75" customHeight="1" s="9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54" t="n"/>
      <c r="N179" s="54" t="n"/>
      <c r="O179" s="54" t="n"/>
      <c r="P179" s="54" t="n"/>
      <c r="Q179" s="54" t="n"/>
      <c r="R179" s="54" t="n"/>
      <c r="S179" s="54" t="n"/>
      <c r="T179" s="55" t="n"/>
      <c r="U179" s="55" t="n"/>
      <c r="V179" s="56" t="n"/>
      <c r="W179" s="1" t="n"/>
      <c r="X179" s="56" t="n"/>
      <c r="Y179" s="57" t="n"/>
      <c r="Z179" s="56" t="n"/>
      <c r="AA179" s="56" t="n"/>
      <c r="AB179" s="57" t="n"/>
      <c r="AC179" s="56" t="n"/>
      <c r="AD179" s="56" t="n"/>
      <c r="AE179" s="1" t="n"/>
      <c r="AF179" s="56" t="n"/>
      <c r="AG179" s="1" t="n"/>
      <c r="AH179" s="56" t="n"/>
      <c r="AI179" s="1" t="n"/>
      <c r="AJ179" s="56" t="n"/>
      <c r="AK179" s="56" t="n"/>
      <c r="AL179" s="1" t="n"/>
      <c r="AM179" s="1" t="n"/>
      <c r="AN179" s="1" t="n"/>
      <c r="AO179" s="1" t="n"/>
      <c r="AP179" s="1" t="n"/>
      <c r="AR179" s="1" t="n"/>
    </row>
    <row r="180" ht="15.75" customHeight="1" s="9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54" t="n"/>
      <c r="N180" s="54" t="n"/>
      <c r="O180" s="54" t="n"/>
      <c r="P180" s="54" t="n"/>
      <c r="Q180" s="54" t="n"/>
      <c r="R180" s="54" t="n"/>
      <c r="S180" s="54" t="n"/>
      <c r="T180" s="55" t="n"/>
      <c r="U180" s="55" t="n"/>
      <c r="V180" s="56" t="n"/>
      <c r="W180" s="1" t="n"/>
      <c r="X180" s="56" t="n"/>
      <c r="Y180" s="57" t="n"/>
      <c r="Z180" s="56" t="n"/>
      <c r="AA180" s="56" t="n"/>
      <c r="AB180" s="57" t="n"/>
      <c r="AC180" s="56" t="n"/>
      <c r="AD180" s="56" t="n"/>
      <c r="AE180" s="1" t="n"/>
      <c r="AF180" s="56" t="n"/>
      <c r="AG180" s="1" t="n"/>
      <c r="AH180" s="56" t="n"/>
      <c r="AI180" s="1" t="n"/>
      <c r="AJ180" s="56" t="n"/>
      <c r="AK180" s="56" t="n"/>
      <c r="AL180" s="1" t="n"/>
      <c r="AM180" s="1" t="n"/>
      <c r="AN180" s="1" t="n"/>
      <c r="AO180" s="1" t="n"/>
      <c r="AP180" s="1" t="n"/>
      <c r="AR180" s="1" t="n"/>
    </row>
    <row r="181" ht="15.75" customHeight="1" s="9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54" t="n"/>
      <c r="N181" s="54" t="n"/>
      <c r="O181" s="54" t="n"/>
      <c r="P181" s="54" t="n"/>
      <c r="Q181" s="54" t="n"/>
      <c r="R181" s="54" t="n"/>
      <c r="S181" s="54" t="n"/>
      <c r="T181" s="55" t="n"/>
      <c r="U181" s="55" t="n"/>
      <c r="V181" s="56" t="n"/>
      <c r="W181" s="1" t="n"/>
      <c r="X181" s="56" t="n"/>
      <c r="Y181" s="57" t="n"/>
      <c r="Z181" s="56" t="n"/>
      <c r="AA181" s="56" t="n"/>
      <c r="AB181" s="57" t="n"/>
      <c r="AC181" s="56" t="n"/>
      <c r="AD181" s="56" t="n"/>
      <c r="AE181" s="1" t="n"/>
      <c r="AF181" s="56" t="n"/>
      <c r="AG181" s="1" t="n"/>
      <c r="AH181" s="56" t="n"/>
      <c r="AI181" s="1" t="n"/>
      <c r="AJ181" s="56" t="n"/>
      <c r="AK181" s="56" t="n"/>
      <c r="AL181" s="1" t="n"/>
      <c r="AM181" s="1" t="n"/>
      <c r="AN181" s="1" t="n"/>
      <c r="AO181" s="1" t="n"/>
      <c r="AP181" s="1" t="n"/>
      <c r="AR181" s="1" t="n"/>
    </row>
    <row r="182" ht="15.75" customHeight="1" s="9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54" t="n"/>
      <c r="N182" s="54" t="n"/>
      <c r="O182" s="54" t="n"/>
      <c r="P182" s="54" t="n"/>
      <c r="Q182" s="54" t="n"/>
      <c r="R182" s="54" t="n"/>
      <c r="S182" s="54" t="n"/>
      <c r="T182" s="55" t="n"/>
      <c r="U182" s="55" t="n"/>
      <c r="V182" s="56" t="n"/>
      <c r="W182" s="1" t="n"/>
      <c r="X182" s="56" t="n"/>
      <c r="Y182" s="57" t="n"/>
      <c r="Z182" s="56" t="n"/>
      <c r="AA182" s="56" t="n"/>
      <c r="AB182" s="57" t="n"/>
      <c r="AC182" s="56" t="n"/>
      <c r="AD182" s="56" t="n"/>
      <c r="AE182" s="1" t="n"/>
      <c r="AF182" s="56" t="n"/>
      <c r="AG182" s="1" t="n"/>
      <c r="AH182" s="56" t="n"/>
      <c r="AI182" s="1" t="n"/>
      <c r="AJ182" s="56" t="n"/>
      <c r="AK182" s="56" t="n"/>
      <c r="AL182" s="1" t="n"/>
      <c r="AM182" s="1" t="n"/>
      <c r="AN182" s="1" t="n"/>
      <c r="AO182" s="1" t="n"/>
      <c r="AP182" s="1" t="n"/>
      <c r="AR182" s="1" t="n"/>
    </row>
    <row r="183" ht="15.75" customHeight="1" s="9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54" t="n"/>
      <c r="N183" s="54" t="n"/>
      <c r="O183" s="54" t="n"/>
      <c r="P183" s="54" t="n"/>
      <c r="Q183" s="54" t="n"/>
      <c r="R183" s="54" t="n"/>
      <c r="S183" s="54" t="n"/>
      <c r="T183" s="55" t="n"/>
      <c r="U183" s="55" t="n"/>
      <c r="V183" s="56" t="n"/>
      <c r="W183" s="1" t="n"/>
      <c r="X183" s="56" t="n"/>
      <c r="Y183" s="57" t="n"/>
      <c r="Z183" s="56" t="n"/>
      <c r="AA183" s="56" t="n"/>
      <c r="AB183" s="57" t="n"/>
      <c r="AC183" s="56" t="n"/>
      <c r="AD183" s="56" t="n"/>
      <c r="AE183" s="1" t="n"/>
      <c r="AF183" s="56" t="n"/>
      <c r="AG183" s="1" t="n"/>
      <c r="AH183" s="56" t="n"/>
      <c r="AI183" s="1" t="n"/>
      <c r="AJ183" s="56" t="n"/>
      <c r="AK183" s="56" t="n"/>
      <c r="AL183" s="1" t="n"/>
      <c r="AM183" s="1" t="n"/>
      <c r="AN183" s="1" t="n"/>
      <c r="AO183" s="1" t="n"/>
      <c r="AP183" s="1" t="n"/>
      <c r="AR183" s="1" t="n"/>
    </row>
    <row r="184" ht="15.75" customHeight="1" s="9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54" t="n"/>
      <c r="N184" s="54" t="n"/>
      <c r="O184" s="54" t="n"/>
      <c r="P184" s="54" t="n"/>
      <c r="Q184" s="54" t="n"/>
      <c r="R184" s="54" t="n"/>
      <c r="S184" s="54" t="n"/>
      <c r="T184" s="55" t="n"/>
      <c r="U184" s="55" t="n"/>
      <c r="V184" s="56" t="n"/>
      <c r="W184" s="1" t="n"/>
      <c r="X184" s="56" t="n"/>
      <c r="Y184" s="57" t="n"/>
      <c r="Z184" s="56" t="n"/>
      <c r="AA184" s="56" t="n"/>
      <c r="AB184" s="57" t="n"/>
      <c r="AC184" s="56" t="n"/>
      <c r="AD184" s="56" t="n"/>
      <c r="AE184" s="1" t="n"/>
      <c r="AF184" s="56" t="n"/>
      <c r="AG184" s="1" t="n"/>
      <c r="AH184" s="56" t="n"/>
      <c r="AI184" s="1" t="n"/>
      <c r="AJ184" s="56" t="n"/>
      <c r="AK184" s="56" t="n"/>
      <c r="AL184" s="1" t="n"/>
      <c r="AM184" s="1" t="n"/>
      <c r="AN184" s="1" t="n"/>
      <c r="AO184" s="1" t="n"/>
      <c r="AP184" s="1" t="n"/>
      <c r="AR184" s="1" t="n"/>
    </row>
    <row r="185" ht="15.75" customHeight="1" s="9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54" t="n"/>
      <c r="N185" s="54" t="n"/>
      <c r="O185" s="54" t="n"/>
      <c r="P185" s="54" t="n"/>
      <c r="Q185" s="54" t="n"/>
      <c r="R185" s="54" t="n"/>
      <c r="S185" s="54" t="n"/>
      <c r="T185" s="55" t="n"/>
      <c r="U185" s="55" t="n"/>
      <c r="V185" s="56" t="n"/>
      <c r="W185" s="1" t="n"/>
      <c r="X185" s="56" t="n"/>
      <c r="Y185" s="57" t="n"/>
      <c r="Z185" s="56" t="n"/>
      <c r="AA185" s="56" t="n"/>
      <c r="AB185" s="57" t="n"/>
      <c r="AC185" s="56" t="n"/>
      <c r="AD185" s="56" t="n"/>
      <c r="AE185" s="1" t="n"/>
      <c r="AF185" s="56" t="n"/>
      <c r="AG185" s="1" t="n"/>
      <c r="AH185" s="56" t="n"/>
      <c r="AI185" s="1" t="n"/>
      <c r="AJ185" s="56" t="n"/>
      <c r="AK185" s="56" t="n"/>
      <c r="AL185" s="1" t="n"/>
      <c r="AM185" s="1" t="n"/>
      <c r="AN185" s="1" t="n"/>
      <c r="AO185" s="1" t="n"/>
      <c r="AP185" s="1" t="n"/>
      <c r="AR185" s="1" t="n"/>
    </row>
    <row r="186" ht="15.75" customHeight="1" s="9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54" t="n"/>
      <c r="N186" s="54" t="n"/>
      <c r="O186" s="54" t="n"/>
      <c r="P186" s="54" t="n"/>
      <c r="Q186" s="54" t="n"/>
      <c r="R186" s="54" t="n"/>
      <c r="S186" s="54" t="n"/>
      <c r="T186" s="55" t="n"/>
      <c r="U186" s="55" t="n"/>
      <c r="V186" s="56" t="n"/>
      <c r="W186" s="1" t="n"/>
      <c r="X186" s="56" t="n"/>
      <c r="Y186" s="57" t="n"/>
      <c r="Z186" s="56" t="n"/>
      <c r="AA186" s="56" t="n"/>
      <c r="AB186" s="57" t="n"/>
      <c r="AC186" s="56" t="n"/>
      <c r="AD186" s="56" t="n"/>
      <c r="AE186" s="1" t="n"/>
      <c r="AF186" s="56" t="n"/>
      <c r="AG186" s="1" t="n"/>
      <c r="AH186" s="56" t="n"/>
      <c r="AI186" s="1" t="n"/>
      <c r="AJ186" s="56" t="n"/>
      <c r="AK186" s="56" t="n"/>
      <c r="AL186" s="1" t="n"/>
      <c r="AM186" s="1" t="n"/>
      <c r="AN186" s="1" t="n"/>
      <c r="AO186" s="1" t="n"/>
      <c r="AP186" s="1" t="n"/>
      <c r="AR186" s="1" t="n"/>
    </row>
    <row r="187" ht="15.75" customHeight="1" s="9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54" t="n"/>
      <c r="N187" s="54" t="n"/>
      <c r="O187" s="54" t="n"/>
      <c r="P187" s="54" t="n"/>
      <c r="Q187" s="54" t="n"/>
      <c r="R187" s="54" t="n"/>
      <c r="S187" s="54" t="n"/>
      <c r="T187" s="55" t="n"/>
      <c r="U187" s="55" t="n"/>
      <c r="V187" s="56" t="n"/>
      <c r="W187" s="1" t="n"/>
      <c r="X187" s="56" t="n"/>
      <c r="Y187" s="57" t="n"/>
      <c r="Z187" s="56" t="n"/>
      <c r="AA187" s="56" t="n"/>
      <c r="AB187" s="57" t="n"/>
      <c r="AC187" s="56" t="n"/>
      <c r="AD187" s="56" t="n"/>
      <c r="AE187" s="1" t="n"/>
      <c r="AF187" s="56" t="n"/>
      <c r="AG187" s="1" t="n"/>
      <c r="AH187" s="56" t="n"/>
      <c r="AI187" s="1" t="n"/>
      <c r="AJ187" s="56" t="n"/>
      <c r="AK187" s="56" t="n"/>
      <c r="AL187" s="1" t="n"/>
      <c r="AM187" s="1" t="n"/>
      <c r="AN187" s="1" t="n"/>
      <c r="AO187" s="1" t="n"/>
      <c r="AP187" s="1" t="n"/>
      <c r="AR187" s="1" t="n"/>
    </row>
    <row r="188" ht="15.75" customHeight="1" s="9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54" t="n"/>
      <c r="N188" s="54" t="n"/>
      <c r="O188" s="54" t="n"/>
      <c r="P188" s="54" t="n"/>
      <c r="Q188" s="54" t="n"/>
      <c r="R188" s="54" t="n"/>
      <c r="S188" s="54" t="n"/>
      <c r="T188" s="55" t="n"/>
      <c r="U188" s="55" t="n"/>
      <c r="V188" s="56" t="n"/>
      <c r="W188" s="1" t="n"/>
      <c r="X188" s="56" t="n"/>
      <c r="Y188" s="57" t="n"/>
      <c r="Z188" s="56" t="n"/>
      <c r="AA188" s="56" t="n"/>
      <c r="AB188" s="57" t="n"/>
      <c r="AC188" s="56" t="n"/>
      <c r="AD188" s="56" t="n"/>
      <c r="AE188" s="1" t="n"/>
      <c r="AF188" s="56" t="n"/>
      <c r="AG188" s="1" t="n"/>
      <c r="AH188" s="56" t="n"/>
      <c r="AI188" s="1" t="n"/>
      <c r="AJ188" s="56" t="n"/>
      <c r="AK188" s="56" t="n"/>
      <c r="AL188" s="1" t="n"/>
      <c r="AM188" s="1" t="n"/>
      <c r="AN188" s="1" t="n"/>
      <c r="AO188" s="1" t="n"/>
      <c r="AP188" s="1" t="n"/>
      <c r="AR188" s="1" t="n"/>
    </row>
    <row r="189" ht="15.75" customHeight="1" s="9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54" t="n"/>
      <c r="N189" s="54" t="n"/>
      <c r="O189" s="54" t="n"/>
      <c r="P189" s="54" t="n"/>
      <c r="Q189" s="54" t="n"/>
      <c r="R189" s="54" t="n"/>
      <c r="S189" s="54" t="n"/>
      <c r="T189" s="55" t="n"/>
      <c r="U189" s="55" t="n"/>
      <c r="V189" s="56" t="n"/>
      <c r="W189" s="1" t="n"/>
      <c r="X189" s="56" t="n"/>
      <c r="Y189" s="57" t="n"/>
      <c r="Z189" s="56" t="n"/>
      <c r="AA189" s="56" t="n"/>
      <c r="AB189" s="57" t="n"/>
      <c r="AC189" s="56" t="n"/>
      <c r="AD189" s="56" t="n"/>
      <c r="AE189" s="1" t="n"/>
      <c r="AF189" s="56" t="n"/>
      <c r="AG189" s="1" t="n"/>
      <c r="AH189" s="56" t="n"/>
      <c r="AI189" s="1" t="n"/>
      <c r="AJ189" s="56" t="n"/>
      <c r="AK189" s="56" t="n"/>
      <c r="AL189" s="1" t="n"/>
      <c r="AM189" s="1" t="n"/>
      <c r="AN189" s="1" t="n"/>
      <c r="AO189" s="1" t="n"/>
      <c r="AP189" s="1" t="n"/>
      <c r="AR189" s="1" t="n"/>
    </row>
    <row r="190" ht="15.75" customHeight="1" s="9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54" t="n"/>
      <c r="N190" s="54" t="n"/>
      <c r="O190" s="54" t="n"/>
      <c r="P190" s="54" t="n"/>
      <c r="Q190" s="54" t="n"/>
      <c r="R190" s="54" t="n"/>
      <c r="S190" s="54" t="n"/>
      <c r="T190" s="55" t="n"/>
      <c r="U190" s="55" t="n"/>
      <c r="V190" s="56" t="n"/>
      <c r="W190" s="1" t="n"/>
      <c r="X190" s="56" t="n"/>
      <c r="Y190" s="57" t="n"/>
      <c r="Z190" s="56" t="n"/>
      <c r="AA190" s="56" t="n"/>
      <c r="AB190" s="57" t="n"/>
      <c r="AC190" s="56" t="n"/>
      <c r="AD190" s="56" t="n"/>
      <c r="AE190" s="1" t="n"/>
      <c r="AF190" s="56" t="n"/>
      <c r="AG190" s="1" t="n"/>
      <c r="AH190" s="56" t="n"/>
      <c r="AI190" s="1" t="n"/>
      <c r="AJ190" s="56" t="n"/>
      <c r="AK190" s="56" t="n"/>
      <c r="AL190" s="1" t="n"/>
      <c r="AM190" s="1" t="n"/>
      <c r="AN190" s="1" t="n"/>
      <c r="AO190" s="1" t="n"/>
      <c r="AP190" s="1" t="n"/>
      <c r="AR190" s="1" t="n"/>
    </row>
    <row r="191" ht="15.75" customHeight="1" s="9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54" t="n"/>
      <c r="N191" s="54" t="n"/>
      <c r="O191" s="54" t="n"/>
      <c r="P191" s="54" t="n"/>
      <c r="Q191" s="54" t="n"/>
      <c r="R191" s="54" t="n"/>
      <c r="S191" s="54" t="n"/>
      <c r="T191" s="55" t="n"/>
      <c r="U191" s="55" t="n"/>
      <c r="V191" s="56" t="n"/>
      <c r="W191" s="1" t="n"/>
      <c r="X191" s="56" t="n"/>
      <c r="Y191" s="57" t="n"/>
      <c r="Z191" s="56" t="n"/>
      <c r="AA191" s="56" t="n"/>
      <c r="AB191" s="57" t="n"/>
      <c r="AC191" s="56" t="n"/>
      <c r="AD191" s="56" t="n"/>
      <c r="AE191" s="1" t="n"/>
      <c r="AF191" s="56" t="n"/>
      <c r="AG191" s="1" t="n"/>
      <c r="AH191" s="56" t="n"/>
      <c r="AI191" s="1" t="n"/>
      <c r="AJ191" s="56" t="n"/>
      <c r="AK191" s="56" t="n"/>
      <c r="AL191" s="1" t="n"/>
      <c r="AM191" s="1" t="n"/>
      <c r="AN191" s="1" t="n"/>
      <c r="AO191" s="1" t="n"/>
      <c r="AP191" s="1" t="n"/>
      <c r="AR191" s="1" t="n"/>
    </row>
    <row r="192" ht="15.75" customHeight="1" s="9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54" t="n"/>
      <c r="N192" s="54" t="n"/>
      <c r="O192" s="54" t="n"/>
      <c r="P192" s="54" t="n"/>
      <c r="Q192" s="54" t="n"/>
      <c r="R192" s="54" t="n"/>
      <c r="S192" s="54" t="n"/>
      <c r="T192" s="55" t="n"/>
      <c r="U192" s="55" t="n"/>
      <c r="V192" s="56" t="n"/>
      <c r="W192" s="1" t="n"/>
      <c r="X192" s="56" t="n"/>
      <c r="Y192" s="57" t="n"/>
      <c r="Z192" s="56" t="n"/>
      <c r="AA192" s="56" t="n"/>
      <c r="AB192" s="57" t="n"/>
      <c r="AC192" s="56" t="n"/>
      <c r="AD192" s="56" t="n"/>
      <c r="AE192" s="1" t="n"/>
      <c r="AF192" s="56" t="n"/>
      <c r="AG192" s="1" t="n"/>
      <c r="AH192" s="56" t="n"/>
      <c r="AI192" s="1" t="n"/>
      <c r="AJ192" s="56" t="n"/>
      <c r="AK192" s="56" t="n"/>
      <c r="AL192" s="1" t="n"/>
      <c r="AM192" s="1" t="n"/>
      <c r="AN192" s="1" t="n"/>
      <c r="AO192" s="1" t="n"/>
      <c r="AP192" s="1" t="n"/>
      <c r="AR192" s="1" t="n"/>
    </row>
    <row r="193" ht="15.75" customHeight="1" s="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54" t="n"/>
      <c r="N193" s="54" t="n"/>
      <c r="O193" s="54" t="n"/>
      <c r="P193" s="54" t="n"/>
      <c r="Q193" s="54" t="n"/>
      <c r="R193" s="54" t="n"/>
      <c r="S193" s="54" t="n"/>
      <c r="T193" s="55" t="n"/>
      <c r="U193" s="55" t="n"/>
      <c r="V193" s="56" t="n"/>
      <c r="W193" s="1" t="n"/>
      <c r="X193" s="56" t="n"/>
      <c r="Y193" s="57" t="n"/>
      <c r="Z193" s="56" t="n"/>
      <c r="AA193" s="56" t="n"/>
      <c r="AB193" s="57" t="n"/>
      <c r="AC193" s="56" t="n"/>
      <c r="AD193" s="56" t="n"/>
      <c r="AE193" s="1" t="n"/>
      <c r="AF193" s="56" t="n"/>
      <c r="AG193" s="1" t="n"/>
      <c r="AH193" s="56" t="n"/>
      <c r="AI193" s="1" t="n"/>
      <c r="AJ193" s="56" t="n"/>
      <c r="AK193" s="56" t="n"/>
      <c r="AL193" s="1" t="n"/>
      <c r="AM193" s="1" t="n"/>
      <c r="AN193" s="1" t="n"/>
      <c r="AO193" s="1" t="n"/>
      <c r="AP193" s="1" t="n"/>
      <c r="AR193" s="1" t="n"/>
    </row>
    <row r="194" ht="15.75" customHeight="1" s="9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54" t="n"/>
      <c r="N194" s="54" t="n"/>
      <c r="O194" s="54" t="n"/>
      <c r="P194" s="54" t="n"/>
      <c r="Q194" s="54" t="n"/>
      <c r="R194" s="54" t="n"/>
      <c r="S194" s="54" t="n"/>
      <c r="T194" s="55" t="n"/>
      <c r="U194" s="55" t="n"/>
      <c r="V194" s="56" t="n"/>
      <c r="W194" s="1" t="n"/>
      <c r="X194" s="56" t="n"/>
      <c r="Y194" s="57" t="n"/>
      <c r="Z194" s="56" t="n"/>
      <c r="AA194" s="56" t="n"/>
      <c r="AB194" s="57" t="n"/>
      <c r="AC194" s="56" t="n"/>
      <c r="AD194" s="56" t="n"/>
      <c r="AE194" s="1" t="n"/>
      <c r="AF194" s="56" t="n"/>
      <c r="AG194" s="1" t="n"/>
      <c r="AH194" s="56" t="n"/>
      <c r="AI194" s="1" t="n"/>
      <c r="AJ194" s="56" t="n"/>
      <c r="AK194" s="56" t="n"/>
      <c r="AL194" s="1" t="n"/>
      <c r="AM194" s="1" t="n"/>
      <c r="AN194" s="1" t="n"/>
      <c r="AO194" s="1" t="n"/>
      <c r="AP194" s="1" t="n"/>
      <c r="AR194" s="1" t="n"/>
    </row>
    <row r="195" ht="15.75" customHeight="1" s="9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54" t="n"/>
      <c r="N195" s="54" t="n"/>
      <c r="O195" s="54" t="n"/>
      <c r="P195" s="54" t="n"/>
      <c r="Q195" s="54" t="n"/>
      <c r="R195" s="54" t="n"/>
      <c r="S195" s="54" t="n"/>
      <c r="T195" s="55" t="n"/>
      <c r="U195" s="55" t="n"/>
      <c r="V195" s="56" t="n"/>
      <c r="W195" s="1" t="n"/>
      <c r="X195" s="56" t="n"/>
      <c r="Y195" s="57" t="n"/>
      <c r="Z195" s="56" t="n"/>
      <c r="AA195" s="56" t="n"/>
      <c r="AB195" s="57" t="n"/>
      <c r="AC195" s="56" t="n"/>
      <c r="AD195" s="56" t="n"/>
      <c r="AE195" s="1" t="n"/>
      <c r="AF195" s="56" t="n"/>
      <c r="AG195" s="1" t="n"/>
      <c r="AH195" s="56" t="n"/>
      <c r="AI195" s="1" t="n"/>
      <c r="AJ195" s="56" t="n"/>
      <c r="AK195" s="56" t="n"/>
      <c r="AL195" s="1" t="n"/>
      <c r="AM195" s="1" t="n"/>
      <c r="AN195" s="1" t="n"/>
      <c r="AO195" s="1" t="n"/>
      <c r="AP195" s="1" t="n"/>
      <c r="AR195" s="1" t="n"/>
    </row>
    <row r="196" ht="15.75" customHeight="1" s="9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54" t="n"/>
      <c r="N196" s="54" t="n"/>
      <c r="O196" s="54" t="n"/>
      <c r="P196" s="54" t="n"/>
      <c r="Q196" s="54" t="n"/>
      <c r="R196" s="54" t="n"/>
      <c r="S196" s="54" t="n"/>
      <c r="T196" s="55" t="n"/>
      <c r="U196" s="55" t="n"/>
      <c r="V196" s="56" t="n"/>
      <c r="W196" s="1" t="n"/>
      <c r="X196" s="56" t="n"/>
      <c r="Y196" s="57" t="n"/>
      <c r="Z196" s="56" t="n"/>
      <c r="AA196" s="56" t="n"/>
      <c r="AB196" s="57" t="n"/>
      <c r="AC196" s="56" t="n"/>
      <c r="AD196" s="56" t="n"/>
      <c r="AE196" s="1" t="n"/>
      <c r="AF196" s="56" t="n"/>
      <c r="AG196" s="1" t="n"/>
      <c r="AH196" s="56" t="n"/>
      <c r="AI196" s="1" t="n"/>
      <c r="AJ196" s="56" t="n"/>
      <c r="AK196" s="56" t="n"/>
      <c r="AL196" s="1" t="n"/>
      <c r="AM196" s="1" t="n"/>
      <c r="AN196" s="1" t="n"/>
      <c r="AO196" s="1" t="n"/>
      <c r="AP196" s="1" t="n"/>
      <c r="AR196" s="1" t="n"/>
    </row>
    <row r="197" ht="15.75" customHeight="1" s="9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54" t="n"/>
      <c r="N197" s="54" t="n"/>
      <c r="O197" s="54" t="n"/>
      <c r="P197" s="54" t="n"/>
      <c r="Q197" s="54" t="n"/>
      <c r="R197" s="54" t="n"/>
      <c r="S197" s="54" t="n"/>
      <c r="T197" s="55" t="n"/>
      <c r="U197" s="55" t="n"/>
      <c r="V197" s="56" t="n"/>
      <c r="W197" s="1" t="n"/>
      <c r="X197" s="56" t="n"/>
      <c r="Y197" s="57" t="n"/>
      <c r="Z197" s="56" t="n"/>
      <c r="AA197" s="56" t="n"/>
      <c r="AB197" s="57" t="n"/>
      <c r="AC197" s="56" t="n"/>
      <c r="AD197" s="56" t="n"/>
      <c r="AE197" s="1" t="n"/>
      <c r="AF197" s="56" t="n"/>
      <c r="AG197" s="1" t="n"/>
      <c r="AH197" s="56" t="n"/>
      <c r="AI197" s="1" t="n"/>
      <c r="AJ197" s="56" t="n"/>
      <c r="AK197" s="56" t="n"/>
      <c r="AL197" s="1" t="n"/>
      <c r="AM197" s="1" t="n"/>
      <c r="AN197" s="1" t="n"/>
      <c r="AO197" s="1" t="n"/>
      <c r="AP197" s="1" t="n"/>
      <c r="AR197" s="1" t="n"/>
    </row>
    <row r="198" ht="15.75" customHeight="1" s="9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54" t="n"/>
      <c r="N198" s="54" t="n"/>
      <c r="O198" s="54" t="n"/>
      <c r="P198" s="54" t="n"/>
      <c r="Q198" s="54" t="n"/>
      <c r="R198" s="54" t="n"/>
      <c r="S198" s="54" t="n"/>
      <c r="T198" s="55" t="n"/>
      <c r="U198" s="55" t="n"/>
      <c r="V198" s="56" t="n"/>
      <c r="W198" s="1" t="n"/>
      <c r="X198" s="56" t="n"/>
      <c r="Y198" s="57" t="n"/>
      <c r="Z198" s="56" t="n"/>
      <c r="AA198" s="56" t="n"/>
      <c r="AB198" s="57" t="n"/>
      <c r="AC198" s="56" t="n"/>
      <c r="AD198" s="56" t="n"/>
      <c r="AE198" s="1" t="n"/>
      <c r="AF198" s="56" t="n"/>
      <c r="AG198" s="1" t="n"/>
      <c r="AH198" s="56" t="n"/>
      <c r="AI198" s="1" t="n"/>
      <c r="AJ198" s="56" t="n"/>
      <c r="AK198" s="56" t="n"/>
      <c r="AL198" s="1" t="n"/>
      <c r="AM198" s="1" t="n"/>
      <c r="AN198" s="1" t="n"/>
      <c r="AO198" s="1" t="n"/>
      <c r="AP198" s="1" t="n"/>
      <c r="AR198" s="1" t="n"/>
    </row>
    <row r="199" ht="15.75" customHeight="1" s="9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54" t="n"/>
      <c r="N199" s="54" t="n"/>
      <c r="O199" s="54" t="n"/>
      <c r="P199" s="54" t="n"/>
      <c r="Q199" s="54" t="n"/>
      <c r="R199" s="54" t="n"/>
      <c r="S199" s="54" t="n"/>
      <c r="T199" s="55" t="n"/>
      <c r="U199" s="55" t="n"/>
      <c r="V199" s="56" t="n"/>
      <c r="W199" s="1" t="n"/>
      <c r="X199" s="56" t="n"/>
      <c r="Y199" s="57" t="n"/>
      <c r="Z199" s="56" t="n"/>
      <c r="AA199" s="56" t="n"/>
      <c r="AB199" s="57" t="n"/>
      <c r="AC199" s="56" t="n"/>
      <c r="AD199" s="56" t="n"/>
      <c r="AE199" s="1" t="n"/>
      <c r="AF199" s="56" t="n"/>
      <c r="AG199" s="1" t="n"/>
      <c r="AH199" s="56" t="n"/>
      <c r="AI199" s="1" t="n"/>
      <c r="AJ199" s="56" t="n"/>
      <c r="AK199" s="56" t="n"/>
      <c r="AL199" s="1" t="n"/>
      <c r="AM199" s="1" t="n"/>
      <c r="AN199" s="1" t="n"/>
      <c r="AO199" s="1" t="n"/>
      <c r="AP199" s="1" t="n"/>
      <c r="AR199" s="1" t="n"/>
    </row>
    <row r="200" ht="15.75" customHeight="1" s="9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54" t="n"/>
      <c r="N200" s="54" t="n"/>
      <c r="O200" s="54" t="n"/>
      <c r="P200" s="54" t="n"/>
      <c r="Q200" s="54" t="n"/>
      <c r="R200" s="54" t="n"/>
      <c r="S200" s="54" t="n"/>
      <c r="T200" s="55" t="n"/>
      <c r="U200" s="55" t="n"/>
      <c r="V200" s="56" t="n"/>
      <c r="W200" s="1" t="n"/>
      <c r="X200" s="56" t="n"/>
      <c r="Y200" s="57" t="n"/>
      <c r="Z200" s="56" t="n"/>
      <c r="AA200" s="56" t="n"/>
      <c r="AB200" s="57" t="n"/>
      <c r="AC200" s="56" t="n"/>
      <c r="AD200" s="56" t="n"/>
      <c r="AE200" s="1" t="n"/>
      <c r="AF200" s="56" t="n"/>
      <c r="AG200" s="1" t="n"/>
      <c r="AH200" s="56" t="n"/>
      <c r="AI200" s="1" t="n"/>
      <c r="AJ200" s="56" t="n"/>
      <c r="AK200" s="56" t="n"/>
      <c r="AL200" s="1" t="n"/>
      <c r="AM200" s="1" t="n"/>
      <c r="AN200" s="1" t="n"/>
      <c r="AO200" s="1" t="n"/>
      <c r="AP200" s="1" t="n"/>
      <c r="AR200" s="1" t="n"/>
    </row>
    <row r="201" ht="15.75" customHeight="1" s="9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54" t="n"/>
      <c r="N201" s="54" t="n"/>
      <c r="O201" s="54" t="n"/>
      <c r="P201" s="54" t="n"/>
      <c r="Q201" s="54" t="n"/>
      <c r="R201" s="54" t="n"/>
      <c r="S201" s="54" t="n"/>
      <c r="T201" s="55" t="n"/>
      <c r="U201" s="55" t="n"/>
      <c r="V201" s="56" t="n"/>
      <c r="W201" s="1" t="n"/>
      <c r="X201" s="56" t="n"/>
      <c r="Y201" s="57" t="n"/>
      <c r="Z201" s="56" t="n"/>
      <c r="AA201" s="56" t="n"/>
      <c r="AB201" s="57" t="n"/>
      <c r="AC201" s="56" t="n"/>
      <c r="AD201" s="56" t="n"/>
      <c r="AE201" s="1" t="n"/>
      <c r="AF201" s="56" t="n"/>
      <c r="AG201" s="1" t="n"/>
      <c r="AH201" s="56" t="n"/>
      <c r="AI201" s="1" t="n"/>
      <c r="AJ201" s="56" t="n"/>
      <c r="AK201" s="56" t="n"/>
      <c r="AL201" s="1" t="n"/>
      <c r="AM201" s="1" t="n"/>
      <c r="AN201" s="1" t="n"/>
      <c r="AO201" s="1" t="n"/>
      <c r="AP201" s="1" t="n"/>
      <c r="AR201" s="1" t="n"/>
    </row>
    <row r="202" ht="15.75" customHeight="1" s="9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54" t="n"/>
      <c r="N202" s="54" t="n"/>
      <c r="O202" s="54" t="n"/>
      <c r="P202" s="54" t="n"/>
      <c r="Q202" s="54" t="n"/>
      <c r="R202" s="54" t="n"/>
      <c r="S202" s="54" t="n"/>
      <c r="T202" s="55" t="n"/>
      <c r="U202" s="55" t="n"/>
      <c r="V202" s="56" t="n"/>
      <c r="W202" s="1" t="n"/>
      <c r="X202" s="56" t="n"/>
      <c r="Y202" s="57" t="n"/>
      <c r="Z202" s="56" t="n"/>
      <c r="AA202" s="56" t="n"/>
      <c r="AB202" s="57" t="n"/>
      <c r="AC202" s="56" t="n"/>
      <c r="AD202" s="56" t="n"/>
      <c r="AE202" s="1" t="n"/>
      <c r="AF202" s="56" t="n"/>
      <c r="AG202" s="1" t="n"/>
      <c r="AH202" s="56" t="n"/>
      <c r="AI202" s="1" t="n"/>
      <c r="AJ202" s="56" t="n"/>
      <c r="AK202" s="56" t="n"/>
      <c r="AL202" s="1" t="n"/>
      <c r="AM202" s="1" t="n"/>
      <c r="AN202" s="1" t="n"/>
      <c r="AO202" s="1" t="n"/>
      <c r="AP202" s="1" t="n"/>
      <c r="AR202" s="1" t="n"/>
    </row>
    <row r="203" ht="15.75" customHeight="1" s="9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54" t="n"/>
      <c r="N203" s="54" t="n"/>
      <c r="O203" s="54" t="n"/>
      <c r="P203" s="54" t="n"/>
      <c r="Q203" s="54" t="n"/>
      <c r="R203" s="54" t="n"/>
      <c r="S203" s="54" t="n"/>
      <c r="T203" s="55" t="n"/>
      <c r="U203" s="55" t="n"/>
      <c r="V203" s="56" t="n"/>
      <c r="W203" s="1" t="n"/>
      <c r="X203" s="56" t="n"/>
      <c r="Y203" s="57" t="n"/>
      <c r="Z203" s="56" t="n"/>
      <c r="AA203" s="56" t="n"/>
      <c r="AB203" s="57" t="n"/>
      <c r="AC203" s="56" t="n"/>
      <c r="AD203" s="56" t="n"/>
      <c r="AE203" s="1" t="n"/>
      <c r="AF203" s="56" t="n"/>
      <c r="AG203" s="1" t="n"/>
      <c r="AH203" s="56" t="n"/>
      <c r="AI203" s="1" t="n"/>
      <c r="AJ203" s="56" t="n"/>
      <c r="AK203" s="56" t="n"/>
      <c r="AL203" s="1" t="n"/>
      <c r="AM203" s="1" t="n"/>
      <c r="AN203" s="1" t="n"/>
      <c r="AO203" s="1" t="n"/>
      <c r="AP203" s="1" t="n"/>
      <c r="AR203" s="1" t="n"/>
    </row>
    <row r="204" ht="15.75" customHeight="1" s="9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54" t="n"/>
      <c r="N204" s="54" t="n"/>
      <c r="O204" s="54" t="n"/>
      <c r="P204" s="54" t="n"/>
      <c r="Q204" s="54" t="n"/>
      <c r="R204" s="54" t="n"/>
      <c r="S204" s="54" t="n"/>
      <c r="T204" s="55" t="n"/>
      <c r="U204" s="55" t="n"/>
      <c r="V204" s="56" t="n"/>
      <c r="W204" s="1" t="n"/>
      <c r="X204" s="56" t="n"/>
      <c r="Y204" s="57" t="n"/>
      <c r="Z204" s="56" t="n"/>
      <c r="AA204" s="56" t="n"/>
      <c r="AB204" s="57" t="n"/>
      <c r="AC204" s="56" t="n"/>
      <c r="AD204" s="56" t="n"/>
      <c r="AE204" s="1" t="n"/>
      <c r="AF204" s="56" t="n"/>
      <c r="AG204" s="1" t="n"/>
      <c r="AH204" s="56" t="n"/>
      <c r="AI204" s="1" t="n"/>
      <c r="AJ204" s="56" t="n"/>
      <c r="AK204" s="56" t="n"/>
      <c r="AL204" s="1" t="n"/>
      <c r="AM204" s="1" t="n"/>
      <c r="AN204" s="1" t="n"/>
      <c r="AO204" s="1" t="n"/>
      <c r="AP204" s="1" t="n"/>
      <c r="AR204" s="1" t="n"/>
    </row>
    <row r="205" ht="15.75" customHeight="1" s="9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54" t="n"/>
      <c r="N205" s="54" t="n"/>
      <c r="O205" s="54" t="n"/>
      <c r="P205" s="54" t="n"/>
      <c r="Q205" s="54" t="n"/>
      <c r="R205" s="54" t="n"/>
      <c r="S205" s="54" t="n"/>
      <c r="T205" s="55" t="n"/>
      <c r="U205" s="55" t="n"/>
      <c r="V205" s="56" t="n"/>
      <c r="W205" s="1" t="n"/>
      <c r="X205" s="56" t="n"/>
      <c r="Y205" s="57" t="n"/>
      <c r="Z205" s="56" t="n"/>
      <c r="AA205" s="56" t="n"/>
      <c r="AB205" s="57" t="n"/>
      <c r="AC205" s="56" t="n"/>
      <c r="AD205" s="56" t="n"/>
      <c r="AE205" s="1" t="n"/>
      <c r="AF205" s="56" t="n"/>
      <c r="AG205" s="1" t="n"/>
      <c r="AH205" s="56" t="n"/>
      <c r="AI205" s="1" t="n"/>
      <c r="AJ205" s="56" t="n"/>
      <c r="AK205" s="56" t="n"/>
      <c r="AL205" s="1" t="n"/>
      <c r="AM205" s="1" t="n"/>
      <c r="AN205" s="1" t="n"/>
      <c r="AO205" s="1" t="n"/>
      <c r="AP205" s="1" t="n"/>
      <c r="AR205" s="1" t="n"/>
    </row>
    <row r="206" ht="15.75" customHeight="1" s="9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54" t="n"/>
      <c r="N206" s="54" t="n"/>
      <c r="O206" s="54" t="n"/>
      <c r="P206" s="54" t="n"/>
      <c r="Q206" s="54" t="n"/>
      <c r="R206" s="54" t="n"/>
      <c r="S206" s="54" t="n"/>
      <c r="T206" s="55" t="n"/>
      <c r="U206" s="55" t="n"/>
      <c r="V206" s="56" t="n"/>
      <c r="W206" s="1" t="n"/>
      <c r="X206" s="56" t="n"/>
      <c r="Y206" s="57" t="n"/>
      <c r="Z206" s="56" t="n"/>
      <c r="AA206" s="56" t="n"/>
      <c r="AB206" s="57" t="n"/>
      <c r="AC206" s="56" t="n"/>
      <c r="AD206" s="56" t="n"/>
      <c r="AE206" s="1" t="n"/>
      <c r="AF206" s="56" t="n"/>
      <c r="AG206" s="1" t="n"/>
      <c r="AH206" s="56" t="n"/>
      <c r="AI206" s="1" t="n"/>
      <c r="AJ206" s="56" t="n"/>
      <c r="AK206" s="56" t="n"/>
      <c r="AL206" s="1" t="n"/>
      <c r="AM206" s="1" t="n"/>
      <c r="AN206" s="1" t="n"/>
      <c r="AO206" s="1" t="n"/>
      <c r="AP206" s="1" t="n"/>
      <c r="AR206" s="1" t="n"/>
    </row>
    <row r="207" ht="15.75" customHeight="1" s="9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54" t="n"/>
      <c r="N207" s="54" t="n"/>
      <c r="O207" s="54" t="n"/>
      <c r="P207" s="54" t="n"/>
      <c r="Q207" s="54" t="n"/>
      <c r="R207" s="54" t="n"/>
      <c r="S207" s="54" t="n"/>
      <c r="T207" s="55" t="n"/>
      <c r="U207" s="55" t="n"/>
      <c r="V207" s="56" t="n"/>
      <c r="W207" s="1" t="n"/>
      <c r="X207" s="56" t="n"/>
      <c r="Y207" s="57" t="n"/>
      <c r="Z207" s="56" t="n"/>
      <c r="AA207" s="56" t="n"/>
      <c r="AB207" s="57" t="n"/>
      <c r="AC207" s="56" t="n"/>
      <c r="AD207" s="56" t="n"/>
      <c r="AE207" s="1" t="n"/>
      <c r="AF207" s="56" t="n"/>
      <c r="AG207" s="1" t="n"/>
      <c r="AH207" s="56" t="n"/>
      <c r="AI207" s="1" t="n"/>
      <c r="AJ207" s="56" t="n"/>
      <c r="AK207" s="56" t="n"/>
      <c r="AL207" s="1" t="n"/>
      <c r="AM207" s="1" t="n"/>
      <c r="AN207" s="1" t="n"/>
      <c r="AO207" s="1" t="n"/>
      <c r="AP207" s="1" t="n"/>
      <c r="AR207" s="1" t="n"/>
    </row>
    <row r="208" ht="15.75" customHeight="1" s="9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54" t="n"/>
      <c r="N208" s="54" t="n"/>
      <c r="O208" s="54" t="n"/>
      <c r="P208" s="54" t="n"/>
      <c r="Q208" s="54" t="n"/>
      <c r="R208" s="54" t="n"/>
      <c r="S208" s="54" t="n"/>
      <c r="T208" s="55" t="n"/>
      <c r="U208" s="55" t="n"/>
      <c r="V208" s="56" t="n"/>
      <c r="W208" s="1" t="n"/>
      <c r="X208" s="56" t="n"/>
      <c r="Y208" s="57" t="n"/>
      <c r="Z208" s="56" t="n"/>
      <c r="AA208" s="56" t="n"/>
      <c r="AB208" s="57" t="n"/>
      <c r="AC208" s="56" t="n"/>
      <c r="AD208" s="56" t="n"/>
      <c r="AE208" s="1" t="n"/>
      <c r="AF208" s="56" t="n"/>
      <c r="AG208" s="1" t="n"/>
      <c r="AH208" s="56" t="n"/>
      <c r="AI208" s="1" t="n"/>
      <c r="AJ208" s="56" t="n"/>
      <c r="AK208" s="56" t="n"/>
      <c r="AL208" s="1" t="n"/>
      <c r="AM208" s="1" t="n"/>
      <c r="AN208" s="1" t="n"/>
      <c r="AO208" s="1" t="n"/>
      <c r="AP208" s="1" t="n"/>
      <c r="AR208" s="1" t="n"/>
    </row>
    <row r="209" ht="15.75" customHeight="1" s="9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54" t="n"/>
      <c r="N209" s="54" t="n"/>
      <c r="O209" s="54" t="n"/>
      <c r="P209" s="54" t="n"/>
      <c r="Q209" s="54" t="n"/>
      <c r="R209" s="54" t="n"/>
      <c r="S209" s="54" t="n"/>
      <c r="T209" s="55" t="n"/>
      <c r="U209" s="55" t="n"/>
      <c r="V209" s="56" t="n"/>
      <c r="W209" s="1" t="n"/>
      <c r="X209" s="56" t="n"/>
      <c r="Y209" s="57" t="n"/>
      <c r="Z209" s="56" t="n"/>
      <c r="AA209" s="56" t="n"/>
      <c r="AB209" s="57" t="n"/>
      <c r="AC209" s="56" t="n"/>
      <c r="AD209" s="56" t="n"/>
      <c r="AE209" s="1" t="n"/>
      <c r="AF209" s="56" t="n"/>
      <c r="AG209" s="1" t="n"/>
      <c r="AH209" s="56" t="n"/>
      <c r="AI209" s="1" t="n"/>
      <c r="AJ209" s="56" t="n"/>
      <c r="AK209" s="56" t="n"/>
      <c r="AL209" s="1" t="n"/>
      <c r="AM209" s="1" t="n"/>
      <c r="AN209" s="1" t="n"/>
      <c r="AO209" s="1" t="n"/>
      <c r="AP209" s="1" t="n"/>
      <c r="AR209" s="1" t="n"/>
    </row>
    <row r="210" ht="15.75" customHeight="1" s="9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54" t="n"/>
      <c r="N210" s="54" t="n"/>
      <c r="O210" s="54" t="n"/>
      <c r="P210" s="54" t="n"/>
      <c r="Q210" s="54" t="n"/>
      <c r="R210" s="54" t="n"/>
      <c r="S210" s="54" t="n"/>
      <c r="T210" s="55" t="n"/>
      <c r="U210" s="55" t="n"/>
      <c r="V210" s="56" t="n"/>
      <c r="W210" s="1" t="n"/>
      <c r="X210" s="56" t="n"/>
      <c r="Y210" s="57" t="n"/>
      <c r="Z210" s="56" t="n"/>
      <c r="AA210" s="56" t="n"/>
      <c r="AB210" s="57" t="n"/>
      <c r="AC210" s="56" t="n"/>
      <c r="AD210" s="56" t="n"/>
      <c r="AE210" s="1" t="n"/>
      <c r="AF210" s="56" t="n"/>
      <c r="AG210" s="1" t="n"/>
      <c r="AH210" s="56" t="n"/>
      <c r="AI210" s="1" t="n"/>
      <c r="AJ210" s="56" t="n"/>
      <c r="AK210" s="56" t="n"/>
      <c r="AL210" s="1" t="n"/>
      <c r="AM210" s="1" t="n"/>
      <c r="AN210" s="1" t="n"/>
      <c r="AO210" s="1" t="n"/>
      <c r="AP210" s="1" t="n"/>
      <c r="AR210" s="1" t="n"/>
    </row>
    <row r="211" ht="15.75" customHeight="1" s="9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54" t="n"/>
      <c r="N211" s="54" t="n"/>
      <c r="O211" s="54" t="n"/>
      <c r="P211" s="54" t="n"/>
      <c r="Q211" s="54" t="n"/>
      <c r="R211" s="54" t="n"/>
      <c r="S211" s="54" t="n"/>
      <c r="T211" s="55" t="n"/>
      <c r="U211" s="55" t="n"/>
      <c r="V211" s="56" t="n"/>
      <c r="W211" s="1" t="n"/>
      <c r="X211" s="56" t="n"/>
      <c r="Y211" s="57" t="n"/>
      <c r="Z211" s="56" t="n"/>
      <c r="AA211" s="56" t="n"/>
      <c r="AB211" s="57" t="n"/>
      <c r="AC211" s="56" t="n"/>
      <c r="AD211" s="56" t="n"/>
      <c r="AE211" s="1" t="n"/>
      <c r="AF211" s="56" t="n"/>
      <c r="AG211" s="1" t="n"/>
      <c r="AH211" s="56" t="n"/>
      <c r="AI211" s="1" t="n"/>
      <c r="AJ211" s="56" t="n"/>
      <c r="AK211" s="56" t="n"/>
      <c r="AL211" s="1" t="n"/>
      <c r="AM211" s="1" t="n"/>
      <c r="AN211" s="1" t="n"/>
      <c r="AO211" s="1" t="n"/>
      <c r="AP211" s="1" t="n"/>
      <c r="AR211" s="1" t="n"/>
    </row>
    <row r="212" ht="15.75" customHeight="1" s="9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54" t="n"/>
      <c r="N212" s="54" t="n"/>
      <c r="O212" s="54" t="n"/>
      <c r="P212" s="54" t="n"/>
      <c r="Q212" s="54" t="n"/>
      <c r="R212" s="54" t="n"/>
      <c r="S212" s="54" t="n"/>
      <c r="T212" s="55" t="n"/>
      <c r="U212" s="55" t="n"/>
      <c r="V212" s="56" t="n"/>
      <c r="W212" s="1" t="n"/>
      <c r="X212" s="56" t="n"/>
      <c r="Y212" s="57" t="n"/>
      <c r="Z212" s="56" t="n"/>
      <c r="AA212" s="56" t="n"/>
      <c r="AB212" s="57" t="n"/>
      <c r="AC212" s="56" t="n"/>
      <c r="AD212" s="56" t="n"/>
      <c r="AE212" s="1" t="n"/>
      <c r="AF212" s="56" t="n"/>
      <c r="AG212" s="1" t="n"/>
      <c r="AH212" s="56" t="n"/>
      <c r="AI212" s="1" t="n"/>
      <c r="AJ212" s="56" t="n"/>
      <c r="AK212" s="56" t="n"/>
      <c r="AL212" s="1" t="n"/>
      <c r="AM212" s="1" t="n"/>
      <c r="AN212" s="1" t="n"/>
      <c r="AO212" s="1" t="n"/>
      <c r="AP212" s="1" t="n"/>
      <c r="AR212" s="1" t="n"/>
    </row>
    <row r="213" ht="15.75" customHeight="1" s="9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54" t="n"/>
      <c r="N213" s="54" t="n"/>
      <c r="O213" s="54" t="n"/>
      <c r="P213" s="54" t="n"/>
      <c r="Q213" s="54" t="n"/>
      <c r="R213" s="54" t="n"/>
      <c r="S213" s="54" t="n"/>
      <c r="T213" s="55" t="n"/>
      <c r="U213" s="55" t="n"/>
      <c r="V213" s="56" t="n"/>
      <c r="W213" s="1" t="n"/>
      <c r="X213" s="56" t="n"/>
      <c r="Y213" s="57" t="n"/>
      <c r="Z213" s="56" t="n"/>
      <c r="AA213" s="56" t="n"/>
      <c r="AB213" s="57" t="n"/>
      <c r="AC213" s="56" t="n"/>
      <c r="AD213" s="56" t="n"/>
      <c r="AE213" s="1" t="n"/>
      <c r="AF213" s="56" t="n"/>
      <c r="AG213" s="1" t="n"/>
      <c r="AH213" s="56" t="n"/>
      <c r="AI213" s="1" t="n"/>
      <c r="AJ213" s="56" t="n"/>
      <c r="AK213" s="56" t="n"/>
      <c r="AL213" s="1" t="n"/>
      <c r="AM213" s="1" t="n"/>
      <c r="AN213" s="1" t="n"/>
      <c r="AO213" s="1" t="n"/>
      <c r="AP213" s="1" t="n"/>
      <c r="AR213" s="1" t="n"/>
    </row>
    <row r="214" ht="15.75" customHeight="1" s="9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54" t="n"/>
      <c r="N214" s="54" t="n"/>
      <c r="O214" s="54" t="n"/>
      <c r="P214" s="54" t="n"/>
      <c r="Q214" s="54" t="n"/>
      <c r="R214" s="54" t="n"/>
      <c r="S214" s="54" t="n"/>
      <c r="T214" s="55" t="n"/>
      <c r="U214" s="55" t="n"/>
      <c r="V214" s="56" t="n"/>
      <c r="W214" s="1" t="n"/>
      <c r="X214" s="56" t="n"/>
      <c r="Y214" s="57" t="n"/>
      <c r="Z214" s="56" t="n"/>
      <c r="AA214" s="56" t="n"/>
      <c r="AB214" s="57" t="n"/>
      <c r="AC214" s="56" t="n"/>
      <c r="AD214" s="56" t="n"/>
      <c r="AE214" s="1" t="n"/>
      <c r="AF214" s="56" t="n"/>
      <c r="AG214" s="1" t="n"/>
      <c r="AH214" s="56" t="n"/>
      <c r="AI214" s="1" t="n"/>
      <c r="AJ214" s="56" t="n"/>
      <c r="AK214" s="56" t="n"/>
      <c r="AL214" s="1" t="n"/>
      <c r="AM214" s="1" t="n"/>
      <c r="AN214" s="1" t="n"/>
      <c r="AO214" s="1" t="n"/>
      <c r="AP214" s="1" t="n"/>
      <c r="AR214" s="1" t="n"/>
    </row>
    <row r="215" ht="15.75" customHeight="1" s="9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54" t="n"/>
      <c r="N215" s="54" t="n"/>
      <c r="O215" s="54" t="n"/>
      <c r="P215" s="54" t="n"/>
      <c r="Q215" s="54" t="n"/>
      <c r="R215" s="54" t="n"/>
      <c r="S215" s="54" t="n"/>
      <c r="T215" s="55" t="n"/>
      <c r="U215" s="55" t="n"/>
      <c r="V215" s="56" t="n"/>
      <c r="W215" s="1" t="n"/>
      <c r="X215" s="56" t="n"/>
      <c r="Y215" s="57" t="n"/>
      <c r="Z215" s="56" t="n"/>
      <c r="AA215" s="56" t="n"/>
      <c r="AB215" s="57" t="n"/>
      <c r="AC215" s="56" t="n"/>
      <c r="AD215" s="56" t="n"/>
      <c r="AE215" s="1" t="n"/>
      <c r="AF215" s="56" t="n"/>
      <c r="AG215" s="1" t="n"/>
      <c r="AH215" s="56" t="n"/>
      <c r="AI215" s="1" t="n"/>
      <c r="AJ215" s="56" t="n"/>
      <c r="AK215" s="56" t="n"/>
      <c r="AL215" s="1" t="n"/>
      <c r="AM215" s="1" t="n"/>
      <c r="AN215" s="1" t="n"/>
      <c r="AO215" s="1" t="n"/>
      <c r="AP215" s="1" t="n"/>
      <c r="AR215" s="1" t="n"/>
    </row>
    <row r="216" ht="15.75" customHeight="1" s="9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54" t="n"/>
      <c r="N216" s="54" t="n"/>
      <c r="O216" s="54" t="n"/>
      <c r="P216" s="54" t="n"/>
      <c r="Q216" s="54" t="n"/>
      <c r="R216" s="54" t="n"/>
      <c r="S216" s="54" t="n"/>
      <c r="T216" s="55" t="n"/>
      <c r="U216" s="55" t="n"/>
      <c r="V216" s="56" t="n"/>
      <c r="W216" s="1" t="n"/>
      <c r="X216" s="56" t="n"/>
      <c r="Y216" s="57" t="n"/>
      <c r="Z216" s="56" t="n"/>
      <c r="AA216" s="56" t="n"/>
      <c r="AB216" s="57" t="n"/>
      <c r="AC216" s="56" t="n"/>
      <c r="AD216" s="56" t="n"/>
      <c r="AE216" s="1" t="n"/>
      <c r="AF216" s="56" t="n"/>
      <c r="AG216" s="1" t="n"/>
      <c r="AH216" s="56" t="n"/>
      <c r="AI216" s="1" t="n"/>
      <c r="AJ216" s="56" t="n"/>
      <c r="AK216" s="56" t="n"/>
      <c r="AL216" s="1" t="n"/>
      <c r="AM216" s="1" t="n"/>
      <c r="AN216" s="1" t="n"/>
      <c r="AO216" s="1" t="n"/>
      <c r="AP216" s="1" t="n"/>
      <c r="AR216" s="1" t="n"/>
    </row>
    <row r="217" ht="15.75" customHeight="1" s="9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54" t="n"/>
      <c r="N217" s="54" t="n"/>
      <c r="O217" s="54" t="n"/>
      <c r="P217" s="54" t="n"/>
      <c r="Q217" s="54" t="n"/>
      <c r="R217" s="54" t="n"/>
      <c r="S217" s="54" t="n"/>
      <c r="T217" s="55" t="n"/>
      <c r="U217" s="55" t="n"/>
      <c r="V217" s="56" t="n"/>
      <c r="W217" s="1" t="n"/>
      <c r="X217" s="56" t="n"/>
      <c r="Y217" s="57" t="n"/>
      <c r="Z217" s="56" t="n"/>
      <c r="AA217" s="56" t="n"/>
      <c r="AB217" s="57" t="n"/>
      <c r="AC217" s="56" t="n"/>
      <c r="AD217" s="56" t="n"/>
      <c r="AE217" s="1" t="n"/>
      <c r="AF217" s="56" t="n"/>
      <c r="AG217" s="1" t="n"/>
      <c r="AH217" s="56" t="n"/>
      <c r="AI217" s="1" t="n"/>
      <c r="AJ217" s="56" t="n"/>
      <c r="AK217" s="56" t="n"/>
      <c r="AL217" s="1" t="n"/>
      <c r="AM217" s="1" t="n"/>
      <c r="AN217" s="1" t="n"/>
      <c r="AO217" s="1" t="n"/>
      <c r="AP217" s="1" t="n"/>
      <c r="AR217" s="1" t="n"/>
    </row>
    <row r="218" ht="15.75" customHeight="1" s="9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54" t="n"/>
      <c r="N218" s="54" t="n"/>
      <c r="O218" s="54" t="n"/>
      <c r="P218" s="54" t="n"/>
      <c r="Q218" s="54" t="n"/>
      <c r="R218" s="54" t="n"/>
      <c r="S218" s="54" t="n"/>
      <c r="T218" s="55" t="n"/>
      <c r="U218" s="55" t="n"/>
      <c r="V218" s="56" t="n"/>
      <c r="W218" s="1" t="n"/>
      <c r="X218" s="56" t="n"/>
      <c r="Y218" s="57" t="n"/>
      <c r="Z218" s="56" t="n"/>
      <c r="AA218" s="56" t="n"/>
      <c r="AB218" s="57" t="n"/>
      <c r="AC218" s="56" t="n"/>
      <c r="AD218" s="56" t="n"/>
      <c r="AE218" s="1" t="n"/>
      <c r="AF218" s="56" t="n"/>
      <c r="AG218" s="1" t="n"/>
      <c r="AH218" s="56" t="n"/>
      <c r="AI218" s="1" t="n"/>
      <c r="AJ218" s="56" t="n"/>
      <c r="AK218" s="56" t="n"/>
      <c r="AL218" s="1" t="n"/>
      <c r="AM218" s="1" t="n"/>
      <c r="AN218" s="1" t="n"/>
      <c r="AO218" s="1" t="n"/>
      <c r="AP218" s="1" t="n"/>
      <c r="AR218" s="1" t="n"/>
    </row>
    <row r="219" ht="15.75" customHeight="1" s="9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54" t="n"/>
      <c r="N219" s="54" t="n"/>
      <c r="O219" s="54" t="n"/>
      <c r="P219" s="54" t="n"/>
      <c r="Q219" s="54" t="n"/>
      <c r="R219" s="54" t="n"/>
      <c r="S219" s="54" t="n"/>
      <c r="T219" s="55" t="n"/>
      <c r="U219" s="55" t="n"/>
      <c r="V219" s="56" t="n"/>
      <c r="W219" s="1" t="n"/>
      <c r="X219" s="56" t="n"/>
      <c r="Y219" s="57" t="n"/>
      <c r="Z219" s="56" t="n"/>
      <c r="AA219" s="56" t="n"/>
      <c r="AB219" s="57" t="n"/>
      <c r="AC219" s="56" t="n"/>
      <c r="AD219" s="56" t="n"/>
      <c r="AE219" s="1" t="n"/>
      <c r="AF219" s="56" t="n"/>
      <c r="AG219" s="1" t="n"/>
      <c r="AH219" s="56" t="n"/>
      <c r="AI219" s="1" t="n"/>
      <c r="AJ219" s="56" t="n"/>
      <c r="AK219" s="56" t="n"/>
      <c r="AL219" s="1" t="n"/>
      <c r="AM219" s="1" t="n"/>
      <c r="AN219" s="1" t="n"/>
      <c r="AO219" s="1" t="n"/>
      <c r="AP219" s="1" t="n"/>
      <c r="AR219" s="1" t="n"/>
    </row>
    <row r="220" ht="15.75" customHeight="1" s="9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54" t="n"/>
      <c r="N220" s="54" t="n"/>
      <c r="O220" s="54" t="n"/>
      <c r="P220" s="54" t="n"/>
      <c r="Q220" s="54" t="n"/>
      <c r="R220" s="54" t="n"/>
      <c r="S220" s="54" t="n"/>
      <c r="T220" s="55" t="n"/>
      <c r="U220" s="55" t="n"/>
      <c r="V220" s="56" t="n"/>
      <c r="W220" s="1" t="n"/>
      <c r="X220" s="56" t="n"/>
      <c r="Y220" s="57" t="n"/>
      <c r="Z220" s="56" t="n"/>
      <c r="AA220" s="56" t="n"/>
      <c r="AB220" s="57" t="n"/>
      <c r="AC220" s="56" t="n"/>
      <c r="AD220" s="56" t="n"/>
      <c r="AE220" s="1" t="n"/>
      <c r="AF220" s="56" t="n"/>
      <c r="AG220" s="1" t="n"/>
      <c r="AH220" s="56" t="n"/>
      <c r="AI220" s="1" t="n"/>
      <c r="AJ220" s="56" t="n"/>
      <c r="AK220" s="56" t="n"/>
      <c r="AL220" s="1" t="n"/>
      <c r="AM220" s="1" t="n"/>
      <c r="AN220" s="1" t="n"/>
      <c r="AO220" s="1" t="n"/>
      <c r="AP220" s="1" t="n"/>
      <c r="AR220" s="1" t="n"/>
    </row>
    <row r="221" ht="15.75" customHeight="1" s="9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54" t="n"/>
      <c r="N221" s="54" t="n"/>
      <c r="O221" s="54" t="n"/>
      <c r="P221" s="54" t="n"/>
      <c r="Q221" s="54" t="n"/>
      <c r="R221" s="54" t="n"/>
      <c r="S221" s="54" t="n"/>
      <c r="T221" s="55" t="n"/>
      <c r="U221" s="55" t="n"/>
      <c r="V221" s="56" t="n"/>
      <c r="W221" s="1" t="n"/>
      <c r="X221" s="56" t="n"/>
      <c r="Y221" s="57" t="n"/>
      <c r="Z221" s="56" t="n"/>
      <c r="AA221" s="56" t="n"/>
      <c r="AB221" s="57" t="n"/>
      <c r="AC221" s="56" t="n"/>
      <c r="AD221" s="56" t="n"/>
      <c r="AE221" s="1" t="n"/>
      <c r="AF221" s="56" t="n"/>
      <c r="AG221" s="1" t="n"/>
      <c r="AH221" s="56" t="n"/>
      <c r="AI221" s="1" t="n"/>
      <c r="AJ221" s="56" t="n"/>
      <c r="AK221" s="56" t="n"/>
      <c r="AL221" s="1" t="n"/>
      <c r="AM221" s="1" t="n"/>
      <c r="AN221" s="1" t="n"/>
      <c r="AO221" s="1" t="n"/>
      <c r="AP221" s="1" t="n"/>
      <c r="AR221" s="1" t="n"/>
    </row>
    <row r="222" ht="15.75" customHeight="1" s="9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54" t="n"/>
      <c r="N222" s="54" t="n"/>
      <c r="O222" s="54" t="n"/>
      <c r="P222" s="54" t="n"/>
      <c r="Q222" s="54" t="n"/>
      <c r="R222" s="54" t="n"/>
      <c r="S222" s="54" t="n"/>
      <c r="T222" s="55" t="n"/>
      <c r="U222" s="55" t="n"/>
      <c r="V222" s="56" t="n"/>
      <c r="W222" s="1" t="n"/>
      <c r="X222" s="56" t="n"/>
      <c r="Y222" s="57" t="n"/>
      <c r="Z222" s="56" t="n"/>
      <c r="AA222" s="56" t="n"/>
      <c r="AB222" s="57" t="n"/>
      <c r="AC222" s="56" t="n"/>
      <c r="AD222" s="56" t="n"/>
      <c r="AE222" s="1" t="n"/>
      <c r="AF222" s="56" t="n"/>
      <c r="AG222" s="1" t="n"/>
      <c r="AH222" s="56" t="n"/>
      <c r="AI222" s="1" t="n"/>
      <c r="AJ222" s="56" t="n"/>
      <c r="AK222" s="56" t="n"/>
      <c r="AL222" s="1" t="n"/>
      <c r="AM222" s="1" t="n"/>
      <c r="AN222" s="1" t="n"/>
      <c r="AO222" s="1" t="n"/>
      <c r="AP222" s="1" t="n"/>
      <c r="AR222" s="1" t="n"/>
    </row>
    <row r="223" ht="15.75" customHeight="1" s="9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54" t="n"/>
      <c r="N223" s="54" t="n"/>
      <c r="O223" s="54" t="n"/>
      <c r="P223" s="54" t="n"/>
      <c r="Q223" s="54" t="n"/>
      <c r="R223" s="54" t="n"/>
      <c r="S223" s="54" t="n"/>
      <c r="T223" s="55" t="n"/>
      <c r="U223" s="55" t="n"/>
      <c r="V223" s="56" t="n"/>
      <c r="W223" s="1" t="n"/>
      <c r="X223" s="56" t="n"/>
      <c r="Y223" s="57" t="n"/>
      <c r="Z223" s="56" t="n"/>
      <c r="AA223" s="56" t="n"/>
      <c r="AB223" s="57" t="n"/>
      <c r="AC223" s="56" t="n"/>
      <c r="AD223" s="56" t="n"/>
      <c r="AE223" s="1" t="n"/>
      <c r="AF223" s="56" t="n"/>
      <c r="AG223" s="1" t="n"/>
      <c r="AH223" s="56" t="n"/>
      <c r="AI223" s="1" t="n"/>
      <c r="AJ223" s="56" t="n"/>
      <c r="AK223" s="56" t="n"/>
      <c r="AL223" s="1" t="n"/>
      <c r="AM223" s="1" t="n"/>
      <c r="AN223" s="1" t="n"/>
      <c r="AO223" s="1" t="n"/>
      <c r="AP223" s="1" t="n"/>
      <c r="AR223" s="1" t="n"/>
    </row>
    <row r="224" ht="15.75" customHeight="1" s="9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54" t="n"/>
      <c r="N224" s="54" t="n"/>
      <c r="O224" s="54" t="n"/>
      <c r="P224" s="54" t="n"/>
      <c r="Q224" s="54" t="n"/>
      <c r="R224" s="54" t="n"/>
      <c r="S224" s="54" t="n"/>
      <c r="T224" s="55" t="n"/>
      <c r="U224" s="55" t="n"/>
      <c r="V224" s="56" t="n"/>
      <c r="W224" s="1" t="n"/>
      <c r="X224" s="56" t="n"/>
      <c r="Y224" s="57" t="n"/>
      <c r="Z224" s="56" t="n"/>
      <c r="AA224" s="56" t="n"/>
      <c r="AB224" s="57" t="n"/>
      <c r="AC224" s="56" t="n"/>
      <c r="AD224" s="56" t="n"/>
      <c r="AE224" s="1" t="n"/>
      <c r="AF224" s="56" t="n"/>
      <c r="AG224" s="1" t="n"/>
      <c r="AH224" s="56" t="n"/>
      <c r="AI224" s="1" t="n"/>
      <c r="AJ224" s="56" t="n"/>
      <c r="AK224" s="56" t="n"/>
      <c r="AL224" s="1" t="n"/>
      <c r="AM224" s="1" t="n"/>
      <c r="AN224" s="1" t="n"/>
      <c r="AO224" s="1" t="n"/>
      <c r="AP224" s="1" t="n"/>
      <c r="AR224" s="1" t="n"/>
    </row>
    <row r="225" ht="15.75" customHeight="1" s="9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54" t="n"/>
      <c r="N225" s="54" t="n"/>
      <c r="O225" s="54" t="n"/>
      <c r="P225" s="54" t="n"/>
      <c r="Q225" s="54" t="n"/>
      <c r="R225" s="54" t="n"/>
      <c r="S225" s="54" t="n"/>
      <c r="T225" s="55" t="n"/>
      <c r="U225" s="55" t="n"/>
      <c r="V225" s="56" t="n"/>
      <c r="W225" s="1" t="n"/>
      <c r="X225" s="56" t="n"/>
      <c r="Y225" s="57" t="n"/>
      <c r="Z225" s="56" t="n"/>
      <c r="AA225" s="56" t="n"/>
      <c r="AB225" s="57" t="n"/>
      <c r="AC225" s="56" t="n"/>
      <c r="AD225" s="56" t="n"/>
      <c r="AE225" s="1" t="n"/>
      <c r="AF225" s="56" t="n"/>
      <c r="AG225" s="1" t="n"/>
      <c r="AH225" s="56" t="n"/>
      <c r="AI225" s="1" t="n"/>
      <c r="AJ225" s="56" t="n"/>
      <c r="AK225" s="56" t="n"/>
      <c r="AL225" s="1" t="n"/>
      <c r="AM225" s="1" t="n"/>
      <c r="AN225" s="1" t="n"/>
      <c r="AO225" s="1" t="n"/>
      <c r="AP225" s="1" t="n"/>
      <c r="AR225" s="1" t="n"/>
    </row>
    <row r="226" ht="15.75" customHeight="1" s="9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54" t="n"/>
      <c r="N226" s="54" t="n"/>
      <c r="O226" s="54" t="n"/>
      <c r="P226" s="54" t="n"/>
      <c r="Q226" s="54" t="n"/>
      <c r="R226" s="54" t="n"/>
      <c r="S226" s="54" t="n"/>
      <c r="T226" s="55" t="n"/>
      <c r="U226" s="55" t="n"/>
      <c r="V226" s="56" t="n"/>
      <c r="W226" s="1" t="n"/>
      <c r="X226" s="56" t="n"/>
      <c r="Y226" s="57" t="n"/>
      <c r="Z226" s="56" t="n"/>
      <c r="AA226" s="56" t="n"/>
      <c r="AB226" s="57" t="n"/>
      <c r="AC226" s="56" t="n"/>
      <c r="AD226" s="56" t="n"/>
      <c r="AE226" s="1" t="n"/>
      <c r="AF226" s="56" t="n"/>
      <c r="AG226" s="1" t="n"/>
      <c r="AH226" s="56" t="n"/>
      <c r="AI226" s="1" t="n"/>
      <c r="AJ226" s="56" t="n"/>
      <c r="AK226" s="56" t="n"/>
      <c r="AL226" s="1" t="n"/>
      <c r="AM226" s="1" t="n"/>
      <c r="AN226" s="1" t="n"/>
      <c r="AO226" s="1" t="n"/>
      <c r="AP226" s="1" t="n"/>
      <c r="AR226" s="1" t="n"/>
    </row>
    <row r="227" ht="15.75" customHeight="1" s="9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54" t="n"/>
      <c r="N227" s="54" t="n"/>
      <c r="O227" s="54" t="n"/>
      <c r="P227" s="54" t="n"/>
      <c r="Q227" s="54" t="n"/>
      <c r="R227" s="54" t="n"/>
      <c r="S227" s="54" t="n"/>
      <c r="T227" s="55" t="n"/>
      <c r="U227" s="55" t="n"/>
      <c r="V227" s="56" t="n"/>
      <c r="W227" s="1" t="n"/>
      <c r="X227" s="56" t="n"/>
      <c r="Y227" s="57" t="n"/>
      <c r="Z227" s="56" t="n"/>
      <c r="AA227" s="56" t="n"/>
      <c r="AB227" s="57" t="n"/>
      <c r="AC227" s="56" t="n"/>
      <c r="AD227" s="56" t="n"/>
      <c r="AE227" s="1" t="n"/>
      <c r="AF227" s="56" t="n"/>
      <c r="AG227" s="1" t="n"/>
      <c r="AH227" s="56" t="n"/>
      <c r="AI227" s="1" t="n"/>
      <c r="AJ227" s="56" t="n"/>
      <c r="AK227" s="56" t="n"/>
      <c r="AL227" s="1" t="n"/>
      <c r="AM227" s="1" t="n"/>
      <c r="AN227" s="1" t="n"/>
      <c r="AO227" s="1" t="n"/>
      <c r="AP227" s="1" t="n"/>
      <c r="AR227" s="1" t="n"/>
    </row>
    <row r="228" ht="15.75" customHeight="1" s="9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54" t="n"/>
      <c r="N228" s="54" t="n"/>
      <c r="O228" s="54" t="n"/>
      <c r="P228" s="54" t="n"/>
      <c r="Q228" s="54" t="n"/>
      <c r="R228" s="54" t="n"/>
      <c r="S228" s="54" t="n"/>
      <c r="T228" s="55" t="n"/>
      <c r="U228" s="55" t="n"/>
      <c r="V228" s="56" t="n"/>
      <c r="W228" s="1" t="n"/>
      <c r="X228" s="56" t="n"/>
      <c r="Y228" s="57" t="n"/>
      <c r="Z228" s="56" t="n"/>
      <c r="AA228" s="56" t="n"/>
      <c r="AB228" s="57" t="n"/>
      <c r="AC228" s="56" t="n"/>
      <c r="AD228" s="56" t="n"/>
      <c r="AE228" s="1" t="n"/>
      <c r="AF228" s="56" t="n"/>
      <c r="AG228" s="1" t="n"/>
      <c r="AH228" s="56" t="n"/>
      <c r="AI228" s="1" t="n"/>
      <c r="AJ228" s="56" t="n"/>
      <c r="AK228" s="56" t="n"/>
      <c r="AL228" s="1" t="n"/>
      <c r="AM228" s="1" t="n"/>
      <c r="AN228" s="1" t="n"/>
      <c r="AO228" s="1" t="n"/>
      <c r="AP228" s="1" t="n"/>
      <c r="AR228" s="1" t="n"/>
    </row>
    <row r="229" ht="15.75" customHeight="1" s="9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54" t="n"/>
      <c r="N229" s="54" t="n"/>
      <c r="O229" s="54" t="n"/>
      <c r="P229" s="54" t="n"/>
      <c r="Q229" s="54" t="n"/>
      <c r="R229" s="54" t="n"/>
      <c r="S229" s="54" t="n"/>
      <c r="T229" s="55" t="n"/>
      <c r="U229" s="55" t="n"/>
      <c r="V229" s="56" t="n"/>
      <c r="W229" s="1" t="n"/>
      <c r="X229" s="56" t="n"/>
      <c r="Y229" s="57" t="n"/>
      <c r="Z229" s="56" t="n"/>
      <c r="AA229" s="56" t="n"/>
      <c r="AB229" s="57" t="n"/>
      <c r="AC229" s="56" t="n"/>
      <c r="AD229" s="56" t="n"/>
      <c r="AE229" s="1" t="n"/>
      <c r="AF229" s="56" t="n"/>
      <c r="AG229" s="1" t="n"/>
      <c r="AH229" s="56" t="n"/>
      <c r="AI229" s="1" t="n"/>
      <c r="AJ229" s="56" t="n"/>
      <c r="AK229" s="56" t="n"/>
      <c r="AL229" s="1" t="n"/>
      <c r="AM229" s="1" t="n"/>
      <c r="AN229" s="1" t="n"/>
      <c r="AO229" s="1" t="n"/>
      <c r="AP229" s="1" t="n"/>
      <c r="AR229" s="1" t="n"/>
    </row>
    <row r="230" ht="15.75" customHeight="1" s="9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54" t="n"/>
      <c r="N230" s="54" t="n"/>
      <c r="O230" s="54" t="n"/>
      <c r="P230" s="54" t="n"/>
      <c r="Q230" s="54" t="n"/>
      <c r="R230" s="54" t="n"/>
      <c r="S230" s="54" t="n"/>
      <c r="T230" s="55" t="n"/>
      <c r="U230" s="55" t="n"/>
      <c r="V230" s="56" t="n"/>
      <c r="W230" s="1" t="n"/>
      <c r="X230" s="56" t="n"/>
      <c r="Y230" s="57" t="n"/>
      <c r="Z230" s="56" t="n"/>
      <c r="AA230" s="56" t="n"/>
      <c r="AB230" s="57" t="n"/>
      <c r="AC230" s="56" t="n"/>
      <c r="AD230" s="56" t="n"/>
      <c r="AE230" s="1" t="n"/>
      <c r="AF230" s="56" t="n"/>
      <c r="AG230" s="1" t="n"/>
      <c r="AH230" s="56" t="n"/>
      <c r="AI230" s="1" t="n"/>
      <c r="AJ230" s="56" t="n"/>
      <c r="AK230" s="56" t="n"/>
      <c r="AL230" s="1" t="n"/>
      <c r="AM230" s="1" t="n"/>
      <c r="AN230" s="1" t="n"/>
      <c r="AO230" s="1" t="n"/>
      <c r="AP230" s="1" t="n"/>
      <c r="AR230" s="1" t="n"/>
    </row>
    <row r="231" ht="15.75" customHeight="1" s="9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54" t="n"/>
      <c r="N231" s="54" t="n"/>
      <c r="O231" s="54" t="n"/>
      <c r="P231" s="54" t="n"/>
      <c r="Q231" s="54" t="n"/>
      <c r="R231" s="54" t="n"/>
      <c r="S231" s="54" t="n"/>
      <c r="T231" s="55" t="n"/>
      <c r="U231" s="55" t="n"/>
      <c r="V231" s="56" t="n"/>
      <c r="W231" s="1" t="n"/>
      <c r="X231" s="56" t="n"/>
      <c r="Y231" s="57" t="n"/>
      <c r="Z231" s="56" t="n"/>
      <c r="AA231" s="56" t="n"/>
      <c r="AB231" s="57" t="n"/>
      <c r="AC231" s="56" t="n"/>
      <c r="AD231" s="56" t="n"/>
      <c r="AE231" s="1" t="n"/>
      <c r="AF231" s="56" t="n"/>
      <c r="AG231" s="1" t="n"/>
      <c r="AH231" s="56" t="n"/>
      <c r="AI231" s="1" t="n"/>
      <c r="AJ231" s="56" t="n"/>
      <c r="AK231" s="56" t="n"/>
      <c r="AL231" s="1" t="n"/>
      <c r="AM231" s="1" t="n"/>
      <c r="AN231" s="1" t="n"/>
      <c r="AO231" s="1" t="n"/>
      <c r="AP231" s="1" t="n"/>
      <c r="AR231" s="1" t="n"/>
    </row>
    <row r="232" ht="15.75" customHeight="1" s="9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54" t="n"/>
      <c r="N232" s="54" t="n"/>
      <c r="O232" s="54" t="n"/>
      <c r="P232" s="54" t="n"/>
      <c r="Q232" s="54" t="n"/>
      <c r="R232" s="54" t="n"/>
      <c r="S232" s="54" t="n"/>
      <c r="T232" s="55" t="n"/>
      <c r="U232" s="55" t="n"/>
      <c r="V232" s="56" t="n"/>
      <c r="W232" s="1" t="n"/>
      <c r="X232" s="56" t="n"/>
      <c r="Y232" s="57" t="n"/>
      <c r="Z232" s="56" t="n"/>
      <c r="AA232" s="56" t="n"/>
      <c r="AB232" s="57" t="n"/>
      <c r="AC232" s="56" t="n"/>
      <c r="AD232" s="56" t="n"/>
      <c r="AE232" s="1" t="n"/>
      <c r="AF232" s="56" t="n"/>
      <c r="AG232" s="1" t="n"/>
      <c r="AH232" s="56" t="n"/>
      <c r="AI232" s="1" t="n"/>
      <c r="AJ232" s="56" t="n"/>
      <c r="AK232" s="56" t="n"/>
      <c r="AL232" s="1" t="n"/>
      <c r="AM232" s="1" t="n"/>
      <c r="AN232" s="1" t="n"/>
      <c r="AO232" s="1" t="n"/>
      <c r="AP232" s="1" t="n"/>
      <c r="AR232" s="1" t="n"/>
    </row>
    <row r="233" ht="15.75" customHeight="1" s="9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54" t="n"/>
      <c r="N233" s="54" t="n"/>
      <c r="O233" s="54" t="n"/>
      <c r="P233" s="54" t="n"/>
      <c r="Q233" s="54" t="n"/>
      <c r="R233" s="54" t="n"/>
      <c r="S233" s="54" t="n"/>
      <c r="T233" s="55" t="n"/>
      <c r="U233" s="55" t="n"/>
      <c r="V233" s="56" t="n"/>
      <c r="W233" s="1" t="n"/>
      <c r="X233" s="56" t="n"/>
      <c r="Y233" s="57" t="n"/>
      <c r="Z233" s="56" t="n"/>
      <c r="AA233" s="56" t="n"/>
      <c r="AB233" s="57" t="n"/>
      <c r="AC233" s="56" t="n"/>
      <c r="AD233" s="56" t="n"/>
      <c r="AE233" s="1" t="n"/>
      <c r="AF233" s="56" t="n"/>
      <c r="AG233" s="1" t="n"/>
      <c r="AH233" s="56" t="n"/>
      <c r="AI233" s="1" t="n"/>
      <c r="AJ233" s="56" t="n"/>
      <c r="AK233" s="56" t="n"/>
      <c r="AL233" s="1" t="n"/>
      <c r="AM233" s="1" t="n"/>
      <c r="AN233" s="1" t="n"/>
      <c r="AO233" s="1" t="n"/>
      <c r="AP233" s="1" t="n"/>
      <c r="AR233" s="1" t="n"/>
    </row>
    <row r="234" ht="15.75" customHeight="1" s="9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54" t="n"/>
      <c r="N234" s="54" t="n"/>
      <c r="O234" s="54" t="n"/>
      <c r="P234" s="54" t="n"/>
      <c r="Q234" s="54" t="n"/>
      <c r="R234" s="54" t="n"/>
      <c r="S234" s="54" t="n"/>
      <c r="T234" s="55" t="n"/>
      <c r="U234" s="55" t="n"/>
      <c r="V234" s="56" t="n"/>
      <c r="W234" s="1" t="n"/>
      <c r="X234" s="56" t="n"/>
      <c r="Y234" s="57" t="n"/>
      <c r="Z234" s="56" t="n"/>
      <c r="AA234" s="56" t="n"/>
      <c r="AB234" s="57" t="n"/>
      <c r="AC234" s="56" t="n"/>
      <c r="AD234" s="56" t="n"/>
      <c r="AE234" s="1" t="n"/>
      <c r="AF234" s="56" t="n"/>
      <c r="AG234" s="1" t="n"/>
      <c r="AH234" s="56" t="n"/>
      <c r="AI234" s="1" t="n"/>
      <c r="AJ234" s="56" t="n"/>
      <c r="AK234" s="56" t="n"/>
      <c r="AL234" s="1" t="n"/>
      <c r="AM234" s="1" t="n"/>
      <c r="AN234" s="1" t="n"/>
      <c r="AO234" s="1" t="n"/>
      <c r="AP234" s="1" t="n"/>
      <c r="AR234" s="1" t="n"/>
    </row>
    <row r="235" ht="15.75" customHeight="1" s="9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8" t="n"/>
      <c r="N235" s="18" t="n"/>
      <c r="O235" s="18" t="n"/>
      <c r="P235" s="18" t="n"/>
      <c r="Q235" s="18" t="n"/>
      <c r="R235" s="18" t="n"/>
      <c r="S235" s="18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R235" s="1" t="n"/>
    </row>
    <row r="236" ht="15.75" customHeight="1" s="9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8" t="n"/>
      <c r="N236" s="18" t="n"/>
      <c r="O236" s="18" t="n"/>
      <c r="P236" s="18" t="n"/>
      <c r="Q236" s="18" t="n"/>
      <c r="R236" s="18" t="n"/>
      <c r="S236" s="18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R236" s="1" t="n"/>
    </row>
    <row r="237" ht="15.75" customHeight="1" s="9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8" t="n"/>
      <c r="N237" s="18" t="n"/>
      <c r="O237" s="18" t="n"/>
      <c r="P237" s="18" t="n"/>
      <c r="Q237" s="18" t="n"/>
      <c r="R237" s="18" t="n"/>
      <c r="S237" s="18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R237" s="1" t="n"/>
    </row>
    <row r="238" ht="15.75" customHeight="1" s="9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8" t="n"/>
      <c r="N238" s="18" t="n"/>
      <c r="O238" s="18" t="n"/>
      <c r="P238" s="18" t="n"/>
      <c r="Q238" s="18" t="n"/>
      <c r="R238" s="18" t="n"/>
      <c r="S238" s="18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R238" s="1" t="n"/>
    </row>
    <row r="239" ht="15.75" customHeight="1" s="9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8" t="n"/>
      <c r="N239" s="18" t="n"/>
      <c r="O239" s="18" t="n"/>
      <c r="P239" s="18" t="n"/>
      <c r="Q239" s="18" t="n"/>
      <c r="R239" s="18" t="n"/>
      <c r="S239" s="18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R239" s="1" t="n"/>
    </row>
    <row r="240" ht="15.75" customHeight="1" s="9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8" t="n"/>
      <c r="N240" s="18" t="n"/>
      <c r="O240" s="18" t="n"/>
      <c r="P240" s="18" t="n"/>
      <c r="Q240" s="18" t="n"/>
      <c r="R240" s="18" t="n"/>
      <c r="S240" s="18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R240" s="1" t="n"/>
    </row>
    <row r="241" ht="15.75" customHeight="1" s="9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8" t="n"/>
      <c r="N241" s="18" t="n"/>
      <c r="O241" s="18" t="n"/>
      <c r="P241" s="18" t="n"/>
      <c r="Q241" s="18" t="n"/>
      <c r="R241" s="18" t="n"/>
      <c r="S241" s="18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R241" s="1" t="n"/>
    </row>
    <row r="242" ht="15.75" customHeight="1" s="9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8" t="n"/>
      <c r="N242" s="18" t="n"/>
      <c r="O242" s="18" t="n"/>
      <c r="P242" s="18" t="n"/>
      <c r="Q242" s="18" t="n"/>
      <c r="R242" s="18" t="n"/>
      <c r="S242" s="18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R242" s="1" t="n"/>
    </row>
    <row r="243" ht="15.75" customHeight="1" s="9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R243" s="1" t="n"/>
    </row>
    <row r="244" ht="15.75" customHeight="1" s="9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R244" s="1" t="n"/>
    </row>
    <row r="245" ht="15.75" customHeight="1" s="9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R245" s="1" t="n"/>
    </row>
    <row r="246" ht="15.75" customHeight="1" s="9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R246" s="1" t="n"/>
    </row>
    <row r="247" ht="15.75" customHeight="1" s="9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R247" s="1" t="n"/>
    </row>
    <row r="248" ht="15.75" customHeight="1" s="9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R248" s="1" t="n"/>
    </row>
    <row r="249" ht="15.75" customHeight="1" s="9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R249" s="1" t="n"/>
    </row>
    <row r="250" ht="15.75" customHeight="1" s="9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R250" s="1" t="n"/>
    </row>
    <row r="251" ht="15.75" customHeight="1" s="9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R251" s="1" t="n"/>
    </row>
    <row r="252" ht="15.75" customHeight="1" s="9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R252" s="1" t="n"/>
    </row>
    <row r="253" ht="15.75" customHeight="1" s="9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R253" s="1" t="n"/>
    </row>
    <row r="254" ht="15.75" customHeight="1" s="9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R254" s="1" t="n"/>
    </row>
    <row r="255" ht="15.75" customHeight="1" s="9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R255" s="1" t="n"/>
    </row>
    <row r="256" ht="15.75" customHeight="1" s="9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R256" s="1" t="n"/>
    </row>
    <row r="257" ht="15.75" customHeight="1" s="9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R257" s="1" t="n"/>
    </row>
    <row r="258" ht="15.75" customHeight="1" s="9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R258" s="1" t="n"/>
    </row>
    <row r="259" ht="15.75" customHeight="1" s="9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R259" s="1" t="n"/>
    </row>
    <row r="260" ht="15.75" customHeight="1" s="9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R260" s="1" t="n"/>
    </row>
    <row r="261" ht="15.75" customHeight="1" s="9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R261" s="1" t="n"/>
    </row>
    <row r="262" ht="15.75" customHeight="1" s="9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R262" s="1" t="n"/>
    </row>
    <row r="263" ht="15.75" customHeight="1" s="9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R263" s="1" t="n"/>
    </row>
    <row r="264" ht="15.75" customHeight="1" s="9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R264" s="1" t="n"/>
    </row>
    <row r="265" ht="15.75" customHeight="1" s="9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R265" s="1" t="n"/>
    </row>
    <row r="266" ht="15.75" customHeight="1" s="9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R266" s="1" t="n"/>
    </row>
    <row r="267" ht="15.75" customHeight="1" s="9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R267" s="1" t="n"/>
    </row>
    <row r="268" ht="15.75" customHeight="1" s="9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R268" s="1" t="n"/>
    </row>
    <row r="269" ht="15.75" customHeight="1" s="9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R269" s="1" t="n"/>
    </row>
    <row r="270" ht="15.75" customHeight="1" s="9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R270" s="1" t="n"/>
    </row>
    <row r="271" ht="15.75" customHeight="1" s="9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R271" s="1" t="n"/>
    </row>
    <row r="272" ht="15.75" customHeight="1" s="9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R272" s="1" t="n"/>
    </row>
    <row r="273" ht="15.75" customHeight="1" s="9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R273" s="1" t="n"/>
    </row>
    <row r="274" ht="15.75" customHeight="1" s="9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R274" s="1" t="n"/>
    </row>
    <row r="275" ht="15.75" customHeight="1" s="9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R275" s="1" t="n"/>
    </row>
    <row r="276" ht="15.75" customHeight="1" s="9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R276" s="1" t="n"/>
    </row>
    <row r="277" ht="15.75" customHeight="1" s="9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R277" s="1" t="n"/>
    </row>
    <row r="278" ht="15.75" customHeight="1" s="9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R278" s="1" t="n"/>
    </row>
    <row r="279" ht="15.75" customHeight="1" s="9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R279" s="1" t="n"/>
    </row>
    <row r="280" ht="15.75" customHeight="1" s="9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R280" s="1" t="n"/>
    </row>
    <row r="281" ht="15.75" customHeight="1" s="9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R281" s="1" t="n"/>
    </row>
    <row r="282" ht="15.75" customHeight="1" s="9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R282" s="1" t="n"/>
    </row>
    <row r="283" ht="15.75" customHeight="1" s="9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R283" s="1" t="n"/>
    </row>
    <row r="284" ht="15.75" customHeight="1" s="9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R284" s="1" t="n"/>
    </row>
    <row r="285" ht="15.75" customHeight="1" s="9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R285" s="1" t="n"/>
    </row>
    <row r="286" ht="15.75" customHeight="1" s="9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R286" s="1" t="n"/>
    </row>
    <row r="287" ht="15.75" customHeight="1" s="9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R287" s="1" t="n"/>
    </row>
    <row r="288" ht="15.75" customHeight="1" s="9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R288" s="1" t="n"/>
    </row>
    <row r="289" ht="15.75" customHeight="1" s="9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R289" s="1" t="n"/>
    </row>
    <row r="290" ht="15.75" customHeight="1" s="9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R290" s="1" t="n"/>
    </row>
    <row r="291" ht="15.75" customHeight="1" s="9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R291" s="1" t="n"/>
    </row>
    <row r="292" ht="15.75" customHeight="1" s="9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R292" s="1" t="n"/>
    </row>
    <row r="293" ht="15.75" customHeight="1" s="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R293" s="1" t="n"/>
    </row>
    <row r="294" ht="15.75" customHeight="1" s="9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R294" s="1" t="n"/>
    </row>
    <row r="295" ht="15.75" customHeight="1" s="9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R295" s="1" t="n"/>
    </row>
    <row r="296" ht="15.75" customHeight="1" s="9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R296" s="1" t="n"/>
    </row>
    <row r="297" ht="15.75" customHeight="1" s="9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R297" s="1" t="n"/>
    </row>
    <row r="298" ht="15.75" customHeight="1" s="9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R298" s="1" t="n"/>
    </row>
    <row r="299" ht="15.75" customHeight="1" s="9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R299" s="1" t="n"/>
    </row>
    <row r="300" ht="15.75" customHeight="1" s="9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R300" s="1" t="n"/>
    </row>
    <row r="301" ht="15.75" customHeight="1" s="9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R301" s="1" t="n"/>
    </row>
    <row r="302" ht="15.75" customHeight="1" s="9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R302" s="1" t="n"/>
    </row>
    <row r="303" ht="15.75" customHeight="1" s="9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R303" s="1" t="n"/>
    </row>
    <row r="304" ht="15.75" customHeight="1" s="9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R304" s="1" t="n"/>
    </row>
    <row r="305" ht="15.75" customHeight="1" s="9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R305" s="1" t="n"/>
    </row>
    <row r="306" ht="15.75" customHeight="1" s="9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R306" s="1" t="n"/>
    </row>
    <row r="307" ht="15.75" customHeight="1" s="9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R307" s="1" t="n"/>
    </row>
    <row r="308" ht="15.75" customHeight="1" s="9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R308" s="1" t="n"/>
    </row>
    <row r="309" ht="15.75" customHeight="1" s="9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R309" s="1" t="n"/>
    </row>
    <row r="310" ht="15.75" customHeight="1" s="9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R310" s="1" t="n"/>
    </row>
    <row r="311" ht="15.75" customHeight="1" s="9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R311" s="1" t="n"/>
    </row>
    <row r="312" ht="15.75" customHeight="1" s="9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R312" s="1" t="n"/>
    </row>
    <row r="313" ht="15.75" customHeight="1" s="9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R313" s="1" t="n"/>
    </row>
    <row r="314" ht="15.75" customHeight="1" s="9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R314" s="1" t="n"/>
    </row>
    <row r="315" ht="15.75" customHeight="1" s="9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R315" s="1" t="n"/>
    </row>
    <row r="316" ht="15.75" customHeight="1" s="9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R316" s="1" t="n"/>
    </row>
    <row r="317" ht="15.75" customHeight="1" s="9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R317" s="1" t="n"/>
    </row>
    <row r="318" ht="15.75" customHeight="1" s="9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R318" s="1" t="n"/>
    </row>
    <row r="319" ht="15.75" customHeight="1" s="9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R319" s="1" t="n"/>
    </row>
    <row r="320" ht="15.75" customHeight="1" s="9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R320" s="1" t="n"/>
    </row>
    <row r="321" ht="15.75" customHeight="1" s="9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R321" s="1" t="n"/>
    </row>
    <row r="322" ht="15.75" customHeight="1" s="9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R322" s="1" t="n"/>
    </row>
    <row r="323" ht="15.75" customHeight="1" s="9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R323" s="1" t="n"/>
    </row>
    <row r="324" ht="15.75" customHeight="1" s="9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R324" s="1" t="n"/>
    </row>
    <row r="325" ht="15.75" customHeight="1" s="9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R325" s="1" t="n"/>
    </row>
    <row r="326" ht="15.75" customHeight="1" s="9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R326" s="1" t="n"/>
    </row>
    <row r="327" ht="15.75" customHeight="1" s="9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R327" s="1" t="n"/>
    </row>
    <row r="328" ht="15.75" customHeight="1" s="9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R328" s="1" t="n"/>
    </row>
    <row r="329" ht="15.75" customHeight="1" s="9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R329" s="1" t="n"/>
    </row>
    <row r="330" ht="15.75" customHeight="1" s="9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R330" s="1" t="n"/>
    </row>
    <row r="331" ht="15.75" customHeight="1" s="9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R331" s="1" t="n"/>
    </row>
    <row r="332" ht="15.75" customHeight="1" s="9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R332" s="1" t="n"/>
    </row>
    <row r="333" ht="15.75" customHeight="1" s="9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R333" s="1" t="n"/>
    </row>
    <row r="334" ht="15.75" customHeight="1" s="9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R334" s="1" t="n"/>
    </row>
    <row r="335" ht="15.75" customHeight="1" s="9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R335" s="1" t="n"/>
    </row>
    <row r="336" ht="15.75" customHeight="1" s="9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R336" s="1" t="n"/>
    </row>
    <row r="337" ht="15.75" customHeight="1" s="9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R337" s="1" t="n"/>
    </row>
    <row r="338" ht="15.75" customHeight="1" s="9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R338" s="1" t="n"/>
    </row>
    <row r="339" ht="15.75" customHeight="1" s="9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R339" s="1" t="n"/>
    </row>
    <row r="340" ht="15.75" customHeight="1" s="9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R340" s="1" t="n"/>
    </row>
    <row r="341" ht="15.75" customHeight="1" s="9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R341" s="1" t="n"/>
    </row>
    <row r="342" ht="15.75" customHeight="1" s="9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R342" s="1" t="n"/>
    </row>
    <row r="343" ht="15.75" customHeight="1" s="9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R343" s="1" t="n"/>
    </row>
    <row r="344" ht="15.75" customHeight="1" s="9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R344" s="1" t="n"/>
    </row>
    <row r="345" ht="15.75" customHeight="1" s="9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R345" s="1" t="n"/>
    </row>
    <row r="346" ht="15.75" customHeight="1" s="9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R346" s="1" t="n"/>
    </row>
    <row r="347" ht="15.75" customHeight="1" s="9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R347" s="1" t="n"/>
    </row>
    <row r="348" ht="15.75" customHeight="1" s="9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R348" s="1" t="n"/>
    </row>
    <row r="349" ht="15.75" customHeight="1" s="9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R349" s="1" t="n"/>
    </row>
    <row r="350" ht="15.75" customHeight="1" s="9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R350" s="1" t="n"/>
    </row>
    <row r="351" ht="15.75" customHeight="1" s="9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R351" s="1" t="n"/>
    </row>
    <row r="352" ht="15.75" customHeight="1" s="9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R352" s="1" t="n"/>
    </row>
    <row r="353" ht="15.75" customHeight="1" s="9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R353" s="1" t="n"/>
    </row>
    <row r="354" ht="15.75" customHeight="1" s="9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R354" s="1" t="n"/>
    </row>
    <row r="355" ht="15.75" customHeight="1" s="9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R355" s="1" t="n"/>
    </row>
    <row r="356" ht="15.75" customHeight="1" s="9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R356" s="1" t="n"/>
    </row>
    <row r="357" ht="15.75" customHeight="1" s="9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R357" s="1" t="n"/>
    </row>
    <row r="358" ht="15.75" customHeight="1" s="9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R358" s="1" t="n"/>
    </row>
    <row r="359" ht="15.75" customHeight="1" s="9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R359" s="1" t="n"/>
    </row>
    <row r="360" ht="15.75" customHeight="1" s="9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R360" s="1" t="n"/>
    </row>
    <row r="361" ht="15.75" customHeight="1" s="9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R361" s="1" t="n"/>
    </row>
    <row r="362" ht="15.75" customHeight="1" s="9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R362" s="1" t="n"/>
    </row>
    <row r="363" ht="15.75" customHeight="1" s="9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R363" s="1" t="n"/>
    </row>
    <row r="364" ht="15.75" customHeight="1" s="9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R364" s="1" t="n"/>
    </row>
    <row r="365" ht="15.75" customHeight="1" s="9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R365" s="1" t="n"/>
    </row>
    <row r="366" ht="15.75" customHeight="1" s="9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R366" s="1" t="n"/>
    </row>
    <row r="367" ht="15.75" customHeight="1" s="9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R367" s="1" t="n"/>
    </row>
    <row r="368" ht="15.75" customHeight="1" s="9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R368" s="1" t="n"/>
    </row>
    <row r="369" ht="15.75" customHeight="1" s="9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R369" s="1" t="n"/>
    </row>
    <row r="370" ht="15.75" customHeight="1" s="9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R370" s="1" t="n"/>
    </row>
    <row r="371" ht="15.75" customHeight="1" s="9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R371" s="1" t="n"/>
    </row>
    <row r="372" ht="15.75" customHeight="1" s="9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R372" s="1" t="n"/>
    </row>
    <row r="373" ht="15.75" customHeight="1" s="9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R373" s="1" t="n"/>
    </row>
    <row r="374" ht="15.75" customHeight="1" s="9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R374" s="1" t="n"/>
    </row>
    <row r="375" ht="15.75" customHeight="1" s="9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R375" s="1" t="n"/>
    </row>
    <row r="376" ht="15.75" customHeight="1" s="9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R376" s="1" t="n"/>
    </row>
    <row r="377" ht="15.75" customHeight="1" s="9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R377" s="1" t="n"/>
    </row>
    <row r="378" ht="15.75" customHeight="1" s="9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R378" s="1" t="n"/>
    </row>
    <row r="379" ht="15.75" customHeight="1" s="9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R379" s="1" t="n"/>
    </row>
    <row r="380" ht="15.75" customHeight="1" s="9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R380" s="1" t="n"/>
    </row>
    <row r="381" ht="15.75" customHeight="1" s="9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R381" s="1" t="n"/>
    </row>
    <row r="382" ht="15.75" customHeight="1" s="9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R382" s="1" t="n"/>
    </row>
    <row r="383" ht="15.75" customHeight="1" s="9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R383" s="1" t="n"/>
    </row>
    <row r="384" ht="15.75" customHeight="1" s="9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R384" s="1" t="n"/>
    </row>
    <row r="385" ht="15.75" customHeight="1" s="9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R385" s="1" t="n"/>
    </row>
    <row r="386" ht="15.75" customHeight="1" s="9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R386" s="1" t="n"/>
    </row>
    <row r="387" ht="15.75" customHeight="1" s="9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R387" s="1" t="n"/>
    </row>
    <row r="388" ht="15.75" customHeight="1" s="9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R388" s="1" t="n"/>
    </row>
    <row r="389" ht="15.75" customHeight="1" s="9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R389" s="1" t="n"/>
    </row>
    <row r="390" ht="15.75" customHeight="1" s="9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R390" s="1" t="n"/>
    </row>
    <row r="391" ht="15.75" customHeight="1" s="9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R391" s="1" t="n"/>
    </row>
    <row r="392" ht="15.75" customHeight="1" s="9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R392" s="1" t="n"/>
    </row>
    <row r="393" ht="15.75" customHeight="1" s="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R393" s="1" t="n"/>
    </row>
    <row r="394" ht="15.75" customHeight="1" s="9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R394" s="1" t="n"/>
    </row>
    <row r="395" ht="15.75" customHeight="1" s="9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R395" s="1" t="n"/>
    </row>
    <row r="396" ht="15.75" customHeight="1" s="9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R396" s="1" t="n"/>
    </row>
    <row r="397" ht="15.75" customHeight="1" s="9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R397" s="1" t="n"/>
    </row>
    <row r="398" ht="15.75" customHeight="1" s="9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R398" s="1" t="n"/>
    </row>
    <row r="399" ht="15.75" customHeight="1" s="9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R399" s="1" t="n"/>
    </row>
    <row r="400" ht="15.75" customHeight="1" s="9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R400" s="1" t="n"/>
    </row>
    <row r="401" ht="15.75" customHeight="1" s="9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R401" s="1" t="n"/>
    </row>
    <row r="402" ht="15.75" customHeight="1" s="9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R402" s="1" t="n"/>
    </row>
    <row r="403" ht="15.75" customHeight="1" s="9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R403" s="1" t="n"/>
    </row>
    <row r="404" ht="15.75" customHeight="1" s="9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R404" s="1" t="n"/>
    </row>
    <row r="405" ht="15.75" customHeight="1" s="9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R405" s="1" t="n"/>
    </row>
    <row r="406" ht="15.75" customHeight="1" s="9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R406" s="1" t="n"/>
    </row>
    <row r="407" ht="15.75" customHeight="1" s="9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R407" s="1" t="n"/>
    </row>
    <row r="408" ht="15.75" customHeight="1" s="9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R408" s="1" t="n"/>
    </row>
    <row r="409" ht="15.75" customHeight="1" s="9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R409" s="1" t="n"/>
    </row>
    <row r="410" ht="15.75" customHeight="1" s="9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R410" s="1" t="n"/>
    </row>
    <row r="411" ht="15.75" customHeight="1" s="9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R411" s="1" t="n"/>
    </row>
    <row r="412" ht="15.75" customHeight="1" s="9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R412" s="1" t="n"/>
    </row>
    <row r="413" ht="15.75" customHeight="1" s="9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R413" s="1" t="n"/>
    </row>
    <row r="414" ht="15.75" customHeight="1" s="9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R414" s="1" t="n"/>
    </row>
    <row r="415" ht="15.75" customHeight="1" s="9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R415" s="1" t="n"/>
    </row>
    <row r="416" ht="15.75" customHeight="1" s="9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R416" s="1" t="n"/>
    </row>
    <row r="417" ht="15.75" customHeight="1" s="9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R417" s="1" t="n"/>
    </row>
    <row r="418" ht="15.75" customHeight="1" s="9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R418" s="1" t="n"/>
    </row>
    <row r="419" ht="15.75" customHeight="1" s="9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R419" s="1" t="n"/>
    </row>
    <row r="420" ht="15.75" customHeight="1" s="9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R420" s="1" t="n"/>
    </row>
    <row r="421" ht="15.75" customHeight="1" s="9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R421" s="1" t="n"/>
    </row>
    <row r="422" ht="15.75" customHeight="1" s="9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R422" s="1" t="n"/>
    </row>
    <row r="423" ht="15.75" customHeight="1" s="9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R423" s="1" t="n"/>
    </row>
    <row r="424" ht="15.75" customHeight="1" s="9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R424" s="1" t="n"/>
    </row>
    <row r="425" ht="15.75" customHeight="1" s="9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R425" s="1" t="n"/>
    </row>
    <row r="426" ht="15.75" customHeight="1" s="9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R426" s="1" t="n"/>
    </row>
    <row r="427" ht="15.75" customHeight="1" s="9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R427" s="1" t="n"/>
    </row>
    <row r="428" ht="15.75" customHeight="1" s="9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R428" s="1" t="n"/>
    </row>
    <row r="429" ht="15.75" customHeight="1" s="9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R429" s="1" t="n"/>
    </row>
    <row r="430" ht="15.75" customHeight="1" s="9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R430" s="1" t="n"/>
    </row>
    <row r="431" ht="15.75" customHeight="1" s="9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R431" s="1" t="n"/>
    </row>
    <row r="432" ht="15.75" customHeight="1" s="9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R432" s="1" t="n"/>
    </row>
    <row r="433" ht="15.75" customHeight="1" s="9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R433" s="1" t="n"/>
    </row>
    <row r="434" ht="15.75" customHeight="1" s="9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R434" s="1" t="n"/>
    </row>
    <row r="435" ht="15.75" customHeight="1" s="9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R435" s="1" t="n"/>
    </row>
    <row r="436" ht="15.75" customHeight="1" s="9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R436" s="1" t="n"/>
    </row>
    <row r="437" ht="15.75" customHeight="1" s="9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R437" s="1" t="n"/>
    </row>
    <row r="438" ht="15.75" customHeight="1" s="9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R438" s="1" t="n"/>
    </row>
    <row r="439" ht="15.75" customHeight="1" s="9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R439" s="1" t="n"/>
    </row>
    <row r="440" ht="15.75" customHeight="1" s="9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R440" s="1" t="n"/>
    </row>
    <row r="441" ht="15.75" customHeight="1" s="9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R441" s="1" t="n"/>
    </row>
    <row r="442" ht="15.75" customHeight="1" s="9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R442" s="1" t="n"/>
    </row>
    <row r="443" ht="15.75" customHeight="1" s="9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R443" s="1" t="n"/>
    </row>
    <row r="444" ht="15.75" customHeight="1" s="9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R444" s="1" t="n"/>
    </row>
    <row r="445" ht="15.75" customHeight="1" s="9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R445" s="1" t="n"/>
    </row>
    <row r="446" ht="15.75" customHeight="1" s="9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R446" s="1" t="n"/>
    </row>
    <row r="447" ht="15.75" customHeight="1" s="9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R447" s="1" t="n"/>
    </row>
    <row r="448" ht="15.75" customHeight="1" s="9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R448" s="1" t="n"/>
    </row>
    <row r="449" ht="15.75" customHeight="1" s="9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R449" s="1" t="n"/>
    </row>
    <row r="450" ht="15.75" customHeight="1" s="9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R450" s="1" t="n"/>
    </row>
    <row r="451" ht="15.75" customHeight="1" s="9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R451" s="1" t="n"/>
    </row>
    <row r="452" ht="15.75" customHeight="1" s="9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R452" s="1" t="n"/>
    </row>
    <row r="453" ht="15.75" customHeight="1" s="9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R453" s="1" t="n"/>
    </row>
    <row r="454" ht="15.75" customHeight="1" s="9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R454" s="1" t="n"/>
    </row>
    <row r="455" ht="15.75" customHeight="1" s="9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R455" s="1" t="n"/>
    </row>
    <row r="456" ht="15.75" customHeight="1" s="9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R456" s="1" t="n"/>
    </row>
    <row r="457" ht="15.75" customHeight="1" s="9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R457" s="1" t="n"/>
    </row>
    <row r="458" ht="15.75" customHeight="1" s="9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R458" s="1" t="n"/>
    </row>
    <row r="459" ht="15.75" customHeight="1" s="9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R459" s="1" t="n"/>
    </row>
    <row r="460" ht="15.75" customHeight="1" s="9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R460" s="1" t="n"/>
    </row>
    <row r="461" ht="15.75" customHeight="1" s="9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R461" s="1" t="n"/>
    </row>
    <row r="462" ht="15.75" customHeight="1" s="9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R462" s="1" t="n"/>
    </row>
    <row r="463" ht="15.75" customHeight="1" s="9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R463" s="1" t="n"/>
    </row>
    <row r="464" ht="15.75" customHeight="1" s="9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R464" s="1" t="n"/>
    </row>
    <row r="465" ht="15.75" customHeight="1" s="9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R465" s="1" t="n"/>
    </row>
    <row r="466" ht="15.75" customHeight="1" s="9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R466" s="1" t="n"/>
    </row>
    <row r="467" ht="15.75" customHeight="1" s="9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R467" s="1" t="n"/>
    </row>
    <row r="468" ht="15.75" customHeight="1" s="9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R468" s="1" t="n"/>
    </row>
    <row r="469" ht="15.75" customHeight="1" s="9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R469" s="1" t="n"/>
    </row>
    <row r="470" ht="15.75" customHeight="1" s="9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R470" s="1" t="n"/>
    </row>
    <row r="471" ht="15.75" customHeight="1" s="9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R471" s="1" t="n"/>
    </row>
    <row r="472" ht="15.75" customHeight="1" s="9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R472" s="1" t="n"/>
    </row>
    <row r="473" ht="15.75" customHeight="1" s="9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R473" s="1" t="n"/>
    </row>
    <row r="474" ht="15.75" customHeight="1" s="9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R474" s="1" t="n"/>
    </row>
    <row r="475" ht="15.75" customHeight="1" s="9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R475" s="1" t="n"/>
    </row>
    <row r="476" ht="15.75" customHeight="1" s="9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R476" s="1" t="n"/>
    </row>
    <row r="477" ht="15.75" customHeight="1" s="9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R477" s="1" t="n"/>
    </row>
    <row r="478" ht="15.75" customHeight="1" s="9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R478" s="1" t="n"/>
    </row>
    <row r="479" ht="15.75" customHeight="1" s="9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R479" s="1" t="n"/>
    </row>
    <row r="480" ht="15.75" customHeight="1" s="9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R480" s="1" t="n"/>
    </row>
    <row r="481" ht="15.75" customHeight="1" s="9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R481" s="1" t="n"/>
    </row>
    <row r="482" ht="15.75" customHeight="1" s="9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R482" s="1" t="n"/>
    </row>
    <row r="483" ht="15.75" customHeight="1" s="9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R483" s="1" t="n"/>
    </row>
    <row r="484" ht="15.75" customHeight="1" s="9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R484" s="1" t="n"/>
    </row>
    <row r="485" ht="15.75" customHeight="1" s="9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R485" s="1" t="n"/>
    </row>
    <row r="486" ht="15.75" customHeight="1" s="9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R486" s="1" t="n"/>
    </row>
    <row r="487" ht="15.75" customHeight="1" s="9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R487" s="1" t="n"/>
    </row>
    <row r="488" ht="15.75" customHeight="1" s="9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R488" s="1" t="n"/>
    </row>
    <row r="489" ht="15.75" customHeight="1" s="9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R489" s="1" t="n"/>
    </row>
    <row r="490" ht="15.75" customHeight="1" s="9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R490" s="1" t="n"/>
    </row>
    <row r="491" ht="15.75" customHeight="1" s="9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R491" s="1" t="n"/>
    </row>
    <row r="492" ht="15.75" customHeight="1" s="9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R492" s="1" t="n"/>
    </row>
    <row r="493" ht="15.75" customHeight="1" s="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R493" s="1" t="n"/>
    </row>
    <row r="494" ht="15.75" customHeight="1" s="9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R494" s="1" t="n"/>
    </row>
    <row r="495" ht="15.75" customHeight="1" s="9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R495" s="1" t="n"/>
    </row>
    <row r="496" ht="15.75" customHeight="1" s="9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R496" s="1" t="n"/>
    </row>
    <row r="497" ht="15.75" customHeight="1" s="9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R497" s="1" t="n"/>
    </row>
    <row r="498" ht="15.75" customHeight="1" s="9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R498" s="1" t="n"/>
    </row>
    <row r="499" ht="15.75" customHeight="1" s="9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R499" s="1" t="n"/>
    </row>
    <row r="500" ht="15.75" customHeight="1" s="9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R500" s="1" t="n"/>
    </row>
    <row r="501" ht="15.75" customHeight="1" s="9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R501" s="1" t="n"/>
    </row>
    <row r="502" ht="15.75" customHeight="1" s="9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R502" s="1" t="n"/>
    </row>
    <row r="503" ht="15.75" customHeight="1" s="9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R503" s="1" t="n"/>
    </row>
    <row r="504" ht="15.75" customHeight="1" s="9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R504" s="1" t="n"/>
    </row>
    <row r="505" ht="15.75" customHeight="1" s="9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R505" s="1" t="n"/>
    </row>
    <row r="506" ht="15.75" customHeight="1" s="9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R506" s="1" t="n"/>
    </row>
    <row r="507" ht="15.75" customHeight="1" s="9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R507" s="1" t="n"/>
    </row>
    <row r="508" ht="15.75" customHeight="1" s="9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R508" s="1" t="n"/>
    </row>
    <row r="509" ht="15.75" customHeight="1" s="9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R509" s="1" t="n"/>
    </row>
    <row r="510" ht="15.75" customHeight="1" s="9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R510" s="1" t="n"/>
    </row>
    <row r="511" ht="15.75" customHeight="1" s="9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R511" s="1" t="n"/>
    </row>
    <row r="512" ht="15.75" customHeight="1" s="9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R512" s="1" t="n"/>
    </row>
    <row r="513" ht="15.75" customHeight="1" s="9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R513" s="1" t="n"/>
    </row>
    <row r="514" ht="15.75" customHeight="1" s="9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R514" s="1" t="n"/>
    </row>
    <row r="515" ht="15.75" customHeight="1" s="9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R515" s="1" t="n"/>
    </row>
    <row r="516" ht="15.75" customHeight="1" s="9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R516" s="1" t="n"/>
    </row>
    <row r="517" ht="15.75" customHeight="1" s="9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R517" s="1" t="n"/>
    </row>
    <row r="518" ht="15.75" customHeight="1" s="9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R518" s="1" t="n"/>
    </row>
    <row r="519" ht="15.75" customHeight="1" s="9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R519" s="1" t="n"/>
    </row>
    <row r="520" ht="15.75" customHeight="1" s="9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R520" s="1" t="n"/>
    </row>
    <row r="521" ht="15.75" customHeight="1" s="9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R521" s="1" t="n"/>
    </row>
    <row r="522" ht="15.75" customHeight="1" s="9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R522" s="1" t="n"/>
    </row>
    <row r="523" ht="15.75" customHeight="1" s="9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R523" s="1" t="n"/>
    </row>
    <row r="524" ht="15.75" customHeight="1" s="9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R524" s="1" t="n"/>
    </row>
    <row r="525" ht="15.75" customHeight="1" s="9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R525" s="1" t="n"/>
    </row>
    <row r="526" ht="15.75" customHeight="1" s="9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R526" s="1" t="n"/>
    </row>
    <row r="527" ht="15.75" customHeight="1" s="9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R527" s="1" t="n"/>
    </row>
    <row r="528" ht="15.75" customHeight="1" s="9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R528" s="1" t="n"/>
    </row>
    <row r="529" ht="15.75" customHeight="1" s="9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R529" s="1" t="n"/>
    </row>
    <row r="530" ht="15.75" customHeight="1" s="9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R530" s="1" t="n"/>
    </row>
    <row r="531" ht="15.75" customHeight="1" s="9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R531" s="1" t="n"/>
    </row>
    <row r="532" ht="15.75" customHeight="1" s="9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R532" s="1" t="n"/>
    </row>
    <row r="533" ht="15.75" customHeight="1" s="9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R533" s="1" t="n"/>
    </row>
    <row r="534" ht="15.75" customHeight="1" s="9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R534" s="1" t="n"/>
    </row>
    <row r="535" ht="15.75" customHeight="1" s="9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R535" s="1" t="n"/>
    </row>
    <row r="536" ht="15.75" customHeight="1" s="9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R536" s="1" t="n"/>
    </row>
    <row r="537" ht="15.75" customHeight="1" s="9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R537" s="1" t="n"/>
    </row>
    <row r="538" ht="15.75" customHeight="1" s="9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R538" s="1" t="n"/>
    </row>
    <row r="539" ht="15.75" customHeight="1" s="9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R539" s="1" t="n"/>
    </row>
    <row r="540" ht="15.75" customHeight="1" s="9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R540" s="1" t="n"/>
    </row>
    <row r="541" ht="15.75" customHeight="1" s="9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R541" s="1" t="n"/>
    </row>
    <row r="542" ht="15.75" customHeight="1" s="9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R542" s="1" t="n"/>
    </row>
    <row r="543" ht="15.75" customHeight="1" s="9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R543" s="1" t="n"/>
    </row>
    <row r="544" ht="15.75" customHeight="1" s="9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R544" s="1" t="n"/>
    </row>
    <row r="545" ht="15.75" customHeight="1" s="9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R545" s="1" t="n"/>
    </row>
    <row r="546" ht="15.75" customHeight="1" s="9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R546" s="1" t="n"/>
    </row>
    <row r="547" ht="15.75" customHeight="1" s="9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R547" s="1" t="n"/>
    </row>
    <row r="548" ht="15.75" customHeight="1" s="9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R548" s="1" t="n"/>
    </row>
    <row r="549" ht="15.75" customHeight="1" s="9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R549" s="1" t="n"/>
    </row>
    <row r="550" ht="15.75" customHeight="1" s="9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R550" s="1" t="n"/>
    </row>
    <row r="551" ht="15.75" customHeight="1" s="9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R551" s="1" t="n"/>
    </row>
    <row r="552" ht="15.75" customHeight="1" s="9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R552" s="1" t="n"/>
    </row>
    <row r="553" ht="15.75" customHeight="1" s="9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R553" s="1" t="n"/>
    </row>
    <row r="554" ht="15.75" customHeight="1" s="9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R554" s="1" t="n"/>
    </row>
    <row r="555" ht="15.75" customHeight="1" s="9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R555" s="1" t="n"/>
    </row>
    <row r="556" ht="15.75" customHeight="1" s="9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R556" s="1" t="n"/>
    </row>
    <row r="557" ht="15.75" customHeight="1" s="9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R557" s="1" t="n"/>
    </row>
    <row r="558" ht="15.75" customHeight="1" s="9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R558" s="1" t="n"/>
    </row>
    <row r="559" ht="15.75" customHeight="1" s="9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R559" s="1" t="n"/>
    </row>
    <row r="560" ht="15.75" customHeight="1" s="9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R560" s="1" t="n"/>
    </row>
    <row r="561" ht="15.75" customHeight="1" s="9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R561" s="1" t="n"/>
    </row>
    <row r="562" ht="15.75" customHeight="1" s="9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R562" s="1" t="n"/>
    </row>
    <row r="563" ht="15.75" customHeight="1" s="9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R563" s="1" t="n"/>
    </row>
    <row r="564" ht="15.75" customHeight="1" s="9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R564" s="1" t="n"/>
    </row>
    <row r="565" ht="15.75" customHeight="1" s="9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R565" s="1" t="n"/>
    </row>
    <row r="566" ht="15.75" customHeight="1" s="9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R566" s="1" t="n"/>
    </row>
    <row r="567" ht="15.75" customHeight="1" s="9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R567" s="1" t="n"/>
    </row>
    <row r="568" ht="15.75" customHeight="1" s="9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R568" s="1" t="n"/>
    </row>
    <row r="569" ht="15.75" customHeight="1" s="9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R569" s="1" t="n"/>
    </row>
    <row r="570" ht="15.75" customHeight="1" s="9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R570" s="1" t="n"/>
    </row>
    <row r="571" ht="15.75" customHeight="1" s="9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R571" s="1" t="n"/>
    </row>
    <row r="572" ht="15.75" customHeight="1" s="9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R572" s="1" t="n"/>
    </row>
    <row r="573" ht="15.75" customHeight="1" s="9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R573" s="1" t="n"/>
    </row>
    <row r="574" ht="15.75" customHeight="1" s="9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R574" s="1" t="n"/>
    </row>
    <row r="575" ht="15.75" customHeight="1" s="9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R575" s="1" t="n"/>
    </row>
    <row r="576" ht="15.75" customHeight="1" s="9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R576" s="1" t="n"/>
    </row>
    <row r="577" ht="15.75" customHeight="1" s="9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R577" s="1" t="n"/>
    </row>
    <row r="578" ht="15.75" customHeight="1" s="9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R578" s="1" t="n"/>
    </row>
    <row r="579" ht="15.75" customHeight="1" s="9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R579" s="1" t="n"/>
    </row>
    <row r="580" ht="15.75" customHeight="1" s="9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R580" s="1" t="n"/>
    </row>
    <row r="581" ht="15.75" customHeight="1" s="9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R581" s="1" t="n"/>
    </row>
    <row r="582" ht="15.75" customHeight="1" s="9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R582" s="1" t="n"/>
    </row>
    <row r="583" ht="15.75" customHeight="1" s="9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R583" s="1" t="n"/>
    </row>
    <row r="584" ht="15.75" customHeight="1" s="9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R584" s="1" t="n"/>
    </row>
    <row r="585" ht="15.75" customHeight="1" s="9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R585" s="1" t="n"/>
    </row>
    <row r="586" ht="15.75" customHeight="1" s="9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R586" s="1" t="n"/>
    </row>
    <row r="587" ht="15.75" customHeight="1" s="9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R587" s="1" t="n"/>
    </row>
    <row r="588" ht="15.75" customHeight="1" s="9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R588" s="1" t="n"/>
    </row>
    <row r="589" ht="15.75" customHeight="1" s="9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R589" s="1" t="n"/>
    </row>
    <row r="590" ht="15.75" customHeight="1" s="9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R590" s="1" t="n"/>
    </row>
    <row r="591" ht="15.75" customHeight="1" s="9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R591" s="1" t="n"/>
    </row>
    <row r="592" ht="15.75" customHeight="1" s="9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R592" s="1" t="n"/>
    </row>
    <row r="593" ht="15.75" customHeight="1" s="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R593" s="1" t="n"/>
    </row>
    <row r="594" ht="15.75" customHeight="1" s="9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R594" s="1" t="n"/>
    </row>
    <row r="595" ht="15.75" customHeight="1" s="9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R595" s="1" t="n"/>
    </row>
    <row r="596" ht="15.75" customHeight="1" s="9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R596" s="1" t="n"/>
    </row>
    <row r="597" ht="15.75" customHeight="1" s="9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R597" s="1" t="n"/>
    </row>
    <row r="598" ht="15.75" customHeight="1" s="9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R598" s="1" t="n"/>
    </row>
    <row r="599" ht="15.75" customHeight="1" s="9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R599" s="1" t="n"/>
    </row>
    <row r="600" ht="15.75" customHeight="1" s="9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R600" s="1" t="n"/>
    </row>
    <row r="601" ht="15.75" customHeight="1" s="9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R601" s="1" t="n"/>
    </row>
    <row r="602" ht="15.75" customHeight="1" s="9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R602" s="1" t="n"/>
    </row>
    <row r="603" ht="15.75" customHeight="1" s="9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R603" s="1" t="n"/>
    </row>
    <row r="604" ht="15.75" customHeight="1" s="9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R604" s="1" t="n"/>
    </row>
    <row r="605" ht="15.75" customHeight="1" s="9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R605" s="1" t="n"/>
    </row>
    <row r="606" ht="15.75" customHeight="1" s="9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R606" s="1" t="n"/>
    </row>
    <row r="607" ht="15.75" customHeight="1" s="9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R607" s="1" t="n"/>
    </row>
    <row r="608" ht="15.75" customHeight="1" s="9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R608" s="1" t="n"/>
    </row>
    <row r="609" ht="15.75" customHeight="1" s="9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R609" s="1" t="n"/>
    </row>
    <row r="610" ht="15.75" customHeight="1" s="9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R610" s="1" t="n"/>
    </row>
    <row r="611" ht="15.75" customHeight="1" s="9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R611" s="1" t="n"/>
    </row>
    <row r="612" ht="15.75" customHeight="1" s="9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R612" s="1" t="n"/>
    </row>
    <row r="613" ht="15.75" customHeight="1" s="9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R613" s="1" t="n"/>
    </row>
    <row r="614" ht="15.75" customHeight="1" s="9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R614" s="1" t="n"/>
    </row>
    <row r="615" ht="15.75" customHeight="1" s="9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R615" s="1" t="n"/>
    </row>
    <row r="616" ht="15.75" customHeight="1" s="9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R616" s="1" t="n"/>
    </row>
    <row r="617" ht="15.75" customHeight="1" s="9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R617" s="1" t="n"/>
    </row>
    <row r="618" ht="15.75" customHeight="1" s="9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R618" s="1" t="n"/>
    </row>
    <row r="619" ht="15.75" customHeight="1" s="9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R619" s="1" t="n"/>
    </row>
    <row r="620" ht="15.75" customHeight="1" s="9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R620" s="1" t="n"/>
    </row>
    <row r="621" ht="15.75" customHeight="1" s="9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R621" s="1" t="n"/>
    </row>
    <row r="622" ht="15.75" customHeight="1" s="9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R622" s="1" t="n"/>
    </row>
    <row r="623" ht="15.75" customHeight="1" s="9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R623" s="1" t="n"/>
    </row>
    <row r="624" ht="15.75" customHeight="1" s="9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R624" s="1" t="n"/>
    </row>
    <row r="625" ht="15.75" customHeight="1" s="9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R625" s="1" t="n"/>
    </row>
    <row r="626" ht="15.75" customHeight="1" s="9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R626" s="1" t="n"/>
    </row>
    <row r="627" ht="15.75" customHeight="1" s="9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R627" s="1" t="n"/>
    </row>
    <row r="628" ht="15.75" customHeight="1" s="9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R628" s="1" t="n"/>
    </row>
    <row r="629" ht="15.75" customHeight="1" s="9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R629" s="1" t="n"/>
    </row>
    <row r="630" ht="15.75" customHeight="1" s="9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R630" s="1" t="n"/>
    </row>
    <row r="631" ht="15.75" customHeight="1" s="9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R631" s="1" t="n"/>
    </row>
    <row r="632" ht="15.75" customHeight="1" s="9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R632" s="1" t="n"/>
    </row>
    <row r="633" ht="15.75" customHeight="1" s="9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R633" s="1" t="n"/>
    </row>
    <row r="634" ht="15.75" customHeight="1" s="9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R634" s="1" t="n"/>
    </row>
    <row r="635" ht="15.75" customHeight="1" s="9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R635" s="1" t="n"/>
    </row>
    <row r="636" ht="15.75" customHeight="1" s="9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R636" s="1" t="n"/>
    </row>
    <row r="637" ht="15.75" customHeight="1" s="9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R637" s="1" t="n"/>
    </row>
    <row r="638" ht="15.75" customHeight="1" s="9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R638" s="1" t="n"/>
    </row>
    <row r="639" ht="15.75" customHeight="1" s="9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R639" s="1" t="n"/>
    </row>
    <row r="640" ht="15.75" customHeight="1" s="9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R640" s="1" t="n"/>
    </row>
    <row r="641" ht="15.75" customHeight="1" s="9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R641" s="1" t="n"/>
    </row>
    <row r="642" ht="15.75" customHeight="1" s="9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R642" s="1" t="n"/>
    </row>
    <row r="643" ht="15.75" customHeight="1" s="9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R643" s="1" t="n"/>
    </row>
    <row r="644" ht="15.75" customHeight="1" s="9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R644" s="1" t="n"/>
    </row>
    <row r="645" ht="15.75" customHeight="1" s="9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R645" s="1" t="n"/>
    </row>
    <row r="646" ht="15.75" customHeight="1" s="9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R646" s="1" t="n"/>
    </row>
    <row r="647" ht="15.75" customHeight="1" s="9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R647" s="1" t="n"/>
    </row>
    <row r="648" ht="15.75" customHeight="1" s="9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R648" s="1" t="n"/>
    </row>
    <row r="649" ht="15.75" customHeight="1" s="9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R649" s="1" t="n"/>
    </row>
    <row r="650" ht="15.75" customHeight="1" s="9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R650" s="1" t="n"/>
    </row>
    <row r="651" ht="15.75" customHeight="1" s="9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R651" s="1" t="n"/>
    </row>
    <row r="652" ht="15.75" customHeight="1" s="9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R652" s="1" t="n"/>
    </row>
    <row r="653" ht="15.75" customHeight="1" s="9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R653" s="1" t="n"/>
    </row>
    <row r="654" ht="15.75" customHeight="1" s="9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R654" s="1" t="n"/>
    </row>
    <row r="655" ht="15.75" customHeight="1" s="9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R655" s="1" t="n"/>
    </row>
    <row r="656" ht="15.75" customHeight="1" s="9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R656" s="1" t="n"/>
    </row>
    <row r="657" ht="15.75" customHeight="1" s="9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R657" s="1" t="n"/>
    </row>
    <row r="658" ht="15.75" customHeight="1" s="9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R658" s="1" t="n"/>
    </row>
    <row r="659" ht="15.75" customHeight="1" s="9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R659" s="1" t="n"/>
    </row>
    <row r="660" ht="15.75" customHeight="1" s="9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R660" s="1" t="n"/>
    </row>
    <row r="661" ht="15.75" customHeight="1" s="9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R661" s="1" t="n"/>
    </row>
    <row r="662" ht="15.75" customHeight="1" s="9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R662" s="1" t="n"/>
    </row>
    <row r="663" ht="15.75" customHeight="1" s="9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R663" s="1" t="n"/>
    </row>
    <row r="664" ht="15.75" customHeight="1" s="9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R664" s="1" t="n"/>
    </row>
    <row r="665" ht="15.75" customHeight="1" s="9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R665" s="1" t="n"/>
    </row>
    <row r="666" ht="15.75" customHeight="1" s="9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R666" s="1" t="n"/>
    </row>
    <row r="667" ht="15.75" customHeight="1" s="9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R667" s="1" t="n"/>
    </row>
    <row r="668" ht="15.75" customHeight="1" s="9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R668" s="1" t="n"/>
    </row>
    <row r="669" ht="15.75" customHeight="1" s="9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R669" s="1" t="n"/>
    </row>
    <row r="670" ht="15.75" customHeight="1" s="9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R670" s="1" t="n"/>
    </row>
    <row r="671" ht="15.75" customHeight="1" s="9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R671" s="1" t="n"/>
    </row>
    <row r="672" ht="15.75" customHeight="1" s="9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R672" s="1" t="n"/>
    </row>
    <row r="673" ht="15.75" customHeight="1" s="9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R673" s="1" t="n"/>
    </row>
    <row r="674" ht="15.75" customHeight="1" s="9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R674" s="1" t="n"/>
    </row>
    <row r="675" ht="15.75" customHeight="1" s="9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R675" s="1" t="n"/>
    </row>
    <row r="676" ht="15.75" customHeight="1" s="9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R676" s="1" t="n"/>
    </row>
    <row r="677" ht="15.75" customHeight="1" s="9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R677" s="1" t="n"/>
    </row>
    <row r="678" ht="15.75" customHeight="1" s="9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R678" s="1" t="n"/>
    </row>
    <row r="679" ht="15.75" customHeight="1" s="9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R679" s="1" t="n"/>
    </row>
    <row r="680" ht="15.75" customHeight="1" s="9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R680" s="1" t="n"/>
    </row>
    <row r="681" ht="15.75" customHeight="1" s="9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R681" s="1" t="n"/>
    </row>
    <row r="682" ht="15.75" customHeight="1" s="9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R682" s="1" t="n"/>
    </row>
    <row r="683" ht="15.75" customHeight="1" s="9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R683" s="1" t="n"/>
    </row>
    <row r="684" ht="15.75" customHeight="1" s="9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R684" s="1" t="n"/>
    </row>
    <row r="685" ht="15.75" customHeight="1" s="9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R685" s="1" t="n"/>
    </row>
    <row r="686" ht="15.75" customHeight="1" s="9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R686" s="1" t="n"/>
    </row>
    <row r="687" ht="15.75" customHeight="1" s="9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R687" s="1" t="n"/>
    </row>
    <row r="688" ht="15.75" customHeight="1" s="9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R688" s="1" t="n"/>
    </row>
    <row r="689" ht="15.75" customHeight="1" s="9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R689" s="1" t="n"/>
    </row>
    <row r="690" ht="15.75" customHeight="1" s="9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R690" s="1" t="n"/>
    </row>
    <row r="691" ht="15.75" customHeight="1" s="9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R691" s="1" t="n"/>
    </row>
    <row r="692" ht="15.75" customHeight="1" s="9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R692" s="1" t="n"/>
    </row>
    <row r="693" ht="15.75" customHeight="1" s="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R693" s="1" t="n"/>
    </row>
    <row r="694" ht="15.75" customHeight="1" s="9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R694" s="1" t="n"/>
    </row>
    <row r="695" ht="15.75" customHeight="1" s="9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R695" s="1" t="n"/>
    </row>
    <row r="696" ht="15.75" customHeight="1" s="9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R696" s="1" t="n"/>
    </row>
    <row r="697" ht="15.75" customHeight="1" s="9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R697" s="1" t="n"/>
    </row>
    <row r="698" ht="15.75" customHeight="1" s="9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R698" s="1" t="n"/>
    </row>
    <row r="699" ht="15.75" customHeight="1" s="9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R699" s="1" t="n"/>
    </row>
    <row r="700" ht="15.75" customHeight="1" s="9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R700" s="1" t="n"/>
    </row>
    <row r="701" ht="15.75" customHeight="1" s="9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R701" s="1" t="n"/>
    </row>
    <row r="702" ht="15.75" customHeight="1" s="9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R702" s="1" t="n"/>
    </row>
    <row r="703" ht="15.75" customHeight="1" s="9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R703" s="1" t="n"/>
    </row>
    <row r="704" ht="15.75" customHeight="1" s="9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R704" s="1" t="n"/>
    </row>
    <row r="705" ht="15.75" customHeight="1" s="9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R705" s="1" t="n"/>
    </row>
    <row r="706" ht="15.75" customHeight="1" s="9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R706" s="1" t="n"/>
    </row>
    <row r="707" ht="15.75" customHeight="1" s="9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R707" s="1" t="n"/>
    </row>
    <row r="708" ht="15.75" customHeight="1" s="9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R708" s="1" t="n"/>
    </row>
    <row r="709" ht="15.75" customHeight="1" s="9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R709" s="1" t="n"/>
    </row>
    <row r="710" ht="15.75" customHeight="1" s="9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R710" s="1" t="n"/>
    </row>
    <row r="711" ht="15.75" customHeight="1" s="9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R711" s="1" t="n"/>
    </row>
    <row r="712" ht="15.75" customHeight="1" s="9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R712" s="1" t="n"/>
    </row>
    <row r="713" ht="15.75" customHeight="1" s="9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R713" s="1" t="n"/>
    </row>
    <row r="714" ht="15.75" customHeight="1" s="9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R714" s="1" t="n"/>
    </row>
    <row r="715" ht="15.75" customHeight="1" s="9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R715" s="1" t="n"/>
    </row>
    <row r="716" ht="15.75" customHeight="1" s="9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R716" s="1" t="n"/>
    </row>
    <row r="717" ht="15.75" customHeight="1" s="9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R717" s="1" t="n"/>
    </row>
    <row r="718" ht="15.75" customHeight="1" s="9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R718" s="1" t="n"/>
    </row>
    <row r="719" ht="15.75" customHeight="1" s="9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R719" s="1" t="n"/>
    </row>
    <row r="720" ht="15.75" customHeight="1" s="9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R720" s="1" t="n"/>
    </row>
    <row r="721" ht="15.75" customHeight="1" s="9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R721" s="1" t="n"/>
    </row>
    <row r="722" ht="15.75" customHeight="1" s="9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R722" s="1" t="n"/>
    </row>
    <row r="723" ht="15.75" customHeight="1" s="9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R723" s="1" t="n"/>
    </row>
    <row r="724" ht="15.75" customHeight="1" s="9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R724" s="1" t="n"/>
    </row>
    <row r="725" ht="15.75" customHeight="1" s="9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R725" s="1" t="n"/>
    </row>
    <row r="726" ht="15.75" customHeight="1" s="9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R726" s="1" t="n"/>
    </row>
    <row r="727" ht="15.75" customHeight="1" s="9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R727" s="1" t="n"/>
    </row>
    <row r="728" ht="15.75" customHeight="1" s="9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R728" s="1" t="n"/>
    </row>
    <row r="729" ht="15.75" customHeight="1" s="9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R729" s="1" t="n"/>
    </row>
    <row r="730" ht="15.75" customHeight="1" s="9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R730" s="1" t="n"/>
    </row>
    <row r="731" ht="15.75" customHeight="1" s="9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R731" s="1" t="n"/>
    </row>
    <row r="732" ht="15.75" customHeight="1" s="9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R732" s="1" t="n"/>
    </row>
    <row r="733" ht="15.75" customHeight="1" s="9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R733" s="1" t="n"/>
    </row>
    <row r="734" ht="15.75" customHeight="1" s="9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R734" s="1" t="n"/>
    </row>
    <row r="735" ht="15.75" customHeight="1" s="9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R735" s="1" t="n"/>
    </row>
    <row r="736" ht="15.75" customHeight="1" s="9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R736" s="1" t="n"/>
    </row>
    <row r="737" ht="15.75" customHeight="1" s="9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R737" s="1" t="n"/>
    </row>
    <row r="738" ht="15.75" customHeight="1" s="9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R738" s="1" t="n"/>
    </row>
    <row r="739" ht="15.75" customHeight="1" s="9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R739" s="1" t="n"/>
    </row>
    <row r="740" ht="15.75" customHeight="1" s="9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R740" s="1" t="n"/>
    </row>
    <row r="741" ht="15.75" customHeight="1" s="9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R741" s="1" t="n"/>
    </row>
    <row r="742" ht="15.75" customHeight="1" s="9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R742" s="1" t="n"/>
    </row>
    <row r="743" ht="15.75" customHeight="1" s="9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R743" s="1" t="n"/>
    </row>
    <row r="744" ht="15.75" customHeight="1" s="9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R744" s="1" t="n"/>
    </row>
    <row r="745" ht="15.75" customHeight="1" s="9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R745" s="1" t="n"/>
    </row>
    <row r="746" ht="15.75" customHeight="1" s="9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R746" s="1" t="n"/>
    </row>
    <row r="747" ht="15.75" customHeight="1" s="9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R747" s="1" t="n"/>
    </row>
    <row r="748" ht="15.75" customHeight="1" s="9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R748" s="1" t="n"/>
    </row>
    <row r="749" ht="15.75" customHeight="1" s="9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R749" s="1" t="n"/>
    </row>
    <row r="750" ht="15.75" customHeight="1" s="9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R750" s="1" t="n"/>
    </row>
    <row r="751" ht="15.75" customHeight="1" s="9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R751" s="1" t="n"/>
    </row>
    <row r="752" ht="15.75" customHeight="1" s="9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R752" s="1" t="n"/>
    </row>
    <row r="753" ht="15.75" customHeight="1" s="9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R753" s="1" t="n"/>
    </row>
    <row r="754" ht="15.75" customHeight="1" s="9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R754" s="1" t="n"/>
    </row>
    <row r="755" ht="15.75" customHeight="1" s="9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R755" s="1" t="n"/>
    </row>
    <row r="756" ht="15.75" customHeight="1" s="9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R756" s="1" t="n"/>
    </row>
    <row r="757" ht="15.75" customHeight="1" s="9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R757" s="1" t="n"/>
    </row>
    <row r="758" ht="15.75" customHeight="1" s="9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R758" s="1" t="n"/>
    </row>
    <row r="759" ht="15.75" customHeight="1" s="9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R759" s="1" t="n"/>
    </row>
    <row r="760" ht="15.75" customHeight="1" s="9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R760" s="1" t="n"/>
    </row>
    <row r="761" ht="15.75" customHeight="1" s="9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R761" s="1" t="n"/>
    </row>
    <row r="762" ht="15.75" customHeight="1" s="9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R762" s="1" t="n"/>
    </row>
    <row r="763" ht="15.75" customHeight="1" s="9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R763" s="1" t="n"/>
    </row>
    <row r="764" ht="15.75" customHeight="1" s="9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R764" s="1" t="n"/>
    </row>
    <row r="765" ht="15.75" customHeight="1" s="9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R765" s="1" t="n"/>
    </row>
    <row r="766" ht="15.75" customHeight="1" s="9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R766" s="1" t="n"/>
    </row>
    <row r="767" ht="15.75" customHeight="1" s="9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R767" s="1" t="n"/>
    </row>
    <row r="768" ht="15.75" customHeight="1" s="9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R768" s="1" t="n"/>
    </row>
    <row r="769" ht="15.75" customHeight="1" s="9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R769" s="1" t="n"/>
    </row>
    <row r="770" ht="15.75" customHeight="1" s="9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R770" s="1" t="n"/>
    </row>
    <row r="771" ht="15.75" customHeight="1" s="9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R771" s="1" t="n"/>
    </row>
    <row r="772" ht="15.75" customHeight="1" s="9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R772" s="1" t="n"/>
    </row>
    <row r="773" ht="15.75" customHeight="1" s="9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R773" s="1" t="n"/>
    </row>
    <row r="774" ht="15.75" customHeight="1" s="9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R774" s="1" t="n"/>
    </row>
    <row r="775" ht="15.75" customHeight="1" s="9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R775" s="1" t="n"/>
    </row>
    <row r="776" ht="15.75" customHeight="1" s="9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R776" s="1" t="n"/>
    </row>
    <row r="777" ht="15.75" customHeight="1" s="9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R777" s="1" t="n"/>
    </row>
    <row r="778" ht="15.75" customHeight="1" s="9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R778" s="1" t="n"/>
    </row>
    <row r="779" ht="15.75" customHeight="1" s="9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R779" s="1" t="n"/>
    </row>
    <row r="780" ht="15.75" customHeight="1" s="9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R780" s="1" t="n"/>
    </row>
    <row r="781" ht="15.75" customHeight="1" s="9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R781" s="1" t="n"/>
    </row>
    <row r="782" ht="15.75" customHeight="1" s="9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R782" s="1" t="n"/>
    </row>
    <row r="783" ht="15.75" customHeight="1" s="9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R783" s="1" t="n"/>
    </row>
    <row r="784" ht="15.75" customHeight="1" s="9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R784" s="1" t="n"/>
    </row>
    <row r="785" ht="15.75" customHeight="1" s="9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R785" s="1" t="n"/>
    </row>
    <row r="786" ht="15.75" customHeight="1" s="9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R786" s="1" t="n"/>
    </row>
    <row r="787" ht="15.75" customHeight="1" s="9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R787" s="1" t="n"/>
    </row>
    <row r="788" ht="15.75" customHeight="1" s="9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R788" s="1" t="n"/>
    </row>
    <row r="789" ht="15.75" customHeight="1" s="9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R789" s="1" t="n"/>
    </row>
    <row r="790" ht="15.75" customHeight="1" s="9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R790" s="1" t="n"/>
    </row>
    <row r="791" ht="15.75" customHeight="1" s="9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R791" s="1" t="n"/>
    </row>
    <row r="792" ht="15.75" customHeight="1" s="9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R792" s="1" t="n"/>
    </row>
    <row r="793" ht="15.75" customHeight="1" s="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R793" s="1" t="n"/>
    </row>
    <row r="794" ht="15.75" customHeight="1" s="9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R794" s="1" t="n"/>
    </row>
    <row r="795" ht="15.75" customHeight="1" s="9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R795" s="1" t="n"/>
    </row>
    <row r="796" ht="15.75" customHeight="1" s="9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R796" s="1" t="n"/>
    </row>
    <row r="797" ht="15.75" customHeight="1" s="9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R797" s="1" t="n"/>
    </row>
    <row r="798" ht="15.75" customHeight="1" s="9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R798" s="1" t="n"/>
    </row>
    <row r="799" ht="15.75" customHeight="1" s="9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R799" s="1" t="n"/>
    </row>
    <row r="800" ht="15.75" customHeight="1" s="9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R800" s="1" t="n"/>
    </row>
    <row r="801" ht="15.75" customHeight="1" s="9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R801" s="1" t="n"/>
    </row>
    <row r="802" ht="15.75" customHeight="1" s="9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R802" s="1" t="n"/>
    </row>
    <row r="803" ht="15.75" customHeight="1" s="9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R803" s="1" t="n"/>
    </row>
    <row r="804" ht="15.75" customHeight="1" s="9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R804" s="1" t="n"/>
    </row>
    <row r="805" ht="15.75" customHeight="1" s="9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R805" s="1" t="n"/>
    </row>
    <row r="806" ht="15.75" customHeight="1" s="9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R806" s="1" t="n"/>
    </row>
    <row r="807" ht="15.75" customHeight="1" s="9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R807" s="1" t="n"/>
    </row>
    <row r="808" ht="15.75" customHeight="1" s="9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R808" s="1" t="n"/>
    </row>
    <row r="809" ht="15.75" customHeight="1" s="9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R809" s="1" t="n"/>
    </row>
    <row r="810" ht="15.75" customHeight="1" s="9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R810" s="1" t="n"/>
    </row>
    <row r="811" ht="15.75" customHeight="1" s="9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R811" s="1" t="n"/>
    </row>
    <row r="812" ht="15.75" customHeight="1" s="9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R812" s="1" t="n"/>
    </row>
    <row r="813" ht="15.75" customHeight="1" s="9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R813" s="1" t="n"/>
    </row>
    <row r="814" ht="15.75" customHeight="1" s="9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R814" s="1" t="n"/>
    </row>
    <row r="815" ht="15.75" customHeight="1" s="9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R815" s="1" t="n"/>
    </row>
    <row r="816" ht="15.75" customHeight="1" s="9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R816" s="1" t="n"/>
    </row>
    <row r="817" ht="15.75" customHeight="1" s="9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R817" s="1" t="n"/>
    </row>
    <row r="818" ht="15.75" customHeight="1" s="9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R818" s="1" t="n"/>
    </row>
    <row r="819" ht="15.75" customHeight="1" s="9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R819" s="1" t="n"/>
    </row>
    <row r="820" ht="15.75" customHeight="1" s="9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R820" s="1" t="n"/>
    </row>
    <row r="821" ht="15.75" customHeight="1" s="9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R821" s="1" t="n"/>
    </row>
    <row r="822" ht="15.75" customHeight="1" s="9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R822" s="1" t="n"/>
    </row>
    <row r="823" ht="15.75" customHeight="1" s="9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R823" s="1" t="n"/>
    </row>
    <row r="824" ht="15.75" customHeight="1" s="9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R824" s="1" t="n"/>
    </row>
    <row r="825" ht="15.75" customHeight="1" s="9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R825" s="1" t="n"/>
    </row>
    <row r="826" ht="15.75" customHeight="1" s="9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R826" s="1" t="n"/>
    </row>
    <row r="827" ht="15.75" customHeight="1" s="9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R827" s="1" t="n"/>
    </row>
    <row r="828" ht="15.75" customHeight="1" s="9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R828" s="1" t="n"/>
    </row>
    <row r="829" ht="15.75" customHeight="1" s="9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R829" s="1" t="n"/>
    </row>
    <row r="830" ht="15.75" customHeight="1" s="9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R830" s="1" t="n"/>
    </row>
    <row r="831" ht="15.75" customHeight="1" s="9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R831" s="1" t="n"/>
    </row>
    <row r="832" ht="15.75" customHeight="1" s="9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R832" s="1" t="n"/>
    </row>
    <row r="833" ht="15.75" customHeight="1" s="9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R833" s="1" t="n"/>
    </row>
    <row r="834" ht="15.75" customHeight="1" s="9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R834" s="1" t="n"/>
    </row>
    <row r="835" ht="15.75" customHeight="1" s="9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R835" s="1" t="n"/>
    </row>
    <row r="836" ht="15.75" customHeight="1" s="9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R836" s="1" t="n"/>
    </row>
    <row r="837" ht="15.75" customHeight="1" s="9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R837" s="1" t="n"/>
    </row>
    <row r="838" ht="15.75" customHeight="1" s="9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R838" s="1" t="n"/>
    </row>
    <row r="839" ht="15.75" customHeight="1" s="9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R839" s="1" t="n"/>
    </row>
    <row r="840" ht="15.75" customHeight="1" s="9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R840" s="1" t="n"/>
    </row>
    <row r="841" ht="15.75" customHeight="1" s="9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R841" s="1" t="n"/>
    </row>
    <row r="842" ht="15.75" customHeight="1" s="9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R842" s="1" t="n"/>
    </row>
    <row r="843" ht="15.75" customHeight="1" s="9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R843" s="1" t="n"/>
    </row>
    <row r="844" ht="15.75" customHeight="1" s="9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R844" s="1" t="n"/>
    </row>
    <row r="845" ht="15.75" customHeight="1" s="9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R845" s="1" t="n"/>
    </row>
    <row r="846" ht="15.75" customHeight="1" s="9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R846" s="1" t="n"/>
    </row>
    <row r="847" ht="15.75" customHeight="1" s="9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R847" s="1" t="n"/>
    </row>
    <row r="848" ht="15.75" customHeight="1" s="9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R848" s="1" t="n"/>
    </row>
    <row r="849" ht="15.75" customHeight="1" s="9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R849" s="1" t="n"/>
    </row>
    <row r="850" ht="15.75" customHeight="1" s="9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R850" s="1" t="n"/>
    </row>
    <row r="851" ht="15.75" customHeight="1" s="9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R851" s="1" t="n"/>
    </row>
    <row r="852" ht="15.75" customHeight="1" s="9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R852" s="1" t="n"/>
    </row>
    <row r="853" ht="15.75" customHeight="1" s="9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R853" s="1" t="n"/>
    </row>
    <row r="854" ht="15.75" customHeight="1" s="9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R854" s="1" t="n"/>
    </row>
    <row r="855" ht="15.75" customHeight="1" s="9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R855" s="1" t="n"/>
    </row>
    <row r="856" ht="15.75" customHeight="1" s="9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R856" s="1" t="n"/>
    </row>
    <row r="857" ht="15.75" customHeight="1" s="9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R857" s="1" t="n"/>
    </row>
    <row r="858" ht="15.75" customHeight="1" s="9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R858" s="1" t="n"/>
    </row>
    <row r="859" ht="15.75" customHeight="1" s="9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R859" s="1" t="n"/>
    </row>
    <row r="860" ht="15.75" customHeight="1" s="9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R860" s="1" t="n"/>
    </row>
    <row r="861" ht="15.75" customHeight="1" s="9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R861" s="1" t="n"/>
    </row>
    <row r="862" ht="15.75" customHeight="1" s="9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R862" s="1" t="n"/>
    </row>
    <row r="863" ht="15.75" customHeight="1" s="9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R863" s="1" t="n"/>
    </row>
    <row r="864" ht="15.75" customHeight="1" s="9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R864" s="1" t="n"/>
    </row>
    <row r="865" ht="15.75" customHeight="1" s="9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R865" s="1" t="n"/>
    </row>
    <row r="866" ht="15.75" customHeight="1" s="9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R866" s="1" t="n"/>
    </row>
    <row r="867" ht="15.75" customHeight="1" s="9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R867" s="1" t="n"/>
    </row>
    <row r="868" ht="15.75" customHeight="1" s="9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R868" s="1" t="n"/>
    </row>
    <row r="869" ht="15.75" customHeight="1" s="9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R869" s="1" t="n"/>
    </row>
    <row r="870" ht="15.75" customHeight="1" s="9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R870" s="1" t="n"/>
    </row>
    <row r="871" ht="15.75" customHeight="1" s="9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R871" s="1" t="n"/>
    </row>
    <row r="872" ht="15.75" customHeight="1" s="9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R872" s="1" t="n"/>
    </row>
    <row r="873" ht="15.75" customHeight="1" s="9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R873" s="1" t="n"/>
    </row>
    <row r="874" ht="15.75" customHeight="1" s="9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R874" s="1" t="n"/>
    </row>
    <row r="875" ht="15.75" customHeight="1" s="9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R875" s="1" t="n"/>
    </row>
    <row r="876" ht="15.75" customHeight="1" s="9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R876" s="1" t="n"/>
    </row>
    <row r="877" ht="15.75" customHeight="1" s="9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R877" s="1" t="n"/>
    </row>
    <row r="878" ht="15.75" customHeight="1" s="9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R878" s="1" t="n"/>
    </row>
    <row r="879" ht="15.75" customHeight="1" s="9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R879" s="1" t="n"/>
    </row>
    <row r="880" ht="15.75" customHeight="1" s="9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R880" s="1" t="n"/>
    </row>
    <row r="881" ht="15.75" customHeight="1" s="9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R881" s="1" t="n"/>
    </row>
    <row r="882" ht="15.75" customHeight="1" s="9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R882" s="1" t="n"/>
    </row>
    <row r="883" ht="15.75" customHeight="1" s="9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R883" s="1" t="n"/>
    </row>
    <row r="884" ht="15.75" customHeight="1" s="9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R884" s="1" t="n"/>
    </row>
    <row r="885" ht="15.75" customHeight="1" s="9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R885" s="1" t="n"/>
    </row>
    <row r="886" ht="15.75" customHeight="1" s="9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R886" s="1" t="n"/>
    </row>
    <row r="887" ht="15.75" customHeight="1" s="9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R887" s="1" t="n"/>
    </row>
    <row r="888" ht="15.75" customHeight="1" s="9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R888" s="1" t="n"/>
    </row>
    <row r="889" ht="15.75" customHeight="1" s="9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R889" s="1" t="n"/>
    </row>
    <row r="890" ht="15.75" customHeight="1" s="9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R890" s="1" t="n"/>
    </row>
    <row r="891" ht="15.75" customHeight="1" s="9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R891" s="1" t="n"/>
    </row>
    <row r="892" ht="15.75" customHeight="1" s="9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R892" s="1" t="n"/>
    </row>
    <row r="893" ht="15.75" customHeight="1" s="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R893" s="1" t="n"/>
    </row>
    <row r="894" ht="15.75" customHeight="1" s="9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R894" s="1" t="n"/>
    </row>
    <row r="895" ht="15.75" customHeight="1" s="9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R895" s="1" t="n"/>
    </row>
    <row r="896" ht="15.75" customHeight="1" s="9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R896" s="1" t="n"/>
    </row>
    <row r="897" ht="15.75" customHeight="1" s="9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R897" s="1" t="n"/>
    </row>
    <row r="898" ht="15.75" customHeight="1" s="9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R898" s="1" t="n"/>
    </row>
    <row r="899" ht="15.75" customHeight="1" s="9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R899" s="1" t="n"/>
    </row>
    <row r="900" ht="15.75" customHeight="1" s="9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R900" s="1" t="n"/>
    </row>
    <row r="901" ht="15.75" customHeight="1" s="9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R901" s="1" t="n"/>
    </row>
    <row r="902" ht="15.75" customHeight="1" s="9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R902" s="1" t="n"/>
    </row>
    <row r="903" ht="15.75" customHeight="1" s="9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R903" s="1" t="n"/>
    </row>
    <row r="904" ht="15.75" customHeight="1" s="9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R904" s="1" t="n"/>
    </row>
    <row r="905" ht="15.75" customHeight="1" s="9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R905" s="1" t="n"/>
    </row>
    <row r="906" ht="15.75" customHeight="1" s="9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R906" s="1" t="n"/>
    </row>
    <row r="907" ht="15.75" customHeight="1" s="9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R907" s="1" t="n"/>
    </row>
    <row r="908" ht="15.75" customHeight="1" s="9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R908" s="1" t="n"/>
    </row>
    <row r="909" ht="15.75" customHeight="1" s="9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R909" s="1" t="n"/>
    </row>
    <row r="910" ht="15.75" customHeight="1" s="9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R910" s="1" t="n"/>
    </row>
    <row r="911" ht="15.75" customHeight="1" s="9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R911" s="1" t="n"/>
    </row>
    <row r="912" ht="15.75" customHeight="1" s="9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R912" s="1" t="n"/>
    </row>
    <row r="913" ht="15.75" customHeight="1" s="9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R913" s="1" t="n"/>
    </row>
    <row r="914" ht="15.75" customHeight="1" s="9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R914" s="1" t="n"/>
    </row>
    <row r="915" ht="15.75" customHeight="1" s="9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R915" s="1" t="n"/>
    </row>
    <row r="916" ht="15.75" customHeight="1" s="9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R916" s="1" t="n"/>
    </row>
    <row r="917" ht="15.75" customHeight="1" s="9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R917" s="1" t="n"/>
    </row>
    <row r="918" ht="15.75" customHeight="1" s="9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R918" s="1" t="n"/>
    </row>
    <row r="919" ht="15.75" customHeight="1" s="9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R919" s="1" t="n"/>
    </row>
    <row r="920" ht="15.75" customHeight="1" s="9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R920" s="1" t="n"/>
    </row>
    <row r="921" ht="15.75" customHeight="1" s="9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R921" s="1" t="n"/>
    </row>
    <row r="922" ht="15.75" customHeight="1" s="9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R922" s="1" t="n"/>
    </row>
    <row r="923" ht="15.75" customHeight="1" s="9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R923" s="1" t="n"/>
    </row>
    <row r="924" ht="15.75" customHeight="1" s="9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R924" s="1" t="n"/>
    </row>
    <row r="925" ht="15.75" customHeight="1" s="9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R925" s="1" t="n"/>
    </row>
    <row r="926" ht="15.75" customHeight="1" s="9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R926" s="1" t="n"/>
    </row>
    <row r="927" ht="15.75" customHeight="1" s="9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R927" s="1" t="n"/>
    </row>
    <row r="928" ht="15.75" customHeight="1" s="9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R928" s="1" t="n"/>
    </row>
    <row r="929" ht="15.75" customHeight="1" s="9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R929" s="1" t="n"/>
    </row>
    <row r="930" ht="15.75" customHeight="1" s="9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R930" s="1" t="n"/>
    </row>
    <row r="931" ht="15.75" customHeight="1" s="9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R931" s="1" t="n"/>
    </row>
    <row r="932" ht="15.75" customHeight="1" s="9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R932" s="1" t="n"/>
    </row>
    <row r="933" ht="15.75" customHeight="1" s="9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R933" s="1" t="n"/>
    </row>
    <row r="934" ht="15.75" customHeight="1" s="9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R934" s="1" t="n"/>
    </row>
    <row r="935" ht="15.75" customHeight="1" s="9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R935" s="1" t="n"/>
    </row>
    <row r="936" ht="15.75" customHeight="1" s="9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R936" s="1" t="n"/>
    </row>
    <row r="937" ht="15.75" customHeight="1" s="9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R937" s="1" t="n"/>
    </row>
    <row r="938" ht="15.75" customHeight="1" s="9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R938" s="1" t="n"/>
    </row>
    <row r="939" ht="15.75" customHeight="1" s="9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R939" s="1" t="n"/>
    </row>
    <row r="940" ht="15.75" customHeight="1" s="9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R940" s="1" t="n"/>
    </row>
    <row r="941" ht="15.75" customHeight="1" s="9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R941" s="1" t="n"/>
    </row>
    <row r="942" ht="15.75" customHeight="1" s="9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R942" s="1" t="n"/>
    </row>
    <row r="943" ht="15.75" customHeight="1" s="9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R943" s="1" t="n"/>
    </row>
    <row r="944" ht="15.75" customHeight="1" s="9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R944" s="1" t="n"/>
    </row>
    <row r="945" ht="15.75" customHeight="1" s="9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R945" s="1" t="n"/>
    </row>
    <row r="946" ht="15.75" customHeight="1" s="9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R946" s="1" t="n"/>
    </row>
    <row r="947" ht="15.75" customHeight="1" s="9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R947" s="1" t="n"/>
    </row>
    <row r="948" ht="15.75" customHeight="1" s="9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R948" s="1" t="n"/>
    </row>
    <row r="949" ht="15.75" customHeight="1" s="9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R949" s="1" t="n"/>
    </row>
    <row r="950" ht="15.75" customHeight="1" s="9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R950" s="1" t="n"/>
    </row>
    <row r="951" ht="15.75" customHeight="1" s="9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R951" s="1" t="n"/>
    </row>
    <row r="952" ht="15.75" customHeight="1" s="9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R952" s="1" t="n"/>
    </row>
    <row r="953" ht="15.75" customHeight="1" s="9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R953" s="1" t="n"/>
    </row>
    <row r="954" ht="15.75" customHeight="1" s="9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R954" s="1" t="n"/>
    </row>
    <row r="955" ht="15.75" customHeight="1" s="9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R955" s="1" t="n"/>
    </row>
    <row r="956" ht="15.75" customHeight="1" s="9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R956" s="1" t="n"/>
    </row>
    <row r="957" ht="15.75" customHeight="1" s="9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R957" s="1" t="n"/>
    </row>
    <row r="958" ht="15.75" customHeight="1" s="9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R958" s="1" t="n"/>
    </row>
    <row r="959" ht="15.75" customHeight="1" s="9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R959" s="1" t="n"/>
    </row>
    <row r="960" ht="15.75" customHeight="1" s="9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R960" s="1" t="n"/>
    </row>
    <row r="961" ht="15.75" customHeight="1" s="9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R961" s="1" t="n"/>
    </row>
    <row r="962" ht="15.75" customHeight="1" s="9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R962" s="1" t="n"/>
    </row>
    <row r="963" ht="15.75" customHeight="1" s="9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R963" s="1" t="n"/>
    </row>
    <row r="964" ht="15.75" customHeight="1" s="9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R964" s="1" t="n"/>
    </row>
    <row r="965" ht="15.75" customHeight="1" s="9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R965" s="1" t="n"/>
    </row>
    <row r="966" ht="15.75" customHeight="1" s="9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R966" s="1" t="n"/>
    </row>
    <row r="967" ht="15.75" customHeight="1" s="9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R967" s="1" t="n"/>
    </row>
    <row r="968" ht="15.75" customHeight="1" s="9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R968" s="1" t="n"/>
    </row>
    <row r="969" ht="15.75" customHeight="1" s="9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R969" s="1" t="n"/>
    </row>
    <row r="970" ht="15.75" customHeight="1" s="9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R970" s="1" t="n"/>
    </row>
    <row r="971" ht="15.75" customHeight="1" s="9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R971" s="1" t="n"/>
    </row>
    <row r="972" ht="15.75" customHeight="1" s="9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R972" s="1" t="n"/>
    </row>
    <row r="973" ht="15.75" customHeight="1" s="9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R973" s="1" t="n"/>
    </row>
    <row r="974" ht="15.75" customHeight="1" s="9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R974" s="1" t="n"/>
    </row>
    <row r="975" ht="15.75" customHeight="1" s="9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R975" s="1" t="n"/>
    </row>
    <row r="976" ht="15.75" customHeight="1" s="9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R976" s="1" t="n"/>
    </row>
    <row r="977" ht="15.75" customHeight="1" s="9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R977" s="1" t="n"/>
    </row>
    <row r="978" ht="15.75" customHeight="1" s="9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R978" s="1" t="n"/>
    </row>
    <row r="979" ht="15.75" customHeight="1" s="9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R979" s="1" t="n"/>
    </row>
    <row r="980" ht="15.75" customHeight="1" s="9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R980" s="1" t="n"/>
    </row>
    <row r="981" ht="15.75" customHeight="1" s="9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R981" s="1" t="n"/>
    </row>
    <row r="982" ht="15.75" customHeight="1" s="9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R982" s="1" t="n"/>
    </row>
    <row r="983" ht="15.75" customHeight="1" s="9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R983" s="1" t="n"/>
    </row>
    <row r="984" ht="15.75" customHeight="1" s="9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R984" s="1" t="n"/>
    </row>
    <row r="985" ht="15.75" customHeight="1" s="9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R985" s="1" t="n"/>
    </row>
    <row r="986" ht="15.75" customHeight="1" s="9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R986" s="1" t="n"/>
    </row>
    <row r="987" ht="15.75" customHeight="1" s="9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R987" s="1" t="n"/>
    </row>
    <row r="988" ht="15.75" customHeight="1" s="9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R988" s="1" t="n"/>
    </row>
    <row r="989" ht="15.75" customHeight="1" s="9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R989" s="1" t="n"/>
    </row>
    <row r="990" ht="15.75" customHeight="1" s="9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R990" s="1" t="n"/>
    </row>
    <row r="991" ht="15.75" customHeight="1" s="9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R991" s="1" t="n"/>
    </row>
    <row r="992" ht="15.75" customHeight="1" s="9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R992" s="1" t="n"/>
    </row>
    <row r="993" ht="15.75" customHeight="1" s="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R993" s="1" t="n"/>
    </row>
    <row r="994" ht="15.75" customHeight="1" s="9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R994" s="1" t="n"/>
    </row>
    <row r="995" ht="15.75" customHeight="1" s="9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R995" s="1" t="n"/>
    </row>
    <row r="996" ht="15.75" customHeight="1" s="9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R996" s="1" t="n"/>
    </row>
    <row r="997" ht="15.75" customHeight="1" s="9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R997" s="1" t="n"/>
    </row>
    <row r="998" ht="15.75" customHeight="1" s="9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R998" s="1" t="n"/>
    </row>
    <row r="999" ht="15.75" customHeight="1" s="9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R999" s="1" t="n"/>
    </row>
    <row r="1000" ht="15.75" customHeight="1" s="9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R1000" s="1" t="n"/>
    </row>
  </sheetData>
  <autoFilter ref="$A$5:$AR$68"/>
  <mergeCells count="7">
    <mergeCell ref="A4:H4"/>
    <mergeCell ref="AE4:AL4"/>
    <mergeCell ref="A1:AP1"/>
    <mergeCell ref="X4:AD4"/>
    <mergeCell ref="AM4:AP4"/>
    <mergeCell ref="I4:L4"/>
    <mergeCell ref="O4:W4"/>
  </mergeCells>
  <conditionalFormatting sqref="W6:BL68">
    <cfRule type="expression" priority="1" dxfId="4">
      <formula>AND($A6&lt;&gt;"",$V6="")</formula>
    </cfRule>
    <cfRule type="expression" priority="2" dxfId="5">
      <formula>AND($A6&lt;&gt;"",$AK6="não")</formula>
    </cfRule>
  </conditionalFormatting>
  <conditionalFormatting sqref="V6:V68 W6:W1000 X41:X42 AQ6:AQ68">
    <cfRule type="cellIs" priority="3" operator="equal" dxfId="0">
      <formula>"FALTA"</formula>
    </cfRule>
  </conditionalFormatting>
  <conditionalFormatting sqref="AL6:AL1000 AM41:AM42 BF6:BF68">
    <cfRule type="cellIs" priority="4" operator="equal" dxfId="1">
      <formula>"abaixo"</formula>
    </cfRule>
    <cfRule type="cellIs" priority="5" operator="equal" dxfId="2">
      <formula>"acima"</formula>
    </cfRule>
  </conditionalFormatting>
  <conditionalFormatting sqref="AM6:AM1000 AN41:AN42 BG6:BG68">
    <cfRule type="cellIs" priority="6" operator="equal" dxfId="2">
      <formula>"divergente"</formula>
    </cfRule>
  </conditionalFormatting>
  <conditionalFormatting sqref="A6:BL68">
    <cfRule type="expression" priority="7" dxfId="3">
      <formula>AND($A6&lt;&gt;"",ISEVEN(ROW()))</formula>
    </cfRule>
    <cfRule type="expression" priority="8" dxfId="4">
      <formula>AND($A6&lt;&gt;"",$X6="")</formula>
    </cfRule>
    <cfRule type="expression" priority="9" dxfId="5">
      <formula>AND($A6&lt;&gt;"",$AM6="não")</formula>
    </cfRule>
  </conditionalFormatting>
  <dataValidations count="5">
    <dataValidation sqref="E6:E1000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1000" showDropDown="0" showInputMessage="0" showErrorMessage="0" allowBlank="1" type="list">
      <formula1>"active,draft,archived"</formula1>
    </dataValidation>
    <dataValidation sqref="W6:W40 W43:W1000 X41:X42" showDropDown="0" showInputMessage="0" showErrorMessage="0" allowBlank="1" type="list">
      <formula1>"fornecedor,medido,pesquisado,FALTA"</formula1>
    </dataValidation>
    <dataValidation sqref="F6:F1000" showDropDown="0" showInputMessage="0" showErrorMessage="0" allowBlank="1" type="list">
      <formula1>"SOHIPREN,AGRAL,GRECO,AGCO,ADG,LIVENZA"</formula1>
    </dataValidation>
    <dataValidation sqref="AM6:AM40 AM43:AM1000 AN41:AN42" showDropDown="0" showInputMessage="0" showErrorMessage="0" allowBlank="1" type="list">
      <formula1>"sim,não,divergente"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20" customWidth="1" style="93" min="1" max="1"/>
    <col width="14" customWidth="1" style="93" min="2" max="2"/>
    <col width="22" customWidth="1" style="93" min="3" max="3"/>
    <col width="50" customWidth="1" style="93" min="4" max="4"/>
    <col width="22" customWidth="1" style="93" min="5" max="5"/>
    <col width="14" customWidth="1" style="93" min="6" max="6"/>
    <col width="28" customWidth="1" style="93" min="7" max="7"/>
    <col width="10" customWidth="1" style="93" min="8" max="8"/>
    <col width="18" customWidth="1" style="93" min="9" max="9"/>
    <col width="24" customWidth="1" style="93" min="10" max="10"/>
    <col width="18" customWidth="1" style="93" min="11" max="11"/>
    <col width="22" customWidth="1" style="93" min="12" max="12"/>
    <col width="15.71" customWidth="1" style="93" min="13" max="13"/>
    <col width="10" customWidth="1" style="93" min="14" max="16"/>
    <col width="14" customWidth="1" style="93" min="17" max="17"/>
    <col width="12" customWidth="1" style="93" min="18" max="18"/>
    <col width="11" customWidth="1" style="93" min="19" max="19"/>
    <col width="14" customWidth="1" style="93" min="20" max="20"/>
    <col width="16" customWidth="1" style="93" min="21" max="21"/>
    <col width="8.710000000000001" customWidth="1" style="93" min="22" max="22"/>
    <col width="18" customWidth="1" style="93" min="23" max="23"/>
    <col width="14" customWidth="1" style="93" min="24" max="24"/>
    <col width="8.710000000000001" customWidth="1" style="93" min="25" max="25"/>
    <col width="16" customWidth="1" style="93" min="26" max="26"/>
    <col width="14" customWidth="1" style="93" min="27" max="27"/>
    <col width="16" customWidth="1" style="93" min="28" max="28"/>
    <col width="12" customWidth="1" style="93" min="29" max="29"/>
    <col width="14" customWidth="1" style="93" min="30" max="30"/>
    <col width="18" customWidth="1" style="93" min="31" max="31"/>
    <col width="8.710000000000001" customWidth="1" style="93" min="32" max="36"/>
    <col width="20" customWidth="1" style="93" min="37" max="37"/>
    <col width="14" customWidth="1" style="93" min="38" max="38"/>
    <col width="18" customWidth="1" style="93" min="39" max="39"/>
    <col width="66.56999999999999" customWidth="1" style="93" min="40" max="40"/>
    <col width="16" customWidth="1" style="93" min="41" max="41"/>
    <col width="18" customWidth="1" style="93" min="42" max="42"/>
    <col width="28" customWidth="1" style="93" min="43" max="43"/>
  </cols>
  <sheetData>
    <row r="1" ht="30" customHeight="1" s="93">
      <c r="A1" s="5" t="inlineStr">
        <is>
          <t>APP — Agro Peças Padrão | Master 06_GTS</t>
        </is>
      </c>
    </row>
    <row r="2">
      <c r="A2" s="8" t="inlineStr">
        <is>
          <t>Total de SKUs:</t>
        </is>
      </c>
      <c r="B2" s="12">
        <f>COUNTA(A6:A100006)</f>
        <v/>
      </c>
      <c r="C2" s="1" t="n"/>
      <c r="D2" s="8" t="inlineStr">
        <is>
          <t>Faltando embalagem:</t>
        </is>
      </c>
      <c r="E2" s="13">
        <f>COUNTIF(W6:W100006,"FALTA")</f>
        <v/>
      </c>
      <c r="F2" s="1" t="n"/>
      <c r="G2" s="8" t="inlineStr">
        <is>
          <t>Cadastrados Shopify:</t>
        </is>
      </c>
      <c r="H2" s="12">
        <f>COUNTIF(AM6:AM100006,"sim")</f>
        <v/>
      </c>
      <c r="I2" s="1" t="n"/>
      <c r="J2" s="8" t="inlineStr">
        <is>
          <t>Divergentes:</t>
        </is>
      </c>
      <c r="K2" s="17">
        <f>COUNTIF(AM6:AM100006,"divergente")</f>
        <v/>
      </c>
      <c r="L2" s="1" t="n"/>
      <c r="M2" s="18" t="n"/>
      <c r="N2" s="1" t="n"/>
      <c r="O2" s="1" t="n"/>
      <c r="P2" s="1" t="n"/>
      <c r="Q2" s="18" t="n"/>
      <c r="R2" s="18" t="n"/>
      <c r="S2" s="18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8" t="n"/>
      <c r="N3" s="1" t="n"/>
      <c r="O3" s="1" t="n"/>
      <c r="P3" s="1" t="n"/>
      <c r="Q3" s="18" t="n"/>
      <c r="R3" s="18" t="n"/>
      <c r="S3" s="18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</row>
    <row r="4" ht="21.75" customHeight="1" s="93">
      <c r="A4" s="20" t="inlineStr">
        <is>
          <t>IDENTIFICAÇÃO</t>
        </is>
      </c>
      <c r="B4" s="102" t="n"/>
      <c r="C4" s="102" t="n"/>
      <c r="D4" s="102" t="n"/>
      <c r="E4" s="102" t="n"/>
      <c r="F4" s="102" t="n"/>
      <c r="G4" s="102" t="n"/>
      <c r="H4" s="102" t="n"/>
      <c r="I4" s="20" t="inlineStr">
        <is>
          <t>APLICAÇÃO TÉCNICA</t>
        </is>
      </c>
      <c r="J4" s="102" t="n"/>
      <c r="K4" s="102" t="n"/>
      <c r="L4" s="102" t="n"/>
      <c r="M4" s="24" t="n"/>
      <c r="N4" s="24" t="n"/>
      <c r="O4" s="24" t="n"/>
      <c r="P4" s="20" t="inlineStr">
        <is>
          <t>LOGÍSTICA E EMBALAGEM</t>
        </is>
      </c>
      <c r="Q4" s="102" t="n"/>
      <c r="R4" s="102" t="n"/>
      <c r="S4" s="102" t="n"/>
      <c r="T4" s="102" t="n"/>
      <c r="U4" s="102" t="n"/>
      <c r="V4" s="102" t="n"/>
      <c r="W4" s="102" t="n"/>
      <c r="X4" s="20" t="inlineStr">
        <is>
          <t>CUSTO E PRECIFICAÇÃO</t>
        </is>
      </c>
      <c r="Y4" s="102" t="n"/>
      <c r="Z4" s="102" t="n"/>
      <c r="AA4" s="102" t="n"/>
      <c r="AB4" s="102" t="n"/>
      <c r="AC4" s="102" t="n"/>
      <c r="AD4" s="102" t="n"/>
      <c r="AE4" s="20" t="inlineStr">
        <is>
          <t>PESQUISA DE MERCADO</t>
        </is>
      </c>
      <c r="AF4" s="102" t="n"/>
      <c r="AG4" s="102" t="n"/>
      <c r="AH4" s="102" t="n"/>
      <c r="AI4" s="102" t="n"/>
      <c r="AJ4" s="102" t="n"/>
      <c r="AK4" s="102" t="n"/>
      <c r="AL4" s="102" t="n"/>
      <c r="AM4" s="20" t="inlineStr">
        <is>
          <t>WORKFLOW</t>
        </is>
      </c>
      <c r="AN4" s="102" t="n"/>
      <c r="AO4" s="102" t="n"/>
      <c r="AP4" s="102" t="n"/>
      <c r="AQ4" s="102" t="n"/>
    </row>
    <row r="5" ht="33.75" customHeight="1" s="93">
      <c r="A5" s="25" t="inlineStr">
        <is>
          <t>SKU / Código</t>
        </is>
      </c>
      <c r="B5" s="25" t="inlineStr">
        <is>
          <t>Part Number</t>
        </is>
      </c>
      <c r="C5" s="25" t="inlineStr">
        <is>
          <t>Handle (Shopify)</t>
        </is>
      </c>
      <c r="D5" s="25" t="inlineStr">
        <is>
          <t>Title (PT-BR)</t>
        </is>
      </c>
      <c r="E5" s="25" t="inlineStr">
        <is>
          <t>Product Type</t>
        </is>
      </c>
      <c r="F5" s="25" t="inlineStr">
        <is>
          <t>Vendor (Fabricante)</t>
        </is>
      </c>
      <c r="G5" s="25" t="inlineStr">
        <is>
          <t>Tags (vírgula)</t>
        </is>
      </c>
      <c r="H5" s="25" t="inlineStr">
        <is>
          <t>Status</t>
        </is>
      </c>
      <c r="I5" s="25" t="inlineStr">
        <is>
          <t>Montadora compatível</t>
        </is>
      </c>
      <c r="J5" s="25" t="inlineStr">
        <is>
          <t>Equipamento / Modelo</t>
        </is>
      </c>
      <c r="K5" s="25" t="inlineStr">
        <is>
          <t>Função / Aplicação</t>
        </is>
      </c>
      <c r="L5" s="25" t="inlineStr">
        <is>
          <t>Códigos cruzados</t>
        </is>
      </c>
      <c r="M5" s="25" t="inlineStr">
        <is>
          <t>NCM</t>
        </is>
      </c>
      <c r="N5" s="25" t="inlineStr">
        <is>
          <t>Qtde KIT</t>
        </is>
      </c>
      <c r="O5" s="25" t="inlineStr">
        <is>
          <t>Lead Time</t>
        </is>
      </c>
      <c r="P5" s="25" t="inlineStr">
        <is>
          <t>Peso (kg)</t>
        </is>
      </c>
      <c r="Q5" s="25" t="inlineStr">
        <is>
          <t>Comprimento (cm)</t>
        </is>
      </c>
      <c r="R5" s="25" t="inlineStr">
        <is>
          <t>Largura (cm)</t>
        </is>
      </c>
      <c r="S5" s="25" t="inlineStr">
        <is>
          <t>Altura (cm)</t>
        </is>
      </c>
      <c r="T5" s="25" t="inlineStr">
        <is>
          <t>Peso cubado (kg)</t>
        </is>
      </c>
      <c r="U5" s="25" t="inlineStr">
        <is>
          <t>Peso considerado (kg)</t>
        </is>
      </c>
      <c r="V5" s="25" t="inlineStr">
        <is>
          <t>Frete fábrica → eCom ()</t>
        </is>
      </c>
      <c r="W5" s="25" t="inlineStr">
        <is>
          <t>Origem do dado embalagem</t>
        </is>
      </c>
      <c r="X5" s="25" t="inlineStr">
        <is>
          <t>Custo unitário ()</t>
        </is>
      </c>
      <c r="Y5" s="25" t="inlineStr">
        <is>
          <t>% Margem de lucro</t>
        </is>
      </c>
      <c r="Z5" s="25" t="inlineStr">
        <is>
          <t>Custo + frete inbound ()</t>
        </is>
      </c>
      <c r="AA5" s="25" t="inlineStr">
        <is>
          <t>Preço c/ margem ()</t>
        </is>
      </c>
      <c r="AB5" s="25" t="inlineStr">
        <is>
          <t>Taxa Mercado Pago (%)</t>
        </is>
      </c>
      <c r="AC5" s="25" t="inlineStr">
        <is>
          <t>Taxa MP ()</t>
        </is>
      </c>
      <c r="AD5" s="25" t="inlineStr">
        <is>
          <t>Preço final site ()</t>
        </is>
      </c>
      <c r="AE5" s="25" t="inlineStr">
        <is>
          <t>Concorrente 1 — Nome</t>
        </is>
      </c>
      <c r="AF5" s="25" t="inlineStr">
        <is>
          <t>Concorrente 1 — Preço ()</t>
        </is>
      </c>
      <c r="AG5" s="25" t="inlineStr">
        <is>
          <t>Concorrente 2 — Nome</t>
        </is>
      </c>
      <c r="AH5" s="25" t="inlineStr">
        <is>
          <t>Concorrente 2 — Preço ()</t>
        </is>
      </c>
      <c r="AI5" s="25" t="inlineStr">
        <is>
          <t>Concorrente 3 — Nome</t>
        </is>
      </c>
      <c r="AJ5" s="25" t="inlineStr">
        <is>
          <t>Concorrente 3 — Preço ()</t>
        </is>
      </c>
      <c r="AK5" s="25" t="inlineStr">
        <is>
          <t>Preço médio concorrência ()</t>
        </is>
      </c>
      <c r="AL5" s="25" t="inlineStr">
        <is>
          <t>Posicionamento</t>
        </is>
      </c>
      <c r="AM5" s="25" t="inlineStr">
        <is>
          <t>Cadastrado Shopify?</t>
        </is>
      </c>
      <c r="AN5" s="25" t="inlineStr">
        <is>
          <t>Instruções</t>
        </is>
      </c>
      <c r="AO5" s="25" t="inlineStr">
        <is>
          <t>Última atualização</t>
        </is>
      </c>
      <c r="AP5" s="25" t="inlineStr">
        <is>
          <t>Operador responsável</t>
        </is>
      </c>
      <c r="AQ5" s="25" t="inlineStr">
        <is>
          <t>Observações</t>
        </is>
      </c>
      <c r="AR5" s="25" t="inlineStr">
        <is>
          <t>SKU Shopify (derivado)</t>
        </is>
      </c>
      <c r="AS5" s="25" t="inlineStr">
        <is>
          <t>Título Shopify (derivado)</t>
        </is>
      </c>
      <c r="AT5" s="28" t="inlineStr">
        <is>
          <t>Imagens site (assets)</t>
        </is>
      </c>
    </row>
    <row r="6">
      <c r="A6" s="1" t="inlineStr">
        <is>
          <t>IPCX03009065</t>
        </is>
      </c>
      <c r="B6" s="1" t="n"/>
      <c r="C6" s="1" t="inlineStr">
        <is>
          <t>giro-molinete-2</t>
        </is>
      </c>
      <c r="D6" s="1" t="inlineStr">
        <is>
          <t>Giro do Molinete 2 - GTS IPCX03009065 | Plataforma de Corte</t>
        </is>
      </c>
      <c r="E6" s="1" t="inlineStr">
        <is>
          <t>Peças Plásticas Injetadas</t>
        </is>
      </c>
      <c r="F6" s="1" t="inlineStr">
        <is>
          <t>APP</t>
        </is>
      </c>
      <c r="G6" s="1" t="n"/>
      <c r="H6" s="23" t="inlineStr">
        <is>
          <t>active</t>
        </is>
      </c>
      <c r="I6" s="1" t="inlineStr">
        <is>
          <t>GTS</t>
        </is>
      </c>
      <c r="J6" s="1" t="inlineStr">
        <is>
          <t>COLHEITADEIRA</t>
        </is>
      </c>
      <c r="K6" s="1" t="n"/>
      <c r="L6" s="1" t="n"/>
      <c r="M6" s="72" t="n">
        <v>843390.9</v>
      </c>
      <c r="N6" s="18" t="n">
        <v>1</v>
      </c>
      <c r="O6" s="18" t="n">
        <v>5</v>
      </c>
      <c r="P6" s="1" t="n">
        <v>0.035</v>
      </c>
      <c r="Q6" s="18" t="n">
        <v>2.6</v>
      </c>
      <c r="R6" s="18" t="n">
        <v>10</v>
      </c>
      <c r="S6" s="18" t="n">
        <v>2.3</v>
      </c>
      <c r="T6" s="1">
        <f>IFERROR(IF(AND(Q6&gt;0,R6&gt;0,S6&gt;0),(Q6*R6*S6)/6000,""),"")</f>
        <v/>
      </c>
      <c r="U6" s="1">
        <f>IFERROR(IF(AND(P6&gt;0,T6&gt;0),MAX(P6,T6),IF(P6&gt;0,P6,IF(T6&gt;0,T6,""))),"")</f>
        <v/>
      </c>
      <c r="V6" s="71" t="n">
        <v>0.26</v>
      </c>
      <c r="W6" s="1" t="inlineStr">
        <is>
          <t>fornecedor</t>
        </is>
      </c>
      <c r="X6" s="73" t="n">
        <v>1.4364</v>
      </c>
      <c r="Y6" s="39" t="n">
        <v>0.3</v>
      </c>
      <c r="Z6" s="41">
        <f>IFERROR(X6+V6,"")</f>
        <v/>
      </c>
      <c r="AA6" s="41">
        <f>IFERROR(IF(Y6&lt;1,Z6/(1-Y6),""),"")</f>
        <v/>
      </c>
      <c r="AB6" s="43">
        <f>'01_CONFIG_GLOBAL'!$C$14</f>
        <v/>
      </c>
      <c r="AC6" s="41">
        <f>IFERROR(AA6*AB6,"")</f>
        <v/>
      </c>
      <c r="AD6" s="41">
        <f>IFERROR(IF(AB6&lt;1,AA6/(1-AB6),""),"")</f>
        <v/>
      </c>
      <c r="AE6" s="1" t="n"/>
      <c r="AF6" s="1" t="n"/>
      <c r="AG6" s="1" t="n"/>
      <c r="AH6" s="1" t="n"/>
      <c r="AI6" s="1" t="n"/>
      <c r="AJ6" s="1" t="n"/>
      <c r="AK6" s="1" t="n"/>
      <c r="AL6" s="1" t="n"/>
      <c r="AM6" s="1" t="inlineStr">
        <is>
          <t>sim</t>
        </is>
      </c>
      <c r="AN6" s="1" t="n"/>
      <c r="AO6" s="1" t="n"/>
      <c r="AP6" s="1" t="n"/>
      <c r="AQ6" s="1" t="inlineStr">
        <is>
          <t>Fotos: output/fotos_ecommerce_tratemento_v2/GTS_IPCX03009065_ecommerce.png</t>
        </is>
      </c>
      <c r="AR6" s="44">
        <f>IF(AND(N6&lt;&gt;"",N6&gt;1),A6&amp;"-KIT"&amp;N6,A6)</f>
        <v/>
      </c>
      <c r="AS6" s="44">
        <f>IF(AND(N6&lt;&gt;"",N6&gt;1),D6&amp;" — Kit "&amp;N6&amp;" unidades",D6)</f>
        <v/>
      </c>
      <c r="AT6" s="28" t="inlineStr">
        <is>
          <t>GTS_IPCX03009065_ecommerce.png</t>
        </is>
      </c>
    </row>
    <row r="7">
      <c r="A7" s="1" t="inlineStr">
        <is>
          <t>IPCX03009065</t>
        </is>
      </c>
      <c r="B7" s="1" t="n"/>
      <c r="C7" s="1" t="inlineStr">
        <is>
          <t>giro-molinete-2</t>
        </is>
      </c>
      <c r="D7" s="1" t="inlineStr">
        <is>
          <t>Giro do Molinete 2 - Kit 100 Unidades - GTS IPCX03009065</t>
        </is>
      </c>
      <c r="E7" s="1" t="inlineStr">
        <is>
          <t>Peças Plásticas Injetadas</t>
        </is>
      </c>
      <c r="F7" s="1" t="inlineStr">
        <is>
          <t>APP</t>
        </is>
      </c>
      <c r="G7" s="1" t="n"/>
      <c r="H7" s="23" t="inlineStr">
        <is>
          <t>active</t>
        </is>
      </c>
      <c r="I7" s="1" t="inlineStr">
        <is>
          <t>GTS</t>
        </is>
      </c>
      <c r="J7" s="1" t="inlineStr">
        <is>
          <t>COLHEITADEIRA</t>
        </is>
      </c>
      <c r="K7" s="1" t="n"/>
      <c r="L7" s="1" t="n"/>
      <c r="M7" s="72" t="n">
        <v>843390.9</v>
      </c>
      <c r="N7" s="18" t="n">
        <v>100</v>
      </c>
      <c r="O7" s="18" t="n">
        <v>5</v>
      </c>
      <c r="P7" s="1">
        <f>P6*N7</f>
        <v/>
      </c>
      <c r="Q7" s="18" t="n">
        <v>35</v>
      </c>
      <c r="R7" s="18" t="n">
        <v>12</v>
      </c>
      <c r="S7" s="18" t="n">
        <v>35</v>
      </c>
      <c r="T7" s="1">
        <f>IFERROR(IF(AND(Q7&gt;0,R7&gt;0,S7&gt;0),(Q7*R7*S7)/6000,""),"")</f>
        <v/>
      </c>
      <c r="U7" s="1">
        <f>IFERROR(IF(AND(P7&gt;0,T7&gt;0),MAX(P7,T7),IF(P7&gt;0,P7,IF(T7&gt;0,T7,""))),"")</f>
        <v/>
      </c>
      <c r="V7" s="71" t="n">
        <v>25.59</v>
      </c>
      <c r="W7" s="1" t="n"/>
      <c r="X7" s="73">
        <f>X6*N7</f>
        <v/>
      </c>
      <c r="Y7" s="39">
        <f>Y6</f>
        <v/>
      </c>
      <c r="Z7" s="41">
        <f>IFERROR(X7+V7,"")</f>
        <v/>
      </c>
      <c r="AA7" s="41">
        <f>IFERROR(IF(Y7&lt;1,Z7/(1-Y7),""),"")</f>
        <v/>
      </c>
      <c r="AB7" s="43">
        <f>'01_CONFIG_GLOBAL'!$C$14</f>
        <v/>
      </c>
      <c r="AC7" s="41">
        <f>IFERROR(AA7*AB7,"")</f>
        <v/>
      </c>
      <c r="AD7" s="41">
        <f>IFERROR(IF(AB7&lt;1,AA7/(1-AB7),""),"")</f>
        <v/>
      </c>
      <c r="AE7" s="1" t="n"/>
      <c r="AF7" s="1" t="n"/>
      <c r="AG7" s="1" t="n"/>
      <c r="AH7" s="1" t="n"/>
      <c r="AI7" s="1" t="n"/>
      <c r="AJ7" s="1" t="n"/>
      <c r="AK7" s="1" t="n"/>
      <c r="AL7" s="1" t="n"/>
      <c r="AM7" s="1" t="inlineStr">
        <is>
          <t>sim</t>
        </is>
      </c>
      <c r="AN7" s="1" t="n"/>
      <c r="AO7" s="1" t="n"/>
      <c r="AP7" s="1" t="n"/>
      <c r="AQ7" s="1" t="n"/>
      <c r="AR7" s="44">
        <f>IF(AND(N7&lt;&gt;"",N7&gt;1),A7&amp;"-KIT"&amp;N7,A7)</f>
        <v/>
      </c>
      <c r="AS7" s="44">
        <f>IF(AND(N7&lt;&gt;"",N7&gt;1),D7&amp;" — Kit "&amp;N7&amp;" unidades",D7)</f>
        <v/>
      </c>
      <c r="AT7" s="28" t="inlineStr">
        <is>
          <t>GTS_IPCX03009065_ecommerce.png</t>
        </is>
      </c>
    </row>
    <row r="8">
      <c r="A8" s="1" t="inlineStr">
        <is>
          <t>IPCX03009064</t>
        </is>
      </c>
      <c r="B8" s="1" t="n"/>
      <c r="C8" s="1" t="inlineStr">
        <is>
          <t>giro-molinete-1</t>
        </is>
      </c>
      <c r="D8" s="1" t="inlineStr">
        <is>
          <t>Giro do Molinete 1 - GTS IPCX03009064 | Plataforma de Corte</t>
        </is>
      </c>
      <c r="E8" s="1" t="inlineStr">
        <is>
          <t>Peças Plásticas Injetadas</t>
        </is>
      </c>
      <c r="F8" s="1" t="inlineStr">
        <is>
          <t>APP</t>
        </is>
      </c>
      <c r="G8" s="1" t="n"/>
      <c r="H8" s="23" t="inlineStr">
        <is>
          <t>active</t>
        </is>
      </c>
      <c r="I8" s="1" t="inlineStr">
        <is>
          <t>GTS</t>
        </is>
      </c>
      <c r="J8" s="1" t="inlineStr">
        <is>
          <t>COLHEITADEIRA</t>
        </is>
      </c>
      <c r="K8" s="1" t="n"/>
      <c r="L8" s="1" t="n"/>
      <c r="M8" s="72" t="n">
        <v>843390.9</v>
      </c>
      <c r="N8" s="18" t="n">
        <v>1</v>
      </c>
      <c r="O8" s="18" t="n">
        <v>5</v>
      </c>
      <c r="P8" s="1" t="n">
        <v>0.035</v>
      </c>
      <c r="Q8" s="18" t="n">
        <v>2.6</v>
      </c>
      <c r="R8" s="18" t="n">
        <v>10</v>
      </c>
      <c r="S8" s="18" t="n">
        <v>2.3</v>
      </c>
      <c r="T8" s="1">
        <f>IFERROR(IF(AND(Q8&gt;0,R8&gt;0,S8&gt;0),(Q8*R8*S8)/6000,""),"")</f>
        <v/>
      </c>
      <c r="U8" s="1">
        <f>IFERROR(IF(AND(P8&gt;0,T8&gt;0),MAX(P8,T8),IF(P8&gt;0,P8,IF(T8&gt;0,T8,""))),"")</f>
        <v/>
      </c>
      <c r="V8" s="71" t="n">
        <v>0.26</v>
      </c>
      <c r="W8" s="1" t="inlineStr">
        <is>
          <t>fornecedor</t>
        </is>
      </c>
      <c r="X8" s="73" t="n">
        <v>1.4364</v>
      </c>
      <c r="Y8" s="39" t="n">
        <v>0.3</v>
      </c>
      <c r="Z8" s="41">
        <f>IFERROR(X8+V8,"")</f>
        <v/>
      </c>
      <c r="AA8" s="41">
        <f>IFERROR(IF(Y8&lt;1,Z8/(1-Y8),""),"")</f>
        <v/>
      </c>
      <c r="AB8" s="43">
        <f>'01_CONFIG_GLOBAL'!$C$14</f>
        <v/>
      </c>
      <c r="AC8" s="41">
        <f>IFERROR(AA8*AB8,"")</f>
        <v/>
      </c>
      <c r="AD8" s="41">
        <f>IFERROR(IF(AB8&lt;1,AA8/(1-AB8),""),"")</f>
        <v/>
      </c>
      <c r="AE8" s="1" t="n"/>
      <c r="AF8" s="1" t="n"/>
      <c r="AG8" s="1" t="n"/>
      <c r="AH8" s="1" t="n"/>
      <c r="AI8" s="1" t="n"/>
      <c r="AJ8" s="1" t="n"/>
      <c r="AK8" s="1" t="n"/>
      <c r="AL8" s="1" t="n"/>
      <c r="AM8" s="1" t="inlineStr">
        <is>
          <t>sim</t>
        </is>
      </c>
      <c r="AN8" s="1" t="n"/>
      <c r="AO8" s="1" t="n"/>
      <c r="AP8" s="1" t="n"/>
      <c r="AQ8" s="1" t="inlineStr">
        <is>
          <t>Fotos: output/fotos_ecommerce_tratemento_v2/GTS_IPCX03009064_ecommerce.png</t>
        </is>
      </c>
      <c r="AR8" s="44">
        <f>IF(AND(N8&lt;&gt;"",N8&gt;1),A8&amp;"-KIT"&amp;N8,A8)</f>
        <v/>
      </c>
      <c r="AS8" s="44">
        <f>IF(AND(N8&lt;&gt;"",N8&gt;1),D8&amp;" — Kit "&amp;N8&amp;" unidades",D8)</f>
        <v/>
      </c>
      <c r="AT8" s="28" t="inlineStr">
        <is>
          <t>GTS_IPCX03009064_ecommerce.png</t>
        </is>
      </c>
    </row>
    <row r="9">
      <c r="A9" s="1" t="inlineStr">
        <is>
          <t>IPCX03009064</t>
        </is>
      </c>
      <c r="B9" s="1" t="n"/>
      <c r="C9" s="1" t="inlineStr">
        <is>
          <t>giro-molinete-1</t>
        </is>
      </c>
      <c r="D9" s="1" t="inlineStr">
        <is>
          <t>Giro do Molinete 1 - Kit 100 Unidades - GTS IPCX03009064</t>
        </is>
      </c>
      <c r="E9" s="1" t="inlineStr">
        <is>
          <t>Peças Plásticas Injetadas</t>
        </is>
      </c>
      <c r="F9" s="1" t="inlineStr">
        <is>
          <t>APP</t>
        </is>
      </c>
      <c r="G9" s="1" t="n"/>
      <c r="H9" s="23" t="inlineStr">
        <is>
          <t>active</t>
        </is>
      </c>
      <c r="I9" s="1" t="inlineStr">
        <is>
          <t>GTS</t>
        </is>
      </c>
      <c r="J9" s="1" t="inlineStr">
        <is>
          <t>COLHEITADEIRA</t>
        </is>
      </c>
      <c r="K9" s="1" t="n"/>
      <c r="L9" s="1" t="n"/>
      <c r="M9" s="72" t="n">
        <v>843390.9</v>
      </c>
      <c r="N9" s="18" t="n">
        <v>100</v>
      </c>
      <c r="O9" s="18" t="n">
        <v>5</v>
      </c>
      <c r="P9" s="1">
        <f>P8*N9</f>
        <v/>
      </c>
      <c r="Q9" s="18" t="n">
        <v>35</v>
      </c>
      <c r="R9" s="18" t="n">
        <v>12</v>
      </c>
      <c r="S9" s="18" t="n">
        <v>35</v>
      </c>
      <c r="T9" s="1">
        <f>IFERROR(IF(AND(Q9&gt;0,R9&gt;0,S9&gt;0),(Q9*R9*S9)/6000,""),"")</f>
        <v/>
      </c>
      <c r="U9" s="1">
        <f>IFERROR(IF(AND(P9&gt;0,T9&gt;0),MAX(P9,T9),IF(P9&gt;0,P9,IF(T9&gt;0,T9,""))),"")</f>
        <v/>
      </c>
      <c r="V9" s="71" t="n">
        <v>25.59</v>
      </c>
      <c r="W9" s="1" t="n"/>
      <c r="X9" s="73">
        <f>X8*N9</f>
        <v/>
      </c>
      <c r="Y9" s="39">
        <f>Y8</f>
        <v/>
      </c>
      <c r="Z9" s="41">
        <f>IFERROR(X9+V9,"")</f>
        <v/>
      </c>
      <c r="AA9" s="41">
        <f>IFERROR(IF(Y9&lt;1,Z9/(1-Y9),""),"")</f>
        <v/>
      </c>
      <c r="AB9" s="43">
        <f>'01_CONFIG_GLOBAL'!$C$14</f>
        <v/>
      </c>
      <c r="AC9" s="41">
        <f>IFERROR(AA9*AB9,"")</f>
        <v/>
      </c>
      <c r="AD9" s="41">
        <f>IFERROR(IF(AB9&lt;1,AA9/(1-AB9),""),"")</f>
        <v/>
      </c>
      <c r="AE9" s="1" t="n"/>
      <c r="AF9" s="1" t="n"/>
      <c r="AG9" s="1" t="n"/>
      <c r="AH9" s="1" t="n"/>
      <c r="AI9" s="1" t="n"/>
      <c r="AJ9" s="1" t="n"/>
      <c r="AK9" s="1" t="n"/>
      <c r="AL9" s="1" t="n"/>
      <c r="AM9" s="1" t="inlineStr">
        <is>
          <t>sim</t>
        </is>
      </c>
      <c r="AN9" s="1" t="n"/>
      <c r="AO9" s="1" t="n"/>
      <c r="AP9" s="1" t="n"/>
      <c r="AQ9" s="1" t="n"/>
      <c r="AR9" s="44">
        <f>IF(AND(N9&lt;&gt;"",N9&gt;1),A9&amp;"-KIT"&amp;N9,A9)</f>
        <v/>
      </c>
      <c r="AS9" s="44">
        <f>IF(AND(N9&lt;&gt;"",N9&gt;1),D9&amp;" — Kit "&amp;N9&amp;" unidades",D9)</f>
        <v/>
      </c>
      <c r="AT9" s="28" t="inlineStr">
        <is>
          <t>GTS_IPCX03009064_ecommerce.png</t>
        </is>
      </c>
    </row>
    <row r="10">
      <c r="A10" s="1" t="inlineStr">
        <is>
          <t>IPCX05009034</t>
        </is>
      </c>
      <c r="B10" s="1" t="n"/>
      <c r="C10" s="1" t="inlineStr">
        <is>
          <t>rotula-molinete</t>
        </is>
      </c>
      <c r="D10" s="1" t="inlineStr">
        <is>
          <t>Rótula do Molinete - GTS IPCX05009034 | Plataforma de Corte</t>
        </is>
      </c>
      <c r="E10" s="1" t="inlineStr">
        <is>
          <t>Peças Plásticas Injetadas</t>
        </is>
      </c>
      <c r="F10" s="1" t="inlineStr">
        <is>
          <t>APP</t>
        </is>
      </c>
      <c r="G10" s="1" t="n"/>
      <c r="H10" s="23" t="inlineStr">
        <is>
          <t>active</t>
        </is>
      </c>
      <c r="I10" s="1" t="inlineStr">
        <is>
          <t>GTS</t>
        </is>
      </c>
      <c r="J10" s="1" t="inlineStr">
        <is>
          <t>COLHEITADEIRA</t>
        </is>
      </c>
      <c r="K10" s="1" t="n"/>
      <c r="L10" s="1" t="n"/>
      <c r="M10" s="72" t="n">
        <v>843390.9</v>
      </c>
      <c r="N10" s="18" t="n">
        <v>1</v>
      </c>
      <c r="O10" s="18" t="n">
        <v>5</v>
      </c>
      <c r="P10" s="1" t="n">
        <v>0.06</v>
      </c>
      <c r="Q10" s="18" t="n">
        <v>4</v>
      </c>
      <c r="R10" s="18" t="n">
        <v>4</v>
      </c>
      <c r="S10" s="18" t="n">
        <v>5</v>
      </c>
      <c r="T10" s="1">
        <f>IFERROR(IF(AND(Q10&gt;0,R10&gt;0,S10&gt;0),(Q10*R10*S10)/6000,""),"")</f>
        <v/>
      </c>
      <c r="U10" s="1">
        <f>IFERROR(IF(AND(P10&gt;0,T10&gt;0),MAX(P10,T10),IF(P10&gt;0,P10,IF(T10&gt;0,T10,""))),"")</f>
        <v/>
      </c>
      <c r="V10" s="71" t="n">
        <v>0.37</v>
      </c>
      <c r="W10" s="1" t="inlineStr">
        <is>
          <t>fornecedor</t>
        </is>
      </c>
      <c r="X10" s="73" t="n">
        <v>2.8512</v>
      </c>
      <c r="Y10" s="39" t="n">
        <v>0.3</v>
      </c>
      <c r="Z10" s="41">
        <f>IFERROR(X10+V10,"")</f>
        <v/>
      </c>
      <c r="AA10" s="41">
        <f>IFERROR(IF(Y10&lt;1,Z10/(1-Y10),""),"")</f>
        <v/>
      </c>
      <c r="AB10" s="43">
        <f>'01_CONFIG_GLOBAL'!$C$14</f>
        <v/>
      </c>
      <c r="AC10" s="41">
        <f>IFERROR(AA10*AB10,"")</f>
        <v/>
      </c>
      <c r="AD10" s="41">
        <f>IFERROR(IF(AB10&lt;1,AA10/(1-AB10),""),"")</f>
        <v/>
      </c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inlineStr">
        <is>
          <t>sim</t>
        </is>
      </c>
      <c r="AN10" s="1" t="n"/>
      <c r="AO10" s="1" t="n"/>
      <c r="AP10" s="1" t="n"/>
      <c r="AQ10" s="1" t="inlineStr">
        <is>
          <t>Fotos: output/fotos_ecommerce_tratemento_v2/GTS_IPCX05009034_ecommerce.png</t>
        </is>
      </c>
      <c r="AR10" s="44">
        <f>IF(AND(N10&lt;&gt;"",N10&gt;1),A10&amp;"-KIT"&amp;N10,A10)</f>
        <v/>
      </c>
      <c r="AS10" s="44">
        <f>IF(AND(N10&lt;&gt;"",N10&gt;1),D10&amp;" — Kit "&amp;N10&amp;" unidades",D10)</f>
        <v/>
      </c>
      <c r="AT10" s="28" t="inlineStr">
        <is>
          <t>GTS_IPCX05009034_ecommerce.png</t>
        </is>
      </c>
    </row>
    <row r="11">
      <c r="A11" s="1" t="inlineStr">
        <is>
          <t>IPCX05009034</t>
        </is>
      </c>
      <c r="B11" s="1" t="n"/>
      <c r="C11" s="1" t="inlineStr">
        <is>
          <t>rotula-molinete</t>
        </is>
      </c>
      <c r="D11" s="1" t="inlineStr">
        <is>
          <t>Rótula do Molinete - Kit 75 Unidades - GTS IPCX05009034</t>
        </is>
      </c>
      <c r="E11" s="1" t="inlineStr">
        <is>
          <t>Peças Plásticas Injetadas</t>
        </is>
      </c>
      <c r="F11" s="1" t="inlineStr">
        <is>
          <t>APP</t>
        </is>
      </c>
      <c r="G11" s="1" t="n"/>
      <c r="H11" s="23" t="inlineStr">
        <is>
          <t>active</t>
        </is>
      </c>
      <c r="I11" s="1" t="inlineStr">
        <is>
          <t>GTS</t>
        </is>
      </c>
      <c r="J11" s="1" t="inlineStr">
        <is>
          <t>COLHEITADEIRA</t>
        </is>
      </c>
      <c r="K11" s="1" t="n"/>
      <c r="L11" s="1" t="n"/>
      <c r="M11" s="72" t="n">
        <v>843390.9</v>
      </c>
      <c r="N11" s="18" t="n">
        <v>75</v>
      </c>
      <c r="O11" s="18" t="n">
        <v>5</v>
      </c>
      <c r="P11" s="1">
        <f>P10*N11</f>
        <v/>
      </c>
      <c r="Q11" s="18" t="n">
        <v>25</v>
      </c>
      <c r="R11" s="18" t="n">
        <v>25</v>
      </c>
      <c r="S11" s="18" t="n">
        <v>17</v>
      </c>
      <c r="T11" s="1">
        <f>IFERROR(IF(AND(Q11&gt;0,R11&gt;0,S11&gt;0),(Q11*R11*S11)/6000,""),"")</f>
        <v/>
      </c>
      <c r="U11" s="1">
        <f>IFERROR(IF(AND(P11&gt;0,T11&gt;0),MAX(P11,T11),IF(P11&gt;0,P11,IF(T11&gt;0,T11,""))),"")</f>
        <v/>
      </c>
      <c r="V11" s="71" t="n">
        <v>27.85</v>
      </c>
      <c r="W11" s="1" t="n"/>
      <c r="X11" s="73">
        <f>X10*N11</f>
        <v/>
      </c>
      <c r="Y11" s="39">
        <f>Y10</f>
        <v/>
      </c>
      <c r="Z11" s="41">
        <f>IFERROR(X11+V11,"")</f>
        <v/>
      </c>
      <c r="AA11" s="41">
        <f>IFERROR(IF(Y11&lt;1,Z11/(1-Y11),""),"")</f>
        <v/>
      </c>
      <c r="AB11" s="43">
        <f>'01_CONFIG_GLOBAL'!$C$14</f>
        <v/>
      </c>
      <c r="AC11" s="41">
        <f>IFERROR(AA11*AB11,"")</f>
        <v/>
      </c>
      <c r="AD11" s="41">
        <f>IFERROR(IF(AB11&lt;1,AA11/(1-AB11),""),"")</f>
        <v/>
      </c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inlineStr">
        <is>
          <t>sim</t>
        </is>
      </c>
      <c r="AN11" s="1" t="n"/>
      <c r="AO11" s="1" t="n"/>
      <c r="AP11" s="1" t="n"/>
      <c r="AQ11" s="1" t="n"/>
      <c r="AR11" s="44">
        <f>IF(AND(N11&lt;&gt;"",N11&gt;1),A11&amp;"-KIT"&amp;N11,A11)</f>
        <v/>
      </c>
      <c r="AS11" s="44">
        <f>IF(AND(N11&lt;&gt;"",N11&gt;1),D11&amp;" — Kit "&amp;N11&amp;" unidades",D11)</f>
        <v/>
      </c>
      <c r="AT11" s="28" t="inlineStr">
        <is>
          <t>GTS_IPCX05009034_ecommerce.png</t>
        </is>
      </c>
    </row>
    <row r="12">
      <c r="A12" s="1" t="inlineStr">
        <is>
          <t>IPCX03007010</t>
        </is>
      </c>
      <c r="B12" s="1" t="inlineStr">
        <is>
          <t>kit 20</t>
        </is>
      </c>
      <c r="C12" s="1" t="inlineStr">
        <is>
          <t>dedo-molinete-gts</t>
        </is>
      </c>
      <c r="D12" s="1" t="inlineStr">
        <is>
          <t>Dedo do Molinete - Kit 20 Unidades - GTS IPCX03007010</t>
        </is>
      </c>
      <c r="E12" s="1" t="inlineStr">
        <is>
          <t>Peças Plásticas Injetadas</t>
        </is>
      </c>
      <c r="F12" s="1" t="inlineStr">
        <is>
          <t>APP</t>
        </is>
      </c>
      <c r="G12" s="1" t="n"/>
      <c r="H12" s="23" t="inlineStr">
        <is>
          <t>active</t>
        </is>
      </c>
      <c r="I12" s="1" t="inlineStr">
        <is>
          <t>GTS</t>
        </is>
      </c>
      <c r="J12" s="1" t="inlineStr">
        <is>
          <t>COLHEITADEIRA</t>
        </is>
      </c>
      <c r="K12" s="1" t="n"/>
      <c r="L12" s="1" t="n"/>
      <c r="M12" s="72" t="n">
        <v>843390.9</v>
      </c>
      <c r="N12" s="18" t="n">
        <v>20</v>
      </c>
      <c r="O12" s="18" t="n">
        <v>5</v>
      </c>
      <c r="P12" s="1">
        <f>0.075*N12</f>
        <v/>
      </c>
      <c r="Q12" s="18" t="n">
        <v>7</v>
      </c>
      <c r="R12" s="18" t="n">
        <v>35</v>
      </c>
      <c r="S12" s="18" t="n">
        <v>45</v>
      </c>
      <c r="T12" s="1">
        <f>IFERROR(IF(AND(Q12&gt;0,R12&gt;0,S12&gt;0),(Q12*R12*S12)/6000,""),"")</f>
        <v/>
      </c>
      <c r="U12" s="1">
        <f>IFERROR(IF(AND(P12&gt;0,T12&gt;0),MAX(P12,T12),IF(P12&gt;0,P12,IF(T12&gt;0,T12,""))),"")</f>
        <v/>
      </c>
      <c r="V12" s="71" t="n">
        <v>19.94</v>
      </c>
      <c r="W12" s="1" t="inlineStr">
        <is>
          <t>fornecedor</t>
        </is>
      </c>
      <c r="X12" s="73">
        <f>3.35*N12</f>
        <v/>
      </c>
      <c r="Y12" s="39" t="n">
        <v>0.3</v>
      </c>
      <c r="Z12" s="41">
        <f>IFERROR(X12+V12,"")</f>
        <v/>
      </c>
      <c r="AA12" s="41">
        <f>IFERROR(IF(Y12&lt;1,Z12/(1-Y12),""),"")</f>
        <v/>
      </c>
      <c r="AB12" s="43">
        <f>'01_CONFIG_GLOBAL'!$C$14</f>
        <v/>
      </c>
      <c r="AC12" s="41">
        <f>IFERROR(AA12*AB12,"")</f>
        <v/>
      </c>
      <c r="AD12" s="41">
        <f>IFERROR(IF(AB12&lt;1,AA12/(1-AB12),""),"")</f>
        <v/>
      </c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inlineStr">
        <is>
          <t>sim</t>
        </is>
      </c>
      <c r="AN12" s="1" t="n"/>
      <c r="AO12" s="1" t="n"/>
      <c r="AP12" s="1" t="n"/>
      <c r="AQ12" s="1" t="inlineStr">
        <is>
          <t>Fotos: output/fotos_ecommerce_tratemento_v2/GTS_IPCX03007010_ecommerce_1.png; output/fotos_ecommerce_tratemento_v2/GTS_IPCX03007010_ecommerce_2.png</t>
        </is>
      </c>
      <c r="AR12" s="44">
        <f>IF(AND(N12&lt;&gt;"",N12&gt;1),A12&amp;"-KIT"&amp;N12,A12)</f>
        <v/>
      </c>
      <c r="AS12" s="44">
        <f>IF(AND(N12&lt;&gt;"",N12&gt;1),D12&amp;" — Kit "&amp;N12&amp;" unidades",D12)</f>
        <v/>
      </c>
      <c r="AT12" s="28" t="inlineStr">
        <is>
          <t>GTS_IPCX03007010_ecommerce_1.png | GTS_IPCX03007010_ecommerce_2.png</t>
        </is>
      </c>
    </row>
    <row r="13">
      <c r="A13" s="1" t="inlineStr">
        <is>
          <t>IPCX03007010</t>
        </is>
      </c>
      <c r="B13" s="1" t="inlineStr">
        <is>
          <t>kit 50</t>
        </is>
      </c>
      <c r="C13" s="1" t="inlineStr">
        <is>
          <t>dedo-molinete-gts</t>
        </is>
      </c>
      <c r="D13" s="1" t="inlineStr">
        <is>
          <t>Dedo do Molinete - Kit 50 Unidades - GTS IPCX03007010</t>
        </is>
      </c>
      <c r="E13" s="1" t="inlineStr">
        <is>
          <t>Peças Plásticas Injetadas</t>
        </is>
      </c>
      <c r="F13" s="1" t="inlineStr">
        <is>
          <t>APP</t>
        </is>
      </c>
      <c r="G13" s="1" t="n"/>
      <c r="H13" s="23" t="inlineStr">
        <is>
          <t>active</t>
        </is>
      </c>
      <c r="I13" s="1" t="inlineStr">
        <is>
          <t>GTS</t>
        </is>
      </c>
      <c r="J13" s="1" t="inlineStr">
        <is>
          <t>COLHEITADEIRA</t>
        </is>
      </c>
      <c r="K13" s="1" t="n"/>
      <c r="L13" s="1" t="n"/>
      <c r="M13" s="72" t="n">
        <v>843390.9</v>
      </c>
      <c r="N13" s="18" t="n">
        <v>50</v>
      </c>
      <c r="O13" s="18" t="n">
        <v>5</v>
      </c>
      <c r="P13" s="1">
        <f>0.075*N13</f>
        <v/>
      </c>
      <c r="Q13" s="18" t="n">
        <v>18</v>
      </c>
      <c r="R13" s="18" t="n">
        <v>35</v>
      </c>
      <c r="S13" s="18" t="n">
        <v>20</v>
      </c>
      <c r="T13" s="1">
        <f>IFERROR(IF(AND(Q13&gt;0,R13&gt;0,S13&gt;0),(Q13*R13*S13)/6000,""),"")</f>
        <v/>
      </c>
      <c r="U13" s="1">
        <f>IFERROR(IF(AND(P13&gt;0,T13&gt;0),MAX(P13,T13),IF(P13&gt;0,P13,IF(T13&gt;0,T13,""))),"")</f>
        <v/>
      </c>
      <c r="V13" s="71" t="n">
        <v>25.78</v>
      </c>
      <c r="W13" s="1" t="inlineStr">
        <is>
          <t>fornecedor</t>
        </is>
      </c>
      <c r="X13" s="73">
        <f>3.35*N13</f>
        <v/>
      </c>
      <c r="Y13" s="39" t="n">
        <v>0.3</v>
      </c>
      <c r="Z13" s="41">
        <f>IFERROR(X13+V13,"")</f>
        <v/>
      </c>
      <c r="AA13" s="41">
        <f>IFERROR(IF(Y13&lt;1,Z13/(1-Y13),""),"")</f>
        <v/>
      </c>
      <c r="AB13" s="43">
        <f>'01_CONFIG_GLOBAL'!$C$14</f>
        <v/>
      </c>
      <c r="AC13" s="41">
        <f>IFERROR(AA13*AB13,"")</f>
        <v/>
      </c>
      <c r="AD13" s="41">
        <f>IFERROR(IF(AB13&lt;1,AA13/(1-AB13),""),"")</f>
        <v/>
      </c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inlineStr">
        <is>
          <t>sim</t>
        </is>
      </c>
      <c r="AN13" s="1" t="n"/>
      <c r="AO13" s="1" t="n"/>
      <c r="AP13" s="1" t="n"/>
      <c r="AQ13" s="1" t="inlineStr">
        <is>
          <t>Fotos: output/fotos_ecommerce_tratemento_v2/GTS_IPCX03007010_ecommerce_1.png; output/fotos_ecommerce_tratemento_v2/GTS_IPCX03007010_ecommerce_2.png</t>
        </is>
      </c>
      <c r="AR13" s="44">
        <f>IF(AND(N13&lt;&gt;"",N13&gt;1),A13&amp;"-KIT"&amp;N13,A13)</f>
        <v/>
      </c>
      <c r="AS13" s="44">
        <f>IF(AND(N13&lt;&gt;"",N13&gt;1),D13&amp;" — Kit "&amp;N13&amp;" unidades",D13)</f>
        <v/>
      </c>
      <c r="AT13" s="28" t="inlineStr">
        <is>
          <t>GTS_IPCX03007010_ecommerce_1.png | GTS_IPCX03007010_ecommerce_2.png</t>
        </is>
      </c>
    </row>
    <row r="14">
      <c r="A14" s="1" t="inlineStr">
        <is>
          <t>IPCX03007010</t>
        </is>
      </c>
      <c r="B14" s="1" t="inlineStr">
        <is>
          <t>kit 100</t>
        </is>
      </c>
      <c r="C14" s="1" t="inlineStr">
        <is>
          <t>dedo-molinete-gts</t>
        </is>
      </c>
      <c r="D14" s="1" t="inlineStr">
        <is>
          <t>Dedo do Molinete - Kit 100 Unidades - GTS IPCX03007010</t>
        </is>
      </c>
      <c r="E14" s="1" t="inlineStr">
        <is>
          <t>Peças Plásticas Injetadas</t>
        </is>
      </c>
      <c r="F14" s="1" t="inlineStr">
        <is>
          <t>APP</t>
        </is>
      </c>
      <c r="G14" s="1" t="n"/>
      <c r="H14" s="23" t="inlineStr">
        <is>
          <t>active</t>
        </is>
      </c>
      <c r="I14" s="1" t="inlineStr">
        <is>
          <t>GTS</t>
        </is>
      </c>
      <c r="J14" s="1" t="inlineStr">
        <is>
          <t>COLHEITADEIRA</t>
        </is>
      </c>
      <c r="K14" s="1" t="n"/>
      <c r="L14" s="1" t="n"/>
      <c r="M14" s="72" t="n">
        <v>843390.9</v>
      </c>
      <c r="N14" s="18" t="n">
        <v>100</v>
      </c>
      <c r="O14" s="18" t="n">
        <v>5</v>
      </c>
      <c r="P14" s="1">
        <f>0.075*N14</f>
        <v/>
      </c>
      <c r="Q14" s="18" t="n">
        <v>35</v>
      </c>
      <c r="R14" s="18" t="n">
        <v>35</v>
      </c>
      <c r="S14" s="18" t="n">
        <v>20</v>
      </c>
      <c r="T14" s="1">
        <f>IFERROR(IF(AND(Q14&gt;0,R14&gt;0,S14&gt;0),(Q14*R14*S14)/6000,""),"")</f>
        <v/>
      </c>
      <c r="U14" s="1">
        <f>IFERROR(IF(AND(P14&gt;0,T14&gt;0),MAX(P14,T14),IF(P14&gt;0,P14,IF(T14&gt;0,T14,""))),"")</f>
        <v/>
      </c>
      <c r="V14" s="71" t="n">
        <v>39.01</v>
      </c>
      <c r="W14" s="1" t="inlineStr">
        <is>
          <t>fornecedor</t>
        </is>
      </c>
      <c r="X14" s="73">
        <f>3.35*N14</f>
        <v/>
      </c>
      <c r="Y14" s="39" t="n">
        <v>0.3</v>
      </c>
      <c r="Z14" s="41">
        <f>IFERROR(X14+V14,"")</f>
        <v/>
      </c>
      <c r="AA14" s="41">
        <f>IFERROR(IF(Y14&lt;1,Z14/(1-Y14),""),"")</f>
        <v/>
      </c>
      <c r="AB14" s="43">
        <f>'01_CONFIG_GLOBAL'!$C$14</f>
        <v/>
      </c>
      <c r="AC14" s="41">
        <f>IFERROR(AA14*AB14,"")</f>
        <v/>
      </c>
      <c r="AD14" s="41">
        <f>IFERROR(IF(AB14&lt;1,AA14/(1-AB14),""),"")</f>
        <v/>
      </c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inlineStr">
        <is>
          <t>sim</t>
        </is>
      </c>
      <c r="AN14" s="1" t="n"/>
      <c r="AO14" s="1" t="n"/>
      <c r="AP14" s="1" t="n"/>
      <c r="AQ14" s="1" t="inlineStr">
        <is>
          <t>Fotos: output/fotos_ecommerce_tratemento_v2/GTS_IPCX03007010_ecommerce_1.png; output/fotos_ecommerce_tratemento_v2/GTS_IPCX03007010_ecommerce_2.png</t>
        </is>
      </c>
      <c r="AR14" s="44">
        <f>IF(AND(N14&lt;&gt;"",N14&gt;1),A14&amp;"-KIT"&amp;N14,A14)</f>
        <v/>
      </c>
      <c r="AS14" s="44">
        <f>IF(AND(N14&lt;&gt;"",N14&gt;1),D14&amp;" — Kit "&amp;N14&amp;" unidades",D14)</f>
        <v/>
      </c>
      <c r="AT14" s="28" t="inlineStr">
        <is>
          <t>GTS_IPCX03007010_ecommerce_1.png | GTS_IPCX03007010_ecommerce_2.png</t>
        </is>
      </c>
    </row>
    <row r="15">
      <c r="A15" s="1" t="inlineStr">
        <is>
          <t>IPCX03006056</t>
        </is>
      </c>
      <c r="B15" s="1" t="n"/>
      <c r="C15" s="1" t="inlineStr">
        <is>
          <t>mancal-dedo-retr-til</t>
        </is>
      </c>
      <c r="D15" s="1" t="inlineStr">
        <is>
          <t>Mancal do Dedo Retrátil - GTS IPCX03006056 | Caracol da Plataforma</t>
        </is>
      </c>
      <c r="E15" s="1" t="inlineStr">
        <is>
          <t>Peças Plásticas Injetadas</t>
        </is>
      </c>
      <c r="F15" s="1" t="inlineStr">
        <is>
          <t>APP</t>
        </is>
      </c>
      <c r="G15" s="1" t="n"/>
      <c r="H15" s="23" t="inlineStr">
        <is>
          <t>active</t>
        </is>
      </c>
      <c r="I15" s="1" t="inlineStr">
        <is>
          <t>GTS</t>
        </is>
      </c>
      <c r="J15" s="1" t="inlineStr">
        <is>
          <t>COLHEITADEIRA</t>
        </is>
      </c>
      <c r="K15" s="1" t="n"/>
      <c r="L15" s="1" t="n"/>
      <c r="M15" s="72" t="n">
        <v>843390.9</v>
      </c>
      <c r="N15" s="18" t="n">
        <v>1</v>
      </c>
      <c r="O15" s="18" t="n">
        <v>5</v>
      </c>
      <c r="P15" s="1" t="n">
        <v>0.035</v>
      </c>
      <c r="Q15" s="18" t="n">
        <v>3</v>
      </c>
      <c r="R15" s="18" t="n">
        <v>8.300000000000001</v>
      </c>
      <c r="S15" s="18" t="n">
        <v>2</v>
      </c>
      <c r="T15" s="1">
        <f>IFERROR(IF(AND(Q15&gt;0,R15&gt;0,S15&gt;0),(Q15*R15*S15)/6000,""),"")</f>
        <v/>
      </c>
      <c r="U15" s="1">
        <f>IFERROR(IF(AND(P15&gt;0,T15&gt;0),MAX(P15,T15),IF(P15&gt;0,P15,IF(T15&gt;0,T15,""))),"")</f>
        <v/>
      </c>
      <c r="V15" s="71" t="n">
        <v>0.41</v>
      </c>
      <c r="W15" s="1" t="inlineStr">
        <is>
          <t>fornecedor</t>
        </is>
      </c>
      <c r="X15" s="73" t="n">
        <v>3.4236</v>
      </c>
      <c r="Y15" s="39" t="n">
        <v>0.3</v>
      </c>
      <c r="Z15" s="41">
        <f>IFERROR(X15+V15,"")</f>
        <v/>
      </c>
      <c r="AA15" s="41">
        <f>IFERROR(IF(Y15&lt;1,Z15/(1-Y15),""),"")</f>
        <v/>
      </c>
      <c r="AB15" s="43">
        <f>'01_CONFIG_GLOBAL'!$C$14</f>
        <v/>
      </c>
      <c r="AC15" s="41">
        <f>IFERROR(AA15*AB15,"")</f>
        <v/>
      </c>
      <c r="AD15" s="41">
        <f>IFERROR(IF(AB15&lt;1,AA15/(1-AB15),""),"")</f>
        <v/>
      </c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inlineStr">
        <is>
          <t>sim</t>
        </is>
      </c>
      <c r="AN15" s="74" t="inlineStr">
        <is>
          <t>Garante apoio, alinhamento e movimento correto do dedo retrátil durante a colheita.</t>
        </is>
      </c>
      <c r="AO15" s="1" t="n"/>
      <c r="AP15" s="1" t="n"/>
      <c r="AQ15" s="1" t="inlineStr">
        <is>
          <t>Fotos: output/fotos_ecommerce_tratemento_v2/GTS_IPCX03006056_ecommerce.png</t>
        </is>
      </c>
      <c r="AR15" s="44">
        <f>IF(AND(N15&lt;&gt;"",N15&gt;1),A15&amp;"-KIT"&amp;N15,A15)</f>
        <v/>
      </c>
      <c r="AS15" s="44">
        <f>IF(AND(N15&lt;&gt;"",N15&gt;1),D15&amp;" — Kit "&amp;N15&amp;" unidades",D15)</f>
        <v/>
      </c>
      <c r="AT15" s="28" t="inlineStr">
        <is>
          <t>GTS_IPCX03006056_ecommerce.png</t>
        </is>
      </c>
    </row>
    <row r="16">
      <c r="A16" s="1" t="inlineStr">
        <is>
          <t>IPCX03006056</t>
        </is>
      </c>
      <c r="B16" s="1" t="n"/>
      <c r="C16" s="1" t="inlineStr">
        <is>
          <t>mancal-dedo-retr-til</t>
        </is>
      </c>
      <c r="D16" s="1" t="inlineStr">
        <is>
          <t>Mancal do Dedo Retrátil - Kit 60 Unidades - GTS IPCX03006056</t>
        </is>
      </c>
      <c r="E16" s="1" t="inlineStr">
        <is>
          <t>Peças Plásticas Injetadas</t>
        </is>
      </c>
      <c r="F16" s="1" t="inlineStr">
        <is>
          <t>APP</t>
        </is>
      </c>
      <c r="G16" s="1" t="n"/>
      <c r="H16" s="23" t="inlineStr">
        <is>
          <t>active</t>
        </is>
      </c>
      <c r="I16" s="1" t="inlineStr">
        <is>
          <t>GTS</t>
        </is>
      </c>
      <c r="J16" s="1" t="inlineStr">
        <is>
          <t>COLHEITADEIRA</t>
        </is>
      </c>
      <c r="K16" s="1" t="n"/>
      <c r="L16" s="1" t="n"/>
      <c r="M16" s="72" t="n">
        <v>843390.9</v>
      </c>
      <c r="N16" s="18" t="n">
        <v>60</v>
      </c>
      <c r="O16" s="18" t="n">
        <v>5</v>
      </c>
      <c r="P16" s="1">
        <f>P15*N16</f>
        <v/>
      </c>
      <c r="Q16" s="18" t="n">
        <v>35</v>
      </c>
      <c r="R16" s="18" t="n">
        <v>18</v>
      </c>
      <c r="S16" s="18" t="n">
        <v>8</v>
      </c>
      <c r="T16" s="1">
        <f>IFERROR(IF(AND(Q16&gt;0,R16&gt;0,S16&gt;0),(Q16*R16*S16)/6000,""),"")</f>
        <v/>
      </c>
      <c r="U16" s="1">
        <f>IFERROR(IF(AND(P16&gt;0,T16&gt;0),MAX(P16,T16),IF(P16&gt;0,P16,IF(T16&gt;0,T16,""))),"")</f>
        <v/>
      </c>
      <c r="V16" s="71" t="n">
        <v>24.53</v>
      </c>
      <c r="W16" s="1" t="n"/>
      <c r="X16" s="73">
        <f>X15*N16</f>
        <v/>
      </c>
      <c r="Y16" s="39">
        <f>Y15</f>
        <v/>
      </c>
      <c r="Z16" s="41">
        <f>IFERROR(X16+V16,"")</f>
        <v/>
      </c>
      <c r="AA16" s="41">
        <f>IFERROR(IF(Y16&lt;1,Z16/(1-Y16),""),"")</f>
        <v/>
      </c>
      <c r="AB16" s="43">
        <f>'01_CONFIG_GLOBAL'!$C$14</f>
        <v/>
      </c>
      <c r="AC16" s="41">
        <f>IFERROR(AA16*AB16,"")</f>
        <v/>
      </c>
      <c r="AD16" s="41">
        <f>IFERROR(IF(AB16&lt;1,AA16/(1-AB16),""),"")</f>
        <v/>
      </c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inlineStr">
        <is>
          <t>sim</t>
        </is>
      </c>
      <c r="AN16" s="74" t="inlineStr">
        <is>
          <t>Garante apoio, alinhamento e movimento correto do dedo retrátil durante a colheita.</t>
        </is>
      </c>
      <c r="AO16" s="1" t="n"/>
      <c r="AP16" s="1" t="n"/>
      <c r="AQ16" s="1" t="n"/>
      <c r="AR16" s="44">
        <f>IF(AND(N16&lt;&gt;"",N16&gt;1),A16&amp;"-KIT"&amp;N16,A16)</f>
        <v/>
      </c>
      <c r="AS16" s="44">
        <f>IF(AND(N16&lt;&gt;"",N16&gt;1),D16&amp;" — Kit "&amp;N16&amp;" unidades",D16)</f>
        <v/>
      </c>
      <c r="AT16" s="28" t="inlineStr">
        <is>
          <t>GTS_IPCX03006056_ecommerce.png</t>
        </is>
      </c>
    </row>
    <row r="17">
      <c r="A17" s="1" t="inlineStr">
        <is>
          <t>IPCX03006047</t>
        </is>
      </c>
      <c r="B17" s="1" t="n"/>
      <c r="C17" s="1" t="inlineStr">
        <is>
          <t>guia-dedo-retratil</t>
        </is>
      </c>
      <c r="D17" s="1" t="inlineStr">
        <is>
          <t>Guia do Dedo Retrátil - GTS IPCX03006047 | Caracol da Plataforma</t>
        </is>
      </c>
      <c r="E17" s="1" t="inlineStr">
        <is>
          <t>Peças Plásticas Injetadas</t>
        </is>
      </c>
      <c r="F17" s="1" t="inlineStr">
        <is>
          <t>APP</t>
        </is>
      </c>
      <c r="G17" s="1" t="n"/>
      <c r="H17" s="23" t="inlineStr">
        <is>
          <t>active</t>
        </is>
      </c>
      <c r="I17" s="1" t="inlineStr">
        <is>
          <t>GTS</t>
        </is>
      </c>
      <c r="J17" s="1" t="inlineStr">
        <is>
          <t>COLHEITADEIRA</t>
        </is>
      </c>
      <c r="K17" s="1" t="n"/>
      <c r="L17" s="1" t="n"/>
      <c r="M17" s="72" t="n">
        <v>843390.9</v>
      </c>
      <c r="N17" s="18" t="n">
        <v>1</v>
      </c>
      <c r="O17" s="18" t="n">
        <v>5</v>
      </c>
      <c r="P17" s="1" t="n">
        <v>0.042</v>
      </c>
      <c r="Q17" s="18" t="n">
        <v>4.5</v>
      </c>
      <c r="R17" s="18" t="n">
        <v>9.5</v>
      </c>
      <c r="S17" s="18" t="n">
        <v>1.8</v>
      </c>
      <c r="T17" s="1">
        <f>IFERROR(IF(AND(Q17&gt;0,R17&gt;0,S17&gt;0),(Q17*R17*S17)/6000,""),"")</f>
        <v/>
      </c>
      <c r="U17" s="1">
        <f>IFERROR(IF(AND(P17&gt;0,T17&gt;0),MAX(P17,T17),IF(P17&gt;0,P17,IF(T17&gt;0,T17,""))),"")</f>
        <v/>
      </c>
      <c r="V17" s="71" t="n">
        <v>0.49</v>
      </c>
      <c r="W17" s="1" t="inlineStr">
        <is>
          <t>fornecedor</t>
        </is>
      </c>
      <c r="X17" s="73" t="n">
        <v>3.564</v>
      </c>
      <c r="Y17" s="39" t="n">
        <v>0.3</v>
      </c>
      <c r="Z17" s="41">
        <f>IFERROR(X17+V17,"")</f>
        <v/>
      </c>
      <c r="AA17" s="41">
        <f>IFERROR(IF(Y17&lt;1,Z17/(1-Y17),""),"")</f>
        <v/>
      </c>
      <c r="AB17" s="43">
        <f>'01_CONFIG_GLOBAL'!$C$14</f>
        <v/>
      </c>
      <c r="AC17" s="41">
        <f>IFERROR(AA17*AB17,"")</f>
        <v/>
      </c>
      <c r="AD17" s="41">
        <f>IFERROR(IF(AB17&lt;1,AA17/(1-AB17),""),"")</f>
        <v/>
      </c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inlineStr">
        <is>
          <t>sim</t>
        </is>
      </c>
      <c r="AN17" s="75" t="inlineStr">
        <is>
          <t>guia e mantém o dedo retrátil alinhado durante o movimento, garantindo funcionamento estável e evitando folgas no sistema da plataforma</t>
        </is>
      </c>
      <c r="AO17" s="1" t="n"/>
      <c r="AP17" s="1" t="n"/>
      <c r="AQ17" s="1" t="inlineStr">
        <is>
          <t>Fotos: output/fotos_ecommerce_tratemento_v2/GTS_IPCX03006047_ecommerce.png</t>
        </is>
      </c>
      <c r="AR17" s="44">
        <f>IF(AND(N17&lt;&gt;"",N17&gt;1),A17&amp;"-KIT"&amp;N17,A17)</f>
        <v/>
      </c>
      <c r="AS17" s="44">
        <f>IF(AND(N17&lt;&gt;"",N17&gt;1),D17&amp;" — Kit "&amp;N17&amp;" unidades",D17)</f>
        <v/>
      </c>
      <c r="AT17" s="28" t="inlineStr">
        <is>
          <t>GTS_IPCX03006047_ecommerce.png</t>
        </is>
      </c>
    </row>
    <row r="18">
      <c r="A18" s="1" t="inlineStr">
        <is>
          <t>IPCX03006047</t>
        </is>
      </c>
      <c r="B18" s="1" t="n"/>
      <c r="C18" s="1" t="inlineStr">
        <is>
          <t>guia-dedo-retratil</t>
        </is>
      </c>
      <c r="D18" s="1" t="inlineStr">
        <is>
          <t>Guia do Dedo Retrátil - Kit 50 Unidades - GTS IPCX03006047</t>
        </is>
      </c>
      <c r="E18" s="1" t="inlineStr">
        <is>
          <t>Peças Plásticas Injetadas</t>
        </is>
      </c>
      <c r="F18" s="1" t="inlineStr">
        <is>
          <t>APP</t>
        </is>
      </c>
      <c r="G18" s="1" t="n"/>
      <c r="H18" s="23" t="inlineStr">
        <is>
          <t>active</t>
        </is>
      </c>
      <c r="I18" s="1" t="inlineStr">
        <is>
          <t>GTS</t>
        </is>
      </c>
      <c r="J18" s="1" t="inlineStr">
        <is>
          <t>COLHEITADEIRA</t>
        </is>
      </c>
      <c r="K18" s="1" t="n"/>
      <c r="L18" s="1" t="n"/>
      <c r="M18" s="72" t="n">
        <v>843390.9</v>
      </c>
      <c r="N18" s="18" t="n">
        <v>50</v>
      </c>
      <c r="O18" s="18" t="n">
        <v>5</v>
      </c>
      <c r="P18" s="1">
        <f>P17*N18</f>
        <v/>
      </c>
      <c r="Q18" s="18" t="n">
        <v>25</v>
      </c>
      <c r="R18" s="18" t="n">
        <v>12</v>
      </c>
      <c r="S18" s="18" t="n">
        <v>25</v>
      </c>
      <c r="T18" s="1">
        <f>IFERROR(IF(AND(Q18&gt;0,R18&gt;0,S18&gt;0),(Q18*R18*S18)/6000,""),"")</f>
        <v/>
      </c>
      <c r="U18" s="1">
        <f>IFERROR(IF(AND(P18&gt;0,T18&gt;0),MAX(P18,T18),IF(P18&gt;0,P18,IF(T18&gt;0,T18,""))),"")</f>
        <v/>
      </c>
      <c r="V18" s="71" t="n">
        <v>24.31</v>
      </c>
      <c r="W18" s="1" t="inlineStr">
        <is>
          <t>fornecedor</t>
        </is>
      </c>
      <c r="X18" s="73">
        <f>X17*N18</f>
        <v/>
      </c>
      <c r="Y18" s="39" t="n">
        <v>0.3</v>
      </c>
      <c r="Z18" s="41">
        <f>IFERROR(X18+V18,"")</f>
        <v/>
      </c>
      <c r="AA18" s="41">
        <f>IFERROR(IF(Y18&lt;1,Z18/(1-Y18),""),"")</f>
        <v/>
      </c>
      <c r="AB18" s="43">
        <f>'01_CONFIG_GLOBAL'!$C$14</f>
        <v/>
      </c>
      <c r="AC18" s="41">
        <f>IFERROR(AA18*AB18,"")</f>
        <v/>
      </c>
      <c r="AD18" s="41">
        <f>IFERROR(IF(AB18&lt;1,AA18/(1-AB18),""),"")</f>
        <v/>
      </c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inlineStr">
        <is>
          <t>sim</t>
        </is>
      </c>
      <c r="AN18" s="75" t="inlineStr">
        <is>
          <t>guia e mantém o dedo retrátil alinhado durante o movimento, garantindo funcionamento estável e evitando folgas no sistema da plataforma</t>
        </is>
      </c>
      <c r="AO18" s="1" t="n"/>
      <c r="AP18" s="1" t="n"/>
      <c r="AQ18" s="1" t="inlineStr">
        <is>
          <t>Fotos: output/fotos_ecommerce_tratemento_v2/GTS_IPCX03006047_ecommerce.png</t>
        </is>
      </c>
      <c r="AR18" s="44">
        <f>IF(AND(N18&lt;&gt;"",N18&gt;1),A18&amp;"-KIT"&amp;N18,A18)</f>
        <v/>
      </c>
      <c r="AS18" s="44">
        <f>IF(AND(N18&lt;&gt;"",N18&gt;1),D18&amp;" — Kit "&amp;N18&amp;" unidades",D18)</f>
        <v/>
      </c>
      <c r="AT18" s="28" t="inlineStr">
        <is>
          <t>GTS_IPCX03006047_ecommerce.png</t>
        </is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8" t="n"/>
      <c r="N19" s="1" t="n"/>
      <c r="O19" s="1" t="n"/>
      <c r="P19" s="1" t="n"/>
      <c r="Q19" s="18" t="n"/>
      <c r="R19" s="18" t="n"/>
      <c r="S19" s="18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8" t="n"/>
      <c r="N20" s="1" t="n"/>
      <c r="O20" s="1" t="n"/>
      <c r="P20" s="1" t="n"/>
      <c r="Q20" s="18" t="n"/>
      <c r="R20" s="18" t="n"/>
      <c r="S20" s="18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</row>
    <row r="21" ht="15.75" customHeight="1" s="9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8" t="n"/>
      <c r="N21" s="1" t="n"/>
      <c r="O21" s="1" t="n"/>
      <c r="P21" s="1" t="n"/>
      <c r="Q21" s="18" t="n"/>
      <c r="R21" s="18" t="n"/>
      <c r="S21" s="18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</row>
    <row r="22" ht="15.75" customHeight="1" s="9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8" t="n"/>
      <c r="N22" s="1" t="n"/>
      <c r="O22" s="1" t="n"/>
      <c r="P22" s="1" t="n"/>
      <c r="Q22" s="18" t="n"/>
      <c r="R22" s="18" t="n"/>
      <c r="S22" s="18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</row>
    <row r="23" ht="15.75" customHeight="1" s="9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8" t="n"/>
      <c r="N23" s="1" t="n"/>
      <c r="O23" s="1" t="n"/>
      <c r="P23" s="1" t="n"/>
      <c r="Q23" s="18" t="n"/>
      <c r="R23" s="18" t="n"/>
      <c r="S23" s="18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</row>
    <row r="24" ht="15.75" customHeight="1" s="9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8" t="n"/>
      <c r="N24" s="1" t="n"/>
      <c r="O24" s="1" t="n"/>
      <c r="P24" s="1" t="n"/>
      <c r="Q24" s="18" t="n"/>
      <c r="R24" s="18" t="n"/>
      <c r="S24" s="18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</row>
    <row r="25" ht="15.75" customHeight="1" s="9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8" t="n"/>
      <c r="N25" s="1" t="n"/>
      <c r="O25" s="1" t="n"/>
      <c r="P25" s="1" t="n"/>
      <c r="Q25" s="18" t="n"/>
      <c r="R25" s="18" t="n"/>
      <c r="S25" s="18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</row>
    <row r="26" ht="15.75" customHeight="1" s="9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8" t="n"/>
      <c r="N26" s="1" t="n"/>
      <c r="O26" s="1" t="n"/>
      <c r="P26" s="1" t="n"/>
      <c r="Q26" s="18" t="n"/>
      <c r="R26" s="18" t="n"/>
      <c r="S26" s="18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</row>
    <row r="27" ht="15.75" customHeight="1" s="9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8" t="n"/>
      <c r="N27" s="1" t="n"/>
      <c r="O27" s="1" t="n"/>
      <c r="P27" s="1" t="n"/>
      <c r="Q27" s="18" t="n"/>
      <c r="R27" s="18" t="n"/>
      <c r="S27" s="18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</row>
    <row r="28" ht="15.75" customHeight="1" s="9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8" t="n"/>
      <c r="N28" s="1" t="n"/>
      <c r="O28" s="1" t="n"/>
      <c r="P28" s="1" t="n"/>
      <c r="Q28" s="18" t="n"/>
      <c r="R28" s="18" t="n"/>
      <c r="S28" s="18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</row>
    <row r="29" ht="15.75" customHeight="1" s="9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8" t="n"/>
      <c r="N29" s="1" t="n"/>
      <c r="O29" s="1" t="n"/>
      <c r="P29" s="1" t="n"/>
      <c r="Q29" s="18" t="n"/>
      <c r="R29" s="18" t="n"/>
      <c r="S29" s="18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</row>
    <row r="30" ht="15.75" customHeight="1" s="9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8" t="n"/>
      <c r="N30" s="1" t="n"/>
      <c r="O30" s="1" t="n"/>
      <c r="P30" s="1" t="n"/>
      <c r="Q30" s="18" t="n"/>
      <c r="R30" s="18" t="n"/>
      <c r="S30" s="18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</row>
    <row r="31" ht="15.75" customHeight="1" s="9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8" t="n"/>
      <c r="N31" s="1" t="n"/>
      <c r="O31" s="1" t="n"/>
      <c r="P31" s="1" t="n"/>
      <c r="Q31" s="18" t="n"/>
      <c r="R31" s="18" t="n"/>
      <c r="S31" s="18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</row>
    <row r="32" ht="15.75" customHeight="1" s="9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8" t="n"/>
      <c r="N32" s="1" t="n"/>
      <c r="O32" s="1" t="n"/>
      <c r="P32" s="1" t="n"/>
      <c r="Q32" s="18" t="n"/>
      <c r="R32" s="18" t="n"/>
      <c r="S32" s="18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</row>
    <row r="33" ht="15.75" customHeight="1" s="9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8" t="n"/>
      <c r="N33" s="1" t="n"/>
      <c r="O33" s="1" t="n"/>
      <c r="P33" s="1" t="n"/>
      <c r="Q33" s="18" t="n"/>
      <c r="R33" s="18" t="n"/>
      <c r="S33" s="18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</row>
    <row r="34" ht="15.75" customHeight="1" s="9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8" t="n"/>
      <c r="N34" s="1" t="n"/>
      <c r="O34" s="1" t="n"/>
      <c r="P34" s="1" t="n"/>
      <c r="Q34" s="18" t="n"/>
      <c r="R34" s="18" t="n"/>
      <c r="S34" s="18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</row>
    <row r="35" ht="15.75" customHeight="1" s="9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8" t="n"/>
      <c r="N35" s="1" t="n"/>
      <c r="O35" s="1" t="n"/>
      <c r="P35" s="1" t="n"/>
      <c r="Q35" s="18" t="n"/>
      <c r="R35" s="18" t="n"/>
      <c r="S35" s="18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</row>
    <row r="36" ht="15.75" customHeight="1" s="9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8" t="n"/>
      <c r="N36" s="1" t="n"/>
      <c r="O36" s="1" t="n"/>
      <c r="P36" s="1" t="n"/>
      <c r="Q36" s="18" t="n"/>
      <c r="R36" s="18" t="n"/>
      <c r="S36" s="18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</row>
    <row r="37" ht="15.75" customHeight="1" s="9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8" t="n"/>
      <c r="N37" s="1" t="n"/>
      <c r="O37" s="1" t="n"/>
      <c r="P37" s="1" t="n"/>
      <c r="Q37" s="18" t="n"/>
      <c r="R37" s="18" t="n"/>
      <c r="S37" s="18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</row>
    <row r="38" ht="15.75" customHeight="1" s="9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8" t="n"/>
      <c r="N38" s="1" t="n"/>
      <c r="O38" s="1" t="n"/>
      <c r="P38" s="1" t="n"/>
      <c r="Q38" s="18" t="n"/>
      <c r="R38" s="18" t="n"/>
      <c r="S38" s="18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</row>
    <row r="39" ht="15.75" customHeight="1" s="9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8" t="n"/>
      <c r="N39" s="1" t="n"/>
      <c r="O39" s="1" t="n"/>
      <c r="P39" s="1" t="n"/>
      <c r="Q39" s="18" t="n"/>
      <c r="R39" s="18" t="n"/>
      <c r="S39" s="18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</row>
    <row r="40" ht="15.75" customHeight="1" s="9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8" t="n"/>
      <c r="N40" s="1" t="n"/>
      <c r="O40" s="1" t="n"/>
      <c r="P40" s="1" t="n"/>
      <c r="Q40" s="18" t="n"/>
      <c r="R40" s="18" t="n"/>
      <c r="S40" s="18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</row>
    <row r="41" ht="15.75" customHeight="1" s="9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8" t="n"/>
      <c r="N41" s="1" t="n"/>
      <c r="O41" s="1" t="n"/>
      <c r="P41" s="1" t="n"/>
      <c r="Q41" s="18" t="n"/>
      <c r="R41" s="18" t="n"/>
      <c r="S41" s="18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</row>
    <row r="42" ht="15.75" customHeight="1" s="9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8" t="n"/>
      <c r="N42" s="1" t="n"/>
      <c r="O42" s="1" t="n"/>
      <c r="P42" s="1" t="n"/>
      <c r="Q42" s="18" t="n"/>
      <c r="R42" s="18" t="n"/>
      <c r="S42" s="18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</row>
    <row r="43" ht="15.75" customHeight="1" s="9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8" t="n"/>
      <c r="N43" s="1" t="n"/>
      <c r="O43" s="1" t="n"/>
      <c r="P43" s="1" t="n"/>
      <c r="Q43" s="18" t="n"/>
      <c r="R43" s="18" t="n"/>
      <c r="S43" s="18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</row>
    <row r="44" ht="15.75" customHeight="1" s="9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8" t="n"/>
      <c r="N44" s="1" t="n"/>
      <c r="O44" s="1" t="n"/>
      <c r="P44" s="1" t="n"/>
      <c r="Q44" s="18" t="n"/>
      <c r="R44" s="18" t="n"/>
      <c r="S44" s="18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</row>
    <row r="45" ht="15.75" customHeight="1" s="9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8" t="n"/>
      <c r="N45" s="1" t="n"/>
      <c r="O45" s="1" t="n"/>
      <c r="P45" s="1" t="n"/>
      <c r="Q45" s="18" t="n"/>
      <c r="R45" s="18" t="n"/>
      <c r="S45" s="18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</row>
    <row r="46" ht="15.75" customHeight="1" s="9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8" t="n"/>
      <c r="N46" s="1" t="n"/>
      <c r="O46" s="1" t="n"/>
      <c r="P46" s="1" t="n"/>
      <c r="Q46" s="18" t="n"/>
      <c r="R46" s="18" t="n"/>
      <c r="S46" s="18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</row>
    <row r="47" ht="15.75" customHeight="1" s="9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8" t="n"/>
      <c r="N47" s="1" t="n"/>
      <c r="O47" s="1" t="n"/>
      <c r="P47" s="1" t="n"/>
      <c r="Q47" s="18" t="n"/>
      <c r="R47" s="18" t="n"/>
      <c r="S47" s="18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</row>
    <row r="48" ht="15.75" customHeight="1" s="9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8" t="n"/>
      <c r="N48" s="1" t="n"/>
      <c r="O48" s="1" t="n"/>
      <c r="P48" s="1" t="n"/>
      <c r="Q48" s="18" t="n"/>
      <c r="R48" s="18" t="n"/>
      <c r="S48" s="18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</row>
    <row r="49" ht="15.75" customHeight="1" s="9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8" t="n"/>
      <c r="N49" s="1" t="n"/>
      <c r="O49" s="1" t="n"/>
      <c r="P49" s="1" t="n"/>
      <c r="Q49" s="18" t="n"/>
      <c r="R49" s="18" t="n"/>
      <c r="S49" s="18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</row>
    <row r="50" ht="15.75" customHeight="1" s="9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8" t="n"/>
      <c r="N50" s="1" t="n"/>
      <c r="O50" s="1" t="n"/>
      <c r="P50" s="1" t="n"/>
      <c r="Q50" s="18" t="n"/>
      <c r="R50" s="18" t="n"/>
      <c r="S50" s="18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</row>
    <row r="51" ht="15.75" customHeight="1" s="9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8" t="n"/>
      <c r="N51" s="1" t="n"/>
      <c r="O51" s="1" t="n"/>
      <c r="P51" s="1" t="n"/>
      <c r="Q51" s="18" t="n"/>
      <c r="R51" s="18" t="n"/>
      <c r="S51" s="18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</row>
    <row r="52" ht="15.75" customHeight="1" s="9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8" t="n"/>
      <c r="N52" s="1" t="n"/>
      <c r="O52" s="1" t="n"/>
      <c r="P52" s="1" t="n"/>
      <c r="Q52" s="18" t="n"/>
      <c r="R52" s="18" t="n"/>
      <c r="S52" s="18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</row>
    <row r="53" ht="15.75" customHeight="1" s="9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8" t="n"/>
      <c r="N53" s="1" t="n"/>
      <c r="O53" s="1" t="n"/>
      <c r="P53" s="1" t="n"/>
      <c r="Q53" s="18" t="n"/>
      <c r="R53" s="18" t="n"/>
      <c r="S53" s="18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</row>
    <row r="54" ht="15.75" customHeight="1" s="9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8" t="n"/>
      <c r="N54" s="1" t="n"/>
      <c r="O54" s="1" t="n"/>
      <c r="P54" s="1" t="n"/>
      <c r="Q54" s="18" t="n"/>
      <c r="R54" s="18" t="n"/>
      <c r="S54" s="18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</row>
    <row r="55" ht="15.75" customHeight="1" s="9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8" t="n"/>
      <c r="N55" s="1" t="n"/>
      <c r="O55" s="1" t="n"/>
      <c r="P55" s="1" t="n"/>
      <c r="Q55" s="18" t="n"/>
      <c r="R55" s="18" t="n"/>
      <c r="S55" s="18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</row>
    <row r="56" ht="15.75" customHeight="1" s="9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8" t="n"/>
      <c r="N56" s="1" t="n"/>
      <c r="O56" s="1" t="n"/>
      <c r="P56" s="1" t="n"/>
      <c r="Q56" s="18" t="n"/>
      <c r="R56" s="18" t="n"/>
      <c r="S56" s="18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</row>
    <row r="57" ht="15.75" customHeight="1" s="9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8" t="n"/>
      <c r="N57" s="1" t="n"/>
      <c r="O57" s="1" t="n"/>
      <c r="P57" s="1" t="n"/>
      <c r="Q57" s="18" t="n"/>
      <c r="R57" s="18" t="n"/>
      <c r="S57" s="18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</row>
    <row r="58" ht="15.75" customHeight="1" s="9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8" t="n"/>
      <c r="N58" s="1" t="n"/>
      <c r="O58" s="1" t="n"/>
      <c r="P58" s="1" t="n"/>
      <c r="Q58" s="18" t="n"/>
      <c r="R58" s="18" t="n"/>
      <c r="S58" s="18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</row>
    <row r="59" ht="15.75" customHeight="1" s="9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8" t="n"/>
      <c r="N59" s="1" t="n"/>
      <c r="O59" s="1" t="n"/>
      <c r="P59" s="1" t="n"/>
      <c r="Q59" s="18" t="n"/>
      <c r="R59" s="18" t="n"/>
      <c r="S59" s="18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</row>
    <row r="60" ht="15.75" customHeight="1" s="9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8" t="n"/>
      <c r="N60" s="1" t="n"/>
      <c r="O60" s="1" t="n"/>
      <c r="P60" s="1" t="n"/>
      <c r="Q60" s="18" t="n"/>
      <c r="R60" s="18" t="n"/>
      <c r="S60" s="18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</row>
    <row r="61" ht="15.75" customHeight="1" s="9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8" t="n"/>
      <c r="N61" s="1" t="n"/>
      <c r="O61" s="1" t="n"/>
      <c r="P61" s="1" t="n"/>
      <c r="Q61" s="18" t="n"/>
      <c r="R61" s="18" t="n"/>
      <c r="S61" s="18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</row>
    <row r="62" ht="15.75" customHeight="1" s="9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8" t="n"/>
      <c r="N62" s="1" t="n"/>
      <c r="O62" s="1" t="n"/>
      <c r="P62" s="1" t="n"/>
      <c r="Q62" s="18" t="n"/>
      <c r="R62" s="18" t="n"/>
      <c r="S62" s="18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</row>
    <row r="63" ht="15.75" customHeight="1" s="9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8" t="n"/>
      <c r="N63" s="1" t="n"/>
      <c r="O63" s="1" t="n"/>
      <c r="P63" s="1" t="n"/>
      <c r="Q63" s="18" t="n"/>
      <c r="R63" s="18" t="n"/>
      <c r="S63" s="18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</row>
    <row r="64" ht="15.75" customHeight="1" s="9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8" t="n"/>
      <c r="N64" s="1" t="n"/>
      <c r="O64" s="1" t="n"/>
      <c r="P64" s="1" t="n"/>
      <c r="Q64" s="18" t="n"/>
      <c r="R64" s="18" t="n"/>
      <c r="S64" s="18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</row>
    <row r="65" ht="15.75" customHeight="1" s="9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8" t="n"/>
      <c r="N65" s="1" t="n"/>
      <c r="O65" s="1" t="n"/>
      <c r="P65" s="1" t="n"/>
      <c r="Q65" s="18" t="n"/>
      <c r="R65" s="18" t="n"/>
      <c r="S65" s="18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</row>
    <row r="66" ht="15.75" customHeight="1" s="9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8" t="n"/>
      <c r="N66" s="1" t="n"/>
      <c r="O66" s="1" t="n"/>
      <c r="P66" s="1" t="n"/>
      <c r="Q66" s="18" t="n"/>
      <c r="R66" s="18" t="n"/>
      <c r="S66" s="18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</row>
    <row r="67" ht="15.75" customHeight="1" s="9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8" t="n"/>
      <c r="N67" s="1" t="n"/>
      <c r="O67" s="1" t="n"/>
      <c r="P67" s="1" t="n"/>
      <c r="Q67" s="18" t="n"/>
      <c r="R67" s="18" t="n"/>
      <c r="S67" s="18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</row>
    <row r="68" ht="15.75" customHeight="1" s="9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8" t="n"/>
      <c r="N68" s="1" t="n"/>
      <c r="O68" s="1" t="n"/>
      <c r="P68" s="1" t="n"/>
      <c r="Q68" s="18" t="n"/>
      <c r="R68" s="18" t="n"/>
      <c r="S68" s="18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</row>
    <row r="69" ht="15.75" customHeight="1" s="9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8" t="n"/>
      <c r="N69" s="1" t="n"/>
      <c r="O69" s="1" t="n"/>
      <c r="P69" s="1" t="n"/>
      <c r="Q69" s="18" t="n"/>
      <c r="R69" s="18" t="n"/>
      <c r="S69" s="18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</row>
    <row r="70" ht="15.75" customHeight="1" s="9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8" t="n"/>
      <c r="N70" s="1" t="n"/>
      <c r="O70" s="1" t="n"/>
      <c r="P70" s="1" t="n"/>
      <c r="Q70" s="18" t="n"/>
      <c r="R70" s="18" t="n"/>
      <c r="S70" s="18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</row>
    <row r="71" ht="15.75" customHeight="1" s="9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8" t="n"/>
      <c r="N71" s="1" t="n"/>
      <c r="O71" s="1" t="n"/>
      <c r="P71" s="1" t="n"/>
      <c r="Q71" s="18" t="n"/>
      <c r="R71" s="18" t="n"/>
      <c r="S71" s="18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</row>
    <row r="72" ht="15.75" customHeight="1" s="9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8" t="n"/>
      <c r="N72" s="1" t="n"/>
      <c r="O72" s="1" t="n"/>
      <c r="P72" s="1" t="n"/>
      <c r="Q72" s="18" t="n"/>
      <c r="R72" s="18" t="n"/>
      <c r="S72" s="18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</row>
    <row r="73" ht="15.75" customHeight="1" s="9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8" t="n"/>
      <c r="N73" s="1" t="n"/>
      <c r="O73" s="1" t="n"/>
      <c r="P73" s="1" t="n"/>
      <c r="Q73" s="18" t="n"/>
      <c r="R73" s="18" t="n"/>
      <c r="S73" s="18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</row>
    <row r="74" ht="15.75" customHeight="1" s="9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8" t="n"/>
      <c r="N74" s="1" t="n"/>
      <c r="O74" s="1" t="n"/>
      <c r="P74" s="1" t="n"/>
      <c r="Q74" s="18" t="n"/>
      <c r="R74" s="18" t="n"/>
      <c r="S74" s="18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</row>
    <row r="75" ht="15.75" customHeight="1" s="9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8" t="n"/>
      <c r="N75" s="1" t="n"/>
      <c r="O75" s="1" t="n"/>
      <c r="P75" s="1" t="n"/>
      <c r="Q75" s="18" t="n"/>
      <c r="R75" s="18" t="n"/>
      <c r="S75" s="18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</row>
    <row r="76" ht="15.75" customHeight="1" s="9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8" t="n"/>
      <c r="N76" s="1" t="n"/>
      <c r="O76" s="1" t="n"/>
      <c r="P76" s="1" t="n"/>
      <c r="Q76" s="18" t="n"/>
      <c r="R76" s="18" t="n"/>
      <c r="S76" s="18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</row>
    <row r="77" ht="15.75" customHeight="1" s="9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8" t="n"/>
      <c r="N77" s="1" t="n"/>
      <c r="O77" s="1" t="n"/>
      <c r="P77" s="1" t="n"/>
      <c r="Q77" s="18" t="n"/>
      <c r="R77" s="18" t="n"/>
      <c r="S77" s="18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</row>
    <row r="78" ht="15.75" customHeight="1" s="9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8" t="n"/>
      <c r="N78" s="1" t="n"/>
      <c r="O78" s="1" t="n"/>
      <c r="P78" s="1" t="n"/>
      <c r="Q78" s="18" t="n"/>
      <c r="R78" s="18" t="n"/>
      <c r="S78" s="18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</row>
    <row r="79" ht="15.75" customHeight="1" s="9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8" t="n"/>
      <c r="N79" s="1" t="n"/>
      <c r="O79" s="1" t="n"/>
      <c r="P79" s="1" t="n"/>
      <c r="Q79" s="18" t="n"/>
      <c r="R79" s="18" t="n"/>
      <c r="S79" s="18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</row>
    <row r="80" ht="15.75" customHeight="1" s="9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8" t="n"/>
      <c r="N80" s="1" t="n"/>
      <c r="O80" s="1" t="n"/>
      <c r="P80" s="1" t="n"/>
      <c r="Q80" s="18" t="n"/>
      <c r="R80" s="18" t="n"/>
      <c r="S80" s="18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</row>
    <row r="81" ht="15.75" customHeight="1" s="9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8" t="n"/>
      <c r="N81" s="1" t="n"/>
      <c r="O81" s="1" t="n"/>
      <c r="P81" s="1" t="n"/>
      <c r="Q81" s="18" t="n"/>
      <c r="R81" s="18" t="n"/>
      <c r="S81" s="18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</row>
    <row r="82" ht="15.75" customHeight="1" s="9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8" t="n"/>
      <c r="N82" s="1" t="n"/>
      <c r="O82" s="1" t="n"/>
      <c r="P82" s="1" t="n"/>
      <c r="Q82" s="18" t="n"/>
      <c r="R82" s="18" t="n"/>
      <c r="S82" s="18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</row>
    <row r="83" ht="15.75" customHeight="1" s="9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8" t="n"/>
      <c r="N83" s="1" t="n"/>
      <c r="O83" s="1" t="n"/>
      <c r="P83" s="1" t="n"/>
      <c r="Q83" s="18" t="n"/>
      <c r="R83" s="18" t="n"/>
      <c r="S83" s="18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</row>
    <row r="84" ht="15.75" customHeight="1" s="9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8" t="n"/>
      <c r="N84" s="1" t="n"/>
      <c r="O84" s="1" t="n"/>
      <c r="P84" s="1" t="n"/>
      <c r="Q84" s="18" t="n"/>
      <c r="R84" s="18" t="n"/>
      <c r="S84" s="18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</row>
    <row r="85" ht="15.75" customHeight="1" s="9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8" t="n"/>
      <c r="N85" s="1" t="n"/>
      <c r="O85" s="1" t="n"/>
      <c r="P85" s="1" t="n"/>
      <c r="Q85" s="18" t="n"/>
      <c r="R85" s="18" t="n"/>
      <c r="S85" s="18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</row>
    <row r="86" ht="15.75" customHeight="1" s="9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8" t="n"/>
      <c r="N86" s="1" t="n"/>
      <c r="O86" s="1" t="n"/>
      <c r="P86" s="1" t="n"/>
      <c r="Q86" s="18" t="n"/>
      <c r="R86" s="18" t="n"/>
      <c r="S86" s="18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</row>
    <row r="87" ht="15.75" customHeight="1" s="9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8" t="n"/>
      <c r="N87" s="1" t="n"/>
      <c r="O87" s="1" t="n"/>
      <c r="P87" s="1" t="n"/>
      <c r="Q87" s="18" t="n"/>
      <c r="R87" s="18" t="n"/>
      <c r="S87" s="18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</row>
    <row r="88" ht="15.75" customHeight="1" s="9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8" t="n"/>
      <c r="N88" s="1" t="n"/>
      <c r="O88" s="1" t="n"/>
      <c r="P88" s="1" t="n"/>
      <c r="Q88" s="18" t="n"/>
      <c r="R88" s="18" t="n"/>
      <c r="S88" s="18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</row>
    <row r="89" ht="15.75" customHeight="1" s="9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8" t="n"/>
      <c r="N89" s="1" t="n"/>
      <c r="O89" s="1" t="n"/>
      <c r="P89" s="1" t="n"/>
      <c r="Q89" s="18" t="n"/>
      <c r="R89" s="18" t="n"/>
      <c r="S89" s="18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</row>
    <row r="90" ht="15.75" customHeight="1" s="9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8" t="n"/>
      <c r="N90" s="1" t="n"/>
      <c r="O90" s="1" t="n"/>
      <c r="P90" s="1" t="n"/>
      <c r="Q90" s="18" t="n"/>
      <c r="R90" s="18" t="n"/>
      <c r="S90" s="18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</row>
    <row r="91" ht="15.75" customHeight="1" s="9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8" t="n"/>
      <c r="N91" s="1" t="n"/>
      <c r="O91" s="1" t="n"/>
      <c r="P91" s="1" t="n"/>
      <c r="Q91" s="18" t="n"/>
      <c r="R91" s="18" t="n"/>
      <c r="S91" s="18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</row>
    <row r="92" ht="15.75" customHeight="1" s="9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8" t="n"/>
      <c r="N92" s="1" t="n"/>
      <c r="O92" s="1" t="n"/>
      <c r="P92" s="1" t="n"/>
      <c r="Q92" s="18" t="n"/>
      <c r="R92" s="18" t="n"/>
      <c r="S92" s="18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</row>
    <row r="93" ht="15.75" customHeight="1" s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8" t="n"/>
      <c r="N93" s="1" t="n"/>
      <c r="O93" s="1" t="n"/>
      <c r="P93" s="1" t="n"/>
      <c r="Q93" s="18" t="n"/>
      <c r="R93" s="18" t="n"/>
      <c r="S93" s="18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</row>
    <row r="94" ht="15.75" customHeight="1" s="9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8" t="n"/>
      <c r="N94" s="1" t="n"/>
      <c r="O94" s="1" t="n"/>
      <c r="P94" s="1" t="n"/>
      <c r="Q94" s="18" t="n"/>
      <c r="R94" s="18" t="n"/>
      <c r="S94" s="18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</row>
    <row r="95" ht="15.75" customHeight="1" s="9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8" t="n"/>
      <c r="N95" s="1" t="n"/>
      <c r="O95" s="1" t="n"/>
      <c r="P95" s="1" t="n"/>
      <c r="Q95" s="18" t="n"/>
      <c r="R95" s="18" t="n"/>
      <c r="S95" s="18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</row>
    <row r="96" ht="15.75" customHeight="1" s="9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8" t="n"/>
      <c r="N96" s="1" t="n"/>
      <c r="O96" s="1" t="n"/>
      <c r="P96" s="1" t="n"/>
      <c r="Q96" s="18" t="n"/>
      <c r="R96" s="18" t="n"/>
      <c r="S96" s="18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</row>
    <row r="97" ht="15.75" customHeight="1" s="9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8" t="n"/>
      <c r="N97" s="1" t="n"/>
      <c r="O97" s="1" t="n"/>
      <c r="P97" s="1" t="n"/>
      <c r="Q97" s="18" t="n"/>
      <c r="R97" s="18" t="n"/>
      <c r="S97" s="18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</row>
    <row r="98" ht="15.75" customHeight="1" s="9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8" t="n"/>
      <c r="N98" s="1" t="n"/>
      <c r="O98" s="1" t="n"/>
      <c r="P98" s="1" t="n"/>
      <c r="Q98" s="18" t="n"/>
      <c r="R98" s="18" t="n"/>
      <c r="S98" s="18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</row>
    <row r="99" ht="15.75" customHeight="1" s="9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8" t="n"/>
      <c r="N99" s="1" t="n"/>
      <c r="O99" s="1" t="n"/>
      <c r="P99" s="1" t="n"/>
      <c r="Q99" s="18" t="n"/>
      <c r="R99" s="18" t="n"/>
      <c r="S99" s="18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</row>
    <row r="100" ht="15.75" customHeight="1" s="9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8" t="n"/>
      <c r="N100" s="1" t="n"/>
      <c r="O100" s="1" t="n"/>
      <c r="P100" s="1" t="n"/>
      <c r="Q100" s="18" t="n"/>
      <c r="R100" s="18" t="n"/>
      <c r="S100" s="18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</row>
    <row r="101" ht="15.75" customHeight="1" s="9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8" t="n"/>
      <c r="N101" s="1" t="n"/>
      <c r="O101" s="1" t="n"/>
      <c r="P101" s="1" t="n"/>
      <c r="Q101" s="18" t="n"/>
      <c r="R101" s="18" t="n"/>
      <c r="S101" s="18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</row>
    <row r="102" ht="15.75" customHeight="1" s="9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8" t="n"/>
      <c r="N102" s="1" t="n"/>
      <c r="O102" s="1" t="n"/>
      <c r="P102" s="1" t="n"/>
      <c r="Q102" s="18" t="n"/>
      <c r="R102" s="18" t="n"/>
      <c r="S102" s="18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</row>
    <row r="103" ht="15.75" customHeight="1" s="9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8" t="n"/>
      <c r="N103" s="1" t="n"/>
      <c r="O103" s="1" t="n"/>
      <c r="P103" s="1" t="n"/>
      <c r="Q103" s="18" t="n"/>
      <c r="R103" s="18" t="n"/>
      <c r="S103" s="18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</row>
    <row r="104" ht="15.75" customHeight="1" s="9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8" t="n"/>
      <c r="N104" s="1" t="n"/>
      <c r="O104" s="1" t="n"/>
      <c r="P104" s="1" t="n"/>
      <c r="Q104" s="18" t="n"/>
      <c r="R104" s="18" t="n"/>
      <c r="S104" s="18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</row>
    <row r="105" ht="15.75" customHeight="1" s="9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8" t="n"/>
      <c r="N105" s="1" t="n"/>
      <c r="O105" s="1" t="n"/>
      <c r="P105" s="1" t="n"/>
      <c r="Q105" s="18" t="n"/>
      <c r="R105" s="18" t="n"/>
      <c r="S105" s="18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</row>
    <row r="106" ht="15.75" customHeight="1" s="9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8" t="n"/>
      <c r="N106" s="1" t="n"/>
      <c r="O106" s="1" t="n"/>
      <c r="P106" s="1" t="n"/>
      <c r="Q106" s="18" t="n"/>
      <c r="R106" s="18" t="n"/>
      <c r="S106" s="18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</row>
    <row r="107" ht="15.75" customHeight="1" s="9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8" t="n"/>
      <c r="N107" s="1" t="n"/>
      <c r="O107" s="1" t="n"/>
      <c r="P107" s="1" t="n"/>
      <c r="Q107" s="18" t="n"/>
      <c r="R107" s="18" t="n"/>
      <c r="S107" s="18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</row>
    <row r="108" ht="15.75" customHeight="1" s="9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8" t="n"/>
      <c r="N108" s="1" t="n"/>
      <c r="O108" s="1" t="n"/>
      <c r="P108" s="1" t="n"/>
      <c r="Q108" s="18" t="n"/>
      <c r="R108" s="18" t="n"/>
      <c r="S108" s="18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</row>
    <row r="109" ht="15.75" customHeight="1" s="9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8" t="n"/>
      <c r="N109" s="1" t="n"/>
      <c r="O109" s="1" t="n"/>
      <c r="P109" s="1" t="n"/>
      <c r="Q109" s="18" t="n"/>
      <c r="R109" s="18" t="n"/>
      <c r="S109" s="18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</row>
    <row r="110" ht="15.75" customHeight="1" s="9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8" t="n"/>
      <c r="N110" s="1" t="n"/>
      <c r="O110" s="1" t="n"/>
      <c r="P110" s="1" t="n"/>
      <c r="Q110" s="18" t="n"/>
      <c r="R110" s="18" t="n"/>
      <c r="S110" s="18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</row>
    <row r="111" ht="15.75" customHeight="1" s="9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8" t="n"/>
      <c r="N111" s="1" t="n"/>
      <c r="O111" s="1" t="n"/>
      <c r="P111" s="1" t="n"/>
      <c r="Q111" s="18" t="n"/>
      <c r="R111" s="18" t="n"/>
      <c r="S111" s="18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</row>
    <row r="112" ht="15.75" customHeight="1" s="9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8" t="n"/>
      <c r="N112" s="1" t="n"/>
      <c r="O112" s="1" t="n"/>
      <c r="P112" s="1" t="n"/>
      <c r="Q112" s="18" t="n"/>
      <c r="R112" s="18" t="n"/>
      <c r="S112" s="18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</row>
    <row r="113" ht="15.75" customHeight="1" s="9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8" t="n"/>
      <c r="N113" s="1" t="n"/>
      <c r="O113" s="1" t="n"/>
      <c r="P113" s="1" t="n"/>
      <c r="Q113" s="18" t="n"/>
      <c r="R113" s="18" t="n"/>
      <c r="S113" s="18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</row>
    <row r="114" ht="15.75" customHeight="1" s="9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8" t="n"/>
      <c r="N114" s="1" t="n"/>
      <c r="O114" s="1" t="n"/>
      <c r="P114" s="1" t="n"/>
      <c r="Q114" s="18" t="n"/>
      <c r="R114" s="18" t="n"/>
      <c r="S114" s="18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</row>
    <row r="115" ht="15.75" customHeight="1" s="9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8" t="n"/>
      <c r="N115" s="1" t="n"/>
      <c r="O115" s="1" t="n"/>
      <c r="P115" s="1" t="n"/>
      <c r="Q115" s="18" t="n"/>
      <c r="R115" s="18" t="n"/>
      <c r="S115" s="18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</row>
    <row r="116" ht="15.75" customHeight="1" s="9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8" t="n"/>
      <c r="N116" s="1" t="n"/>
      <c r="O116" s="1" t="n"/>
      <c r="P116" s="1" t="n"/>
      <c r="Q116" s="18" t="n"/>
      <c r="R116" s="18" t="n"/>
      <c r="S116" s="18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</row>
    <row r="117" ht="15.75" customHeight="1" s="9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8" t="n"/>
      <c r="N117" s="1" t="n"/>
      <c r="O117" s="1" t="n"/>
      <c r="P117" s="1" t="n"/>
      <c r="Q117" s="18" t="n"/>
      <c r="R117" s="18" t="n"/>
      <c r="S117" s="18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</row>
    <row r="118" ht="15.75" customHeight="1" s="9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8" t="n"/>
      <c r="N118" s="1" t="n"/>
      <c r="O118" s="1" t="n"/>
      <c r="P118" s="1" t="n"/>
      <c r="Q118" s="18" t="n"/>
      <c r="R118" s="18" t="n"/>
      <c r="S118" s="18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</row>
    <row r="119" ht="15.75" customHeight="1" s="9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8" t="n"/>
      <c r="N119" s="1" t="n"/>
      <c r="O119" s="1" t="n"/>
      <c r="P119" s="1" t="n"/>
      <c r="Q119" s="18" t="n"/>
      <c r="R119" s="18" t="n"/>
      <c r="S119" s="18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</row>
    <row r="120" ht="15.75" customHeight="1" s="9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8" t="n"/>
      <c r="N120" s="1" t="n"/>
      <c r="O120" s="1" t="n"/>
      <c r="P120" s="1" t="n"/>
      <c r="Q120" s="18" t="n"/>
      <c r="R120" s="18" t="n"/>
      <c r="S120" s="18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</row>
    <row r="121" ht="15.75" customHeight="1" s="9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8" t="n"/>
      <c r="N121" s="1" t="n"/>
      <c r="O121" s="1" t="n"/>
      <c r="P121" s="1" t="n"/>
      <c r="Q121" s="18" t="n"/>
      <c r="R121" s="18" t="n"/>
      <c r="S121" s="18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</row>
    <row r="122" ht="15.75" customHeight="1" s="9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8" t="n"/>
      <c r="N122" s="1" t="n"/>
      <c r="O122" s="1" t="n"/>
      <c r="P122" s="1" t="n"/>
      <c r="Q122" s="18" t="n"/>
      <c r="R122" s="18" t="n"/>
      <c r="S122" s="18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</row>
    <row r="123" ht="15.75" customHeight="1" s="9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8" t="n"/>
      <c r="N123" s="1" t="n"/>
      <c r="O123" s="1" t="n"/>
      <c r="P123" s="1" t="n"/>
      <c r="Q123" s="18" t="n"/>
      <c r="R123" s="18" t="n"/>
      <c r="S123" s="18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</row>
    <row r="124" ht="15.75" customHeight="1" s="9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8" t="n"/>
      <c r="N124" s="1" t="n"/>
      <c r="O124" s="1" t="n"/>
      <c r="P124" s="1" t="n"/>
      <c r="Q124" s="18" t="n"/>
      <c r="R124" s="18" t="n"/>
      <c r="S124" s="18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</row>
    <row r="125" ht="15.75" customHeight="1" s="9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8" t="n"/>
      <c r="N125" s="1" t="n"/>
      <c r="O125" s="1" t="n"/>
      <c r="P125" s="1" t="n"/>
      <c r="Q125" s="18" t="n"/>
      <c r="R125" s="18" t="n"/>
      <c r="S125" s="18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</row>
    <row r="126" ht="15.75" customHeight="1" s="9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8" t="n"/>
      <c r="N126" s="1" t="n"/>
      <c r="O126" s="1" t="n"/>
      <c r="P126" s="1" t="n"/>
      <c r="Q126" s="18" t="n"/>
      <c r="R126" s="18" t="n"/>
      <c r="S126" s="18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</row>
    <row r="127" ht="15.75" customHeight="1" s="9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8" t="n"/>
      <c r="N127" s="1" t="n"/>
      <c r="O127" s="1" t="n"/>
      <c r="P127" s="1" t="n"/>
      <c r="Q127" s="18" t="n"/>
      <c r="R127" s="18" t="n"/>
      <c r="S127" s="18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</row>
    <row r="128" ht="15.75" customHeight="1" s="9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8" t="n"/>
      <c r="N128" s="1" t="n"/>
      <c r="O128" s="1" t="n"/>
      <c r="P128" s="1" t="n"/>
      <c r="Q128" s="18" t="n"/>
      <c r="R128" s="18" t="n"/>
      <c r="S128" s="18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</row>
    <row r="129" ht="15.75" customHeight="1" s="9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8" t="n"/>
      <c r="N129" s="1" t="n"/>
      <c r="O129" s="1" t="n"/>
      <c r="P129" s="1" t="n"/>
      <c r="Q129" s="18" t="n"/>
      <c r="R129" s="18" t="n"/>
      <c r="S129" s="18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</row>
    <row r="130" ht="15.75" customHeight="1" s="9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8" t="n"/>
      <c r="N130" s="1" t="n"/>
      <c r="O130" s="1" t="n"/>
      <c r="P130" s="1" t="n"/>
      <c r="Q130" s="18" t="n"/>
      <c r="R130" s="18" t="n"/>
      <c r="S130" s="18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</row>
    <row r="131" ht="15.75" customHeight="1" s="9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8" t="n"/>
      <c r="N131" s="1" t="n"/>
      <c r="O131" s="1" t="n"/>
      <c r="P131" s="1" t="n"/>
      <c r="Q131" s="18" t="n"/>
      <c r="R131" s="18" t="n"/>
      <c r="S131" s="18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</row>
    <row r="132" ht="15.75" customHeight="1" s="9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8" t="n"/>
      <c r="N132" s="1" t="n"/>
      <c r="O132" s="1" t="n"/>
      <c r="P132" s="1" t="n"/>
      <c r="Q132" s="18" t="n"/>
      <c r="R132" s="18" t="n"/>
      <c r="S132" s="18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</row>
    <row r="133" ht="15.75" customHeight="1" s="9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8" t="n"/>
      <c r="N133" s="1" t="n"/>
      <c r="O133" s="1" t="n"/>
      <c r="P133" s="1" t="n"/>
      <c r="Q133" s="18" t="n"/>
      <c r="R133" s="18" t="n"/>
      <c r="S133" s="18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</row>
    <row r="134" ht="15.75" customHeight="1" s="9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8" t="n"/>
      <c r="N134" s="1" t="n"/>
      <c r="O134" s="1" t="n"/>
      <c r="P134" s="1" t="n"/>
      <c r="Q134" s="18" t="n"/>
      <c r="R134" s="18" t="n"/>
      <c r="S134" s="18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</row>
    <row r="135" ht="15.75" customHeight="1" s="9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8" t="n"/>
      <c r="N135" s="1" t="n"/>
      <c r="O135" s="1" t="n"/>
      <c r="P135" s="1" t="n"/>
      <c r="Q135" s="18" t="n"/>
      <c r="R135" s="18" t="n"/>
      <c r="S135" s="18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</row>
    <row r="136" ht="15.75" customHeight="1" s="9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8" t="n"/>
      <c r="N136" s="1" t="n"/>
      <c r="O136" s="1" t="n"/>
      <c r="P136" s="1" t="n"/>
      <c r="Q136" s="18" t="n"/>
      <c r="R136" s="18" t="n"/>
      <c r="S136" s="18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</row>
    <row r="137" ht="15.75" customHeight="1" s="9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8" t="n"/>
      <c r="N137" s="1" t="n"/>
      <c r="O137" s="1" t="n"/>
      <c r="P137" s="1" t="n"/>
      <c r="Q137" s="18" t="n"/>
      <c r="R137" s="18" t="n"/>
      <c r="S137" s="18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</row>
    <row r="138" ht="15.75" customHeight="1" s="9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8" t="n"/>
      <c r="N138" s="1" t="n"/>
      <c r="O138" s="1" t="n"/>
      <c r="P138" s="1" t="n"/>
      <c r="Q138" s="18" t="n"/>
      <c r="R138" s="18" t="n"/>
      <c r="S138" s="18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</row>
    <row r="139" ht="15.75" customHeight="1" s="9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8" t="n"/>
      <c r="N139" s="1" t="n"/>
      <c r="O139" s="1" t="n"/>
      <c r="P139" s="1" t="n"/>
      <c r="Q139" s="18" t="n"/>
      <c r="R139" s="18" t="n"/>
      <c r="S139" s="18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</row>
    <row r="140" ht="15.75" customHeight="1" s="9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8" t="n"/>
      <c r="N140" s="1" t="n"/>
      <c r="O140" s="1" t="n"/>
      <c r="P140" s="1" t="n"/>
      <c r="Q140" s="18" t="n"/>
      <c r="R140" s="18" t="n"/>
      <c r="S140" s="18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</row>
    <row r="141" ht="15.75" customHeight="1" s="9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8" t="n"/>
      <c r="N141" s="1" t="n"/>
      <c r="O141" s="1" t="n"/>
      <c r="P141" s="1" t="n"/>
      <c r="Q141" s="18" t="n"/>
      <c r="R141" s="18" t="n"/>
      <c r="S141" s="18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</row>
    <row r="142" ht="15.75" customHeight="1" s="9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8" t="n"/>
      <c r="N142" s="1" t="n"/>
      <c r="O142" s="1" t="n"/>
      <c r="P142" s="1" t="n"/>
      <c r="Q142" s="18" t="n"/>
      <c r="R142" s="18" t="n"/>
      <c r="S142" s="18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</row>
    <row r="143" ht="15.75" customHeight="1" s="9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8" t="n"/>
      <c r="N143" s="1" t="n"/>
      <c r="O143" s="1" t="n"/>
      <c r="P143" s="1" t="n"/>
      <c r="Q143" s="18" t="n"/>
      <c r="R143" s="18" t="n"/>
      <c r="S143" s="18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</row>
    <row r="144" ht="15.75" customHeight="1" s="9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8" t="n"/>
      <c r="N144" s="1" t="n"/>
      <c r="O144" s="1" t="n"/>
      <c r="P144" s="1" t="n"/>
      <c r="Q144" s="18" t="n"/>
      <c r="R144" s="18" t="n"/>
      <c r="S144" s="18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</row>
    <row r="145" ht="15.75" customHeight="1" s="9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8" t="n"/>
      <c r="N145" s="1" t="n"/>
      <c r="O145" s="1" t="n"/>
      <c r="P145" s="1" t="n"/>
      <c r="Q145" s="18" t="n"/>
      <c r="R145" s="18" t="n"/>
      <c r="S145" s="18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</row>
    <row r="146" ht="15.75" customHeight="1" s="9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8" t="n"/>
      <c r="N146" s="1" t="n"/>
      <c r="O146" s="1" t="n"/>
      <c r="P146" s="1" t="n"/>
      <c r="Q146" s="18" t="n"/>
      <c r="R146" s="18" t="n"/>
      <c r="S146" s="18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</row>
    <row r="147" ht="15.75" customHeight="1" s="9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8" t="n"/>
      <c r="N147" s="1" t="n"/>
      <c r="O147" s="1" t="n"/>
      <c r="P147" s="1" t="n"/>
      <c r="Q147" s="18" t="n"/>
      <c r="R147" s="18" t="n"/>
      <c r="S147" s="18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</row>
    <row r="148" ht="15.75" customHeight="1" s="9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8" t="n"/>
      <c r="N148" s="1" t="n"/>
      <c r="O148" s="1" t="n"/>
      <c r="P148" s="1" t="n"/>
      <c r="Q148" s="18" t="n"/>
      <c r="R148" s="18" t="n"/>
      <c r="S148" s="18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</row>
    <row r="149" ht="15.75" customHeight="1" s="9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8" t="n"/>
      <c r="N149" s="1" t="n"/>
      <c r="O149" s="1" t="n"/>
      <c r="P149" s="1" t="n"/>
      <c r="Q149" s="18" t="n"/>
      <c r="R149" s="18" t="n"/>
      <c r="S149" s="18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</row>
    <row r="150" ht="15.75" customHeight="1" s="9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8" t="n"/>
      <c r="N150" s="1" t="n"/>
      <c r="O150" s="1" t="n"/>
      <c r="P150" s="1" t="n"/>
      <c r="Q150" s="18" t="n"/>
      <c r="R150" s="18" t="n"/>
      <c r="S150" s="18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</row>
    <row r="151" ht="15.75" customHeight="1" s="9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8" t="n"/>
      <c r="N151" s="1" t="n"/>
      <c r="O151" s="1" t="n"/>
      <c r="P151" s="1" t="n"/>
      <c r="Q151" s="18" t="n"/>
      <c r="R151" s="18" t="n"/>
      <c r="S151" s="18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</row>
    <row r="152" ht="15.75" customHeight="1" s="9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8" t="n"/>
      <c r="N152" s="1" t="n"/>
      <c r="O152" s="1" t="n"/>
      <c r="P152" s="1" t="n"/>
      <c r="Q152" s="18" t="n"/>
      <c r="R152" s="18" t="n"/>
      <c r="S152" s="18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</row>
    <row r="153" ht="15.75" customHeight="1" s="9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8" t="n"/>
      <c r="N153" s="1" t="n"/>
      <c r="O153" s="1" t="n"/>
      <c r="P153" s="1" t="n"/>
      <c r="Q153" s="18" t="n"/>
      <c r="R153" s="18" t="n"/>
      <c r="S153" s="18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</row>
    <row r="154" ht="15.75" customHeight="1" s="9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8" t="n"/>
      <c r="N154" s="1" t="n"/>
      <c r="O154" s="1" t="n"/>
      <c r="P154" s="1" t="n"/>
      <c r="Q154" s="18" t="n"/>
      <c r="R154" s="18" t="n"/>
      <c r="S154" s="18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</row>
    <row r="155" ht="15.75" customHeight="1" s="9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8" t="n"/>
      <c r="N155" s="1" t="n"/>
      <c r="O155" s="1" t="n"/>
      <c r="P155" s="1" t="n"/>
      <c r="Q155" s="18" t="n"/>
      <c r="R155" s="18" t="n"/>
      <c r="S155" s="18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</row>
    <row r="156" ht="15.75" customHeight="1" s="9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8" t="n"/>
      <c r="N156" s="1" t="n"/>
      <c r="O156" s="1" t="n"/>
      <c r="P156" s="1" t="n"/>
      <c r="Q156" s="18" t="n"/>
      <c r="R156" s="18" t="n"/>
      <c r="S156" s="18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</row>
    <row r="157" ht="15.75" customHeight="1" s="9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8" t="n"/>
      <c r="N157" s="1" t="n"/>
      <c r="O157" s="1" t="n"/>
      <c r="P157" s="1" t="n"/>
      <c r="Q157" s="18" t="n"/>
      <c r="R157" s="18" t="n"/>
      <c r="S157" s="18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</row>
    <row r="158" ht="15.75" customHeight="1" s="9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8" t="n"/>
      <c r="N158" s="1" t="n"/>
      <c r="O158" s="1" t="n"/>
      <c r="P158" s="1" t="n"/>
      <c r="Q158" s="18" t="n"/>
      <c r="R158" s="18" t="n"/>
      <c r="S158" s="18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</row>
    <row r="159" ht="15.75" customHeight="1" s="9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8" t="n"/>
      <c r="N159" s="1" t="n"/>
      <c r="O159" s="1" t="n"/>
      <c r="P159" s="1" t="n"/>
      <c r="Q159" s="18" t="n"/>
      <c r="R159" s="18" t="n"/>
      <c r="S159" s="18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</row>
    <row r="160" ht="15.75" customHeight="1" s="9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8" t="n"/>
      <c r="N160" s="1" t="n"/>
      <c r="O160" s="1" t="n"/>
      <c r="P160" s="1" t="n"/>
      <c r="Q160" s="18" t="n"/>
      <c r="R160" s="18" t="n"/>
      <c r="S160" s="18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</row>
    <row r="161" ht="15.75" customHeight="1" s="9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8" t="n"/>
      <c r="N161" s="1" t="n"/>
      <c r="O161" s="1" t="n"/>
      <c r="P161" s="1" t="n"/>
      <c r="Q161" s="18" t="n"/>
      <c r="R161" s="18" t="n"/>
      <c r="S161" s="18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</row>
    <row r="162" ht="15.75" customHeight="1" s="9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8" t="n"/>
      <c r="N162" s="1" t="n"/>
      <c r="O162" s="1" t="n"/>
      <c r="P162" s="1" t="n"/>
      <c r="Q162" s="18" t="n"/>
      <c r="R162" s="18" t="n"/>
      <c r="S162" s="18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</row>
    <row r="163" ht="15.75" customHeight="1" s="9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8" t="n"/>
      <c r="N163" s="1" t="n"/>
      <c r="O163" s="1" t="n"/>
      <c r="P163" s="1" t="n"/>
      <c r="Q163" s="18" t="n"/>
      <c r="R163" s="18" t="n"/>
      <c r="S163" s="18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</row>
    <row r="164" ht="15.75" customHeight="1" s="9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8" t="n"/>
      <c r="N164" s="1" t="n"/>
      <c r="O164" s="1" t="n"/>
      <c r="P164" s="1" t="n"/>
      <c r="Q164" s="18" t="n"/>
      <c r="R164" s="18" t="n"/>
      <c r="S164" s="18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</row>
    <row r="165" ht="15.75" customHeight="1" s="9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8" t="n"/>
      <c r="N165" s="1" t="n"/>
      <c r="O165" s="1" t="n"/>
      <c r="P165" s="1" t="n"/>
      <c r="Q165" s="18" t="n"/>
      <c r="R165" s="18" t="n"/>
      <c r="S165" s="18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</row>
    <row r="166" ht="15.75" customHeight="1" s="9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8" t="n"/>
      <c r="N166" s="1" t="n"/>
      <c r="O166" s="1" t="n"/>
      <c r="P166" s="1" t="n"/>
      <c r="Q166" s="18" t="n"/>
      <c r="R166" s="18" t="n"/>
      <c r="S166" s="18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</row>
    <row r="167" ht="15.75" customHeight="1" s="9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8" t="n"/>
      <c r="N167" s="1" t="n"/>
      <c r="O167" s="1" t="n"/>
      <c r="P167" s="1" t="n"/>
      <c r="Q167" s="18" t="n"/>
      <c r="R167" s="18" t="n"/>
      <c r="S167" s="18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</row>
    <row r="168" ht="15.75" customHeight="1" s="9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8" t="n"/>
      <c r="N168" s="1" t="n"/>
      <c r="O168" s="1" t="n"/>
      <c r="P168" s="1" t="n"/>
      <c r="Q168" s="18" t="n"/>
      <c r="R168" s="18" t="n"/>
      <c r="S168" s="18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</row>
    <row r="169" ht="15.75" customHeight="1" s="9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8" t="n"/>
      <c r="N169" s="1" t="n"/>
      <c r="O169" s="1" t="n"/>
      <c r="P169" s="1" t="n"/>
      <c r="Q169" s="18" t="n"/>
      <c r="R169" s="18" t="n"/>
      <c r="S169" s="18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</row>
    <row r="170" ht="15.75" customHeight="1" s="9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8" t="n"/>
      <c r="N170" s="1" t="n"/>
      <c r="O170" s="1" t="n"/>
      <c r="P170" s="1" t="n"/>
      <c r="Q170" s="18" t="n"/>
      <c r="R170" s="18" t="n"/>
      <c r="S170" s="18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</row>
    <row r="171" ht="15.75" customHeight="1" s="9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8" t="n"/>
      <c r="N171" s="1" t="n"/>
      <c r="O171" s="1" t="n"/>
      <c r="P171" s="1" t="n"/>
      <c r="Q171" s="18" t="n"/>
      <c r="R171" s="18" t="n"/>
      <c r="S171" s="18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</row>
    <row r="172" ht="15.75" customHeight="1" s="9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8" t="n"/>
      <c r="N172" s="1" t="n"/>
      <c r="O172" s="1" t="n"/>
      <c r="P172" s="1" t="n"/>
      <c r="Q172" s="18" t="n"/>
      <c r="R172" s="18" t="n"/>
      <c r="S172" s="18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</row>
    <row r="173" ht="15.75" customHeight="1" s="9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8" t="n"/>
      <c r="N173" s="1" t="n"/>
      <c r="O173" s="1" t="n"/>
      <c r="P173" s="1" t="n"/>
      <c r="Q173" s="18" t="n"/>
      <c r="R173" s="18" t="n"/>
      <c r="S173" s="18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</row>
    <row r="174" ht="15.75" customHeight="1" s="9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8" t="n"/>
      <c r="N174" s="1" t="n"/>
      <c r="O174" s="1" t="n"/>
      <c r="P174" s="1" t="n"/>
      <c r="Q174" s="18" t="n"/>
      <c r="R174" s="18" t="n"/>
      <c r="S174" s="18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</row>
    <row r="175" ht="15.75" customHeight="1" s="9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8" t="n"/>
      <c r="N175" s="1" t="n"/>
      <c r="O175" s="1" t="n"/>
      <c r="P175" s="1" t="n"/>
      <c r="Q175" s="18" t="n"/>
      <c r="R175" s="18" t="n"/>
      <c r="S175" s="18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</row>
    <row r="176" ht="15.75" customHeight="1" s="9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8" t="n"/>
      <c r="N176" s="1" t="n"/>
      <c r="O176" s="1" t="n"/>
      <c r="P176" s="1" t="n"/>
      <c r="Q176" s="18" t="n"/>
      <c r="R176" s="18" t="n"/>
      <c r="S176" s="18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</row>
    <row r="177" ht="15.75" customHeight="1" s="9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8" t="n"/>
      <c r="N177" s="1" t="n"/>
      <c r="O177" s="1" t="n"/>
      <c r="P177" s="1" t="n"/>
      <c r="Q177" s="18" t="n"/>
      <c r="R177" s="18" t="n"/>
      <c r="S177" s="18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</row>
    <row r="178" ht="15.75" customHeight="1" s="9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8" t="n"/>
      <c r="N178" s="1" t="n"/>
      <c r="O178" s="1" t="n"/>
      <c r="P178" s="1" t="n"/>
      <c r="Q178" s="18" t="n"/>
      <c r="R178" s="18" t="n"/>
      <c r="S178" s="18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</row>
    <row r="179" ht="15.75" customHeight="1" s="9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8" t="n"/>
      <c r="N179" s="1" t="n"/>
      <c r="O179" s="1" t="n"/>
      <c r="P179" s="1" t="n"/>
      <c r="Q179" s="18" t="n"/>
      <c r="R179" s="18" t="n"/>
      <c r="S179" s="18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</row>
    <row r="180" ht="15.75" customHeight="1" s="9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8" t="n"/>
      <c r="N180" s="1" t="n"/>
      <c r="O180" s="1" t="n"/>
      <c r="P180" s="1" t="n"/>
      <c r="Q180" s="18" t="n"/>
      <c r="R180" s="18" t="n"/>
      <c r="S180" s="18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</row>
    <row r="181" ht="15.75" customHeight="1" s="9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8" t="n"/>
      <c r="N181" s="1" t="n"/>
      <c r="O181" s="1" t="n"/>
      <c r="P181" s="1" t="n"/>
      <c r="Q181" s="18" t="n"/>
      <c r="R181" s="18" t="n"/>
      <c r="S181" s="18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</row>
    <row r="182" ht="15.75" customHeight="1" s="9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8" t="n"/>
      <c r="N182" s="1" t="n"/>
      <c r="O182" s="1" t="n"/>
      <c r="P182" s="1" t="n"/>
      <c r="Q182" s="18" t="n"/>
      <c r="R182" s="18" t="n"/>
      <c r="S182" s="18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</row>
    <row r="183" ht="15.75" customHeight="1" s="9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8" t="n"/>
      <c r="N183" s="1" t="n"/>
      <c r="O183" s="1" t="n"/>
      <c r="P183" s="1" t="n"/>
      <c r="Q183" s="18" t="n"/>
      <c r="R183" s="18" t="n"/>
      <c r="S183" s="18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</row>
    <row r="184" ht="15.75" customHeight="1" s="9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8" t="n"/>
      <c r="N184" s="1" t="n"/>
      <c r="O184" s="1" t="n"/>
      <c r="P184" s="1" t="n"/>
      <c r="Q184" s="18" t="n"/>
      <c r="R184" s="18" t="n"/>
      <c r="S184" s="18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</row>
    <row r="185" ht="15.75" customHeight="1" s="9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8" t="n"/>
      <c r="N185" s="1" t="n"/>
      <c r="O185" s="1" t="n"/>
      <c r="P185" s="1" t="n"/>
      <c r="Q185" s="18" t="n"/>
      <c r="R185" s="18" t="n"/>
      <c r="S185" s="18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</row>
    <row r="186" ht="15.75" customHeight="1" s="9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8" t="n"/>
      <c r="N186" s="1" t="n"/>
      <c r="O186" s="1" t="n"/>
      <c r="P186" s="1" t="n"/>
      <c r="Q186" s="18" t="n"/>
      <c r="R186" s="18" t="n"/>
      <c r="S186" s="18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</row>
    <row r="187" ht="15.75" customHeight="1" s="9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8" t="n"/>
      <c r="N187" s="1" t="n"/>
      <c r="O187" s="1" t="n"/>
      <c r="P187" s="1" t="n"/>
      <c r="Q187" s="18" t="n"/>
      <c r="R187" s="18" t="n"/>
      <c r="S187" s="18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</row>
    <row r="188" ht="15.75" customHeight="1" s="9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8" t="n"/>
      <c r="N188" s="1" t="n"/>
      <c r="O188" s="1" t="n"/>
      <c r="P188" s="1" t="n"/>
      <c r="Q188" s="18" t="n"/>
      <c r="R188" s="18" t="n"/>
      <c r="S188" s="18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</row>
    <row r="189" ht="15.75" customHeight="1" s="9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8" t="n"/>
      <c r="N189" s="1" t="n"/>
      <c r="O189" s="1" t="n"/>
      <c r="P189" s="1" t="n"/>
      <c r="Q189" s="18" t="n"/>
      <c r="R189" s="18" t="n"/>
      <c r="S189" s="18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</row>
    <row r="190" ht="15.75" customHeight="1" s="9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8" t="n"/>
      <c r="N190" s="1" t="n"/>
      <c r="O190" s="1" t="n"/>
      <c r="P190" s="1" t="n"/>
      <c r="Q190" s="18" t="n"/>
      <c r="R190" s="18" t="n"/>
      <c r="S190" s="18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</row>
    <row r="191" ht="15.75" customHeight="1" s="9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8" t="n"/>
      <c r="N191" s="1" t="n"/>
      <c r="O191" s="1" t="n"/>
      <c r="P191" s="1" t="n"/>
      <c r="Q191" s="18" t="n"/>
      <c r="R191" s="18" t="n"/>
      <c r="S191" s="18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</row>
    <row r="192" ht="15.75" customHeight="1" s="9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8" t="n"/>
      <c r="N192" s="1" t="n"/>
      <c r="O192" s="1" t="n"/>
      <c r="P192" s="1" t="n"/>
      <c r="Q192" s="18" t="n"/>
      <c r="R192" s="18" t="n"/>
      <c r="S192" s="18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</row>
    <row r="193" ht="15.75" customHeight="1" s="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8" t="n"/>
      <c r="N193" s="1" t="n"/>
      <c r="O193" s="1" t="n"/>
      <c r="P193" s="1" t="n"/>
      <c r="Q193" s="18" t="n"/>
      <c r="R193" s="18" t="n"/>
      <c r="S193" s="18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</row>
    <row r="194" ht="15.75" customHeight="1" s="9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8" t="n"/>
      <c r="N194" s="1" t="n"/>
      <c r="O194" s="1" t="n"/>
      <c r="P194" s="1" t="n"/>
      <c r="Q194" s="18" t="n"/>
      <c r="R194" s="18" t="n"/>
      <c r="S194" s="18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</row>
    <row r="195" ht="15.75" customHeight="1" s="9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8" t="n"/>
      <c r="N195" s="1" t="n"/>
      <c r="O195" s="1" t="n"/>
      <c r="P195" s="1" t="n"/>
      <c r="Q195" s="18" t="n"/>
      <c r="R195" s="18" t="n"/>
      <c r="S195" s="18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</row>
    <row r="196" ht="15.75" customHeight="1" s="9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8" t="n"/>
      <c r="N196" s="1" t="n"/>
      <c r="O196" s="1" t="n"/>
      <c r="P196" s="1" t="n"/>
      <c r="Q196" s="18" t="n"/>
      <c r="R196" s="18" t="n"/>
      <c r="S196" s="18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</row>
    <row r="197" ht="15.75" customHeight="1" s="9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8" t="n"/>
      <c r="N197" s="1" t="n"/>
      <c r="O197" s="1" t="n"/>
      <c r="P197" s="1" t="n"/>
      <c r="Q197" s="18" t="n"/>
      <c r="R197" s="18" t="n"/>
      <c r="S197" s="18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</row>
    <row r="198" ht="15.75" customHeight="1" s="9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8" t="n"/>
      <c r="N198" s="1" t="n"/>
      <c r="O198" s="1" t="n"/>
      <c r="P198" s="1" t="n"/>
      <c r="Q198" s="18" t="n"/>
      <c r="R198" s="18" t="n"/>
      <c r="S198" s="18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</row>
    <row r="199" ht="15.75" customHeight="1" s="9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8" t="n"/>
      <c r="N199" s="1" t="n"/>
      <c r="O199" s="1" t="n"/>
      <c r="P199" s="1" t="n"/>
      <c r="Q199" s="18" t="n"/>
      <c r="R199" s="18" t="n"/>
      <c r="S199" s="18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</row>
    <row r="200" ht="15.75" customHeight="1" s="9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8" t="n"/>
      <c r="N200" s="1" t="n"/>
      <c r="O200" s="1" t="n"/>
      <c r="P200" s="1" t="n"/>
      <c r="Q200" s="18" t="n"/>
      <c r="R200" s="18" t="n"/>
      <c r="S200" s="18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</row>
    <row r="201" ht="15.75" customHeight="1" s="9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8" t="n"/>
      <c r="N201" s="1" t="n"/>
      <c r="O201" s="1" t="n"/>
      <c r="P201" s="1" t="n"/>
      <c r="Q201" s="18" t="n"/>
      <c r="R201" s="18" t="n"/>
      <c r="S201" s="18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</row>
    <row r="202" ht="15.75" customHeight="1" s="9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8" t="n"/>
      <c r="N202" s="1" t="n"/>
      <c r="O202" s="1" t="n"/>
      <c r="P202" s="1" t="n"/>
      <c r="Q202" s="18" t="n"/>
      <c r="R202" s="18" t="n"/>
      <c r="S202" s="18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</row>
    <row r="203" ht="15.75" customHeight="1" s="9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8" t="n"/>
      <c r="N203" s="1" t="n"/>
      <c r="O203" s="1" t="n"/>
      <c r="P203" s="1" t="n"/>
      <c r="Q203" s="18" t="n"/>
      <c r="R203" s="18" t="n"/>
      <c r="S203" s="18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</row>
    <row r="204" ht="15.75" customHeight="1" s="9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8" t="n"/>
      <c r="N204" s="1" t="n"/>
      <c r="O204" s="1" t="n"/>
      <c r="P204" s="1" t="n"/>
      <c r="Q204" s="18" t="n"/>
      <c r="R204" s="18" t="n"/>
      <c r="S204" s="18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</row>
    <row r="205" ht="15.75" customHeight="1" s="9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8" t="n"/>
      <c r="N205" s="1" t="n"/>
      <c r="O205" s="1" t="n"/>
      <c r="P205" s="1" t="n"/>
      <c r="Q205" s="18" t="n"/>
      <c r="R205" s="18" t="n"/>
      <c r="S205" s="18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</row>
    <row r="206" ht="15.75" customHeight="1" s="9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8" t="n"/>
      <c r="N206" s="1" t="n"/>
      <c r="O206" s="1" t="n"/>
      <c r="P206" s="1" t="n"/>
      <c r="Q206" s="18" t="n"/>
      <c r="R206" s="18" t="n"/>
      <c r="S206" s="18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</row>
    <row r="207" ht="15.75" customHeight="1" s="9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8" t="n"/>
      <c r="N207" s="1" t="n"/>
      <c r="O207" s="1" t="n"/>
      <c r="P207" s="1" t="n"/>
      <c r="Q207" s="18" t="n"/>
      <c r="R207" s="18" t="n"/>
      <c r="S207" s="18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</row>
    <row r="208" ht="15.75" customHeight="1" s="9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8" t="n"/>
      <c r="N208" s="1" t="n"/>
      <c r="O208" s="1" t="n"/>
      <c r="P208" s="1" t="n"/>
      <c r="Q208" s="18" t="n"/>
      <c r="R208" s="18" t="n"/>
      <c r="S208" s="18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</row>
    <row r="209" ht="15.75" customHeight="1" s="9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8" t="n"/>
      <c r="N209" s="1" t="n"/>
      <c r="O209" s="1" t="n"/>
      <c r="P209" s="1" t="n"/>
      <c r="Q209" s="18" t="n"/>
      <c r="R209" s="18" t="n"/>
      <c r="S209" s="18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</row>
    <row r="210" ht="15.75" customHeight="1" s="9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8" t="n"/>
      <c r="N210" s="1" t="n"/>
      <c r="O210" s="1" t="n"/>
      <c r="P210" s="1" t="n"/>
      <c r="Q210" s="18" t="n"/>
      <c r="R210" s="18" t="n"/>
      <c r="S210" s="18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</row>
    <row r="211" ht="15.75" customHeight="1" s="9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8" t="n"/>
      <c r="N211" s="1" t="n"/>
      <c r="O211" s="1" t="n"/>
      <c r="P211" s="1" t="n"/>
      <c r="Q211" s="18" t="n"/>
      <c r="R211" s="18" t="n"/>
      <c r="S211" s="18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</row>
    <row r="212" ht="15.75" customHeight="1" s="9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8" t="n"/>
      <c r="N212" s="1" t="n"/>
      <c r="O212" s="1" t="n"/>
      <c r="P212" s="1" t="n"/>
      <c r="Q212" s="18" t="n"/>
      <c r="R212" s="18" t="n"/>
      <c r="S212" s="18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</row>
    <row r="213" ht="15.75" customHeight="1" s="9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8" t="n"/>
      <c r="N213" s="1" t="n"/>
      <c r="O213" s="1" t="n"/>
      <c r="P213" s="1" t="n"/>
      <c r="Q213" s="18" t="n"/>
      <c r="R213" s="18" t="n"/>
      <c r="S213" s="18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</row>
    <row r="214" ht="15.75" customHeight="1" s="9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8" t="n"/>
      <c r="N214" s="1" t="n"/>
      <c r="O214" s="1" t="n"/>
      <c r="P214" s="1" t="n"/>
      <c r="Q214" s="18" t="n"/>
      <c r="R214" s="18" t="n"/>
      <c r="S214" s="18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</row>
    <row r="215" ht="15.75" customHeight="1" s="9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8" t="n"/>
      <c r="N215" s="1" t="n"/>
      <c r="O215" s="1" t="n"/>
      <c r="P215" s="1" t="n"/>
      <c r="Q215" s="18" t="n"/>
      <c r="R215" s="18" t="n"/>
      <c r="S215" s="18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</row>
    <row r="216" ht="15.75" customHeight="1" s="9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8" t="n"/>
      <c r="N216" s="1" t="n"/>
      <c r="O216" s="1" t="n"/>
      <c r="P216" s="1" t="n"/>
      <c r="Q216" s="18" t="n"/>
      <c r="R216" s="18" t="n"/>
      <c r="S216" s="18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</row>
    <row r="217" ht="15.75" customHeight="1" s="9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8" t="n"/>
      <c r="N217" s="1" t="n"/>
      <c r="O217" s="1" t="n"/>
      <c r="P217" s="1" t="n"/>
      <c r="Q217" s="18" t="n"/>
      <c r="R217" s="18" t="n"/>
      <c r="S217" s="18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</row>
    <row r="218" ht="15.75" customHeight="1" s="9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8" t="n"/>
      <c r="N218" s="1" t="n"/>
      <c r="O218" s="1" t="n"/>
      <c r="P218" s="1" t="n"/>
      <c r="Q218" s="18" t="n"/>
      <c r="R218" s="18" t="n"/>
      <c r="S218" s="18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</row>
    <row r="219" ht="15.75" customHeight="1" s="9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8" t="n"/>
      <c r="N219" s="1" t="n"/>
      <c r="O219" s="1" t="n"/>
      <c r="P219" s="1" t="n"/>
      <c r="Q219" s="18" t="n"/>
      <c r="R219" s="18" t="n"/>
      <c r="S219" s="18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</row>
    <row r="220" ht="15.75" customHeight="1" s="9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8" t="n"/>
      <c r="N220" s="1" t="n"/>
      <c r="O220" s="1" t="n"/>
      <c r="P220" s="1" t="n"/>
      <c r="Q220" s="18" t="n"/>
      <c r="R220" s="18" t="n"/>
      <c r="S220" s="18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</row>
    <row r="221" ht="15.75" customHeight="1" s="9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</row>
    <row r="222" ht="15.75" customHeight="1" s="9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</row>
    <row r="223" ht="15.75" customHeight="1" s="9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</row>
    <row r="224" ht="15.75" customHeight="1" s="9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</row>
    <row r="225" ht="15.75" customHeight="1" s="9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</row>
    <row r="226" ht="15.75" customHeight="1" s="9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</row>
    <row r="227" ht="15.75" customHeight="1" s="9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</row>
    <row r="228" ht="15.75" customHeight="1" s="9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</row>
    <row r="229" ht="15.75" customHeight="1" s="9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</row>
    <row r="230" ht="15.75" customHeight="1" s="9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</row>
    <row r="231" ht="15.75" customHeight="1" s="9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</row>
    <row r="232" ht="15.75" customHeight="1" s="9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</row>
    <row r="233" ht="15.75" customHeight="1" s="9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</row>
    <row r="234" ht="15.75" customHeight="1" s="9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</row>
    <row r="235" ht="15.75" customHeight="1" s="9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</row>
    <row r="236" ht="15.75" customHeight="1" s="9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</row>
    <row r="237" ht="15.75" customHeight="1" s="9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</row>
    <row r="238" ht="15.75" customHeight="1" s="9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</row>
    <row r="239" ht="15.75" customHeight="1" s="9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</row>
    <row r="240" ht="15.75" customHeight="1" s="9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</row>
    <row r="241" ht="15.75" customHeight="1" s="9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</row>
    <row r="242" ht="15.75" customHeight="1" s="9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</row>
    <row r="243" ht="15.75" customHeight="1" s="9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</row>
    <row r="244" ht="15.75" customHeight="1" s="9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</row>
    <row r="245" ht="15.75" customHeight="1" s="9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</row>
    <row r="246" ht="15.75" customHeight="1" s="9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</row>
    <row r="247" ht="15.75" customHeight="1" s="9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</row>
    <row r="248" ht="15.75" customHeight="1" s="9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</row>
    <row r="249" ht="15.75" customHeight="1" s="9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</row>
    <row r="250" ht="15.75" customHeight="1" s="9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</row>
    <row r="251" ht="15.75" customHeight="1" s="9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</row>
    <row r="252" ht="15.75" customHeight="1" s="9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</row>
    <row r="253" ht="15.75" customHeight="1" s="9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</row>
    <row r="254" ht="15.75" customHeight="1" s="9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</row>
    <row r="255" ht="15.75" customHeight="1" s="9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</row>
    <row r="256" ht="15.75" customHeight="1" s="9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</row>
    <row r="257" ht="15.75" customHeight="1" s="9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</row>
    <row r="258" ht="15.75" customHeight="1" s="9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</row>
    <row r="259" ht="15.75" customHeight="1" s="9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</row>
    <row r="260" ht="15.75" customHeight="1" s="9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</row>
    <row r="261" ht="15.75" customHeight="1" s="9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</row>
    <row r="262" ht="15.75" customHeight="1" s="9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</row>
    <row r="263" ht="15.75" customHeight="1" s="9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</row>
    <row r="264" ht="15.75" customHeight="1" s="9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</row>
    <row r="265" ht="15.75" customHeight="1" s="9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</row>
    <row r="266" ht="15.75" customHeight="1" s="9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</row>
    <row r="267" ht="15.75" customHeight="1" s="9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</row>
    <row r="268" ht="15.75" customHeight="1" s="9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</row>
    <row r="269" ht="15.75" customHeight="1" s="9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</row>
    <row r="270" ht="15.75" customHeight="1" s="9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</row>
    <row r="271" ht="15.75" customHeight="1" s="9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</row>
    <row r="272" ht="15.75" customHeight="1" s="9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</row>
    <row r="273" ht="15.75" customHeight="1" s="9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</row>
    <row r="274" ht="15.75" customHeight="1" s="9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</row>
    <row r="275" ht="15.75" customHeight="1" s="9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</row>
    <row r="276" ht="15.75" customHeight="1" s="9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</row>
    <row r="277" ht="15.75" customHeight="1" s="9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</row>
    <row r="278" ht="15.75" customHeight="1" s="9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</row>
    <row r="279" ht="15.75" customHeight="1" s="9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</row>
    <row r="280" ht="15.75" customHeight="1" s="9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</row>
    <row r="281" ht="15.75" customHeight="1" s="9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</row>
    <row r="282" ht="15.75" customHeight="1" s="9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</row>
    <row r="283" ht="15.75" customHeight="1" s="9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</row>
    <row r="284" ht="15.75" customHeight="1" s="9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</row>
    <row r="285" ht="15.75" customHeight="1" s="9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</row>
    <row r="286" ht="15.75" customHeight="1" s="9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</row>
    <row r="287" ht="15.75" customHeight="1" s="9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</row>
    <row r="288" ht="15.75" customHeight="1" s="9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</row>
    <row r="289" ht="15.75" customHeight="1" s="9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</row>
    <row r="290" ht="15.75" customHeight="1" s="9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</row>
    <row r="291" ht="15.75" customHeight="1" s="9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</row>
    <row r="292" ht="15.75" customHeight="1" s="9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</row>
    <row r="293" ht="15.75" customHeight="1" s="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</row>
    <row r="294" ht="15.75" customHeight="1" s="9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</row>
    <row r="295" ht="15.75" customHeight="1" s="9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</row>
    <row r="296" ht="15.75" customHeight="1" s="9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</row>
    <row r="297" ht="15.75" customHeight="1" s="9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</row>
    <row r="298" ht="15.75" customHeight="1" s="9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</row>
    <row r="299" ht="15.75" customHeight="1" s="9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</row>
    <row r="300" ht="15.75" customHeight="1" s="9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</row>
    <row r="301" ht="15.75" customHeight="1" s="9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</row>
    <row r="302" ht="15.75" customHeight="1" s="9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</row>
    <row r="303" ht="15.75" customHeight="1" s="9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</row>
    <row r="304" ht="15.75" customHeight="1" s="9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</row>
    <row r="305" ht="15.75" customHeight="1" s="9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</row>
    <row r="306" ht="15.75" customHeight="1" s="9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</row>
    <row r="307" ht="15.75" customHeight="1" s="9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</row>
    <row r="308" ht="15.75" customHeight="1" s="9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</row>
    <row r="309" ht="15.75" customHeight="1" s="9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</row>
    <row r="310" ht="15.75" customHeight="1" s="9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</row>
    <row r="311" ht="15.75" customHeight="1" s="9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</row>
    <row r="312" ht="15.75" customHeight="1" s="9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</row>
    <row r="313" ht="15.75" customHeight="1" s="9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</row>
    <row r="314" ht="15.75" customHeight="1" s="9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</row>
    <row r="315" ht="15.75" customHeight="1" s="9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</row>
    <row r="316" ht="15.75" customHeight="1" s="9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</row>
    <row r="317" ht="15.75" customHeight="1" s="9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</row>
    <row r="318" ht="15.75" customHeight="1" s="9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</row>
    <row r="319" ht="15.75" customHeight="1" s="9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</row>
    <row r="320" ht="15.75" customHeight="1" s="9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</row>
    <row r="321" ht="15.75" customHeight="1" s="9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</row>
    <row r="322" ht="15.75" customHeight="1" s="9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</row>
    <row r="323" ht="15.75" customHeight="1" s="9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</row>
    <row r="324" ht="15.75" customHeight="1" s="9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</row>
    <row r="325" ht="15.75" customHeight="1" s="9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</row>
    <row r="326" ht="15.75" customHeight="1" s="9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</row>
    <row r="327" ht="15.75" customHeight="1" s="9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</row>
    <row r="328" ht="15.75" customHeight="1" s="9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</row>
    <row r="329" ht="15.75" customHeight="1" s="9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</row>
    <row r="330" ht="15.75" customHeight="1" s="9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</row>
    <row r="331" ht="15.75" customHeight="1" s="9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</row>
    <row r="332" ht="15.75" customHeight="1" s="9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</row>
    <row r="333" ht="15.75" customHeight="1" s="9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</row>
    <row r="334" ht="15.75" customHeight="1" s="9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</row>
    <row r="335" ht="15.75" customHeight="1" s="9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</row>
    <row r="336" ht="15.75" customHeight="1" s="9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</row>
    <row r="337" ht="15.75" customHeight="1" s="9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</row>
    <row r="338" ht="15.75" customHeight="1" s="9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</row>
    <row r="339" ht="15.75" customHeight="1" s="9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</row>
    <row r="340" ht="15.75" customHeight="1" s="9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</row>
    <row r="341" ht="15.75" customHeight="1" s="9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</row>
    <row r="342" ht="15.75" customHeight="1" s="9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</row>
    <row r="343" ht="15.75" customHeight="1" s="9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</row>
    <row r="344" ht="15.75" customHeight="1" s="9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</row>
    <row r="345" ht="15.75" customHeight="1" s="9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</row>
    <row r="346" ht="15.75" customHeight="1" s="9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</row>
    <row r="347" ht="15.75" customHeight="1" s="9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</row>
    <row r="348" ht="15.75" customHeight="1" s="9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</row>
    <row r="349" ht="15.75" customHeight="1" s="9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</row>
    <row r="350" ht="15.75" customHeight="1" s="9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</row>
    <row r="351" ht="15.75" customHeight="1" s="9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</row>
    <row r="352" ht="15.75" customHeight="1" s="9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</row>
    <row r="353" ht="15.75" customHeight="1" s="9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</row>
    <row r="354" ht="15.75" customHeight="1" s="9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</row>
    <row r="355" ht="15.75" customHeight="1" s="9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</row>
    <row r="356" ht="15.75" customHeight="1" s="9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</row>
    <row r="357" ht="15.75" customHeight="1" s="9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</row>
    <row r="358" ht="15.75" customHeight="1" s="9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</row>
    <row r="359" ht="15.75" customHeight="1" s="9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</row>
    <row r="360" ht="15.75" customHeight="1" s="9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</row>
    <row r="361" ht="15.75" customHeight="1" s="9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</row>
    <row r="362" ht="15.75" customHeight="1" s="9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</row>
    <row r="363" ht="15.75" customHeight="1" s="9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</row>
    <row r="364" ht="15.75" customHeight="1" s="9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</row>
    <row r="365" ht="15.75" customHeight="1" s="9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</row>
    <row r="366" ht="15.75" customHeight="1" s="9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</row>
    <row r="367" ht="15.75" customHeight="1" s="9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</row>
    <row r="368" ht="15.75" customHeight="1" s="9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</row>
    <row r="369" ht="15.75" customHeight="1" s="9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</row>
    <row r="370" ht="15.75" customHeight="1" s="9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</row>
    <row r="371" ht="15.75" customHeight="1" s="9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</row>
    <row r="372" ht="15.75" customHeight="1" s="9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</row>
    <row r="373" ht="15.75" customHeight="1" s="9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</row>
    <row r="374" ht="15.75" customHeight="1" s="9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</row>
    <row r="375" ht="15.75" customHeight="1" s="9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</row>
    <row r="376" ht="15.75" customHeight="1" s="9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</row>
    <row r="377" ht="15.75" customHeight="1" s="9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</row>
    <row r="378" ht="15.75" customHeight="1" s="9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</row>
    <row r="379" ht="15.75" customHeight="1" s="9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</row>
    <row r="380" ht="15.75" customHeight="1" s="9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</row>
    <row r="381" ht="15.75" customHeight="1" s="9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</row>
    <row r="382" ht="15.75" customHeight="1" s="9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</row>
    <row r="383" ht="15.75" customHeight="1" s="9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</row>
    <row r="384" ht="15.75" customHeight="1" s="9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</row>
    <row r="385" ht="15.75" customHeight="1" s="9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</row>
    <row r="386" ht="15.75" customHeight="1" s="9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</row>
    <row r="387" ht="15.75" customHeight="1" s="9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</row>
    <row r="388" ht="15.75" customHeight="1" s="9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</row>
    <row r="389" ht="15.75" customHeight="1" s="9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</row>
    <row r="390" ht="15.75" customHeight="1" s="9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</row>
    <row r="391" ht="15.75" customHeight="1" s="9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</row>
    <row r="392" ht="15.75" customHeight="1" s="9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</row>
    <row r="393" ht="15.75" customHeight="1" s="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</row>
    <row r="394" ht="15.75" customHeight="1" s="9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</row>
    <row r="395" ht="15.75" customHeight="1" s="9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</row>
    <row r="396" ht="15.75" customHeight="1" s="9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</row>
    <row r="397" ht="15.75" customHeight="1" s="9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</row>
    <row r="398" ht="15.75" customHeight="1" s="9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</row>
    <row r="399" ht="15.75" customHeight="1" s="9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</row>
    <row r="400" ht="15.75" customHeight="1" s="9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</row>
    <row r="401" ht="15.75" customHeight="1" s="9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</row>
    <row r="402" ht="15.75" customHeight="1" s="9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</row>
    <row r="403" ht="15.75" customHeight="1" s="9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</row>
    <row r="404" ht="15.75" customHeight="1" s="9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</row>
    <row r="405" ht="15.75" customHeight="1" s="9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</row>
    <row r="406" ht="15.75" customHeight="1" s="9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</row>
    <row r="407" ht="15.75" customHeight="1" s="9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</row>
    <row r="408" ht="15.75" customHeight="1" s="9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</row>
    <row r="409" ht="15.75" customHeight="1" s="9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</row>
    <row r="410" ht="15.75" customHeight="1" s="9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</row>
    <row r="411" ht="15.75" customHeight="1" s="9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</row>
    <row r="412" ht="15.75" customHeight="1" s="9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</row>
    <row r="413" ht="15.75" customHeight="1" s="9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</row>
    <row r="414" ht="15.75" customHeight="1" s="9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</row>
    <row r="415" ht="15.75" customHeight="1" s="9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</row>
    <row r="416" ht="15.75" customHeight="1" s="9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</row>
    <row r="417" ht="15.75" customHeight="1" s="9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</row>
    <row r="418" ht="15.75" customHeight="1" s="9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</row>
    <row r="419" ht="15.75" customHeight="1" s="9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</row>
    <row r="420" ht="15.75" customHeight="1" s="9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</row>
    <row r="421" ht="15.75" customHeight="1" s="9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</row>
    <row r="422" ht="15.75" customHeight="1" s="9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</row>
    <row r="423" ht="15.75" customHeight="1" s="9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</row>
    <row r="424" ht="15.75" customHeight="1" s="9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</row>
    <row r="425" ht="15.75" customHeight="1" s="9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</row>
    <row r="426" ht="15.75" customHeight="1" s="9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</row>
    <row r="427" ht="15.75" customHeight="1" s="9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</row>
    <row r="428" ht="15.75" customHeight="1" s="9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</row>
    <row r="429" ht="15.75" customHeight="1" s="9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</row>
    <row r="430" ht="15.75" customHeight="1" s="9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</row>
    <row r="431" ht="15.75" customHeight="1" s="9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</row>
    <row r="432" ht="15.75" customHeight="1" s="9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</row>
    <row r="433" ht="15.75" customHeight="1" s="9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</row>
    <row r="434" ht="15.75" customHeight="1" s="9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</row>
    <row r="435" ht="15.75" customHeight="1" s="9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</row>
    <row r="436" ht="15.75" customHeight="1" s="9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</row>
    <row r="437" ht="15.75" customHeight="1" s="9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</row>
    <row r="438" ht="15.75" customHeight="1" s="9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</row>
    <row r="439" ht="15.75" customHeight="1" s="9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</row>
    <row r="440" ht="15.75" customHeight="1" s="9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</row>
    <row r="441" ht="15.75" customHeight="1" s="9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</row>
    <row r="442" ht="15.75" customHeight="1" s="9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</row>
    <row r="443" ht="15.75" customHeight="1" s="9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</row>
    <row r="444" ht="15.75" customHeight="1" s="9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</row>
    <row r="445" ht="15.75" customHeight="1" s="9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</row>
    <row r="446" ht="15.75" customHeight="1" s="9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</row>
    <row r="447" ht="15.75" customHeight="1" s="9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</row>
    <row r="448" ht="15.75" customHeight="1" s="9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</row>
    <row r="449" ht="15.75" customHeight="1" s="9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</row>
    <row r="450" ht="15.75" customHeight="1" s="9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</row>
    <row r="451" ht="15.75" customHeight="1" s="9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</row>
    <row r="452" ht="15.75" customHeight="1" s="9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</row>
    <row r="453" ht="15.75" customHeight="1" s="9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</row>
    <row r="454" ht="15.75" customHeight="1" s="9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</row>
    <row r="455" ht="15.75" customHeight="1" s="9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</row>
    <row r="456" ht="15.75" customHeight="1" s="9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</row>
    <row r="457" ht="15.75" customHeight="1" s="9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</row>
    <row r="458" ht="15.75" customHeight="1" s="9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</row>
    <row r="459" ht="15.75" customHeight="1" s="9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</row>
    <row r="460" ht="15.75" customHeight="1" s="9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</row>
    <row r="461" ht="15.75" customHeight="1" s="9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</row>
    <row r="462" ht="15.75" customHeight="1" s="9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</row>
    <row r="463" ht="15.75" customHeight="1" s="9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</row>
    <row r="464" ht="15.75" customHeight="1" s="9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</row>
    <row r="465" ht="15.75" customHeight="1" s="9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</row>
    <row r="466" ht="15.75" customHeight="1" s="9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</row>
    <row r="467" ht="15.75" customHeight="1" s="9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</row>
    <row r="468" ht="15.75" customHeight="1" s="9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</row>
    <row r="469" ht="15.75" customHeight="1" s="9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</row>
    <row r="470" ht="15.75" customHeight="1" s="9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</row>
    <row r="471" ht="15.75" customHeight="1" s="9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</row>
    <row r="472" ht="15.75" customHeight="1" s="9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</row>
    <row r="473" ht="15.75" customHeight="1" s="9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</row>
    <row r="474" ht="15.75" customHeight="1" s="9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</row>
    <row r="475" ht="15.75" customHeight="1" s="9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</row>
    <row r="476" ht="15.75" customHeight="1" s="9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</row>
    <row r="477" ht="15.75" customHeight="1" s="9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</row>
    <row r="478" ht="15.75" customHeight="1" s="9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</row>
    <row r="479" ht="15.75" customHeight="1" s="9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</row>
    <row r="480" ht="15.75" customHeight="1" s="9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</row>
    <row r="481" ht="15.75" customHeight="1" s="9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</row>
    <row r="482" ht="15.75" customHeight="1" s="9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</row>
    <row r="483" ht="15.75" customHeight="1" s="9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</row>
    <row r="484" ht="15.75" customHeight="1" s="9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</row>
    <row r="485" ht="15.75" customHeight="1" s="9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</row>
    <row r="486" ht="15.75" customHeight="1" s="9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</row>
    <row r="487" ht="15.75" customHeight="1" s="9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</row>
    <row r="488" ht="15.75" customHeight="1" s="9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</row>
    <row r="489" ht="15.75" customHeight="1" s="9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</row>
    <row r="490" ht="15.75" customHeight="1" s="9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</row>
    <row r="491" ht="15.75" customHeight="1" s="9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</row>
    <row r="492" ht="15.75" customHeight="1" s="9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</row>
    <row r="493" ht="15.75" customHeight="1" s="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</row>
    <row r="494" ht="15.75" customHeight="1" s="9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</row>
    <row r="495" ht="15.75" customHeight="1" s="9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</row>
    <row r="496" ht="15.75" customHeight="1" s="9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</row>
    <row r="497" ht="15.75" customHeight="1" s="9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</row>
    <row r="498" ht="15.75" customHeight="1" s="9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</row>
    <row r="499" ht="15.75" customHeight="1" s="9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</row>
    <row r="500" ht="15.75" customHeight="1" s="9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</row>
    <row r="501" ht="15.75" customHeight="1" s="9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</row>
    <row r="502" ht="15.75" customHeight="1" s="9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</row>
    <row r="503" ht="15.75" customHeight="1" s="9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</row>
    <row r="504" ht="15.75" customHeight="1" s="9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</row>
    <row r="505" ht="15.75" customHeight="1" s="9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</row>
    <row r="506" ht="15.75" customHeight="1" s="9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</row>
    <row r="507" ht="15.75" customHeight="1" s="9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</row>
    <row r="508" ht="15.75" customHeight="1" s="9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</row>
    <row r="509" ht="15.75" customHeight="1" s="9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</row>
    <row r="510" ht="15.75" customHeight="1" s="9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</row>
    <row r="511" ht="15.75" customHeight="1" s="9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</row>
    <row r="512" ht="15.75" customHeight="1" s="9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</row>
    <row r="513" ht="15.75" customHeight="1" s="9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</row>
    <row r="514" ht="15.75" customHeight="1" s="9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</row>
    <row r="515" ht="15.75" customHeight="1" s="9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</row>
    <row r="516" ht="15.75" customHeight="1" s="9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</row>
    <row r="517" ht="15.75" customHeight="1" s="9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</row>
    <row r="518" ht="15.75" customHeight="1" s="9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</row>
    <row r="519" ht="15.75" customHeight="1" s="9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</row>
    <row r="520" ht="15.75" customHeight="1" s="9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</row>
    <row r="521" ht="15.75" customHeight="1" s="9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</row>
    <row r="522" ht="15.75" customHeight="1" s="9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</row>
    <row r="523" ht="15.75" customHeight="1" s="9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</row>
    <row r="524" ht="15.75" customHeight="1" s="9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</row>
    <row r="525" ht="15.75" customHeight="1" s="9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</row>
    <row r="526" ht="15.75" customHeight="1" s="9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</row>
    <row r="527" ht="15.75" customHeight="1" s="9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</row>
    <row r="528" ht="15.75" customHeight="1" s="9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</row>
    <row r="529" ht="15.75" customHeight="1" s="9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</row>
    <row r="530" ht="15.75" customHeight="1" s="9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</row>
    <row r="531" ht="15.75" customHeight="1" s="9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</row>
    <row r="532" ht="15.75" customHeight="1" s="9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</row>
    <row r="533" ht="15.75" customHeight="1" s="9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</row>
    <row r="534" ht="15.75" customHeight="1" s="9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</row>
    <row r="535" ht="15.75" customHeight="1" s="9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</row>
    <row r="536" ht="15.75" customHeight="1" s="9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</row>
    <row r="537" ht="15.75" customHeight="1" s="9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</row>
    <row r="538" ht="15.75" customHeight="1" s="9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</row>
    <row r="539" ht="15.75" customHeight="1" s="9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</row>
    <row r="540" ht="15.75" customHeight="1" s="9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</row>
    <row r="541" ht="15.75" customHeight="1" s="9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</row>
    <row r="542" ht="15.75" customHeight="1" s="9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</row>
    <row r="543" ht="15.75" customHeight="1" s="9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</row>
    <row r="544" ht="15.75" customHeight="1" s="9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</row>
    <row r="545" ht="15.75" customHeight="1" s="9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</row>
    <row r="546" ht="15.75" customHeight="1" s="9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</row>
    <row r="547" ht="15.75" customHeight="1" s="9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</row>
    <row r="548" ht="15.75" customHeight="1" s="9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</row>
    <row r="549" ht="15.75" customHeight="1" s="9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</row>
    <row r="550" ht="15.75" customHeight="1" s="9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</row>
    <row r="551" ht="15.75" customHeight="1" s="9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</row>
    <row r="552" ht="15.75" customHeight="1" s="9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</row>
    <row r="553" ht="15.75" customHeight="1" s="9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</row>
    <row r="554" ht="15.75" customHeight="1" s="9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</row>
    <row r="555" ht="15.75" customHeight="1" s="9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</row>
    <row r="556" ht="15.75" customHeight="1" s="9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</row>
    <row r="557" ht="15.75" customHeight="1" s="9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</row>
    <row r="558" ht="15.75" customHeight="1" s="9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</row>
    <row r="559" ht="15.75" customHeight="1" s="9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</row>
    <row r="560" ht="15.75" customHeight="1" s="9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</row>
    <row r="561" ht="15.75" customHeight="1" s="9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</row>
    <row r="562" ht="15.75" customHeight="1" s="9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</row>
    <row r="563" ht="15.75" customHeight="1" s="9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</row>
    <row r="564" ht="15.75" customHeight="1" s="9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</row>
    <row r="565" ht="15.75" customHeight="1" s="9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</row>
    <row r="566" ht="15.75" customHeight="1" s="9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</row>
    <row r="567" ht="15.75" customHeight="1" s="9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</row>
    <row r="568" ht="15.75" customHeight="1" s="9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</row>
    <row r="569" ht="15.75" customHeight="1" s="9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</row>
    <row r="570" ht="15.75" customHeight="1" s="9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</row>
    <row r="571" ht="15.75" customHeight="1" s="9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</row>
    <row r="572" ht="15.75" customHeight="1" s="9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</row>
    <row r="573" ht="15.75" customHeight="1" s="9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</row>
    <row r="574" ht="15.75" customHeight="1" s="9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</row>
    <row r="575" ht="15.75" customHeight="1" s="9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</row>
    <row r="576" ht="15.75" customHeight="1" s="9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</row>
    <row r="577" ht="15.75" customHeight="1" s="9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</row>
    <row r="578" ht="15.75" customHeight="1" s="9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</row>
    <row r="579" ht="15.75" customHeight="1" s="9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</row>
    <row r="580" ht="15.75" customHeight="1" s="9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</row>
    <row r="581" ht="15.75" customHeight="1" s="9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</row>
    <row r="582" ht="15.75" customHeight="1" s="9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</row>
    <row r="583" ht="15.75" customHeight="1" s="9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</row>
    <row r="584" ht="15.75" customHeight="1" s="9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</row>
    <row r="585" ht="15.75" customHeight="1" s="9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</row>
    <row r="586" ht="15.75" customHeight="1" s="9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</row>
    <row r="587" ht="15.75" customHeight="1" s="9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</row>
    <row r="588" ht="15.75" customHeight="1" s="9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</row>
    <row r="589" ht="15.75" customHeight="1" s="9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</row>
    <row r="590" ht="15.75" customHeight="1" s="9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</row>
    <row r="591" ht="15.75" customHeight="1" s="9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</row>
    <row r="592" ht="15.75" customHeight="1" s="9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</row>
    <row r="593" ht="15.75" customHeight="1" s="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</row>
    <row r="594" ht="15.75" customHeight="1" s="9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</row>
    <row r="595" ht="15.75" customHeight="1" s="9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</row>
    <row r="596" ht="15.75" customHeight="1" s="9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</row>
    <row r="597" ht="15.75" customHeight="1" s="9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</row>
    <row r="598" ht="15.75" customHeight="1" s="9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</row>
    <row r="599" ht="15.75" customHeight="1" s="9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</row>
    <row r="600" ht="15.75" customHeight="1" s="9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</row>
    <row r="601" ht="15.75" customHeight="1" s="9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</row>
    <row r="602" ht="15.75" customHeight="1" s="9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</row>
    <row r="603" ht="15.75" customHeight="1" s="9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</row>
    <row r="604" ht="15.75" customHeight="1" s="9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</row>
    <row r="605" ht="15.75" customHeight="1" s="9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</row>
    <row r="606" ht="15.75" customHeight="1" s="9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</row>
    <row r="607" ht="15.75" customHeight="1" s="9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</row>
    <row r="608" ht="15.75" customHeight="1" s="9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</row>
    <row r="609" ht="15.75" customHeight="1" s="9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</row>
    <row r="610" ht="15.75" customHeight="1" s="9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</row>
    <row r="611" ht="15.75" customHeight="1" s="9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</row>
    <row r="612" ht="15.75" customHeight="1" s="9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</row>
    <row r="613" ht="15.75" customHeight="1" s="9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</row>
    <row r="614" ht="15.75" customHeight="1" s="9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</row>
    <row r="615" ht="15.75" customHeight="1" s="9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</row>
    <row r="616" ht="15.75" customHeight="1" s="9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</row>
    <row r="617" ht="15.75" customHeight="1" s="9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</row>
    <row r="618" ht="15.75" customHeight="1" s="9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</row>
    <row r="619" ht="15.75" customHeight="1" s="9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</row>
    <row r="620" ht="15.75" customHeight="1" s="9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</row>
    <row r="621" ht="15.75" customHeight="1" s="9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</row>
    <row r="622" ht="15.75" customHeight="1" s="9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</row>
    <row r="623" ht="15.75" customHeight="1" s="9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</row>
    <row r="624" ht="15.75" customHeight="1" s="9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</row>
    <row r="625" ht="15.75" customHeight="1" s="9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</row>
    <row r="626" ht="15.75" customHeight="1" s="9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</row>
    <row r="627" ht="15.75" customHeight="1" s="9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</row>
    <row r="628" ht="15.75" customHeight="1" s="9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</row>
    <row r="629" ht="15.75" customHeight="1" s="9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</row>
    <row r="630" ht="15.75" customHeight="1" s="9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</row>
    <row r="631" ht="15.75" customHeight="1" s="9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</row>
    <row r="632" ht="15.75" customHeight="1" s="9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</row>
    <row r="633" ht="15.75" customHeight="1" s="9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</row>
    <row r="634" ht="15.75" customHeight="1" s="9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</row>
    <row r="635" ht="15.75" customHeight="1" s="9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</row>
    <row r="636" ht="15.75" customHeight="1" s="9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</row>
    <row r="637" ht="15.75" customHeight="1" s="9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</row>
    <row r="638" ht="15.75" customHeight="1" s="9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</row>
    <row r="639" ht="15.75" customHeight="1" s="9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</row>
    <row r="640" ht="15.75" customHeight="1" s="9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</row>
    <row r="641" ht="15.75" customHeight="1" s="9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</row>
    <row r="642" ht="15.75" customHeight="1" s="9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</row>
    <row r="643" ht="15.75" customHeight="1" s="9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</row>
    <row r="644" ht="15.75" customHeight="1" s="9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</row>
    <row r="645" ht="15.75" customHeight="1" s="9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</row>
    <row r="646" ht="15.75" customHeight="1" s="9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</row>
    <row r="647" ht="15.75" customHeight="1" s="9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</row>
    <row r="648" ht="15.75" customHeight="1" s="9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</row>
    <row r="649" ht="15.75" customHeight="1" s="9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</row>
    <row r="650" ht="15.75" customHeight="1" s="9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</row>
    <row r="651" ht="15.75" customHeight="1" s="9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</row>
    <row r="652" ht="15.75" customHeight="1" s="9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</row>
    <row r="653" ht="15.75" customHeight="1" s="9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</row>
    <row r="654" ht="15.75" customHeight="1" s="9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</row>
    <row r="655" ht="15.75" customHeight="1" s="9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</row>
    <row r="656" ht="15.75" customHeight="1" s="9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</row>
    <row r="657" ht="15.75" customHeight="1" s="9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</row>
    <row r="658" ht="15.75" customHeight="1" s="9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</row>
    <row r="659" ht="15.75" customHeight="1" s="9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</row>
    <row r="660" ht="15.75" customHeight="1" s="9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</row>
    <row r="661" ht="15.75" customHeight="1" s="9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</row>
    <row r="662" ht="15.75" customHeight="1" s="9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</row>
    <row r="663" ht="15.75" customHeight="1" s="9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</row>
    <row r="664" ht="15.75" customHeight="1" s="9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</row>
    <row r="665" ht="15.75" customHeight="1" s="9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</row>
    <row r="666" ht="15.75" customHeight="1" s="9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</row>
    <row r="667" ht="15.75" customHeight="1" s="9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</row>
    <row r="668" ht="15.75" customHeight="1" s="9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</row>
    <row r="669" ht="15.75" customHeight="1" s="9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</row>
    <row r="670" ht="15.75" customHeight="1" s="9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</row>
    <row r="671" ht="15.75" customHeight="1" s="9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</row>
    <row r="672" ht="15.75" customHeight="1" s="9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</row>
    <row r="673" ht="15.75" customHeight="1" s="9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</row>
    <row r="674" ht="15.75" customHeight="1" s="9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</row>
    <row r="675" ht="15.75" customHeight="1" s="9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</row>
    <row r="676" ht="15.75" customHeight="1" s="9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</row>
    <row r="677" ht="15.75" customHeight="1" s="9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</row>
    <row r="678" ht="15.75" customHeight="1" s="9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</row>
    <row r="679" ht="15.75" customHeight="1" s="9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</row>
    <row r="680" ht="15.75" customHeight="1" s="9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</row>
    <row r="681" ht="15.75" customHeight="1" s="9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</row>
    <row r="682" ht="15.75" customHeight="1" s="9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</row>
    <row r="683" ht="15.75" customHeight="1" s="9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</row>
    <row r="684" ht="15.75" customHeight="1" s="9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</row>
    <row r="685" ht="15.75" customHeight="1" s="9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</row>
    <row r="686" ht="15.75" customHeight="1" s="9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</row>
    <row r="687" ht="15.75" customHeight="1" s="9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</row>
    <row r="688" ht="15.75" customHeight="1" s="9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</row>
    <row r="689" ht="15.75" customHeight="1" s="9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</row>
    <row r="690" ht="15.75" customHeight="1" s="9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</row>
    <row r="691" ht="15.75" customHeight="1" s="9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</row>
    <row r="692" ht="15.75" customHeight="1" s="9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</row>
    <row r="693" ht="15.75" customHeight="1" s="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</row>
    <row r="694" ht="15.75" customHeight="1" s="9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</row>
    <row r="695" ht="15.75" customHeight="1" s="9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</row>
    <row r="696" ht="15.75" customHeight="1" s="9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</row>
    <row r="697" ht="15.75" customHeight="1" s="9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</row>
    <row r="698" ht="15.75" customHeight="1" s="9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</row>
    <row r="699" ht="15.75" customHeight="1" s="9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</row>
    <row r="700" ht="15.75" customHeight="1" s="9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</row>
    <row r="701" ht="15.75" customHeight="1" s="9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</row>
    <row r="702" ht="15.75" customHeight="1" s="9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</row>
    <row r="703" ht="15.75" customHeight="1" s="9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</row>
    <row r="704" ht="15.75" customHeight="1" s="9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</row>
    <row r="705" ht="15.75" customHeight="1" s="9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</row>
    <row r="706" ht="15.75" customHeight="1" s="9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</row>
    <row r="707" ht="15.75" customHeight="1" s="9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</row>
    <row r="708" ht="15.75" customHeight="1" s="9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</row>
    <row r="709" ht="15.75" customHeight="1" s="9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</row>
    <row r="710" ht="15.75" customHeight="1" s="9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</row>
    <row r="711" ht="15.75" customHeight="1" s="9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</row>
    <row r="712" ht="15.75" customHeight="1" s="9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</row>
    <row r="713" ht="15.75" customHeight="1" s="9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</row>
    <row r="714" ht="15.75" customHeight="1" s="9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</row>
    <row r="715" ht="15.75" customHeight="1" s="9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</row>
    <row r="716" ht="15.75" customHeight="1" s="9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</row>
    <row r="717" ht="15.75" customHeight="1" s="9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</row>
    <row r="718" ht="15.75" customHeight="1" s="9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</row>
    <row r="719" ht="15.75" customHeight="1" s="9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</row>
    <row r="720" ht="15.75" customHeight="1" s="9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</row>
    <row r="721" ht="15.75" customHeight="1" s="9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</row>
    <row r="722" ht="15.75" customHeight="1" s="9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</row>
    <row r="723" ht="15.75" customHeight="1" s="9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</row>
    <row r="724" ht="15.75" customHeight="1" s="9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</row>
    <row r="725" ht="15.75" customHeight="1" s="9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</row>
    <row r="726" ht="15.75" customHeight="1" s="9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</row>
    <row r="727" ht="15.75" customHeight="1" s="9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</row>
    <row r="728" ht="15.75" customHeight="1" s="9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</row>
    <row r="729" ht="15.75" customHeight="1" s="9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</row>
    <row r="730" ht="15.75" customHeight="1" s="9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</row>
    <row r="731" ht="15.75" customHeight="1" s="9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</row>
    <row r="732" ht="15.75" customHeight="1" s="9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</row>
    <row r="733" ht="15.75" customHeight="1" s="9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</row>
    <row r="734" ht="15.75" customHeight="1" s="9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</row>
    <row r="735" ht="15.75" customHeight="1" s="9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</row>
    <row r="736" ht="15.75" customHeight="1" s="9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</row>
    <row r="737" ht="15.75" customHeight="1" s="9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</row>
    <row r="738" ht="15.75" customHeight="1" s="9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</row>
    <row r="739" ht="15.75" customHeight="1" s="9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</row>
    <row r="740" ht="15.75" customHeight="1" s="9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</row>
    <row r="741" ht="15.75" customHeight="1" s="9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</row>
    <row r="742" ht="15.75" customHeight="1" s="9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</row>
    <row r="743" ht="15.75" customHeight="1" s="9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</row>
    <row r="744" ht="15.75" customHeight="1" s="9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</row>
    <row r="745" ht="15.75" customHeight="1" s="9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</row>
    <row r="746" ht="15.75" customHeight="1" s="9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</row>
    <row r="747" ht="15.75" customHeight="1" s="9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</row>
    <row r="748" ht="15.75" customHeight="1" s="9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</row>
    <row r="749" ht="15.75" customHeight="1" s="9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</row>
    <row r="750" ht="15.75" customHeight="1" s="9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</row>
    <row r="751" ht="15.75" customHeight="1" s="9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</row>
    <row r="752" ht="15.75" customHeight="1" s="9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</row>
    <row r="753" ht="15.75" customHeight="1" s="9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</row>
    <row r="754" ht="15.75" customHeight="1" s="9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</row>
    <row r="755" ht="15.75" customHeight="1" s="9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</row>
    <row r="756" ht="15.75" customHeight="1" s="9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</row>
    <row r="757" ht="15.75" customHeight="1" s="9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</row>
    <row r="758" ht="15.75" customHeight="1" s="9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</row>
    <row r="759" ht="15.75" customHeight="1" s="9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</row>
    <row r="760" ht="15.75" customHeight="1" s="9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</row>
    <row r="761" ht="15.75" customHeight="1" s="9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</row>
    <row r="762" ht="15.75" customHeight="1" s="9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</row>
    <row r="763" ht="15.75" customHeight="1" s="9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</row>
    <row r="764" ht="15.75" customHeight="1" s="9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</row>
    <row r="765" ht="15.75" customHeight="1" s="9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</row>
    <row r="766" ht="15.75" customHeight="1" s="9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</row>
    <row r="767" ht="15.75" customHeight="1" s="9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</row>
    <row r="768" ht="15.75" customHeight="1" s="9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</row>
    <row r="769" ht="15.75" customHeight="1" s="9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</row>
    <row r="770" ht="15.75" customHeight="1" s="9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</row>
    <row r="771" ht="15.75" customHeight="1" s="9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</row>
    <row r="772" ht="15.75" customHeight="1" s="9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</row>
    <row r="773" ht="15.75" customHeight="1" s="9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</row>
    <row r="774" ht="15.75" customHeight="1" s="9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</row>
    <row r="775" ht="15.75" customHeight="1" s="9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</row>
    <row r="776" ht="15.75" customHeight="1" s="9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</row>
    <row r="777" ht="15.75" customHeight="1" s="9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</row>
    <row r="778" ht="15.75" customHeight="1" s="9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</row>
    <row r="779" ht="15.75" customHeight="1" s="9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</row>
    <row r="780" ht="15.75" customHeight="1" s="9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</row>
    <row r="781" ht="15.75" customHeight="1" s="9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</row>
    <row r="782" ht="15.75" customHeight="1" s="9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</row>
    <row r="783" ht="15.75" customHeight="1" s="9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</row>
    <row r="784" ht="15.75" customHeight="1" s="9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</row>
    <row r="785" ht="15.75" customHeight="1" s="9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</row>
    <row r="786" ht="15.75" customHeight="1" s="9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</row>
    <row r="787" ht="15.75" customHeight="1" s="9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</row>
    <row r="788" ht="15.75" customHeight="1" s="9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</row>
    <row r="789" ht="15.75" customHeight="1" s="9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</row>
    <row r="790" ht="15.75" customHeight="1" s="9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</row>
    <row r="791" ht="15.75" customHeight="1" s="9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</row>
    <row r="792" ht="15.75" customHeight="1" s="9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</row>
    <row r="793" ht="15.75" customHeight="1" s="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</row>
    <row r="794" ht="15.75" customHeight="1" s="9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</row>
    <row r="795" ht="15.75" customHeight="1" s="9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</row>
    <row r="796" ht="15.75" customHeight="1" s="9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</row>
    <row r="797" ht="15.75" customHeight="1" s="9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</row>
    <row r="798" ht="15.75" customHeight="1" s="9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</row>
    <row r="799" ht="15.75" customHeight="1" s="9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</row>
    <row r="800" ht="15.75" customHeight="1" s="9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</row>
    <row r="801" ht="15.75" customHeight="1" s="9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</row>
    <row r="802" ht="15.75" customHeight="1" s="9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</row>
    <row r="803" ht="15.75" customHeight="1" s="9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</row>
    <row r="804" ht="15.75" customHeight="1" s="9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</row>
    <row r="805" ht="15.75" customHeight="1" s="9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</row>
    <row r="806" ht="15.75" customHeight="1" s="9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</row>
    <row r="807" ht="15.75" customHeight="1" s="9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</row>
    <row r="808" ht="15.75" customHeight="1" s="9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</row>
    <row r="809" ht="15.75" customHeight="1" s="9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</row>
    <row r="810" ht="15.75" customHeight="1" s="9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</row>
    <row r="811" ht="15.75" customHeight="1" s="9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</row>
    <row r="812" ht="15.75" customHeight="1" s="9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</row>
    <row r="813" ht="15.75" customHeight="1" s="9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</row>
    <row r="814" ht="15.75" customHeight="1" s="9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</row>
    <row r="815" ht="15.75" customHeight="1" s="9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</row>
    <row r="816" ht="15.75" customHeight="1" s="9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</row>
    <row r="817" ht="15.75" customHeight="1" s="9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</row>
    <row r="818" ht="15.75" customHeight="1" s="9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</row>
    <row r="819" ht="15.75" customHeight="1" s="9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</row>
    <row r="820" ht="15.75" customHeight="1" s="9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</row>
    <row r="821" ht="15.75" customHeight="1" s="9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</row>
    <row r="822" ht="15.75" customHeight="1" s="9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</row>
    <row r="823" ht="15.75" customHeight="1" s="9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</row>
    <row r="824" ht="15.75" customHeight="1" s="9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</row>
    <row r="825" ht="15.75" customHeight="1" s="9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</row>
    <row r="826" ht="15.75" customHeight="1" s="9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</row>
    <row r="827" ht="15.75" customHeight="1" s="9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</row>
    <row r="828" ht="15.75" customHeight="1" s="9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</row>
    <row r="829" ht="15.75" customHeight="1" s="9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</row>
    <row r="830" ht="15.75" customHeight="1" s="9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</row>
    <row r="831" ht="15.75" customHeight="1" s="9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</row>
    <row r="832" ht="15.75" customHeight="1" s="9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</row>
    <row r="833" ht="15.75" customHeight="1" s="9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</row>
    <row r="834" ht="15.75" customHeight="1" s="9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</row>
    <row r="835" ht="15.75" customHeight="1" s="9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</row>
    <row r="836" ht="15.75" customHeight="1" s="9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</row>
    <row r="837" ht="15.75" customHeight="1" s="9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</row>
    <row r="838" ht="15.75" customHeight="1" s="9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</row>
    <row r="839" ht="15.75" customHeight="1" s="9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</row>
    <row r="840" ht="15.75" customHeight="1" s="9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</row>
    <row r="841" ht="15.75" customHeight="1" s="9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</row>
    <row r="842" ht="15.75" customHeight="1" s="9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</row>
    <row r="843" ht="15.75" customHeight="1" s="9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</row>
    <row r="844" ht="15.75" customHeight="1" s="9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</row>
    <row r="845" ht="15.75" customHeight="1" s="9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</row>
    <row r="846" ht="15.75" customHeight="1" s="9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</row>
    <row r="847" ht="15.75" customHeight="1" s="9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</row>
    <row r="848" ht="15.75" customHeight="1" s="9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</row>
    <row r="849" ht="15.75" customHeight="1" s="9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</row>
    <row r="850" ht="15.75" customHeight="1" s="9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</row>
    <row r="851" ht="15.75" customHeight="1" s="9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</row>
    <row r="852" ht="15.75" customHeight="1" s="9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</row>
    <row r="853" ht="15.75" customHeight="1" s="9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</row>
    <row r="854" ht="15.75" customHeight="1" s="9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</row>
    <row r="855" ht="15.75" customHeight="1" s="9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</row>
    <row r="856" ht="15.75" customHeight="1" s="9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</row>
    <row r="857" ht="15.75" customHeight="1" s="9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</row>
    <row r="858" ht="15.75" customHeight="1" s="9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</row>
    <row r="859" ht="15.75" customHeight="1" s="9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</row>
    <row r="860" ht="15.75" customHeight="1" s="9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</row>
    <row r="861" ht="15.75" customHeight="1" s="9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</row>
    <row r="862" ht="15.75" customHeight="1" s="9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</row>
    <row r="863" ht="15.75" customHeight="1" s="9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</row>
    <row r="864" ht="15.75" customHeight="1" s="9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</row>
    <row r="865" ht="15.75" customHeight="1" s="9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</row>
    <row r="866" ht="15.75" customHeight="1" s="9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</row>
    <row r="867" ht="15.75" customHeight="1" s="9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</row>
    <row r="868" ht="15.75" customHeight="1" s="9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</row>
    <row r="869" ht="15.75" customHeight="1" s="9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</row>
    <row r="870" ht="15.75" customHeight="1" s="9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</row>
    <row r="871" ht="15.75" customHeight="1" s="9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</row>
    <row r="872" ht="15.75" customHeight="1" s="9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</row>
    <row r="873" ht="15.75" customHeight="1" s="9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</row>
    <row r="874" ht="15.75" customHeight="1" s="9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</row>
    <row r="875" ht="15.75" customHeight="1" s="9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</row>
    <row r="876" ht="15.75" customHeight="1" s="9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</row>
    <row r="877" ht="15.75" customHeight="1" s="9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</row>
    <row r="878" ht="15.75" customHeight="1" s="9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</row>
    <row r="879" ht="15.75" customHeight="1" s="9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</row>
    <row r="880" ht="15.75" customHeight="1" s="9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</row>
    <row r="881" ht="15.75" customHeight="1" s="9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</row>
    <row r="882" ht="15.75" customHeight="1" s="9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</row>
    <row r="883" ht="15.75" customHeight="1" s="9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</row>
    <row r="884" ht="15.75" customHeight="1" s="9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</row>
    <row r="885" ht="15.75" customHeight="1" s="9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</row>
    <row r="886" ht="15.75" customHeight="1" s="9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</row>
    <row r="887" ht="15.75" customHeight="1" s="9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</row>
    <row r="888" ht="15.75" customHeight="1" s="9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</row>
    <row r="889" ht="15.75" customHeight="1" s="9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</row>
    <row r="890" ht="15.75" customHeight="1" s="9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</row>
    <row r="891" ht="15.75" customHeight="1" s="9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</row>
    <row r="892" ht="15.75" customHeight="1" s="9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</row>
    <row r="893" ht="15.75" customHeight="1" s="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</row>
    <row r="894" ht="15.75" customHeight="1" s="9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</row>
    <row r="895" ht="15.75" customHeight="1" s="9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</row>
    <row r="896" ht="15.75" customHeight="1" s="9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</row>
    <row r="897" ht="15.75" customHeight="1" s="9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</row>
    <row r="898" ht="15.75" customHeight="1" s="9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</row>
    <row r="899" ht="15.75" customHeight="1" s="9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</row>
    <row r="900" ht="15.75" customHeight="1" s="9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</row>
    <row r="901" ht="15.75" customHeight="1" s="9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</row>
    <row r="902" ht="15.75" customHeight="1" s="9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</row>
    <row r="903" ht="15.75" customHeight="1" s="9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</row>
    <row r="904" ht="15.75" customHeight="1" s="9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</row>
    <row r="905" ht="15.75" customHeight="1" s="9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</row>
    <row r="906" ht="15.75" customHeight="1" s="9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</row>
    <row r="907" ht="15.75" customHeight="1" s="9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</row>
    <row r="908" ht="15.75" customHeight="1" s="9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</row>
    <row r="909" ht="15.75" customHeight="1" s="9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</row>
    <row r="910" ht="15.75" customHeight="1" s="9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</row>
    <row r="911" ht="15.75" customHeight="1" s="9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</row>
    <row r="912" ht="15.75" customHeight="1" s="9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</row>
    <row r="913" ht="15.75" customHeight="1" s="9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</row>
    <row r="914" ht="15.75" customHeight="1" s="9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</row>
    <row r="915" ht="15.75" customHeight="1" s="9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</row>
    <row r="916" ht="15.75" customHeight="1" s="9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</row>
    <row r="917" ht="15.75" customHeight="1" s="9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</row>
    <row r="918" ht="15.75" customHeight="1" s="9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</row>
    <row r="919" ht="15.75" customHeight="1" s="9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</row>
    <row r="920" ht="15.75" customHeight="1" s="9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</row>
    <row r="921" ht="15.75" customHeight="1" s="9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</row>
    <row r="922" ht="15.75" customHeight="1" s="9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</row>
    <row r="923" ht="15.75" customHeight="1" s="9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</row>
    <row r="924" ht="15.75" customHeight="1" s="9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</row>
    <row r="925" ht="15.75" customHeight="1" s="9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</row>
    <row r="926" ht="15.75" customHeight="1" s="9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</row>
    <row r="927" ht="15.75" customHeight="1" s="9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</row>
    <row r="928" ht="15.75" customHeight="1" s="9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</row>
    <row r="929" ht="15.75" customHeight="1" s="9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</row>
    <row r="930" ht="15.75" customHeight="1" s="9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</row>
    <row r="931" ht="15.75" customHeight="1" s="9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</row>
    <row r="932" ht="15.75" customHeight="1" s="9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</row>
    <row r="933" ht="15.75" customHeight="1" s="9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</row>
    <row r="934" ht="15.75" customHeight="1" s="9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</row>
    <row r="935" ht="15.75" customHeight="1" s="9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</row>
    <row r="936" ht="15.75" customHeight="1" s="9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</row>
    <row r="937" ht="15.75" customHeight="1" s="9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</row>
    <row r="938" ht="15.75" customHeight="1" s="9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</row>
    <row r="939" ht="15.75" customHeight="1" s="9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</row>
    <row r="940" ht="15.75" customHeight="1" s="9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</row>
    <row r="941" ht="15.75" customHeight="1" s="9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</row>
    <row r="942" ht="15.75" customHeight="1" s="9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</row>
    <row r="943" ht="15.75" customHeight="1" s="9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</row>
    <row r="944" ht="15.75" customHeight="1" s="9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</row>
    <row r="945" ht="15.75" customHeight="1" s="9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</row>
    <row r="946" ht="15.75" customHeight="1" s="9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</row>
    <row r="947" ht="15.75" customHeight="1" s="9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</row>
    <row r="948" ht="15.75" customHeight="1" s="9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</row>
    <row r="949" ht="15.75" customHeight="1" s="9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</row>
    <row r="950" ht="15.75" customHeight="1" s="9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</row>
    <row r="951" ht="15.75" customHeight="1" s="9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</row>
    <row r="952" ht="15.75" customHeight="1" s="9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</row>
    <row r="953" ht="15.75" customHeight="1" s="9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</row>
    <row r="954" ht="15.75" customHeight="1" s="9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</row>
    <row r="955" ht="15.75" customHeight="1" s="9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</row>
    <row r="956" ht="15.75" customHeight="1" s="9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</row>
    <row r="957" ht="15.75" customHeight="1" s="9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</row>
    <row r="958" ht="15.75" customHeight="1" s="9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</row>
    <row r="959" ht="15.75" customHeight="1" s="9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</row>
    <row r="960" ht="15.75" customHeight="1" s="9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</row>
    <row r="961" ht="15.75" customHeight="1" s="9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</row>
    <row r="962" ht="15.75" customHeight="1" s="9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</row>
    <row r="963" ht="15.75" customHeight="1" s="9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</row>
    <row r="964" ht="15.75" customHeight="1" s="9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</row>
    <row r="965" ht="15.75" customHeight="1" s="9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</row>
    <row r="966" ht="15.75" customHeight="1" s="9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</row>
    <row r="967" ht="15.75" customHeight="1" s="9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</row>
    <row r="968" ht="15.75" customHeight="1" s="9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</row>
    <row r="969" ht="15.75" customHeight="1" s="9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</row>
    <row r="970" ht="15.75" customHeight="1" s="9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</row>
    <row r="971" ht="15.75" customHeight="1" s="9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</row>
    <row r="972" ht="15.75" customHeight="1" s="9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</row>
    <row r="973" ht="15.75" customHeight="1" s="9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</row>
    <row r="974" ht="15.75" customHeight="1" s="9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</row>
    <row r="975" ht="15.75" customHeight="1" s="9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</row>
    <row r="976" ht="15.75" customHeight="1" s="9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</row>
    <row r="977" ht="15.75" customHeight="1" s="9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</row>
    <row r="978" ht="15.75" customHeight="1" s="9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</row>
    <row r="979" ht="15.75" customHeight="1" s="9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</row>
    <row r="980" ht="15.75" customHeight="1" s="9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</row>
    <row r="981" ht="15.75" customHeight="1" s="9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</row>
    <row r="982" ht="15.75" customHeight="1" s="9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</row>
    <row r="983" ht="15.75" customHeight="1" s="9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</row>
    <row r="984" ht="15.75" customHeight="1" s="9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</row>
    <row r="985" ht="15.75" customHeight="1" s="9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</row>
    <row r="986" ht="15.75" customHeight="1" s="9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</row>
    <row r="987" ht="15.75" customHeight="1" s="9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</row>
    <row r="988" ht="15.75" customHeight="1" s="9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</row>
    <row r="989" ht="15.75" customHeight="1" s="9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</row>
    <row r="990" ht="15.75" customHeight="1" s="9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</row>
    <row r="991" ht="15.75" customHeight="1" s="9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</row>
    <row r="992" ht="15.75" customHeight="1" s="9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</row>
    <row r="993" ht="15.75" customHeight="1" s="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</row>
    <row r="994" ht="15.75" customHeight="1" s="9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</row>
    <row r="995" ht="15.75" customHeight="1" s="9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</row>
    <row r="996" ht="15.75" customHeight="1" s="9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</row>
    <row r="997" ht="15.75" customHeight="1" s="9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</row>
    <row r="998" ht="15.75" customHeight="1" s="9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</row>
    <row r="999" ht="15.75" customHeight="1" s="9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</row>
    <row r="1000" ht="15.75" customHeight="1" s="9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</row>
  </sheetData>
  <mergeCells count="7">
    <mergeCell ref="A4:H4"/>
    <mergeCell ref="AE4:AL4"/>
    <mergeCell ref="X4:AD4"/>
    <mergeCell ref="P4:W4"/>
    <mergeCell ref="I4:L4"/>
    <mergeCell ref="A1:AQ1"/>
    <mergeCell ref="AM4:AQ4"/>
  </mergeCells>
  <conditionalFormatting sqref="A6:AS18">
    <cfRule type="expression" priority="1" dxfId="3">
      <formula>AND($A6&lt;&gt;"",ISEVEN(ROW()))</formula>
    </cfRule>
    <cfRule type="expression" priority="2" dxfId="4">
      <formula>AND($A6&lt;&gt;"",$X6="")</formula>
    </cfRule>
    <cfRule type="expression" priority="3" dxfId="5">
      <formula>AND($A6&lt;&gt;"",$AM6="não")</formula>
    </cfRule>
  </conditionalFormatting>
  <dataValidations count="2">
    <dataValidation sqref="E6:E18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18" showDropDown="0" showInputMessage="0" showErrorMessage="0" allowBlank="1" type="list">
      <formula1>"active,draft,archived"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20" customWidth="1" style="93" min="1" max="1"/>
    <col width="14" customWidth="1" style="93" min="2" max="2"/>
    <col width="22" customWidth="1" style="93" min="3" max="3"/>
    <col width="50" customWidth="1" style="93" min="4" max="4"/>
    <col width="22" customWidth="1" style="93" min="5" max="5"/>
    <col width="14" customWidth="1" style="93" min="6" max="6"/>
    <col width="28" customWidth="1" style="93" min="7" max="7"/>
    <col width="10" customWidth="1" style="93" min="8" max="8"/>
    <col width="18" customWidth="1" style="93" min="9" max="9"/>
    <col width="24" customWidth="1" style="93" min="10" max="10"/>
    <col width="66.29000000000001" customWidth="1" style="93" min="11" max="11"/>
    <col width="22" customWidth="1" style="93" min="12" max="13"/>
    <col width="10" customWidth="1" style="93" min="14" max="15"/>
    <col width="14" customWidth="1" style="93" min="16" max="16"/>
    <col width="12" customWidth="1" style="93" min="17" max="17"/>
    <col width="11" customWidth="1" style="93" min="18" max="19"/>
    <col width="14" customWidth="1" style="93" min="20" max="20"/>
    <col width="16" customWidth="1" style="93" min="21" max="21"/>
    <col width="8.710000000000001" customWidth="1" style="93" min="22" max="22"/>
    <col width="18" customWidth="1" style="93" min="23" max="23"/>
    <col width="14" customWidth="1" style="93" min="24" max="24"/>
    <col width="8.710000000000001" customWidth="1" style="93" min="25" max="25"/>
    <col width="16" customWidth="1" style="93" min="26" max="26"/>
    <col width="14" customWidth="1" style="93" min="27" max="27"/>
    <col width="16" customWidth="1" style="93" min="28" max="28"/>
    <col width="12" customWidth="1" style="93" min="29" max="29"/>
    <col width="14" customWidth="1" style="93" min="30" max="30"/>
    <col width="18" customWidth="1" style="93" min="31" max="31"/>
    <col width="8.710000000000001" customWidth="1" style="93" min="32" max="36"/>
    <col width="20" customWidth="1" style="93" min="37" max="37"/>
    <col width="14" customWidth="1" style="93" min="38" max="38"/>
    <col width="18" customWidth="1" style="93" min="39" max="39"/>
    <col width="16" customWidth="1" style="93" min="40" max="40"/>
    <col width="18" customWidth="1" style="93" min="41" max="41"/>
    <col width="28" customWidth="1" style="93" min="42" max="43"/>
  </cols>
  <sheetData>
    <row r="1" ht="30" customHeight="1" s="93">
      <c r="A1" s="5" t="inlineStr">
        <is>
          <t>APP — Agro Peças Padrão | Master 07_STARA</t>
        </is>
      </c>
      <c r="AQ1" s="76" t="n"/>
    </row>
    <row r="2">
      <c r="A2" s="8" t="inlineStr">
        <is>
          <t>Total de SKUs:</t>
        </is>
      </c>
      <c r="B2" s="12">
        <f>COUNTA(A6:A100003)</f>
        <v/>
      </c>
      <c r="C2" s="1" t="n"/>
      <c r="D2" s="8" t="inlineStr">
        <is>
          <t>Faltando embalagem:</t>
        </is>
      </c>
      <c r="E2" s="13">
        <f>COUNTIF(W6:W100003,"FALTA")</f>
        <v/>
      </c>
      <c r="F2" s="1" t="n"/>
      <c r="G2" s="8" t="inlineStr">
        <is>
          <t>Cadastrados Shopify:</t>
        </is>
      </c>
      <c r="H2" s="12">
        <f>COUNTIF(AM6:AM100003,"sim")</f>
        <v/>
      </c>
      <c r="I2" s="1" t="n"/>
      <c r="J2" s="8" t="inlineStr">
        <is>
          <t>Divergentes:</t>
        </is>
      </c>
      <c r="K2" s="17">
        <f>COUNTIF(AM6:AM100003,"divergente")</f>
        <v/>
      </c>
      <c r="L2" s="1" t="n"/>
      <c r="M2" s="1" t="n"/>
      <c r="N2" s="18" t="n"/>
      <c r="O2" s="18" t="n"/>
      <c r="P2" s="18" t="n"/>
      <c r="Q2" s="18" t="n"/>
      <c r="R2" s="18" t="n"/>
      <c r="S2" s="18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8" t="n"/>
      <c r="O3" s="18" t="n"/>
      <c r="P3" s="18" t="n"/>
      <c r="Q3" s="18" t="n"/>
      <c r="R3" s="18" t="n"/>
      <c r="S3" s="18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</row>
    <row r="4" ht="21.75" customHeight="1" s="93">
      <c r="A4" s="20" t="inlineStr">
        <is>
          <t>IDENTIFICAÇÃO</t>
        </is>
      </c>
      <c r="B4" s="102" t="n"/>
      <c r="C4" s="102" t="n"/>
      <c r="D4" s="102" t="n"/>
      <c r="E4" s="102" t="n"/>
      <c r="F4" s="102" t="n"/>
      <c r="G4" s="102" t="n"/>
      <c r="H4" s="102" t="n"/>
      <c r="I4" s="20" t="inlineStr">
        <is>
          <t>APLICAÇÃO TÉCNICA</t>
        </is>
      </c>
      <c r="J4" s="102" t="n"/>
      <c r="K4" s="102" t="n"/>
      <c r="L4" s="102" t="n"/>
      <c r="M4" s="22" t="n"/>
      <c r="N4" s="24" t="n"/>
      <c r="O4" s="20" t="inlineStr">
        <is>
          <t>LOGÍSTICA E EMBALAGEM</t>
        </is>
      </c>
      <c r="P4" s="102" t="n"/>
      <c r="Q4" s="102" t="n"/>
      <c r="R4" s="102" t="n"/>
      <c r="S4" s="102" t="n"/>
      <c r="T4" s="102" t="n"/>
      <c r="U4" s="102" t="n"/>
      <c r="V4" s="102" t="n"/>
      <c r="W4" s="102" t="n"/>
      <c r="X4" s="20" t="inlineStr">
        <is>
          <t>CUSTO E PRECIFICAÇÃO</t>
        </is>
      </c>
      <c r="Y4" s="102" t="n"/>
      <c r="Z4" s="102" t="n"/>
      <c r="AA4" s="102" t="n"/>
      <c r="AB4" s="102" t="n"/>
      <c r="AC4" s="102" t="n"/>
      <c r="AD4" s="102" t="n"/>
      <c r="AE4" s="20" t="inlineStr">
        <is>
          <t>PESQUISA DE MERCADO</t>
        </is>
      </c>
      <c r="AF4" s="102" t="n"/>
      <c r="AG4" s="102" t="n"/>
      <c r="AH4" s="102" t="n"/>
      <c r="AI4" s="102" t="n"/>
      <c r="AJ4" s="102" t="n"/>
      <c r="AK4" s="102" t="n"/>
      <c r="AL4" s="102" t="n"/>
      <c r="AM4" s="20" t="inlineStr">
        <is>
          <t>WORKFLOW</t>
        </is>
      </c>
      <c r="AN4" s="102" t="n"/>
      <c r="AO4" s="102" t="n"/>
      <c r="AP4" s="102" t="n"/>
      <c r="AQ4" s="77" t="n"/>
    </row>
    <row r="5" ht="33.75" customHeight="1" s="93">
      <c r="A5" s="25" t="inlineStr">
        <is>
          <t>SKU / Código</t>
        </is>
      </c>
      <c r="B5" s="25" t="inlineStr">
        <is>
          <t>Part Number</t>
        </is>
      </c>
      <c r="C5" s="25" t="inlineStr">
        <is>
          <t>Handle (Shopify)</t>
        </is>
      </c>
      <c r="D5" s="25" t="inlineStr">
        <is>
          <t>Title (PT-BR)</t>
        </is>
      </c>
      <c r="E5" s="25" t="inlineStr">
        <is>
          <t>Product Type</t>
        </is>
      </c>
      <c r="F5" s="25" t="inlineStr">
        <is>
          <t>Vendor (Fabricante)</t>
        </is>
      </c>
      <c r="G5" s="25" t="inlineStr">
        <is>
          <t>Tags (vírgula)</t>
        </is>
      </c>
      <c r="H5" s="25" t="inlineStr">
        <is>
          <t>Status</t>
        </is>
      </c>
      <c r="I5" s="25" t="inlineStr">
        <is>
          <t>Montadora compatível</t>
        </is>
      </c>
      <c r="J5" s="25" t="inlineStr">
        <is>
          <t>Equipamento / Modelo</t>
        </is>
      </c>
      <c r="K5" s="25" t="inlineStr">
        <is>
          <t>Função / Aplicação</t>
        </is>
      </c>
      <c r="L5" s="25" t="inlineStr">
        <is>
          <t>Códigos cruzados</t>
        </is>
      </c>
      <c r="M5" s="25" t="inlineStr">
        <is>
          <t>Qtde KIT</t>
        </is>
      </c>
      <c r="N5" s="25" t="inlineStr">
        <is>
          <t>Lead Time</t>
        </is>
      </c>
      <c r="O5" s="25" t="inlineStr">
        <is>
          <t>Peso (kg)</t>
        </is>
      </c>
      <c r="P5" s="25" t="inlineStr">
        <is>
          <t>Comprimento (cm)</t>
        </is>
      </c>
      <c r="Q5" s="25" t="inlineStr">
        <is>
          <t>Largura (cm)</t>
        </is>
      </c>
      <c r="R5" s="25" t="inlineStr">
        <is>
          <t>Altura (cm)</t>
        </is>
      </c>
      <c r="S5" s="25" t="inlineStr">
        <is>
          <t>Peso cubado (kg) KIT</t>
        </is>
      </c>
      <c r="T5" s="25" t="inlineStr">
        <is>
          <t>Peso cubado (kg)</t>
        </is>
      </c>
      <c r="U5" s="25" t="inlineStr">
        <is>
          <t>Peso considerado (kg)</t>
        </is>
      </c>
      <c r="V5" s="25" t="inlineStr">
        <is>
          <t>Frete fábrica → eCom ()</t>
        </is>
      </c>
      <c r="W5" s="25" t="inlineStr">
        <is>
          <t>Origem do dado embalagem</t>
        </is>
      </c>
      <c r="X5" s="25" t="inlineStr">
        <is>
          <t>Custo unitário ()</t>
        </is>
      </c>
      <c r="Y5" s="25" t="inlineStr">
        <is>
          <t>% Margem de lucro</t>
        </is>
      </c>
      <c r="Z5" s="25" t="inlineStr">
        <is>
          <t>Custo + frete inbound ()</t>
        </is>
      </c>
      <c r="AA5" s="25" t="inlineStr">
        <is>
          <t>Preço c/ margem ()</t>
        </is>
      </c>
      <c r="AB5" s="25" t="inlineStr">
        <is>
          <t>Taxa Mercado Pago (%)</t>
        </is>
      </c>
      <c r="AC5" s="25" t="inlineStr">
        <is>
          <t>Taxa MP ()</t>
        </is>
      </c>
      <c r="AD5" s="25" t="inlineStr">
        <is>
          <t>Preço final site ()</t>
        </is>
      </c>
      <c r="AE5" s="25" t="inlineStr">
        <is>
          <t>Concorrente 1 — Nome</t>
        </is>
      </c>
      <c r="AF5" s="25" t="inlineStr">
        <is>
          <t>Concorrente 1 — Preço ()</t>
        </is>
      </c>
      <c r="AG5" s="25" t="inlineStr">
        <is>
          <t>Concorrente 2 — Nome</t>
        </is>
      </c>
      <c r="AH5" s="25" t="inlineStr">
        <is>
          <t>Concorrente 2 — Preço ()</t>
        </is>
      </c>
      <c r="AI5" s="25" t="inlineStr">
        <is>
          <t>Concorrente 3 — Nome</t>
        </is>
      </c>
      <c r="AJ5" s="25" t="inlineStr">
        <is>
          <t>Concorrente 3 — Preço ()</t>
        </is>
      </c>
      <c r="AK5" s="25" t="inlineStr">
        <is>
          <t>Preço médio concorrência ()</t>
        </is>
      </c>
      <c r="AL5" s="25" t="inlineStr">
        <is>
          <t>Posicionamento</t>
        </is>
      </c>
      <c r="AM5" s="25" t="inlineStr">
        <is>
          <t>Cadastrado Shopify?</t>
        </is>
      </c>
      <c r="AN5" s="25" t="inlineStr">
        <is>
          <t>Última atualização</t>
        </is>
      </c>
      <c r="AO5" s="25" t="inlineStr">
        <is>
          <t>Operador responsável</t>
        </is>
      </c>
      <c r="AP5" s="25" t="inlineStr">
        <is>
          <t>Observações</t>
        </is>
      </c>
      <c r="AQ5" s="25" t="inlineStr">
        <is>
          <t>SKU Shopify (derivado)</t>
        </is>
      </c>
      <c r="AR5" s="25" t="inlineStr">
        <is>
          <t>Título Shopify (derivado)</t>
        </is>
      </c>
      <c r="AS5" s="28" t="inlineStr">
        <is>
          <t>Imagens site (assets)</t>
        </is>
      </c>
    </row>
    <row r="6">
      <c r="A6" s="1" t="inlineStr">
        <is>
          <t>6424-4005</t>
        </is>
      </c>
      <c r="B6" s="1" t="inlineStr">
        <is>
          <t>6424-4005</t>
        </is>
      </c>
      <c r="C6" s="1" t="inlineStr">
        <is>
          <t>acabamento-lateral-reservatorio-de-sementes</t>
        </is>
      </c>
      <c r="D6" s="1" t="inlineStr">
        <is>
          <t>Acabamento Lateral do Reservatório de Sementes - Stara 6424-4005 | Plantadeira Estrela</t>
        </is>
      </c>
      <c r="E6" s="1" t="inlineStr">
        <is>
          <t>Peças Plásticas Injetadas</t>
        </is>
      </c>
      <c r="F6" s="1" t="inlineStr">
        <is>
          <t>APP</t>
        </is>
      </c>
      <c r="G6" s="1" t="n"/>
      <c r="H6" s="23" t="inlineStr">
        <is>
          <t>active</t>
        </is>
      </c>
      <c r="I6" s="1" t="inlineStr">
        <is>
          <t>STARA</t>
        </is>
      </c>
      <c r="J6" s="1" t="inlineStr">
        <is>
          <t>PLANTADEIRA</t>
        </is>
      </c>
      <c r="K6" s="1">
        <f>LOWER(CONCATENATE("Peças Plastica para ",J6," ",D6))</f>
        <v/>
      </c>
      <c r="L6" s="1" t="n"/>
      <c r="M6" s="1" t="n">
        <v>1</v>
      </c>
      <c r="N6" s="18" t="n">
        <v>5</v>
      </c>
      <c r="O6" s="18" t="n">
        <v>0.008</v>
      </c>
      <c r="P6" s="18" t="n">
        <v>9</v>
      </c>
      <c r="Q6" s="18" t="n">
        <v>4.5</v>
      </c>
      <c r="R6" s="18" t="n">
        <v>25</v>
      </c>
      <c r="S6" s="78">
        <f>IFERROR(IF(AND(P6&gt;0,Q6&gt;0,R6&gt;0),(P6*Q6*R6)/6000,""),"")</f>
        <v/>
      </c>
      <c r="T6" s="34">
        <f>IFERROR(IF(AND(P6&gt;0,Q6&gt;0,R6&gt;0),(P6*Q6*R6)/6000,""),"")</f>
        <v/>
      </c>
      <c r="U6" s="1">
        <f>IFERROR(IF(AND(O6&gt;0,T6&gt;0),MAX(O6,T6),IF(O6&gt;0,O6,IF(T6&gt;0,T6,""))),"")</f>
        <v/>
      </c>
      <c r="V6" s="71" t="n">
        <v>0.49</v>
      </c>
      <c r="W6" s="1" t="inlineStr">
        <is>
          <t>fornecedor</t>
        </is>
      </c>
      <c r="X6" s="1" t="n">
        <v>3.9744</v>
      </c>
      <c r="Y6" s="39" t="n">
        <v>0.3</v>
      </c>
      <c r="Z6" s="41">
        <f>IFERROR(X6+V6,"")</f>
        <v/>
      </c>
      <c r="AA6" s="41">
        <f>IFERROR(IF(Y6&lt;1,Z6/(1-Y6),""),"")</f>
        <v/>
      </c>
      <c r="AB6" s="43">
        <f>'01_CONFIG_GLOBAL'!$C$14</f>
        <v/>
      </c>
      <c r="AC6" s="41">
        <f>IFERROR(AA6*AB6,"")</f>
        <v/>
      </c>
      <c r="AD6" s="41">
        <f>IFERROR(IF(AB6&lt;1,AA6/(1-AB6),""),"")</f>
        <v/>
      </c>
      <c r="AE6" s="1" t="n"/>
      <c r="AF6" s="1" t="n"/>
      <c r="AG6" s="1" t="n"/>
      <c r="AH6" s="1" t="n"/>
      <c r="AI6" s="1" t="n"/>
      <c r="AJ6" s="1" t="n"/>
      <c r="AK6" s="1" t="n"/>
      <c r="AL6" s="1" t="n"/>
      <c r="AM6" s="1" t="inlineStr">
        <is>
          <t>sim</t>
        </is>
      </c>
      <c r="AN6" s="1" t="n"/>
      <c r="AO6" s="1" t="n"/>
      <c r="AP6" s="1" t="n"/>
      <c r="AQ6" s="1">
        <f>IF(AND(M6&lt;&gt;"",M6&gt;1),A6&amp;"-KIT"&amp;M6,A6)</f>
        <v/>
      </c>
      <c r="AR6" s="44">
        <f>IF(AND(M6&lt;&gt;"",M6&gt;1),D6&amp;" — Kit "&amp;M6&amp;" unidades",D6)</f>
        <v/>
      </c>
      <c r="AS6" s="28" t="inlineStr">
        <is>
          <t>SEM IMAGEM</t>
        </is>
      </c>
    </row>
    <row r="7">
      <c r="A7" s="1" t="inlineStr">
        <is>
          <t>6424-4005</t>
        </is>
      </c>
      <c r="B7" s="1" t="inlineStr">
        <is>
          <t>6424-4005</t>
        </is>
      </c>
      <c r="C7" s="1" t="inlineStr">
        <is>
          <t>acabamento-lateral-reservatorio-de-sementes</t>
        </is>
      </c>
      <c r="D7" s="1" t="inlineStr">
        <is>
          <t>Acabamento Lateral do Reservatório de Sementes - Kit 50 Unidades - Stara 6424-4005</t>
        </is>
      </c>
      <c r="E7" s="1" t="inlineStr">
        <is>
          <t>Peças Plásticas Injetadas</t>
        </is>
      </c>
      <c r="F7" s="1" t="inlineStr">
        <is>
          <t>APP</t>
        </is>
      </c>
      <c r="G7" s="1" t="n"/>
      <c r="H7" s="23" t="inlineStr">
        <is>
          <t>active</t>
        </is>
      </c>
      <c r="I7" s="1" t="inlineStr">
        <is>
          <t>STARA</t>
        </is>
      </c>
      <c r="J7" s="1" t="inlineStr">
        <is>
          <t>PLANTADEIRA</t>
        </is>
      </c>
      <c r="K7" s="1">
        <f>LOWER(CONCATENATE("Peças Plastica para ",J7," ",D7))</f>
        <v/>
      </c>
      <c r="L7" s="1" t="n"/>
      <c r="M7" s="1" t="n">
        <v>50</v>
      </c>
      <c r="N7" s="18" t="n">
        <v>5</v>
      </c>
      <c r="O7" s="18">
        <f>O6*M7</f>
        <v/>
      </c>
      <c r="P7" s="18" t="n">
        <v>40</v>
      </c>
      <c r="Q7" s="18" t="n">
        <v>15</v>
      </c>
      <c r="R7" s="18" t="n">
        <v>28</v>
      </c>
      <c r="S7" s="78">
        <f>IFERROR(IF(AND(P7&gt;0,Q7&gt;0,R7&gt;0),(P7*Q7*R7)/6000,""),"")</f>
        <v/>
      </c>
      <c r="T7" s="34">
        <f>IFERROR(IF(AND(P7&gt;0,Q7&gt;0,R7&gt;0),(P7*Q7*R7)/6000,""),"")</f>
        <v/>
      </c>
      <c r="U7" s="1">
        <f>IFERROR(IF(AND(O7&gt;0,T7&gt;0),MAX(O7,T7),IF(O7&gt;0,O7,IF(T7&gt;0,T7,""))),"")</f>
        <v/>
      </c>
      <c r="V7" s="71" t="n">
        <v>24.48</v>
      </c>
      <c r="W7" s="1" t="inlineStr">
        <is>
          <t>fornecedor</t>
        </is>
      </c>
      <c r="X7" s="1">
        <f>X6*M7</f>
        <v/>
      </c>
      <c r="Y7" s="39">
        <f>Y6</f>
        <v/>
      </c>
      <c r="Z7" s="41">
        <f>IFERROR(X7+V7,"")</f>
        <v/>
      </c>
      <c r="AA7" s="41">
        <f>IFERROR(IF(Y7&lt;1,Z7/(1-Y7),""),"")</f>
        <v/>
      </c>
      <c r="AB7" s="43">
        <f>'01_CONFIG_GLOBAL'!$C$14</f>
        <v/>
      </c>
      <c r="AC7" s="41">
        <f>IFERROR(AA7*AB7,"")</f>
        <v/>
      </c>
      <c r="AD7" s="41">
        <f>IFERROR(IF(AB7&lt;1,AA7/(1-AB7),""),"")</f>
        <v/>
      </c>
      <c r="AE7" s="1" t="n"/>
      <c r="AF7" s="1" t="n"/>
      <c r="AG7" s="1" t="n"/>
      <c r="AH7" s="1" t="n"/>
      <c r="AI7" s="1" t="n"/>
      <c r="AJ7" s="1" t="n"/>
      <c r="AK7" s="1" t="n"/>
      <c r="AL7" s="1" t="n"/>
      <c r="AM7" s="1" t="inlineStr">
        <is>
          <t>sim</t>
        </is>
      </c>
      <c r="AN7" s="1" t="n"/>
      <c r="AO7" s="1" t="n"/>
      <c r="AP7" s="1" t="n"/>
      <c r="AQ7" s="1">
        <f>IF(AND(M7&lt;&gt;"",M7&gt;1),A7&amp;"-KIT"&amp;M7,A7)</f>
        <v/>
      </c>
      <c r="AR7" s="44">
        <f>IF(AND(M7&lt;&gt;"",M7&gt;1),D7&amp;" — Kit "&amp;M7&amp;" unidades",D7)</f>
        <v/>
      </c>
      <c r="AS7" s="28" t="inlineStr">
        <is>
          <t>SEM IMAGEM</t>
        </is>
      </c>
    </row>
    <row r="8" hidden="1" s="93">
      <c r="A8" s="1" t="inlineStr">
        <is>
          <t>6117-4170</t>
        </is>
      </c>
      <c r="B8" s="1" t="inlineStr">
        <is>
          <t>6117-4170</t>
        </is>
      </c>
      <c r="C8" s="1" t="inlineStr">
        <is>
          <t>abra-adeira-batente</t>
        </is>
      </c>
      <c r="D8" s="1" t="inlineStr">
        <is>
          <t>Abraçadeira Batente - Stara 6117-4170 | Plantadeira</t>
        </is>
      </c>
      <c r="E8" s="1" t="inlineStr">
        <is>
          <t>Peças Plásticas Injetadas</t>
        </is>
      </c>
      <c r="F8" s="1" t="inlineStr">
        <is>
          <t>APP</t>
        </is>
      </c>
      <c r="G8" s="1" t="n"/>
      <c r="H8" s="23" t="inlineStr">
        <is>
          <t>draft</t>
        </is>
      </c>
      <c r="I8" s="1" t="inlineStr">
        <is>
          <t>STARA</t>
        </is>
      </c>
      <c r="J8" s="1" t="inlineStr">
        <is>
          <t>PLANTADEIRA</t>
        </is>
      </c>
      <c r="K8" s="1">
        <f>LOWER(CONCATENATE("Peças Plastica para ",J8," ",D8))</f>
        <v/>
      </c>
      <c r="L8" s="1" t="n"/>
      <c r="M8" s="1" t="n"/>
      <c r="N8" s="18" t="n">
        <v>5</v>
      </c>
      <c r="O8" s="18" t="n"/>
      <c r="P8" s="18" t="n">
        <v>0</v>
      </c>
      <c r="Q8" s="18" t="n">
        <v>0</v>
      </c>
      <c r="R8" s="18" t="n">
        <v>0</v>
      </c>
      <c r="S8" s="78">
        <f>IFERROR(IF(AND(P8&gt;0,Q8&gt;0,R8&gt;0),(P8*Q8*R8)/6000,""),"")</f>
        <v/>
      </c>
      <c r="T8" s="34">
        <f>IFERROR(IF(AND(P8&gt;0,Q8&gt;0,R8&gt;0),(P8*Q8*R8)/6000,""),"")</f>
        <v/>
      </c>
      <c r="U8" s="1">
        <f>IFERROR(IF(AND(O8&gt;0,T8&gt;0),MAX(O8,T8),IF(O8&gt;0,O8,IF(T8&gt;0,T8,""))),"")</f>
        <v/>
      </c>
      <c r="V8" s="71" t="n">
        <v>25</v>
      </c>
      <c r="W8" s="1" t="inlineStr">
        <is>
          <t>fornecedor</t>
        </is>
      </c>
      <c r="X8" s="1" t="n">
        <v>1.903986</v>
      </c>
      <c r="Y8" s="39" t="n">
        <v>0.3</v>
      </c>
      <c r="Z8" s="41">
        <f>IFERROR(X8+V8,"")</f>
        <v/>
      </c>
      <c r="AA8" s="41">
        <f>IFERROR(IF(Y8&lt;1,Z8/(1-Y8),""),"")</f>
        <v/>
      </c>
      <c r="AB8" s="43">
        <f>'01_CONFIG_GLOBAL'!$C$14</f>
        <v/>
      </c>
      <c r="AC8" s="41">
        <f>IFERROR(AA8*AB8,"")</f>
        <v/>
      </c>
      <c r="AD8" s="41">
        <f>IFERROR(IF(AB8&lt;1,AA8/(1-AB8),""),"")</f>
        <v/>
      </c>
      <c r="AE8" s="1" t="n"/>
      <c r="AF8" s="1" t="n"/>
      <c r="AG8" s="1" t="n"/>
      <c r="AH8" s="1" t="n"/>
      <c r="AI8" s="1" t="n"/>
      <c r="AJ8" s="1" t="n"/>
      <c r="AK8" s="1" t="n"/>
      <c r="AL8" s="1" t="n"/>
      <c r="AM8" s="1" t="inlineStr">
        <is>
          <t>sim</t>
        </is>
      </c>
      <c r="AN8" s="1" t="n"/>
      <c r="AO8" s="1" t="n"/>
      <c r="AP8" s="1" t="inlineStr">
        <is>
          <t>PENDÊNCIA: sem peso/dimensões — frete default R$25 (estimado); pesar/medir p/ recotar | DRAFT 21/07: sem peso/dimensões — pesar/medir e reativar p/ subir ao site</t>
        </is>
      </c>
      <c r="AQ8" s="1">
        <f>IF(AND(M8&lt;&gt;"",M8&gt;1),A8&amp;"-KIT"&amp;M8,A8)</f>
        <v/>
      </c>
      <c r="AR8" s="44">
        <f>IF(AND(M8&lt;&gt;"",M8&gt;1),D8&amp;" — Kit "&amp;M8&amp;" unidades",D8)</f>
        <v/>
      </c>
      <c r="AS8" s="28" t="inlineStr">
        <is>
          <t>SEM IMAGEM</t>
        </is>
      </c>
    </row>
    <row r="9" hidden="1" s="93">
      <c r="A9" s="1" t="inlineStr">
        <is>
          <t>6424-4004</t>
        </is>
      </c>
      <c r="B9" s="1" t="inlineStr">
        <is>
          <t>6424-4004</t>
        </is>
      </c>
      <c r="C9" s="1" t="inlineStr">
        <is>
          <t>reservatorio-sementes-fechado</t>
        </is>
      </c>
      <c r="D9" s="1" t="inlineStr">
        <is>
          <t>Reservatório de Sementes Fechado - Stara 6424-4004 | Plantadeira</t>
        </is>
      </c>
      <c r="E9" s="1" t="inlineStr">
        <is>
          <t>Peças Plásticas Injetadas</t>
        </is>
      </c>
      <c r="F9" s="1" t="inlineStr">
        <is>
          <t>APP</t>
        </is>
      </c>
      <c r="G9" s="1" t="n"/>
      <c r="H9" s="23" t="inlineStr">
        <is>
          <t>draft</t>
        </is>
      </c>
      <c r="I9" s="1" t="inlineStr">
        <is>
          <t>STARA</t>
        </is>
      </c>
      <c r="J9" s="1" t="inlineStr">
        <is>
          <t>PLANTADEIRA</t>
        </is>
      </c>
      <c r="K9" s="1">
        <f>LOWER(CONCATENATE("Peças Plastica para ",J9," ",D9))</f>
        <v/>
      </c>
      <c r="L9" s="1" t="n"/>
      <c r="M9" s="1" t="n"/>
      <c r="N9" s="18" t="n">
        <v>5</v>
      </c>
      <c r="O9" s="18" t="n"/>
      <c r="P9" s="18" t="n">
        <v>0</v>
      </c>
      <c r="Q9" s="18" t="n">
        <v>0</v>
      </c>
      <c r="R9" s="18" t="n">
        <v>0</v>
      </c>
      <c r="S9" s="78">
        <f>IFERROR(IF(AND(P9&gt;0,Q9&gt;0,R9&gt;0),(P9*Q9*R9)/6000,""),"")</f>
        <v/>
      </c>
      <c r="T9" s="34">
        <f>IFERROR(IF(AND(P9&gt;0,Q9&gt;0,R9&gt;0),(P9*Q9*R9)/6000,""),"")</f>
        <v/>
      </c>
      <c r="U9" s="1">
        <f>IFERROR(IF(AND(O9&gt;0,T9&gt;0),MAX(O9,T9),IF(O9&gt;0,O9,IF(T9&gt;0,T9,""))),"")</f>
        <v/>
      </c>
      <c r="V9" s="71" t="n">
        <v>25</v>
      </c>
      <c r="W9" s="1" t="inlineStr">
        <is>
          <t>fornecedor</t>
        </is>
      </c>
      <c r="X9" s="1" t="n">
        <v>32.19264</v>
      </c>
      <c r="Y9" s="39" t="n">
        <v>0.3</v>
      </c>
      <c r="Z9" s="41">
        <f>IFERROR(X9+V9,"")</f>
        <v/>
      </c>
      <c r="AA9" s="41">
        <f>IFERROR(IF(Y9&lt;1,Z9/(1-Y9),""),"")</f>
        <v/>
      </c>
      <c r="AB9" s="43">
        <f>'01_CONFIG_GLOBAL'!$C$14</f>
        <v/>
      </c>
      <c r="AC9" s="41">
        <f>IFERROR(AA9*AB9,"")</f>
        <v/>
      </c>
      <c r="AD9" s="41">
        <f>IFERROR(IF(AB9&lt;1,AA9/(1-AB9),""),"")</f>
        <v/>
      </c>
      <c r="AE9" s="1" t="n"/>
      <c r="AF9" s="1" t="n"/>
      <c r="AG9" s="1" t="n"/>
      <c r="AH9" s="1" t="n"/>
      <c r="AI9" s="1" t="n"/>
      <c r="AJ9" s="1" t="n"/>
      <c r="AK9" s="1" t="n"/>
      <c r="AL9" s="1" t="n"/>
      <c r="AM9" s="1" t="inlineStr">
        <is>
          <t>sim</t>
        </is>
      </c>
      <c r="AN9" s="1" t="n"/>
      <c r="AO9" s="1" t="n"/>
      <c r="AP9" s="1" t="inlineStr">
        <is>
          <t>PENDÊNCIA: sem peso/dimensões — frete default R$25 (estimado); pesar/medir p/ recotar | DRAFT 21/07: sem peso/dimensões — pesar/medir e reativar p/ subir ao site</t>
        </is>
      </c>
      <c r="AQ9" s="1">
        <f>IF(AND(M9&lt;&gt;"",M9&gt;1),A9&amp;"-KIT"&amp;M9,A9)</f>
        <v/>
      </c>
      <c r="AR9" s="44">
        <f>IF(AND(M9&lt;&gt;"",M9&gt;1),D9&amp;" — Kit "&amp;M9&amp;" unidades",D9)</f>
        <v/>
      </c>
      <c r="AS9" s="28" t="inlineStr">
        <is>
          <t>SEM IMAGEM</t>
        </is>
      </c>
    </row>
    <row r="10">
      <c r="A10" s="1" t="inlineStr">
        <is>
          <t>8031-4009</t>
        </is>
      </c>
      <c r="B10" s="1" t="inlineStr">
        <is>
          <t>8031-4009</t>
        </is>
      </c>
      <c r="C10" s="1" t="inlineStr">
        <is>
          <t>bico-central-45-50</t>
        </is>
      </c>
      <c r="D10" s="1" t="inlineStr">
        <is>
          <t>Bico Central 45/50 - Stara 8031-4009 | Plataforma de Milho Brava</t>
        </is>
      </c>
      <c r="E10" s="1" t="inlineStr">
        <is>
          <t>Peças Plásticas Injetadas</t>
        </is>
      </c>
      <c r="F10" s="1" t="inlineStr">
        <is>
          <t>APP</t>
        </is>
      </c>
      <c r="G10" s="1" t="n"/>
      <c r="H10" s="23" t="inlineStr">
        <is>
          <t>active</t>
        </is>
      </c>
      <c r="I10" s="1" t="inlineStr">
        <is>
          <t>STARA</t>
        </is>
      </c>
      <c r="J10" s="1" t="inlineStr">
        <is>
          <t>COLHEITADEIRA DE MILHO</t>
        </is>
      </c>
      <c r="K10" s="1">
        <f>LOWER(CONCATENATE("Peças Plastica para ",J10," ",D10))</f>
        <v/>
      </c>
      <c r="L10" s="1" t="n"/>
      <c r="M10" s="1" t="n">
        <v>1</v>
      </c>
      <c r="N10" s="18" t="n">
        <v>5</v>
      </c>
      <c r="O10" s="18" t="n">
        <v>4.1</v>
      </c>
      <c r="P10" s="18" t="n">
        <v>39.5</v>
      </c>
      <c r="Q10" s="18" t="n">
        <v>89.40000000000001</v>
      </c>
      <c r="R10" s="18" t="n">
        <v>25.6</v>
      </c>
      <c r="S10" s="78">
        <f>IFERROR(IF(AND(P10&gt;0,Q10&gt;0,R10&gt;0),(P10*Q10*R10)/6000,""),"")</f>
        <v/>
      </c>
      <c r="T10" s="34">
        <f>IFERROR(IF(AND(P10&gt;0,Q10&gt;0,R10&gt;0),(P10*Q10*R10)/6000,""),"")</f>
        <v/>
      </c>
      <c r="U10" s="1">
        <f>IFERROR(IF(AND(O10&gt;0,T10&gt;0),MAX(O10,T10),IF(O10&gt;0,O10,IF(T10&gt;0,T10,""))),"")</f>
        <v/>
      </c>
      <c r="V10" s="71" t="n">
        <v>75.61</v>
      </c>
      <c r="W10" s="1" t="inlineStr">
        <is>
          <t>fornecedor</t>
        </is>
      </c>
      <c r="X10" s="1" t="n">
        <v>156.90996</v>
      </c>
      <c r="Y10" s="39" t="n">
        <v>0.3</v>
      </c>
      <c r="Z10" s="41">
        <f>IFERROR(X10+V10,"")</f>
        <v/>
      </c>
      <c r="AA10" s="41">
        <f>IFERROR(IF(Y10&lt;1,Z10/(1-Y10),""),"")</f>
        <v/>
      </c>
      <c r="AB10" s="43">
        <f>'01_CONFIG_GLOBAL'!$C$14</f>
        <v/>
      </c>
      <c r="AC10" s="41">
        <f>IFERROR(AA10*AB10,"")</f>
        <v/>
      </c>
      <c r="AD10" s="41">
        <f>IFERROR(IF(AB10&lt;1,AA10/(1-AB10),""),"")</f>
        <v/>
      </c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inlineStr">
        <is>
          <t>sim</t>
        </is>
      </c>
      <c r="AN10" s="1" t="n"/>
      <c r="AO10" s="1" t="n"/>
      <c r="AP10" s="1" t="inlineStr">
        <is>
          <t>Fotos: output/fotos_ecommerce_tratemento_v2/STARA_8031-4009_ecommerce.png</t>
        </is>
      </c>
      <c r="AQ10" s="1">
        <f>IF(AND(M10&lt;&gt;"",M10&gt;1),A10&amp;"-KIT"&amp;M10,A10)</f>
        <v/>
      </c>
      <c r="AR10" s="44">
        <f>IF(AND(M10&lt;&gt;"",M10&gt;1),D10&amp;" — Kit "&amp;M10&amp;" unidades",D10)</f>
        <v/>
      </c>
      <c r="AS10" s="28" t="inlineStr">
        <is>
          <t>STARA_8031-4009_ecommerce.png | STARA_8031-4009_ecommerce_2.jpg | STARA_8031-4009_ecommerce_3.png</t>
        </is>
      </c>
    </row>
    <row r="11">
      <c r="A11" s="1" t="inlineStr">
        <is>
          <t>6424-4028</t>
        </is>
      </c>
      <c r="B11" s="1" t="inlineStr">
        <is>
          <t>6424-4028</t>
        </is>
      </c>
      <c r="C11" s="1" t="inlineStr">
        <is>
          <t>bocal-pipoqueira</t>
        </is>
      </c>
      <c r="D11" s="1" t="inlineStr">
        <is>
          <t>Bocal da Pipoqueira - Stara 6424-4028 | Plantadeira Estrela</t>
        </is>
      </c>
      <c r="E11" s="1" t="inlineStr">
        <is>
          <t>Peças Plásticas Injetadas</t>
        </is>
      </c>
      <c r="F11" s="1" t="inlineStr">
        <is>
          <t>APP</t>
        </is>
      </c>
      <c r="G11" s="1" t="n"/>
      <c r="H11" s="23" t="inlineStr">
        <is>
          <t>active</t>
        </is>
      </c>
      <c r="I11" s="1" t="inlineStr">
        <is>
          <t>STARA</t>
        </is>
      </c>
      <c r="J11" s="1" t="inlineStr">
        <is>
          <t>PLANTADEIRA</t>
        </is>
      </c>
      <c r="K11" s="1">
        <f>LOWER(CONCATENATE("Peças Plastica para ",J11," ",D11))</f>
        <v/>
      </c>
      <c r="L11" s="1" t="n"/>
      <c r="M11" s="1" t="n"/>
      <c r="N11" s="18" t="n">
        <v>5</v>
      </c>
      <c r="O11" s="18" t="n">
        <v>0.061</v>
      </c>
      <c r="P11" s="18" t="n">
        <v>8.5</v>
      </c>
      <c r="Q11" s="18" t="n">
        <v>9.5</v>
      </c>
      <c r="R11" s="18" t="n">
        <v>8.199999999999999</v>
      </c>
      <c r="S11" s="78">
        <f>IFERROR(IF(AND(P11&gt;0,Q11&gt;0,R11&gt;0),(P11*Q11*R11)/6000,""),"")</f>
        <v/>
      </c>
      <c r="T11" s="34">
        <f>IFERROR(IF(AND(P11&gt;0,Q11&gt;0,R11&gt;0),(P11*Q11*R11)/6000,""),"")</f>
        <v/>
      </c>
      <c r="U11" s="1">
        <f>IFERROR(IF(AND(O11&gt;0,T11&gt;0),MAX(O11,T11),IF(O11&gt;0,O11,IF(T11&gt;0,T11,""))),"")</f>
        <v/>
      </c>
      <c r="V11" s="71" t="n">
        <v>0.78</v>
      </c>
      <c r="W11" s="1" t="inlineStr">
        <is>
          <t>fornecedor</t>
        </is>
      </c>
      <c r="X11" s="1" t="n">
        <v>6.47082</v>
      </c>
      <c r="Y11" s="39" t="n">
        <v>0.3</v>
      </c>
      <c r="Z11" s="41">
        <f>IFERROR(X11+V11,"")</f>
        <v/>
      </c>
      <c r="AA11" s="41">
        <f>IFERROR(IF(Y11&lt;1,Z11/(1-Y11),""),"")</f>
        <v/>
      </c>
      <c r="AB11" s="43">
        <f>'01_CONFIG_GLOBAL'!$C$14</f>
        <v/>
      </c>
      <c r="AC11" s="41">
        <f>IFERROR(AA11*AB11,"")</f>
        <v/>
      </c>
      <c r="AD11" s="41">
        <f>IFERROR(IF(AB11&lt;1,AA11/(1-AB11),""),"")</f>
        <v/>
      </c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inlineStr">
        <is>
          <t>sim</t>
        </is>
      </c>
      <c r="AN11" s="1" t="n"/>
      <c r="AO11" s="1" t="n"/>
      <c r="AP11" s="1" t="inlineStr">
        <is>
          <t>Fotos: output/fotos_ecommerce_tratemento_v2/STARA_6424-4028_ecommerce_1.png; output/fotos_ecommerce_tratemento_v2/STARA_6424-4028_ecommerce_2.png | frete rateado p/ lote 50 (caixa estimada 35.0cm³: R$38.92/50) — antes R$16.74</t>
        </is>
      </c>
      <c r="AQ11" s="1">
        <f>IF(AND(M11&lt;&gt;"",M11&gt;1),A11&amp;"-KIT"&amp;M11,A11)</f>
        <v/>
      </c>
      <c r="AR11" s="44">
        <f>IF(AND(M11&lt;&gt;"",M11&gt;1),D11&amp;" — Kit "&amp;M11&amp;" unidades",D11)</f>
        <v/>
      </c>
      <c r="AS11" s="28" t="inlineStr">
        <is>
          <t>STARA_6424-4028_ecommerce_1.png | STARA_6424-4028_ecommerce_2.png</t>
        </is>
      </c>
    </row>
    <row r="12">
      <c r="A12" s="1" t="inlineStr">
        <is>
          <t>6424-4026</t>
        </is>
      </c>
      <c r="B12" s="1" t="inlineStr">
        <is>
          <t>6424-4026</t>
        </is>
      </c>
      <c r="C12" s="1" t="inlineStr">
        <is>
          <t>conexao-mangueira-sementes</t>
        </is>
      </c>
      <c r="D12" s="1" t="inlineStr">
        <is>
          <t>Conexão da Mangueira de Sementes - Stara 6424-4026 | Plantadeira Estrela</t>
        </is>
      </c>
      <c r="E12" s="1" t="inlineStr">
        <is>
          <t>Peças Plásticas Injetadas</t>
        </is>
      </c>
      <c r="F12" s="1" t="inlineStr">
        <is>
          <t>APP</t>
        </is>
      </c>
      <c r="G12" s="1" t="n"/>
      <c r="H12" s="23" t="inlineStr">
        <is>
          <t>active</t>
        </is>
      </c>
      <c r="I12" s="1" t="inlineStr">
        <is>
          <t>STARA</t>
        </is>
      </c>
      <c r="J12" s="1" t="inlineStr">
        <is>
          <t>PLANTADEIRA</t>
        </is>
      </c>
      <c r="K12" s="1">
        <f>LOWER(CONCATENATE("Peças Plastica para ",J12," ",D12))</f>
        <v/>
      </c>
      <c r="L12" s="1" t="n"/>
      <c r="M12" s="1" t="n">
        <v>1</v>
      </c>
      <c r="N12" s="18" t="n">
        <v>5</v>
      </c>
      <c r="O12" s="18" t="n">
        <v>0.031</v>
      </c>
      <c r="P12" s="18" t="n">
        <v>6.2</v>
      </c>
      <c r="Q12" s="18" t="n">
        <v>6.2</v>
      </c>
      <c r="R12" s="18" t="n">
        <v>6.6</v>
      </c>
      <c r="S12" s="78">
        <f>IFERROR(IF(AND(P12&gt;0,Q12&gt;0,R12&gt;0),(P12*Q12*R12)/6000,""),"")</f>
        <v/>
      </c>
      <c r="T12" s="34">
        <f>IFERROR(IF(AND(P12&gt;0,Q12&gt;0,R12&gt;0),(P12*Q12*R12)/6000,""),"")</f>
        <v/>
      </c>
      <c r="U12" s="1">
        <f>IFERROR(IF(AND(O12&gt;0,T12&gt;0),MAX(O12,T12),IF(O12&gt;0,O12,IF(T12&gt;0,T12,""))),"")</f>
        <v/>
      </c>
      <c r="V12" s="71" t="n">
        <v>0.52</v>
      </c>
      <c r="W12" s="1" t="inlineStr">
        <is>
          <t>fornecedor</t>
        </is>
      </c>
      <c r="X12" s="1" t="n">
        <v>3.96198</v>
      </c>
      <c r="Y12" s="39" t="n">
        <v>0.3</v>
      </c>
      <c r="Z12" s="41">
        <f>IFERROR(X12+V12,"")</f>
        <v/>
      </c>
      <c r="AA12" s="41">
        <f>IFERROR(IF(Y12&lt;1,Z12/(1-Y12),""),"")</f>
        <v/>
      </c>
      <c r="AB12" s="43">
        <f>'01_CONFIG_GLOBAL'!$C$14</f>
        <v/>
      </c>
      <c r="AC12" s="41">
        <f>IFERROR(AA12*AB12,"")</f>
        <v/>
      </c>
      <c r="AD12" s="41">
        <f>IFERROR(IF(AB12&lt;1,AA12/(1-AB12),""),"")</f>
        <v/>
      </c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inlineStr">
        <is>
          <t>sim</t>
        </is>
      </c>
      <c r="AN12" s="1" t="n"/>
      <c r="AO12" s="1" t="n"/>
      <c r="AP12" s="1" t="inlineStr">
        <is>
          <t>Fotos: output/fotos_ecommerce_tratemento_v2/STARA_6424-4026_ecommerce.png</t>
        </is>
      </c>
      <c r="AQ12" s="1">
        <f>IF(AND(M12&lt;&gt;"",M12&gt;1),A12&amp;"-KIT"&amp;M12,A12)</f>
        <v/>
      </c>
      <c r="AR12" s="44">
        <f>IF(AND(M12&lt;&gt;"",M12&gt;1),D12&amp;" — Kit "&amp;M12&amp;" unidades",D12)</f>
        <v/>
      </c>
      <c r="AS12" s="28" t="inlineStr">
        <is>
          <t>STARA_6424-4026_ecommerce.png</t>
        </is>
      </c>
    </row>
    <row r="13">
      <c r="A13" s="1" t="inlineStr">
        <is>
          <t>6424-4026</t>
        </is>
      </c>
      <c r="B13" s="1" t="inlineStr">
        <is>
          <t>6424-4026</t>
        </is>
      </c>
      <c r="C13" s="1" t="inlineStr">
        <is>
          <t>conexao-mangueira-sementes</t>
        </is>
      </c>
      <c r="D13" s="1" t="inlineStr">
        <is>
          <t>Conexão da Mangueira de Sementes - Kit 50 Unidades - Stara 6424-4026</t>
        </is>
      </c>
      <c r="E13" s="1" t="inlineStr">
        <is>
          <t>Peças Plásticas Injetadas</t>
        </is>
      </c>
      <c r="F13" s="1" t="inlineStr">
        <is>
          <t>APP</t>
        </is>
      </c>
      <c r="G13" s="1" t="n"/>
      <c r="H13" s="23" t="inlineStr">
        <is>
          <t>active</t>
        </is>
      </c>
      <c r="I13" s="1" t="inlineStr">
        <is>
          <t>STARA</t>
        </is>
      </c>
      <c r="J13" s="1" t="inlineStr">
        <is>
          <t>PLANTADEIRA</t>
        </is>
      </c>
      <c r="K13" s="1">
        <f>LOWER(CONCATENATE("Peças Plastica para ",J13," ",D13))</f>
        <v/>
      </c>
      <c r="L13" s="1" t="n"/>
      <c r="M13" s="1" t="n">
        <v>50</v>
      </c>
      <c r="N13" s="18" t="n">
        <v>5</v>
      </c>
      <c r="O13" s="18">
        <f>O12*M13</f>
        <v/>
      </c>
      <c r="P13" s="18" t="n">
        <v>35</v>
      </c>
      <c r="Q13" s="18" t="n">
        <v>35</v>
      </c>
      <c r="R13" s="18" t="n">
        <v>15</v>
      </c>
      <c r="S13" s="78">
        <f>IFERROR(IF(AND(P13&gt;0,Q13&gt;0,R13&gt;0),(P13*Q13*R13)/6000,""),"")</f>
        <v/>
      </c>
      <c r="T13" s="34">
        <f>IFERROR(IF(AND(P13&gt;0,Q13&gt;0,R13&gt;0),(P13*Q13*R13)/6000,""),"")</f>
        <v/>
      </c>
      <c r="U13" s="1">
        <f>IFERROR(IF(AND(O13&gt;0,T13&gt;0),MAX(O13,T13),IF(O13&gt;0,O13,IF(T13&gt;0,T13,""))),"")</f>
        <v/>
      </c>
      <c r="V13" s="71" t="n">
        <v>26.04</v>
      </c>
      <c r="W13" s="1" t="inlineStr">
        <is>
          <t>fornecedor</t>
        </is>
      </c>
      <c r="X13" s="1">
        <f>X12*M13</f>
        <v/>
      </c>
      <c r="Y13" s="39">
        <f>Y12</f>
        <v/>
      </c>
      <c r="Z13" s="41">
        <f>IFERROR(X13+V13,"")</f>
        <v/>
      </c>
      <c r="AA13" s="41">
        <f>IFERROR(IF(Y13&lt;1,Z13/(1-Y13),""),"")</f>
        <v/>
      </c>
      <c r="AB13" s="43">
        <f>'01_CONFIG_GLOBAL'!$C$14</f>
        <v/>
      </c>
      <c r="AC13" s="41">
        <f>IFERROR(AA13*AB13,"")</f>
        <v/>
      </c>
      <c r="AD13" s="41">
        <f>IFERROR(IF(AB13&lt;1,AA13/(1-AB13),""),"")</f>
        <v/>
      </c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inlineStr">
        <is>
          <t>sim</t>
        </is>
      </c>
      <c r="AN13" s="1" t="n"/>
      <c r="AO13" s="1" t="n"/>
      <c r="AP13" s="1" t="n"/>
      <c r="AQ13" s="1">
        <f>IF(AND(M13&lt;&gt;"",M13&gt;1),A13&amp;"-KIT"&amp;M13,A13)</f>
        <v/>
      </c>
      <c r="AR13" s="44">
        <f>IF(AND(M13&lt;&gt;"",M13&gt;1),D13&amp;" — Kit "&amp;M13&amp;" unidades",D13)</f>
        <v/>
      </c>
      <c r="AS13" s="28" t="inlineStr">
        <is>
          <t>STARA_6424-4026_ecommerce.png</t>
        </is>
      </c>
    </row>
    <row r="14">
      <c r="A14" s="1" t="inlineStr">
        <is>
          <t>8031-4010</t>
        </is>
      </c>
      <c r="B14" s="1" t="inlineStr">
        <is>
          <t>8031-4010</t>
        </is>
      </c>
      <c r="C14" s="1" t="inlineStr">
        <is>
          <t>carenagem-central</t>
        </is>
      </c>
      <c r="D14" s="1" t="inlineStr">
        <is>
          <t>Carenagem Central - Stara 8031-4010 | Plataforma de Milho Brava</t>
        </is>
      </c>
      <c r="E14" s="1" t="inlineStr">
        <is>
          <t>Peças Plásticas Injetadas</t>
        </is>
      </c>
      <c r="F14" s="1" t="inlineStr">
        <is>
          <t>APP</t>
        </is>
      </c>
      <c r="G14" s="1" t="n"/>
      <c r="H14" s="23" t="inlineStr">
        <is>
          <t>active</t>
        </is>
      </c>
      <c r="I14" s="1" t="inlineStr">
        <is>
          <t>STARA</t>
        </is>
      </c>
      <c r="J14" s="1" t="inlineStr">
        <is>
          <t>COLHEITADEIRA DE MILHO</t>
        </is>
      </c>
      <c r="K14" s="1">
        <f>LOWER(CONCATENATE("Peças Plastica para ",J14," ",D14))</f>
        <v/>
      </c>
      <c r="L14" s="1" t="n"/>
      <c r="M14" s="1" t="n">
        <v>1</v>
      </c>
      <c r="N14" s="18" t="n">
        <v>5</v>
      </c>
      <c r="O14" s="18" t="n">
        <v>4.1</v>
      </c>
      <c r="P14" s="18" t="n">
        <v>24</v>
      </c>
      <c r="Q14" s="18" t="n">
        <v>84</v>
      </c>
      <c r="R14" s="18" t="n">
        <v>35.8</v>
      </c>
      <c r="S14" s="78">
        <f>IFERROR(IF(AND(P14&gt;0,Q14&gt;0,R14&gt;0),(P14*Q14*R14)/6000,""),"")</f>
        <v/>
      </c>
      <c r="T14" s="34">
        <f>IFERROR(IF(AND(P14&gt;0,Q14&gt;0,R14&gt;0),(P14*Q14*R14)/6000,""),"")</f>
        <v/>
      </c>
      <c r="U14" s="1">
        <f>IFERROR(IF(AND(O14&gt;0,T14&gt;0),MAX(O14,T14),IF(O14&gt;0,O14,IF(T14&gt;0,T14,""))),"")</f>
        <v/>
      </c>
      <c r="V14" s="71" t="n">
        <v>62.78</v>
      </c>
      <c r="W14" s="1" t="inlineStr">
        <is>
          <t>fornecedor</t>
        </is>
      </c>
      <c r="X14" s="1" t="n">
        <v>160.38</v>
      </c>
      <c r="Y14" s="39" t="n">
        <v>0.3</v>
      </c>
      <c r="Z14" s="41">
        <f>IFERROR(X14+V14,"")</f>
        <v/>
      </c>
      <c r="AA14" s="41">
        <f>IFERROR(IF(Y14&lt;1,Z14/(1-Y14),""),"")</f>
        <v/>
      </c>
      <c r="AB14" s="43">
        <f>'01_CONFIG_GLOBAL'!$C$14</f>
        <v/>
      </c>
      <c r="AC14" s="41">
        <f>IFERROR(AA14*AB14,"")</f>
        <v/>
      </c>
      <c r="AD14" s="41">
        <f>IFERROR(IF(AB14&lt;1,AA14/(1-AB14),""),"")</f>
        <v/>
      </c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inlineStr">
        <is>
          <t>sim</t>
        </is>
      </c>
      <c r="AN14" s="1" t="n"/>
      <c r="AO14" s="1" t="n"/>
      <c r="AP14" s="1" t="inlineStr">
        <is>
          <t>Fotos: output/fotos_ecommerce_tratemento_v2/STARA_8031-4010_ecommerce.png</t>
        </is>
      </c>
      <c r="AQ14" s="1">
        <f>IF(AND(M14&lt;&gt;"",M14&gt;1),A14&amp;"-KIT"&amp;M14,A14)</f>
        <v/>
      </c>
      <c r="AR14" s="44">
        <f>IF(AND(M14&lt;&gt;"",M14&gt;1),D14&amp;" — Kit "&amp;M14&amp;" unidades",D14)</f>
        <v/>
      </c>
      <c r="AS14" s="28" t="inlineStr">
        <is>
          <t>STARA_8031-4010_ecommerce.png</t>
        </is>
      </c>
    </row>
    <row r="15" hidden="1" s="93">
      <c r="A15" s="1" t="inlineStr">
        <is>
          <t>6426-1113</t>
        </is>
      </c>
      <c r="B15" s="1" t="inlineStr">
        <is>
          <t>6426-1113</t>
        </is>
      </c>
      <c r="C15" s="1" t="inlineStr">
        <is>
          <t>barra-guia-pantografos</t>
        </is>
      </c>
      <c r="D15" s="1" t="inlineStr">
        <is>
          <t>Barra Guia dos Pantógrafos - Stara 6426-1113 | Plantadeira</t>
        </is>
      </c>
      <c r="E15" s="1" t="inlineStr">
        <is>
          <t>Peças Plásticas Injetadas</t>
        </is>
      </c>
      <c r="F15" s="1" t="inlineStr">
        <is>
          <t>APP</t>
        </is>
      </c>
      <c r="G15" s="1" t="n"/>
      <c r="H15" s="23" t="inlineStr">
        <is>
          <t>draft</t>
        </is>
      </c>
      <c r="I15" s="1" t="inlineStr">
        <is>
          <t>STARA</t>
        </is>
      </c>
      <c r="J15" s="1" t="inlineStr">
        <is>
          <t>PLANTADEIRA</t>
        </is>
      </c>
      <c r="K15" s="1">
        <f>LOWER(CONCATENATE("Peças Plastica para ",J15," ",D15))</f>
        <v/>
      </c>
      <c r="L15" s="1" t="n"/>
      <c r="M15" s="1" t="n"/>
      <c r="N15" s="18" t="n">
        <v>5</v>
      </c>
      <c r="O15" s="18" t="n"/>
      <c r="P15" s="18" t="n">
        <v>0</v>
      </c>
      <c r="Q15" s="18" t="n">
        <v>0</v>
      </c>
      <c r="R15" s="18" t="n">
        <v>0</v>
      </c>
      <c r="S15" s="78">
        <f>IFERROR(IF(AND(P15&gt;0,Q15&gt;0,R15&gt;0),(P15*Q15*R15)/6000,""),"")</f>
        <v/>
      </c>
      <c r="T15" s="34">
        <f>IFERROR(IF(AND(P15&gt;0,Q15&gt;0,R15&gt;0),(P15*Q15*R15)/6000,""),"")</f>
        <v/>
      </c>
      <c r="U15" s="1">
        <f>IFERROR(IF(AND(O15&gt;0,T15&gt;0),MAX(O15,T15),IF(O15&gt;0,O15,IF(T15&gt;0,T15,""))),"")</f>
        <v/>
      </c>
      <c r="V15" s="71" t="n">
        <v>25</v>
      </c>
      <c r="W15" s="1" t="inlineStr">
        <is>
          <t>fornecedor</t>
        </is>
      </c>
      <c r="X15" s="1" t="n">
        <v>3.5397</v>
      </c>
      <c r="Y15" s="39" t="n">
        <v>0.3</v>
      </c>
      <c r="Z15" s="41">
        <f>IFERROR(X15+V15,"")</f>
        <v/>
      </c>
      <c r="AA15" s="41">
        <f>IFERROR(IF(Y15&lt;1,Z15/(1-Y15),""),"")</f>
        <v/>
      </c>
      <c r="AB15" s="43">
        <f>'01_CONFIG_GLOBAL'!$C$14</f>
        <v/>
      </c>
      <c r="AC15" s="41">
        <f>IFERROR(AA15*AB15,"")</f>
        <v/>
      </c>
      <c r="AD15" s="41">
        <f>IFERROR(IF(AB15&lt;1,AA15/(1-AB15),""),"")</f>
        <v/>
      </c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inlineStr">
        <is>
          <t>sim</t>
        </is>
      </c>
      <c r="AN15" s="1" t="n"/>
      <c r="AO15" s="1" t="n"/>
      <c r="AP15" s="1" t="inlineStr">
        <is>
          <t>PENDÊNCIA: sem peso/dimensões — frete default R$25 (estimado); pesar/medir p/ recotar | DRAFT 21/07: sem peso/dimensões — pesar/medir e reativar p/ subir ao site</t>
        </is>
      </c>
      <c r="AQ15" s="1">
        <f>IF(AND(M15&lt;&gt;"",M15&gt;1),A15&amp;"-KIT"&amp;M15,A15)</f>
        <v/>
      </c>
      <c r="AR15" s="44">
        <f>IF(AND(M15&lt;&gt;"",M15&gt;1),D15&amp;" — Kit "&amp;M15&amp;" unidades",D15)</f>
        <v/>
      </c>
      <c r="AS15" s="28" t="inlineStr">
        <is>
          <t>SEM IMAGEM</t>
        </is>
      </c>
    </row>
    <row r="16" hidden="1" s="93">
      <c r="A16" s="1" t="inlineStr">
        <is>
          <t>6445-4035</t>
        </is>
      </c>
      <c r="B16" s="1" t="inlineStr">
        <is>
          <t>6445-4035</t>
        </is>
      </c>
      <c r="C16" s="1" t="inlineStr">
        <is>
          <t>base-escova-superior</t>
        </is>
      </c>
      <c r="D16" s="1" t="inlineStr">
        <is>
          <t>Base da Escova Superior - Stara 6445-4035 | Plantadeira</t>
        </is>
      </c>
      <c r="E16" s="1" t="inlineStr">
        <is>
          <t>Peças Plásticas Injetadas</t>
        </is>
      </c>
      <c r="F16" s="1" t="inlineStr">
        <is>
          <t>APP</t>
        </is>
      </c>
      <c r="G16" s="1" t="n"/>
      <c r="H16" s="23" t="inlineStr">
        <is>
          <t>draft</t>
        </is>
      </c>
      <c r="I16" s="1" t="inlineStr">
        <is>
          <t>STARA</t>
        </is>
      </c>
      <c r="J16" s="1" t="inlineStr">
        <is>
          <t>PLANTADEIRA</t>
        </is>
      </c>
      <c r="K16" s="1">
        <f>LOWER(CONCATENATE("Peças Plastica para ",J16," ",D16))</f>
        <v/>
      </c>
      <c r="L16" s="1" t="n"/>
      <c r="M16" s="1" t="n"/>
      <c r="N16" s="18" t="n">
        <v>5</v>
      </c>
      <c r="O16" s="18" t="n"/>
      <c r="P16" s="18" t="n">
        <v>0</v>
      </c>
      <c r="Q16" s="18" t="n">
        <v>0</v>
      </c>
      <c r="R16" s="18" t="n">
        <v>0</v>
      </c>
      <c r="S16" s="78">
        <f>IFERROR(IF(AND(P16&gt;0,Q16&gt;0,R16&gt;0),(P16*Q16*R16)/6000,""),"")</f>
        <v/>
      </c>
      <c r="T16" s="34">
        <f>IFERROR(IF(AND(P16&gt;0,Q16&gt;0,R16&gt;0),(P16*Q16*R16)/6000,""),"")</f>
        <v/>
      </c>
      <c r="U16" s="1">
        <f>IFERROR(IF(AND(O16&gt;0,T16&gt;0),MAX(O16,T16),IF(O16&gt;0,O16,IF(T16&gt;0,T16,""))),"")</f>
        <v/>
      </c>
      <c r="V16" s="71" t="n">
        <v>25</v>
      </c>
      <c r="W16" s="1" t="inlineStr">
        <is>
          <t>fornecedor</t>
        </is>
      </c>
      <c r="X16" s="1" t="n">
        <v>0.5589</v>
      </c>
      <c r="Y16" s="39" t="n">
        <v>0.3</v>
      </c>
      <c r="Z16" s="41">
        <f>IFERROR(X16+V16,"")</f>
        <v/>
      </c>
      <c r="AA16" s="41">
        <f>IFERROR(IF(Y16&lt;1,Z16/(1-Y16),""),"")</f>
        <v/>
      </c>
      <c r="AB16" s="43">
        <f>'01_CONFIG_GLOBAL'!$C$14</f>
        <v/>
      </c>
      <c r="AC16" s="41">
        <f>IFERROR(AA16*AB16,"")</f>
        <v/>
      </c>
      <c r="AD16" s="41">
        <f>IFERROR(IF(AB16&lt;1,AA16/(1-AB16),""),"")</f>
        <v/>
      </c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inlineStr">
        <is>
          <t>sim</t>
        </is>
      </c>
      <c r="AN16" s="1" t="n"/>
      <c r="AO16" s="1" t="n"/>
      <c r="AP16" s="1" t="inlineStr">
        <is>
          <t>PENDÊNCIA: sem peso/dimensões — frete default R$25 (estimado); pesar/medir p/ recotar | DRAFT 21/07: sem peso/dimensões — pesar/medir e reativar p/ subir ao site</t>
        </is>
      </c>
      <c r="AQ16" s="1">
        <f>IF(AND(M16&lt;&gt;"",M16&gt;1),A16&amp;"-KIT"&amp;M16,A16)</f>
        <v/>
      </c>
      <c r="AR16" s="44">
        <f>IF(AND(M16&lt;&gt;"",M16&gt;1),D16&amp;" — Kit "&amp;M16&amp;" unidades",D16)</f>
        <v/>
      </c>
      <c r="AS16" s="28" t="inlineStr">
        <is>
          <t>SEM IMAGEM</t>
        </is>
      </c>
    </row>
    <row r="17" hidden="1" s="93">
      <c r="A17" s="1" t="inlineStr">
        <is>
          <t>6445-4041</t>
        </is>
      </c>
      <c r="B17" s="1" t="inlineStr">
        <is>
          <t>6445-4041</t>
        </is>
      </c>
      <c r="C17" s="1" t="inlineStr">
        <is>
          <t>base-comporta</t>
        </is>
      </c>
      <c r="D17" s="1" t="inlineStr">
        <is>
          <t>Base da Comporta - Stara 6445-4041 | Plantadeira</t>
        </is>
      </c>
      <c r="E17" s="1" t="inlineStr">
        <is>
          <t>Peças Plásticas Injetadas</t>
        </is>
      </c>
      <c r="F17" s="1" t="inlineStr">
        <is>
          <t>APP</t>
        </is>
      </c>
      <c r="G17" s="1" t="n"/>
      <c r="H17" s="23" t="inlineStr">
        <is>
          <t>draft</t>
        </is>
      </c>
      <c r="I17" s="1" t="inlineStr">
        <is>
          <t>STARA</t>
        </is>
      </c>
      <c r="J17" s="1" t="inlineStr">
        <is>
          <t>PLANTADEIRA</t>
        </is>
      </c>
      <c r="K17" s="1">
        <f>LOWER(CONCATENATE("Peças Plastica para ",J17," ",D17))</f>
        <v/>
      </c>
      <c r="L17" s="1" t="n"/>
      <c r="M17" s="1" t="n"/>
      <c r="N17" s="18" t="n">
        <v>5</v>
      </c>
      <c r="O17" s="18" t="n"/>
      <c r="P17" s="18" t="n">
        <v>0</v>
      </c>
      <c r="Q17" s="18" t="n">
        <v>0</v>
      </c>
      <c r="R17" s="18" t="n">
        <v>0</v>
      </c>
      <c r="S17" s="78">
        <f>IFERROR(IF(AND(P17&gt;0,Q17&gt;0,R17&gt;0),(P17*Q17*R17)/6000,""),"")</f>
        <v/>
      </c>
      <c r="T17" s="34">
        <f>IFERROR(IF(AND(P17&gt;0,Q17&gt;0,R17&gt;0),(P17*Q17*R17)/6000,""),"")</f>
        <v/>
      </c>
      <c r="U17" s="1">
        <f>IFERROR(IF(AND(O17&gt;0,T17&gt;0),MAX(O17,T17),IF(O17&gt;0,O17,IF(T17&gt;0,T17,""))),"")</f>
        <v/>
      </c>
      <c r="V17" s="71" t="n">
        <v>25</v>
      </c>
      <c r="W17" s="1" t="inlineStr">
        <is>
          <t>fornecedor</t>
        </is>
      </c>
      <c r="X17" s="1" t="n">
        <v>0.84456</v>
      </c>
      <c r="Y17" s="39" t="n">
        <v>0.3</v>
      </c>
      <c r="Z17" s="41">
        <f>IFERROR(X17+V17,"")</f>
        <v/>
      </c>
      <c r="AA17" s="41">
        <f>IFERROR(IF(Y17&lt;1,Z17/(1-Y17),""),"")</f>
        <v/>
      </c>
      <c r="AB17" s="43">
        <f>'01_CONFIG_GLOBAL'!$C$14</f>
        <v/>
      </c>
      <c r="AC17" s="41">
        <f>IFERROR(AA17*AB17,"")</f>
        <v/>
      </c>
      <c r="AD17" s="41">
        <f>IFERROR(IF(AB17&lt;1,AA17/(1-AB17),""),"")</f>
        <v/>
      </c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inlineStr">
        <is>
          <t>sim</t>
        </is>
      </c>
      <c r="AN17" s="1" t="n"/>
      <c r="AO17" s="1" t="n"/>
      <c r="AP17" s="1" t="inlineStr">
        <is>
          <t>PENDÊNCIA: sem peso/dimensões — frete default R$25 (estimado); pesar/medir p/ recotar | DRAFT 21/07: sem peso/dimensões — pesar/medir e reativar p/ subir ao site</t>
        </is>
      </c>
      <c r="AQ17" s="1">
        <f>IF(AND(M17&lt;&gt;"",M17&gt;1),A17&amp;"-KIT"&amp;M17,A17)</f>
        <v/>
      </c>
      <c r="AR17" s="44">
        <f>IF(AND(M17&lt;&gt;"",M17&gt;1),D17&amp;" — Kit "&amp;M17&amp;" unidades",D17)</f>
        <v/>
      </c>
      <c r="AS17" s="28" t="inlineStr">
        <is>
          <t>SEM IMAGEM</t>
        </is>
      </c>
    </row>
    <row r="18" hidden="1" s="93">
      <c r="A18" s="1" t="inlineStr">
        <is>
          <t>7310-5946</t>
        </is>
      </c>
      <c r="B18" s="1" t="inlineStr">
        <is>
          <t>7310-5946</t>
        </is>
      </c>
      <c r="C18" s="1" t="inlineStr">
        <is>
          <t>suporte-display-topper-5500</t>
        </is>
      </c>
      <c r="D18" s="1" t="inlineStr">
        <is>
          <t>Suporte do Display Topper 5500 - Stara 7310-5946 | Trator</t>
        </is>
      </c>
      <c r="E18" s="1" t="inlineStr">
        <is>
          <t>Peças Plásticas Injetadas</t>
        </is>
      </c>
      <c r="F18" s="1" t="inlineStr">
        <is>
          <t>APP</t>
        </is>
      </c>
      <c r="G18" s="1" t="n"/>
      <c r="H18" s="23" t="inlineStr">
        <is>
          <t>draft</t>
        </is>
      </c>
      <c r="I18" s="1" t="inlineStr">
        <is>
          <t>STARA</t>
        </is>
      </c>
      <c r="J18" s="1" t="inlineStr">
        <is>
          <t>TRATOR</t>
        </is>
      </c>
      <c r="K18" s="1">
        <f>LOWER(CONCATENATE("Peças Plastica para ",J18," ",D18))</f>
        <v/>
      </c>
      <c r="L18" s="1" t="n"/>
      <c r="M18" s="1" t="n"/>
      <c r="N18" s="18" t="n">
        <v>5</v>
      </c>
      <c r="O18" s="18" t="n"/>
      <c r="P18" s="18" t="n">
        <v>0</v>
      </c>
      <c r="Q18" s="18" t="n">
        <v>0</v>
      </c>
      <c r="R18" s="18" t="n">
        <v>0</v>
      </c>
      <c r="S18" s="78">
        <f>IFERROR(IF(AND(P18&gt;0,Q18&gt;0,R18&gt;0),(P18*Q18*R18)/6000,""),"")</f>
        <v/>
      </c>
      <c r="T18" s="34">
        <f>IFERROR(IF(AND(P18&gt;0,Q18&gt;0,R18&gt;0),(P18*Q18*R18)/6000,""),"")</f>
        <v/>
      </c>
      <c r="U18" s="1">
        <f>IFERROR(IF(AND(O18&gt;0,T18&gt;0),MAX(O18,T18),IF(O18&gt;0,O18,IF(T18&gt;0,T18,""))),"")</f>
        <v/>
      </c>
      <c r="V18" s="71" t="n">
        <v>25</v>
      </c>
      <c r="W18" s="1" t="inlineStr">
        <is>
          <t>fornecedor</t>
        </is>
      </c>
      <c r="X18" s="1" t="n">
        <v>8.91756</v>
      </c>
      <c r="Y18" s="39" t="n">
        <v>0.3</v>
      </c>
      <c r="Z18" s="41">
        <f>IFERROR(X18+V18,"")</f>
        <v/>
      </c>
      <c r="AA18" s="41">
        <f>IFERROR(IF(Y18&lt;1,Z18/(1-Y18),""),"")</f>
        <v/>
      </c>
      <c r="AB18" s="43">
        <f>'01_CONFIG_GLOBAL'!$C$14</f>
        <v/>
      </c>
      <c r="AC18" s="41">
        <f>IFERROR(AA18*AB18,"")</f>
        <v/>
      </c>
      <c r="AD18" s="41">
        <f>IFERROR(IF(AB18&lt;1,AA18/(1-AB18),""),"")</f>
        <v/>
      </c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inlineStr">
        <is>
          <t>sim</t>
        </is>
      </c>
      <c r="AN18" s="1" t="n"/>
      <c r="AO18" s="1" t="n"/>
      <c r="AP18" s="1" t="inlineStr">
        <is>
          <t>PENDÊNCIA: sem peso/dimensões — frete default R$25 (estimado); pesar/medir p/ recotar | DRAFT 21/07: sem peso/dimensões — pesar/medir e reativar p/ subir ao site</t>
        </is>
      </c>
      <c r="AQ18" s="1">
        <f>IF(AND(M18&lt;&gt;"",M18&gt;1),A18&amp;"-KIT"&amp;M18,A18)</f>
        <v/>
      </c>
      <c r="AR18" s="44">
        <f>IF(AND(M18&lt;&gt;"",M18&gt;1),D18&amp;" — Kit "&amp;M18&amp;" unidades",D18)</f>
        <v/>
      </c>
      <c r="AS18" s="28" t="inlineStr">
        <is>
          <t>SEM IMAGEM</t>
        </is>
      </c>
    </row>
    <row r="19" hidden="1" s="93">
      <c r="A19" s="1" t="inlineStr">
        <is>
          <t>7920-4426</t>
        </is>
      </c>
      <c r="B19" s="1" t="inlineStr">
        <is>
          <t>7920-4426</t>
        </is>
      </c>
      <c r="C19" s="1" t="inlineStr">
        <is>
          <t>tampa-abs-gabinete-ecu-light-control</t>
        </is>
      </c>
      <c r="D19" s="1" t="inlineStr">
        <is>
          <t>Tampa ABS do Gabinete ECU Light Control - Stara 7920-4426 | Trator</t>
        </is>
      </c>
      <c r="E19" s="1" t="inlineStr">
        <is>
          <t>Peças Plásticas Injetadas</t>
        </is>
      </c>
      <c r="F19" s="1" t="inlineStr">
        <is>
          <t>APP</t>
        </is>
      </c>
      <c r="G19" s="1" t="n"/>
      <c r="H19" s="23" t="inlineStr">
        <is>
          <t>draft</t>
        </is>
      </c>
      <c r="I19" s="1" t="inlineStr">
        <is>
          <t>STARA</t>
        </is>
      </c>
      <c r="J19" s="1" t="inlineStr">
        <is>
          <t>TRATOR</t>
        </is>
      </c>
      <c r="K19" s="1">
        <f>LOWER(CONCATENATE("Peças Plastica para ",J19," ",D19))</f>
        <v/>
      </c>
      <c r="L19" s="1" t="n"/>
      <c r="M19" s="1" t="n"/>
      <c r="N19" s="18" t="n">
        <v>5</v>
      </c>
      <c r="O19" s="18" t="n"/>
      <c r="P19" s="18" t="n">
        <v>0</v>
      </c>
      <c r="Q19" s="18" t="n">
        <v>0</v>
      </c>
      <c r="R19" s="18" t="n">
        <v>0</v>
      </c>
      <c r="S19" s="78">
        <f>IFERROR(IF(AND(P19&gt;0,Q19&gt;0,R19&gt;0),(P19*Q19*R19)/6000,""),"")</f>
        <v/>
      </c>
      <c r="T19" s="34">
        <f>IFERROR(IF(AND(P19&gt;0,Q19&gt;0,R19&gt;0),(P19*Q19*R19)/6000,""),"")</f>
        <v/>
      </c>
      <c r="U19" s="1">
        <f>IFERROR(IF(AND(O19&gt;0,T19&gt;0),MAX(O19,T19),IF(O19&gt;0,O19,IF(T19&gt;0,T19,""))),"")</f>
        <v/>
      </c>
      <c r="V19" s="71" t="n">
        <v>25</v>
      </c>
      <c r="W19" s="1" t="inlineStr">
        <is>
          <t>fornecedor</t>
        </is>
      </c>
      <c r="X19" s="1" t="n">
        <v>1.387314</v>
      </c>
      <c r="Y19" s="39" t="n">
        <v>0.3</v>
      </c>
      <c r="Z19" s="41">
        <f>IFERROR(X19+V19,"")</f>
        <v/>
      </c>
      <c r="AA19" s="41">
        <f>IFERROR(IF(Y19&lt;1,Z19/(1-Y19),""),"")</f>
        <v/>
      </c>
      <c r="AB19" s="43">
        <f>'01_CONFIG_GLOBAL'!$C$14</f>
        <v/>
      </c>
      <c r="AC19" s="41">
        <f>IFERROR(AA19*AB19,"")</f>
        <v/>
      </c>
      <c r="AD19" s="41">
        <f>IFERROR(IF(AB19&lt;1,AA19/(1-AB19),""),"")</f>
        <v/>
      </c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inlineStr">
        <is>
          <t>sim</t>
        </is>
      </c>
      <c r="AN19" s="1" t="n"/>
      <c r="AO19" s="1" t="n"/>
      <c r="AP19" s="1" t="inlineStr">
        <is>
          <t>PENDÊNCIA: sem peso/dimensões — frete default R$25 (estimado); pesar/medir p/ recotar | DRAFT 21/07: sem peso/dimensões — pesar/medir e reativar p/ subir ao site</t>
        </is>
      </c>
      <c r="AQ19" s="1">
        <f>IF(AND(M19&lt;&gt;"",M19&gt;1),A19&amp;"-KIT"&amp;M19,A19)</f>
        <v/>
      </c>
      <c r="AR19" s="44">
        <f>IF(AND(M19&lt;&gt;"",M19&gt;1),D19&amp;" — Kit "&amp;M19&amp;" unidades",D19)</f>
        <v/>
      </c>
      <c r="AS19" s="28" t="inlineStr">
        <is>
          <t>SEM IMAGEM</t>
        </is>
      </c>
    </row>
    <row r="20" hidden="1" s="93">
      <c r="A20" s="1" t="inlineStr">
        <is>
          <t>1084-4162</t>
        </is>
      </c>
      <c r="B20" s="1" t="inlineStr">
        <is>
          <t>1084-4162</t>
        </is>
      </c>
      <c r="C20" s="1" t="inlineStr">
        <is>
          <t>degrau-da-escada</t>
        </is>
      </c>
      <c r="D20" s="1" t="inlineStr">
        <is>
          <t>Degrau da Escada - Stara 1084-4162 | Plantadeira</t>
        </is>
      </c>
      <c r="E20" s="1" t="inlineStr">
        <is>
          <t>Peças Plásticas Injetadas</t>
        </is>
      </c>
      <c r="F20" s="1" t="inlineStr">
        <is>
          <t>APP</t>
        </is>
      </c>
      <c r="G20" s="1" t="n"/>
      <c r="H20" s="23" t="inlineStr">
        <is>
          <t>draft</t>
        </is>
      </c>
      <c r="I20" s="1" t="inlineStr">
        <is>
          <t>STARA</t>
        </is>
      </c>
      <c r="J20" s="1" t="inlineStr">
        <is>
          <t>PLANTADEIRA</t>
        </is>
      </c>
      <c r="K20" s="1">
        <f>LOWER(CONCATENATE("Peças Plastica para ",J20," ",D20))</f>
        <v/>
      </c>
      <c r="L20" s="1" t="n"/>
      <c r="M20" s="1" t="n"/>
      <c r="N20" s="18" t="n">
        <v>5</v>
      </c>
      <c r="O20" s="18" t="n"/>
      <c r="P20" s="18" t="n">
        <v>0</v>
      </c>
      <c r="Q20" s="18" t="n">
        <v>0</v>
      </c>
      <c r="R20" s="18" t="n">
        <v>0</v>
      </c>
      <c r="S20" s="78">
        <f>IFERROR(IF(AND(P20&gt;0,Q20&gt;0,R20&gt;0),(P20*Q20*R20)/6000,""),"")</f>
        <v/>
      </c>
      <c r="T20" s="34">
        <f>IFERROR(IF(AND(P20&gt;0,Q20&gt;0,R20&gt;0),(P20*Q20*R20)/6000,""),"")</f>
        <v/>
      </c>
      <c r="U20" s="1">
        <f>IFERROR(IF(AND(O20&gt;0,T20&gt;0),MAX(O20,T20),IF(O20&gt;0,O20,IF(T20&gt;0,T20,""))),"")</f>
        <v/>
      </c>
      <c r="V20" s="71" t="n">
        <v>25</v>
      </c>
      <c r="W20" s="1" t="inlineStr">
        <is>
          <t>fornecedor</t>
        </is>
      </c>
      <c r="X20" s="1" t="n">
        <v>10.4895</v>
      </c>
      <c r="Y20" s="39" t="n">
        <v>0.3</v>
      </c>
      <c r="Z20" s="41">
        <f>IFERROR(X20+V20,"")</f>
        <v/>
      </c>
      <c r="AA20" s="41">
        <f>IFERROR(IF(Y20&lt;1,Z20/(1-Y20),""),"")</f>
        <v/>
      </c>
      <c r="AB20" s="43">
        <f>'01_CONFIG_GLOBAL'!$C$14</f>
        <v/>
      </c>
      <c r="AC20" s="41">
        <f>IFERROR(AA20*AB20,"")</f>
        <v/>
      </c>
      <c r="AD20" s="41">
        <f>IFERROR(IF(AB20&lt;1,AA20/(1-AB20),""),"")</f>
        <v/>
      </c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inlineStr">
        <is>
          <t>sim</t>
        </is>
      </c>
      <c r="AN20" s="1" t="n"/>
      <c r="AO20" s="1" t="n"/>
      <c r="AP20" s="1" t="inlineStr">
        <is>
          <t>PENDÊNCIA: sem peso/dimensões — frete default R$25 (estimado); pesar/medir p/ recotar | DRAFT 21/07: sem peso/dimensões — pesar/medir e reativar p/ subir ao site</t>
        </is>
      </c>
      <c r="AQ20" s="1">
        <f>IF(AND(M20&lt;&gt;"",M20&gt;1),A20&amp;"-KIT"&amp;M20,A20)</f>
        <v/>
      </c>
      <c r="AR20" s="44">
        <f>IF(AND(M20&lt;&gt;"",M20&gt;1),D20&amp;" — Kit "&amp;M20&amp;" unidades",D20)</f>
        <v/>
      </c>
      <c r="AS20" s="28" t="inlineStr">
        <is>
          <t>SEM IMAGEM</t>
        </is>
      </c>
    </row>
    <row r="21" hidden="1" ht="15.75" customHeight="1" s="93">
      <c r="A21" s="1" t="inlineStr">
        <is>
          <t>6445-4040</t>
        </is>
      </c>
      <c r="B21" s="1" t="inlineStr">
        <is>
          <t>6445-4040</t>
        </is>
      </c>
      <c r="C21" s="1" t="inlineStr">
        <is>
          <t>perfil-ponta-palheta</t>
        </is>
      </c>
      <c r="D21" s="1" t="inlineStr">
        <is>
          <t>Perfil da Ponta da Palheta - Stara 6445-4040 | Plantadeira</t>
        </is>
      </c>
      <c r="E21" s="1" t="inlineStr">
        <is>
          <t>Peças Plásticas Injetadas</t>
        </is>
      </c>
      <c r="F21" s="1" t="inlineStr">
        <is>
          <t>APP</t>
        </is>
      </c>
      <c r="G21" s="1" t="n"/>
      <c r="H21" s="23" t="inlineStr">
        <is>
          <t>draft</t>
        </is>
      </c>
      <c r="I21" s="1" t="inlineStr">
        <is>
          <t>STARA</t>
        </is>
      </c>
      <c r="J21" s="1" t="inlineStr">
        <is>
          <t>PLANTADEIRA</t>
        </is>
      </c>
      <c r="K21" s="1">
        <f>LOWER(CONCATENATE("Peças Plastica para ",J21," ",D21))</f>
        <v/>
      </c>
      <c r="L21" s="1" t="n"/>
      <c r="M21" s="1" t="n"/>
      <c r="N21" s="18" t="n">
        <v>5</v>
      </c>
      <c r="O21" s="18" t="n"/>
      <c r="P21" s="18" t="n">
        <v>0</v>
      </c>
      <c r="Q21" s="18" t="n">
        <v>0</v>
      </c>
      <c r="R21" s="18" t="n">
        <v>0</v>
      </c>
      <c r="S21" s="78">
        <f>IFERROR(IF(AND(P21&gt;0,Q21&gt;0,R21&gt;0),(P21*Q21*R21)/6000,""),"")</f>
        <v/>
      </c>
      <c r="T21" s="34">
        <f>IFERROR(IF(AND(P21&gt;0,Q21&gt;0,R21&gt;0),(P21*Q21*R21)/6000,""),"")</f>
        <v/>
      </c>
      <c r="U21" s="1">
        <f>IFERROR(IF(AND(O21&gt;0,T21&gt;0),MAX(O21,T21),IF(O21&gt;0,O21,IF(T21&gt;0,T21,""))),"")</f>
        <v/>
      </c>
      <c r="V21" s="71" t="n">
        <v>25</v>
      </c>
      <c r="W21" s="1" t="inlineStr">
        <is>
          <t>fornecedor</t>
        </is>
      </c>
      <c r="X21" s="1" t="n">
        <v>0.29</v>
      </c>
      <c r="Y21" s="39" t="n">
        <v>0.3</v>
      </c>
      <c r="Z21" s="41">
        <f>IFERROR(X21+V21,"")</f>
        <v/>
      </c>
      <c r="AA21" s="41">
        <f>IFERROR(IF(Y21&lt;1,Z21/(1-Y21),""),"")</f>
        <v/>
      </c>
      <c r="AB21" s="43">
        <f>'01_CONFIG_GLOBAL'!$C$14</f>
        <v/>
      </c>
      <c r="AC21" s="41">
        <f>IFERROR(AA21*AB21,"")</f>
        <v/>
      </c>
      <c r="AD21" s="41">
        <f>IFERROR(IF(AB21&lt;1,AA21/(1-AB21),""),"")</f>
        <v/>
      </c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inlineStr">
        <is>
          <t>sim</t>
        </is>
      </c>
      <c r="AN21" s="1" t="n"/>
      <c r="AO21" s="1" t="n"/>
      <c r="AP21" s="1" t="inlineStr">
        <is>
          <t>PENDÊNCIA: sem peso/dimensões — frete default R$25 (estimado); pesar/medir p/ recotar | DRAFT 21/07: sem peso/dimensões — pesar/medir e reativar p/ subir ao site</t>
        </is>
      </c>
      <c r="AQ21" s="1">
        <f>IF(AND(M21&lt;&gt;"",M21&gt;1),A21&amp;"-KIT"&amp;M21,A21)</f>
        <v/>
      </c>
      <c r="AR21" s="44">
        <f>IF(AND(M21&lt;&gt;"",M21&gt;1),D21&amp;" — Kit "&amp;M21&amp;" unidades",D21)</f>
        <v/>
      </c>
      <c r="AS21" s="28" t="inlineStr">
        <is>
          <t>SEM IMAGEM</t>
        </is>
      </c>
    </row>
    <row r="22" hidden="1" ht="15.75" customHeight="1" s="93">
      <c r="A22" s="1" t="inlineStr">
        <is>
          <t>6445-4042</t>
        </is>
      </c>
      <c r="B22" s="1" t="inlineStr">
        <is>
          <t>6445-4042</t>
        </is>
      </c>
      <c r="C22" s="1" t="inlineStr">
        <is>
          <t>comporta-semente</t>
        </is>
      </c>
      <c r="D22" s="1" t="inlineStr">
        <is>
          <t>Comporta de Semente - Stara 6445-4042 | Plantadeira</t>
        </is>
      </c>
      <c r="E22" s="1" t="inlineStr">
        <is>
          <t>Peças Plásticas Injetadas</t>
        </is>
      </c>
      <c r="F22" s="1" t="inlineStr">
        <is>
          <t>APP</t>
        </is>
      </c>
      <c r="G22" s="1" t="n"/>
      <c r="H22" s="23" t="inlineStr">
        <is>
          <t>draft</t>
        </is>
      </c>
      <c r="I22" s="1" t="inlineStr">
        <is>
          <t>STARA</t>
        </is>
      </c>
      <c r="J22" s="1" t="inlineStr">
        <is>
          <t>PLANTADEIRA</t>
        </is>
      </c>
      <c r="K22" s="1">
        <f>LOWER(CONCATENATE("Peças Plastica para ",J22," ",D22))</f>
        <v/>
      </c>
      <c r="L22" s="1" t="n"/>
      <c r="M22" s="1" t="n"/>
      <c r="N22" s="18" t="n">
        <v>5</v>
      </c>
      <c r="O22" s="18" t="n"/>
      <c r="P22" s="18" t="n">
        <v>0</v>
      </c>
      <c r="Q22" s="18" t="n">
        <v>0</v>
      </c>
      <c r="R22" s="18" t="n">
        <v>0</v>
      </c>
      <c r="S22" s="78">
        <f>IFERROR(IF(AND(P22&gt;0,Q22&gt;0,R22&gt;0),(P22*Q22*R22)/6000,""),"")</f>
        <v/>
      </c>
      <c r="T22" s="34">
        <f>IFERROR(IF(AND(P22&gt;0,Q22&gt;0,R22&gt;0),(P22*Q22*R22)/6000,""),"")</f>
        <v/>
      </c>
      <c r="U22" s="1">
        <f>IFERROR(IF(AND(O22&gt;0,T22&gt;0),MAX(O22,T22),IF(O22&gt;0,O22,IF(T22&gt;0,T22,""))),"")</f>
        <v/>
      </c>
      <c r="V22" s="71" t="n">
        <v>25</v>
      </c>
      <c r="W22" s="1" t="inlineStr">
        <is>
          <t>fornecedor</t>
        </is>
      </c>
      <c r="X22" s="1" t="n">
        <v>0.63</v>
      </c>
      <c r="Y22" s="39" t="n">
        <v>0.3</v>
      </c>
      <c r="Z22" s="41">
        <f>IFERROR(X22+V22,"")</f>
        <v/>
      </c>
      <c r="AA22" s="41">
        <f>IFERROR(IF(Y22&lt;1,Z22/(1-Y22),""),"")</f>
        <v/>
      </c>
      <c r="AB22" s="43">
        <f>'01_CONFIG_GLOBAL'!$C$14</f>
        <v/>
      </c>
      <c r="AC22" s="41">
        <f>IFERROR(AA22*AB22,"")</f>
        <v/>
      </c>
      <c r="AD22" s="41">
        <f>IFERROR(IF(AB22&lt;1,AA22/(1-AB22),""),"")</f>
        <v/>
      </c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inlineStr">
        <is>
          <t>sim</t>
        </is>
      </c>
      <c r="AN22" s="1" t="n"/>
      <c r="AO22" s="1" t="n"/>
      <c r="AP22" s="1" t="inlineStr">
        <is>
          <t>PENDÊNCIA: sem peso/dimensões — frete default R$25 (estimado); pesar/medir p/ recotar | DRAFT 21/07: sem peso/dimensões — pesar/medir e reativar p/ subir ao site</t>
        </is>
      </c>
      <c r="AQ22" s="1">
        <f>IF(AND(M22&lt;&gt;"",M22&gt;1),A22&amp;"-KIT"&amp;M22,A22)</f>
        <v/>
      </c>
      <c r="AR22" s="44">
        <f>IF(AND(M22&lt;&gt;"",M22&gt;1),D22&amp;" — Kit "&amp;M22&amp;" unidades",D22)</f>
        <v/>
      </c>
      <c r="AS22" s="28" t="inlineStr">
        <is>
          <t>SEM IMAGEM</t>
        </is>
      </c>
    </row>
    <row r="23" hidden="1" ht="15.75" customHeight="1" s="93">
      <c r="A23" s="1" t="inlineStr">
        <is>
          <t>6039-4130</t>
        </is>
      </c>
      <c r="B23" s="1" t="inlineStr">
        <is>
          <t>6039-4130</t>
        </is>
      </c>
      <c r="C23" s="1" t="inlineStr">
        <is>
          <t>tubo-condutor-pp-56-5-62-5x107</t>
        </is>
      </c>
      <c r="D23" s="1" t="inlineStr">
        <is>
          <t>Tubo Condutor 56,5/62,5x107 - Stara 6039-4130 | Plantadeira</t>
        </is>
      </c>
      <c r="E23" s="1" t="inlineStr">
        <is>
          <t>Peças Plásticas Injetadas</t>
        </is>
      </c>
      <c r="F23" s="1" t="inlineStr">
        <is>
          <t>APP</t>
        </is>
      </c>
      <c r="G23" s="1" t="n"/>
      <c r="H23" s="23" t="inlineStr">
        <is>
          <t>draft</t>
        </is>
      </c>
      <c r="I23" s="1" t="inlineStr">
        <is>
          <t>STARA</t>
        </is>
      </c>
      <c r="J23" s="1" t="inlineStr">
        <is>
          <t>PLANTADEIRA</t>
        </is>
      </c>
      <c r="K23" s="1">
        <f>LOWER(CONCATENATE("Peças Plastica para ",J23," ",D23))</f>
        <v/>
      </c>
      <c r="L23" s="1" t="n"/>
      <c r="M23" s="1" t="n"/>
      <c r="N23" s="18" t="n">
        <v>5</v>
      </c>
      <c r="O23" s="18" t="n"/>
      <c r="P23" s="18" t="n">
        <v>0</v>
      </c>
      <c r="Q23" s="18" t="n">
        <v>0</v>
      </c>
      <c r="R23" s="18" t="n">
        <v>0</v>
      </c>
      <c r="S23" s="78">
        <f>IFERROR(IF(AND(P23&gt;0,Q23&gt;0,R23&gt;0),(P23*Q23*R23)/6000,""),"")</f>
        <v/>
      </c>
      <c r="T23" s="34">
        <f>IFERROR(IF(AND(P23&gt;0,Q23&gt;0,R23&gt;0),(P23*Q23*R23)/6000,""),"")</f>
        <v/>
      </c>
      <c r="U23" s="1">
        <f>IFERROR(IF(AND(O23&gt;0,T23&gt;0),MAX(O23,T23),IF(O23&gt;0,O23,IF(T23&gt;0,T23,""))),"")</f>
        <v/>
      </c>
      <c r="V23" s="71" t="n">
        <v>25</v>
      </c>
      <c r="W23" s="1" t="inlineStr">
        <is>
          <t>fornecedor</t>
        </is>
      </c>
      <c r="X23" s="1" t="n">
        <v>2.02446</v>
      </c>
      <c r="Y23" s="39" t="n">
        <v>0.3</v>
      </c>
      <c r="Z23" s="41">
        <f>IFERROR(X23+V23,"")</f>
        <v/>
      </c>
      <c r="AA23" s="41">
        <f>IFERROR(IF(Y23&lt;1,Z23/(1-Y23),""),"")</f>
        <v/>
      </c>
      <c r="AB23" s="43">
        <f>'01_CONFIG_GLOBAL'!$C$14</f>
        <v/>
      </c>
      <c r="AC23" s="41">
        <f>IFERROR(AA23*AB23,"")</f>
        <v/>
      </c>
      <c r="AD23" s="41">
        <f>IFERROR(IF(AB23&lt;1,AA23/(1-AB23),""),"")</f>
        <v/>
      </c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inlineStr">
        <is>
          <t>sim</t>
        </is>
      </c>
      <c r="AN23" s="1" t="n"/>
      <c r="AO23" s="1" t="n"/>
      <c r="AP23" s="1" t="inlineStr">
        <is>
          <t>PENDÊNCIA: sem peso/dimensões — frete default R$25 (estimado); pesar/medir p/ recotar | DRAFT 21/07: sem peso/dimensões — pesar/medir e reativar p/ subir ao site</t>
        </is>
      </c>
      <c r="AQ23" s="1">
        <f>IF(AND(M23&lt;&gt;"",M23&gt;1),A23&amp;"-KIT"&amp;M23,A23)</f>
        <v/>
      </c>
      <c r="AR23" s="44">
        <f>IF(AND(M23&lt;&gt;"",M23&gt;1),D23&amp;" — Kit "&amp;M23&amp;" unidades",D23)</f>
        <v/>
      </c>
      <c r="AS23" s="28" t="inlineStr">
        <is>
          <t>SEM IMAGEM</t>
        </is>
      </c>
    </row>
    <row r="24" ht="15.75" customHeight="1" s="93">
      <c r="A24" s="1" t="inlineStr">
        <is>
          <t>6117-4142</t>
        </is>
      </c>
      <c r="B24" s="1" t="inlineStr">
        <is>
          <t>6117-4142</t>
        </is>
      </c>
      <c r="C24" s="1" t="inlineStr">
        <is>
          <t>bucha-do-mancal-pantografico</t>
        </is>
      </c>
      <c r="D24" s="1" t="inlineStr">
        <is>
          <t>Bucha do Mancal Pantográfico - Stara 6117-4142 | Linha de Plantio</t>
        </is>
      </c>
      <c r="E24" s="1" t="inlineStr">
        <is>
          <t>Peças Plásticas Injetadas</t>
        </is>
      </c>
      <c r="F24" s="1" t="inlineStr">
        <is>
          <t>APP</t>
        </is>
      </c>
      <c r="G24" s="1" t="n"/>
      <c r="H24" s="23" t="inlineStr">
        <is>
          <t>active</t>
        </is>
      </c>
      <c r="I24" s="1" t="inlineStr">
        <is>
          <t>STARA</t>
        </is>
      </c>
      <c r="J24" s="1" t="inlineStr">
        <is>
          <t>PLANTADEIRA</t>
        </is>
      </c>
      <c r="K24" s="1">
        <f>LOWER(CONCATENATE("Peças Plastica para ",J24," ",D24))</f>
        <v/>
      </c>
      <c r="L24" s="1" t="n"/>
      <c r="M24" s="1" t="n">
        <v>1</v>
      </c>
      <c r="N24" s="18" t="n">
        <v>5</v>
      </c>
      <c r="O24" s="18" t="n">
        <v>0.02</v>
      </c>
      <c r="P24" s="18" t="n">
        <v>3.2</v>
      </c>
      <c r="Q24" s="18" t="n">
        <v>3.2</v>
      </c>
      <c r="R24" s="18" t="n">
        <v>2.5</v>
      </c>
      <c r="S24" s="78">
        <f>IFERROR(IF(AND(P24&gt;0,Q24&gt;0,R24&gt;0),(P24*Q24*R24)/6000,""),"")</f>
        <v/>
      </c>
      <c r="T24" s="34">
        <f>IFERROR(IF(AND(P24&gt;0,Q24&gt;0,R24&gt;0),(P24*Q24*R24)/6000,""),"")</f>
        <v/>
      </c>
      <c r="U24" s="1">
        <f>IFERROR(IF(AND(O24&gt;0,T24&gt;0),MAX(O24,T24),IF(O24&gt;0,O24,IF(T24&gt;0,T24,""))),"")</f>
        <v/>
      </c>
      <c r="V24" s="71" t="n">
        <v>0.36</v>
      </c>
      <c r="W24" s="1" t="inlineStr">
        <is>
          <t>fornecedor</t>
        </is>
      </c>
      <c r="X24" s="1" t="n">
        <v>1.4904</v>
      </c>
      <c r="Y24" s="39" t="n">
        <v>0.3</v>
      </c>
      <c r="Z24" s="41">
        <f>IFERROR(X24+V24,"")</f>
        <v/>
      </c>
      <c r="AA24" s="41">
        <f>IFERROR(IF(Y24&lt;1,Z24/(1-Y24),""),"")</f>
        <v/>
      </c>
      <c r="AB24" s="43">
        <f>'01_CONFIG_GLOBAL'!$C$14</f>
        <v/>
      </c>
      <c r="AC24" s="41">
        <f>IFERROR(AA24*AB24,"")</f>
        <v/>
      </c>
      <c r="AD24" s="41">
        <f>IFERROR(IF(AB24&lt;1,AA24/(1-AB24),""),"")</f>
        <v/>
      </c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inlineStr">
        <is>
          <t>sim</t>
        </is>
      </c>
      <c r="AN24" s="1" t="n"/>
      <c r="AO24" s="1" t="n"/>
      <c r="AP24" s="1" t="inlineStr">
        <is>
          <t>Fotos: output/fotos_ecommerce_tratemento_v2/STARA_6117-4142_ecommerce.png</t>
        </is>
      </c>
      <c r="AQ24" s="1">
        <f>IF(AND(M24&lt;&gt;"",M24&gt;1),A24&amp;"-KIT"&amp;M24,A24)</f>
        <v/>
      </c>
      <c r="AR24" s="44">
        <f>IF(AND(M24&lt;&gt;"",M24&gt;1),D24&amp;" — Kit "&amp;M24&amp;" unidades",D24)</f>
        <v/>
      </c>
      <c r="AS24" s="28" t="inlineStr">
        <is>
          <t>STARA_6117-4142_ecommerce.png</t>
        </is>
      </c>
    </row>
    <row r="25" ht="15.75" customHeight="1" s="93">
      <c r="A25" s="1" t="inlineStr">
        <is>
          <t>6117-4142</t>
        </is>
      </c>
      <c r="B25" s="1" t="inlineStr">
        <is>
          <t>6117-4142</t>
        </is>
      </c>
      <c r="C25" s="1" t="inlineStr">
        <is>
          <t>bucha-do-mancal-pantografico</t>
        </is>
      </c>
      <c r="D25" s="1" t="inlineStr">
        <is>
          <t>Bucha do Mancal Pantográfico - Kit 50 Unidades - Stara 6117-4142</t>
        </is>
      </c>
      <c r="E25" s="1" t="inlineStr">
        <is>
          <t>Peças Plásticas Injetadas</t>
        </is>
      </c>
      <c r="F25" s="1" t="inlineStr">
        <is>
          <t>APP</t>
        </is>
      </c>
      <c r="G25" s="1" t="n"/>
      <c r="H25" s="23" t="inlineStr">
        <is>
          <t>active</t>
        </is>
      </c>
      <c r="I25" s="1" t="inlineStr">
        <is>
          <t>STARA</t>
        </is>
      </c>
      <c r="J25" s="1" t="inlineStr">
        <is>
          <t>PLANTADEIRA</t>
        </is>
      </c>
      <c r="K25" s="1">
        <f>LOWER(CONCATENATE("Peças Plastica para ",J25," ",D25))</f>
        <v/>
      </c>
      <c r="L25" s="1" t="n"/>
      <c r="M25" s="1" t="n">
        <v>50</v>
      </c>
      <c r="N25" s="18" t="n">
        <v>5</v>
      </c>
      <c r="O25" s="18">
        <f>O24*M25</f>
        <v/>
      </c>
      <c r="P25" s="18" t="n">
        <v>18</v>
      </c>
      <c r="Q25" s="18" t="n">
        <v>18</v>
      </c>
      <c r="R25" s="18" t="n">
        <v>7</v>
      </c>
      <c r="S25" s="78">
        <f>IFERROR(IF(AND(P25&gt;0,Q25&gt;0,R25&gt;0),(P25*Q25*R25)/6000,""),"")</f>
        <v/>
      </c>
      <c r="T25" s="34">
        <f>IFERROR(IF(AND(P25&gt;0,Q25&gt;0,R25&gt;0),(P25*Q25*R25)/6000,""),"")</f>
        <v/>
      </c>
      <c r="U25" s="1">
        <f>IFERROR(IF(AND(O25&gt;0,T25&gt;0),MAX(O25,T25),IF(O25&gt;0,O25,IF(T25&gt;0,T25,""))),"")</f>
        <v/>
      </c>
      <c r="V25" s="71" t="n">
        <v>17.89</v>
      </c>
      <c r="W25" s="1" t="inlineStr">
        <is>
          <t>fornecedor</t>
        </is>
      </c>
      <c r="X25" s="1">
        <f>X24*M25</f>
        <v/>
      </c>
      <c r="Y25" s="39" t="n">
        <v>0.3</v>
      </c>
      <c r="Z25" s="41">
        <f>IFERROR(X25+V25,"")</f>
        <v/>
      </c>
      <c r="AA25" s="41">
        <f>IFERROR(IF(Y25&lt;1,Z25/(1-Y25),""),"")</f>
        <v/>
      </c>
      <c r="AB25" s="43">
        <f>'01_CONFIG_GLOBAL'!$C$14</f>
        <v/>
      </c>
      <c r="AC25" s="41">
        <f>IFERROR(AA25*AB25,"")</f>
        <v/>
      </c>
      <c r="AD25" s="41">
        <f>IFERROR(IF(AB25&lt;1,AA25/(1-AB25),""),"")</f>
        <v/>
      </c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inlineStr">
        <is>
          <t>sim</t>
        </is>
      </c>
      <c r="AN25" s="1" t="n"/>
      <c r="AO25" s="1" t="n"/>
      <c r="AP25" s="1" t="inlineStr">
        <is>
          <t>Fotos: output/fotos_ecommerce_tratemento_v2/STARA_6117-4142_ecommerce.png</t>
        </is>
      </c>
      <c r="AQ25" s="1">
        <f>IF(AND(M25&lt;&gt;"",M25&gt;1),A25&amp;"-KIT"&amp;M25,A25)</f>
        <v/>
      </c>
      <c r="AR25" s="44">
        <f>IF(AND(M25&lt;&gt;"",M25&gt;1),D25&amp;" — Kit "&amp;M25&amp;" unidades",D25)</f>
        <v/>
      </c>
      <c r="AS25" s="28" t="inlineStr">
        <is>
          <t>STARA_6117-4142_ecommerce.png</t>
        </is>
      </c>
    </row>
    <row r="26" hidden="1" ht="15.75" customHeight="1" s="93">
      <c r="A26" s="1" t="inlineStr">
        <is>
          <t>6123-4506</t>
        </is>
      </c>
      <c r="B26" s="1" t="inlineStr">
        <is>
          <t>6123-4506</t>
        </is>
      </c>
      <c r="C26" s="1" t="inlineStr">
        <is>
          <t>calota-chapeu</t>
        </is>
      </c>
      <c r="D26" s="1" t="inlineStr">
        <is>
          <t>Calota Chapéu - Stara 6123-4506 | Plantadeira</t>
        </is>
      </c>
      <c r="E26" s="1" t="inlineStr">
        <is>
          <t>Peças Plásticas Injetadas</t>
        </is>
      </c>
      <c r="F26" s="1" t="inlineStr">
        <is>
          <t>APP</t>
        </is>
      </c>
      <c r="G26" s="1" t="n"/>
      <c r="H26" s="23" t="inlineStr">
        <is>
          <t>draft</t>
        </is>
      </c>
      <c r="I26" s="1" t="inlineStr">
        <is>
          <t>STARA</t>
        </is>
      </c>
      <c r="J26" s="1" t="inlineStr">
        <is>
          <t>PLANTADEIRA</t>
        </is>
      </c>
      <c r="K26" s="1">
        <f>LOWER(CONCATENATE("Peças Plastica para ",J26," ",D26))</f>
        <v/>
      </c>
      <c r="L26" s="1" t="n"/>
      <c r="M26" s="1" t="n"/>
      <c r="N26" s="18" t="n">
        <v>5</v>
      </c>
      <c r="O26" s="18" t="n"/>
      <c r="P26" s="18" t="n">
        <v>0</v>
      </c>
      <c r="Q26" s="18" t="n">
        <v>0</v>
      </c>
      <c r="R26" s="18" t="n">
        <v>0</v>
      </c>
      <c r="S26" s="78">
        <f>IFERROR(IF(AND(P26&gt;0,Q26&gt;0,R26&gt;0),(P26*Q26*R26)/6000,""),"")</f>
        <v/>
      </c>
      <c r="T26" s="34">
        <f>IFERROR(IF(AND(P26&gt;0,Q26&gt;0,R26&gt;0),(P26*Q26*R26)/6000,""),"")</f>
        <v/>
      </c>
      <c r="U26" s="1">
        <f>IFERROR(IF(AND(O26&gt;0,T26&gt;0),MAX(O26,T26),IF(O26&gt;0,O26,IF(T26&gt;0,T26,""))),"")</f>
        <v/>
      </c>
      <c r="V26" s="71" t="n">
        <v>25</v>
      </c>
      <c r="W26" s="1" t="inlineStr">
        <is>
          <t>fornecedor</t>
        </is>
      </c>
      <c r="X26" s="1" t="n">
        <v>1.37862</v>
      </c>
      <c r="Y26" s="39" t="n">
        <v>0.3</v>
      </c>
      <c r="Z26" s="41">
        <f>IFERROR(X26+V26,"")</f>
        <v/>
      </c>
      <c r="AA26" s="41">
        <f>IFERROR(IF(Y26&lt;1,Z26/(1-Y26),""),"")</f>
        <v/>
      </c>
      <c r="AB26" s="43">
        <f>'01_CONFIG_GLOBAL'!$C$14</f>
        <v/>
      </c>
      <c r="AC26" s="41">
        <f>IFERROR(AA26*AB26,"")</f>
        <v/>
      </c>
      <c r="AD26" s="41">
        <f>IFERROR(IF(AB26&lt;1,AA26/(1-AB26),""),"")</f>
        <v/>
      </c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inlineStr">
        <is>
          <t>sim</t>
        </is>
      </c>
      <c r="AN26" s="1" t="n"/>
      <c r="AO26" s="1" t="n"/>
      <c r="AP26" s="1" t="inlineStr">
        <is>
          <t>PENDÊNCIA: sem peso/dimensões — frete default R$25 (estimado); pesar/medir p/ recotar | DRAFT 21/07: sem peso/dimensões — pesar/medir e reativar p/ subir ao site</t>
        </is>
      </c>
      <c r="AQ26" s="1">
        <f>IF(AND(M26&lt;&gt;"",M26&gt;1),A26&amp;"-KIT"&amp;M26,A26)</f>
        <v/>
      </c>
      <c r="AR26" s="44">
        <f>IF(AND(M26&lt;&gt;"",M26&gt;1),D26&amp;" — Kit "&amp;M26&amp;" unidades",D26)</f>
        <v/>
      </c>
      <c r="AS26" s="28" t="inlineStr">
        <is>
          <t>SEM IMAGEM</t>
        </is>
      </c>
    </row>
    <row r="27" hidden="1" ht="15.75" customHeight="1" s="93">
      <c r="A27" s="1" t="inlineStr">
        <is>
          <t>7310-4832</t>
        </is>
      </c>
      <c r="B27" s="1" t="inlineStr">
        <is>
          <t>7310-4832</t>
        </is>
      </c>
      <c r="C27" s="1" t="inlineStr">
        <is>
          <t>visor-acrilico-153x190x2</t>
        </is>
      </c>
      <c r="D27" s="1" t="inlineStr">
        <is>
          <t>Visor de Acrílico 153x190x2 - Stara 7310-4832 | Trator</t>
        </is>
      </c>
      <c r="E27" s="1" t="inlineStr">
        <is>
          <t>Peças Plásticas Injetadas</t>
        </is>
      </c>
      <c r="F27" s="1" t="inlineStr">
        <is>
          <t>APP</t>
        </is>
      </c>
      <c r="G27" s="1" t="n"/>
      <c r="H27" s="23" t="inlineStr">
        <is>
          <t>draft</t>
        </is>
      </c>
      <c r="I27" s="1" t="inlineStr">
        <is>
          <t>STARA</t>
        </is>
      </c>
      <c r="J27" s="1" t="inlineStr">
        <is>
          <t>TRATOR</t>
        </is>
      </c>
      <c r="K27" s="1">
        <f>LOWER(CONCATENATE("Peças Plastica para ",J27," ",D27))</f>
        <v/>
      </c>
      <c r="L27" s="1" t="n"/>
      <c r="M27" s="1" t="n"/>
      <c r="N27" s="18" t="n">
        <v>5</v>
      </c>
      <c r="O27" s="18" t="n"/>
      <c r="P27" s="18" t="n">
        <v>0</v>
      </c>
      <c r="Q27" s="18" t="n">
        <v>0</v>
      </c>
      <c r="R27" s="18" t="n">
        <v>0</v>
      </c>
      <c r="S27" s="78">
        <f>IFERROR(IF(AND(P27&gt;0,Q27&gt;0,R27&gt;0),(P27*Q27*R27)/6000,""),"")</f>
        <v/>
      </c>
      <c r="T27" s="34">
        <f>IFERROR(IF(AND(P27&gt;0,Q27&gt;0,R27&gt;0),(P27*Q27*R27)/6000,""),"")</f>
        <v/>
      </c>
      <c r="U27" s="1">
        <f>IFERROR(IF(AND(O27&gt;0,T27&gt;0),MAX(O27,T27),IF(O27&gt;0,O27,IF(T27&gt;0,T27,""))),"")</f>
        <v/>
      </c>
      <c r="V27" s="71" t="n">
        <v>25</v>
      </c>
      <c r="W27" s="1" t="inlineStr">
        <is>
          <t>fornecedor</t>
        </is>
      </c>
      <c r="X27" s="1" t="n">
        <v>13.67442</v>
      </c>
      <c r="Y27" s="39" t="n">
        <v>0.3</v>
      </c>
      <c r="Z27" s="41">
        <f>IFERROR(X27+V27,"")</f>
        <v/>
      </c>
      <c r="AA27" s="41">
        <f>IFERROR(IF(Y27&lt;1,Z27/(1-Y27),""),"")</f>
        <v/>
      </c>
      <c r="AB27" s="43">
        <f>'01_CONFIG_GLOBAL'!$C$14</f>
        <v/>
      </c>
      <c r="AC27" s="41">
        <f>IFERROR(AA27*AB27,"")</f>
        <v/>
      </c>
      <c r="AD27" s="41">
        <f>IFERROR(IF(AB27&lt;1,AA27/(1-AB27),""),"")</f>
        <v/>
      </c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inlineStr">
        <is>
          <t>sim</t>
        </is>
      </c>
      <c r="AN27" s="1" t="n"/>
      <c r="AO27" s="1" t="n"/>
      <c r="AP27" s="1" t="inlineStr">
        <is>
          <t>PENDÊNCIA: sem peso/dimensões — frete default R$25 (estimado); pesar/medir p/ recotar | DRAFT 21/07: sem peso/dimensões — pesar/medir e reativar p/ subir ao site</t>
        </is>
      </c>
      <c r="AQ27" s="1">
        <f>IF(AND(M27&lt;&gt;"",M27&gt;1),A27&amp;"-KIT"&amp;M27,A27)</f>
        <v/>
      </c>
      <c r="AR27" s="44">
        <f>IF(AND(M27&lt;&gt;"",M27&gt;1),D27&amp;" — Kit "&amp;M27&amp;" unidades",D27)</f>
        <v/>
      </c>
      <c r="AS27" s="28" t="inlineStr">
        <is>
          <t>SEM IMAGEM</t>
        </is>
      </c>
    </row>
    <row r="28" hidden="1" ht="15.75" customHeight="1" s="93">
      <c r="A28" s="1" t="inlineStr">
        <is>
          <t>6424-4008</t>
        </is>
      </c>
      <c r="B28" s="1" t="inlineStr">
        <is>
          <t>6424-4008</t>
        </is>
      </c>
      <c r="C28" s="1" t="inlineStr">
        <is>
          <t>peneira-reservatorio-sementes</t>
        </is>
      </c>
      <c r="D28" s="1" t="inlineStr">
        <is>
          <t>Peneira do Reservatório de Sementes - Stara 6424-4008 | Plantadeira</t>
        </is>
      </c>
      <c r="E28" s="1" t="inlineStr">
        <is>
          <t>Peças Plásticas Injetadas</t>
        </is>
      </c>
      <c r="F28" s="1" t="inlineStr">
        <is>
          <t>APP</t>
        </is>
      </c>
      <c r="G28" s="1" t="n"/>
      <c r="H28" s="23" t="inlineStr">
        <is>
          <t>draft</t>
        </is>
      </c>
      <c r="I28" s="1" t="inlineStr">
        <is>
          <t>STARA</t>
        </is>
      </c>
      <c r="J28" s="1" t="inlineStr">
        <is>
          <t>PLANTADEIRA</t>
        </is>
      </c>
      <c r="K28" s="1">
        <f>LOWER(CONCATENATE("Peças Plastica para ",J28," ",D28))</f>
        <v/>
      </c>
      <c r="L28" s="1" t="n"/>
      <c r="M28" s="1" t="n"/>
      <c r="N28" s="18" t="n">
        <v>5</v>
      </c>
      <c r="O28" s="18" t="n"/>
      <c r="P28" s="18" t="n">
        <v>0</v>
      </c>
      <c r="Q28" s="18" t="n">
        <v>0</v>
      </c>
      <c r="R28" s="18" t="n">
        <v>0</v>
      </c>
      <c r="S28" s="78">
        <f>IFERROR(IF(AND(P28&gt;0,Q28&gt;0,R28&gt;0),(P28*Q28*R28)/6000,""),"")</f>
        <v/>
      </c>
      <c r="T28" s="34">
        <f>IFERROR(IF(AND(P28&gt;0,Q28&gt;0,R28&gt;0),(P28*Q28*R28)/6000,""),"")</f>
        <v/>
      </c>
      <c r="U28" s="1">
        <f>IFERROR(IF(AND(O28&gt;0,T28&gt;0),MAX(O28,T28),IF(O28&gt;0,O28,IF(T28&gt;0,T28,""))),"")</f>
        <v/>
      </c>
      <c r="V28" s="71" t="n">
        <v>25</v>
      </c>
      <c r="W28" s="1" t="inlineStr">
        <is>
          <t>fornecedor</t>
        </is>
      </c>
      <c r="X28" s="1" t="n">
        <v>1.93752</v>
      </c>
      <c r="Y28" s="39" t="n">
        <v>0.3</v>
      </c>
      <c r="Z28" s="41">
        <f>IFERROR(X28+V28,"")</f>
        <v/>
      </c>
      <c r="AA28" s="41">
        <f>IFERROR(IF(Y28&lt;1,Z28/(1-Y28),""),"")</f>
        <v/>
      </c>
      <c r="AB28" s="43">
        <f>'01_CONFIG_GLOBAL'!$C$14</f>
        <v/>
      </c>
      <c r="AC28" s="41">
        <f>IFERROR(AA28*AB28,"")</f>
        <v/>
      </c>
      <c r="AD28" s="41">
        <f>IFERROR(IF(AB28&lt;1,AA28/(1-AB28),""),"")</f>
        <v/>
      </c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inlineStr">
        <is>
          <t>sim</t>
        </is>
      </c>
      <c r="AN28" s="1" t="n"/>
      <c r="AO28" s="1" t="n"/>
      <c r="AP28" s="1" t="inlineStr">
        <is>
          <t>PENDÊNCIA: sem peso/dimensões — frete default R$25 (estimado); pesar/medir p/ recotar | DRAFT 21/07: sem peso/dimensões — pesar/medir e reativar p/ subir ao site</t>
        </is>
      </c>
      <c r="AQ28" s="1">
        <f>IF(AND(M28&lt;&gt;"",M28&gt;1),A28&amp;"-KIT"&amp;M28,A28)</f>
        <v/>
      </c>
      <c r="AR28" s="44">
        <f>IF(AND(M28&lt;&gt;"",M28&gt;1),D28&amp;" — Kit "&amp;M28&amp;" unidades",D28)</f>
        <v/>
      </c>
      <c r="AS28" s="28" t="inlineStr">
        <is>
          <t>SEM IMAGEM</t>
        </is>
      </c>
    </row>
    <row r="29" hidden="1" ht="15.75" customHeight="1" s="93">
      <c r="A29" s="1" t="inlineStr">
        <is>
          <t>6112-4193</t>
        </is>
      </c>
      <c r="B29" s="1" t="inlineStr">
        <is>
          <t>6112-4193</t>
        </is>
      </c>
      <c r="C29" s="1" t="inlineStr">
        <is>
          <t>calco-conector-polipropileno</t>
        </is>
      </c>
      <c r="D29" s="1" t="inlineStr">
        <is>
          <t>Calço do Conector de Polipropileno - Stara 6112-4193 | Plantadeira</t>
        </is>
      </c>
      <c r="E29" s="1" t="inlineStr">
        <is>
          <t>Peças Plásticas Injetadas</t>
        </is>
      </c>
      <c r="F29" s="1" t="inlineStr">
        <is>
          <t>APP</t>
        </is>
      </c>
      <c r="G29" s="1" t="n"/>
      <c r="H29" s="23" t="inlineStr">
        <is>
          <t>draft</t>
        </is>
      </c>
      <c r="I29" s="1" t="inlineStr">
        <is>
          <t>STARA</t>
        </is>
      </c>
      <c r="J29" s="1" t="inlineStr">
        <is>
          <t>PLANTADEIRA</t>
        </is>
      </c>
      <c r="K29" s="1">
        <f>LOWER(CONCATENATE("Peças Plastica para ",J29," ",D29))</f>
        <v/>
      </c>
      <c r="L29" s="1" t="n"/>
      <c r="M29" s="1" t="n"/>
      <c r="N29" s="18" t="n">
        <v>5</v>
      </c>
      <c r="O29" s="18" t="n"/>
      <c r="P29" s="18" t="n">
        <v>0</v>
      </c>
      <c r="Q29" s="18" t="n">
        <v>0</v>
      </c>
      <c r="R29" s="18" t="n">
        <v>0</v>
      </c>
      <c r="S29" s="78">
        <f>IFERROR(IF(AND(P29&gt;0,Q29&gt;0,R29&gt;0),(P29*Q29*R29)/6000,""),"")</f>
        <v/>
      </c>
      <c r="T29" s="34">
        <f>IFERROR(IF(AND(P29&gt;0,Q29&gt;0,R29&gt;0),(P29*Q29*R29)/6000,""),"")</f>
        <v/>
      </c>
      <c r="U29" s="1">
        <f>IFERROR(IF(AND(O29&gt;0,T29&gt;0),MAX(O29,T29),IF(O29&gt;0,O29,IF(T29&gt;0,T29,""))),"")</f>
        <v/>
      </c>
      <c r="V29" s="71" t="n">
        <v>25</v>
      </c>
      <c r="W29" s="1" t="inlineStr">
        <is>
          <t>fornecedor</t>
        </is>
      </c>
      <c r="X29" s="1" t="n">
        <v>2.68272</v>
      </c>
      <c r="Y29" s="39" t="n">
        <v>0.3</v>
      </c>
      <c r="Z29" s="41">
        <f>IFERROR(X29+V29,"")</f>
        <v/>
      </c>
      <c r="AA29" s="41">
        <f>IFERROR(IF(Y29&lt;1,Z29/(1-Y29),""),"")</f>
        <v/>
      </c>
      <c r="AB29" s="43">
        <f>'01_CONFIG_GLOBAL'!$C$14</f>
        <v/>
      </c>
      <c r="AC29" s="41">
        <f>IFERROR(AA29*AB29,"")</f>
        <v/>
      </c>
      <c r="AD29" s="41">
        <f>IFERROR(IF(AB29&lt;1,AA29/(1-AB29),""),"")</f>
        <v/>
      </c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inlineStr">
        <is>
          <t>sim</t>
        </is>
      </c>
      <c r="AN29" s="1" t="n"/>
      <c r="AO29" s="1" t="n"/>
      <c r="AP29" s="1" t="inlineStr">
        <is>
          <t>PENDÊNCIA: sem peso/dimensões — frete default R$25 (estimado); pesar/medir p/ recotar | DRAFT 21/07: sem peso/dimensões — pesar/medir e reativar p/ subir ao site</t>
        </is>
      </c>
      <c r="AQ29" s="1">
        <f>IF(AND(M29&lt;&gt;"",M29&gt;1),A29&amp;"-KIT"&amp;M29,A29)</f>
        <v/>
      </c>
      <c r="AR29" s="44">
        <f>IF(AND(M29&lt;&gt;"",M29&gt;1),D29&amp;" — Kit "&amp;M29&amp;" unidades",D29)</f>
        <v/>
      </c>
      <c r="AS29" s="28" t="inlineStr">
        <is>
          <t>SEM IMAGEM</t>
        </is>
      </c>
    </row>
    <row r="30" hidden="1" ht="15.75" customHeight="1" s="93">
      <c r="A30" s="1" t="inlineStr">
        <is>
          <t>6117-4294</t>
        </is>
      </c>
      <c r="B30" s="1" t="inlineStr">
        <is>
          <t>6117-4294</t>
        </is>
      </c>
      <c r="C30" s="1" t="inlineStr">
        <is>
          <t>tampa-cubo-semente</t>
        </is>
      </c>
      <c r="D30" s="1" t="inlineStr">
        <is>
          <t>Tampa do Cubo de Semente - Stara 6117-4294 | Plantadeira</t>
        </is>
      </c>
      <c r="E30" s="1" t="inlineStr">
        <is>
          <t>Peças Plásticas Injetadas</t>
        </is>
      </c>
      <c r="F30" s="1" t="inlineStr">
        <is>
          <t>APP</t>
        </is>
      </c>
      <c r="G30" s="1" t="n"/>
      <c r="H30" s="23" t="inlineStr">
        <is>
          <t>draft</t>
        </is>
      </c>
      <c r="I30" s="1" t="inlineStr">
        <is>
          <t>STARA</t>
        </is>
      </c>
      <c r="J30" s="1" t="inlineStr">
        <is>
          <t>PLANTADEIRA</t>
        </is>
      </c>
      <c r="K30" s="1">
        <f>LOWER(CONCATENATE("Peças Plastica para ",J30," ",D30))</f>
        <v/>
      </c>
      <c r="L30" s="1" t="n"/>
      <c r="M30" s="1" t="n"/>
      <c r="N30" s="18" t="n">
        <v>5</v>
      </c>
      <c r="O30" s="18" t="n"/>
      <c r="P30" s="18" t="n">
        <v>0</v>
      </c>
      <c r="Q30" s="18" t="n">
        <v>0</v>
      </c>
      <c r="R30" s="18" t="n">
        <v>0</v>
      </c>
      <c r="S30" s="78">
        <f>IFERROR(IF(AND(P30&gt;0,Q30&gt;0,R30&gt;0),(P30*Q30*R30)/6000,""),"")</f>
        <v/>
      </c>
      <c r="T30" s="34">
        <f>IFERROR(IF(AND(P30&gt;0,Q30&gt;0,R30&gt;0),(P30*Q30*R30)/6000,""),"")</f>
        <v/>
      </c>
      <c r="U30" s="1">
        <f>IFERROR(IF(AND(O30&gt;0,T30&gt;0),MAX(O30,T30),IF(O30&gt;0,O30,IF(T30&gt;0,T30,""))),"")</f>
        <v/>
      </c>
      <c r="V30" s="71" t="n">
        <v>25</v>
      </c>
      <c r="W30" s="1" t="inlineStr">
        <is>
          <t>fornecedor</t>
        </is>
      </c>
      <c r="X30" s="1" t="n">
        <v>1.242</v>
      </c>
      <c r="Y30" s="39" t="n">
        <v>0.3</v>
      </c>
      <c r="Z30" s="41">
        <f>IFERROR(X30+V30,"")</f>
        <v/>
      </c>
      <c r="AA30" s="41">
        <f>IFERROR(IF(Y30&lt;1,Z30/(1-Y30),""),"")</f>
        <v/>
      </c>
      <c r="AB30" s="43">
        <f>'01_CONFIG_GLOBAL'!$C$14</f>
        <v/>
      </c>
      <c r="AC30" s="41">
        <f>IFERROR(AA30*AB30,"")</f>
        <v/>
      </c>
      <c r="AD30" s="41">
        <f>IFERROR(IF(AB30&lt;1,AA30/(1-AB30),""),"")</f>
        <v/>
      </c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inlineStr">
        <is>
          <t>sim</t>
        </is>
      </c>
      <c r="AN30" s="1" t="n"/>
      <c r="AO30" s="1" t="n"/>
      <c r="AP30" s="1" t="inlineStr">
        <is>
          <t>PENDÊNCIA: sem peso/dimensões — frete default R$25 (estimado); pesar/medir p/ recotar | DRAFT 21/07: sem peso/dimensões — pesar/medir e reativar p/ subir ao site</t>
        </is>
      </c>
      <c r="AQ30" s="1">
        <f>IF(AND(M30&lt;&gt;"",M30&gt;1),A30&amp;"-KIT"&amp;M30,A30)</f>
        <v/>
      </c>
      <c r="AR30" s="44">
        <f>IF(AND(M30&lt;&gt;"",M30&gt;1),D30&amp;" — Kit "&amp;M30&amp;" unidades",D30)</f>
        <v/>
      </c>
      <c r="AS30" s="28" t="inlineStr">
        <is>
          <t>SEM IMAGEM</t>
        </is>
      </c>
    </row>
    <row r="31" hidden="1" ht="15.75" customHeight="1" s="93">
      <c r="A31" s="1" t="inlineStr">
        <is>
          <t>6424-4092</t>
        </is>
      </c>
      <c r="B31" s="1" t="inlineStr">
        <is>
          <t>6424-4092</t>
        </is>
      </c>
      <c r="C31" s="1" t="inlineStr">
        <is>
          <t>tampa-reservatorio-central-sementes-stara</t>
        </is>
      </c>
      <c r="D31" s="1" t="inlineStr">
        <is>
          <t>Tampa do Reservatório Central de Sementes - Stara 6424-4092 | Plantadeira</t>
        </is>
      </c>
      <c r="E31" s="1" t="inlineStr">
        <is>
          <t>Peças Plásticas Injetadas</t>
        </is>
      </c>
      <c r="F31" s="1" t="inlineStr">
        <is>
          <t>APP</t>
        </is>
      </c>
      <c r="G31" s="1" t="n"/>
      <c r="H31" s="23" t="inlineStr">
        <is>
          <t>draft</t>
        </is>
      </c>
      <c r="I31" s="1" t="inlineStr">
        <is>
          <t>STARA</t>
        </is>
      </c>
      <c r="J31" s="1" t="inlineStr">
        <is>
          <t>PLANTADEIRA</t>
        </is>
      </c>
      <c r="K31" s="1">
        <f>LOWER(CONCATENATE("Peças Plastica para ",J31," ",D31))</f>
        <v/>
      </c>
      <c r="L31" s="1" t="n"/>
      <c r="M31" s="1" t="n"/>
      <c r="N31" s="18" t="n">
        <v>5</v>
      </c>
      <c r="O31" s="18" t="n"/>
      <c r="P31" s="18" t="n">
        <v>0</v>
      </c>
      <c r="Q31" s="18" t="n">
        <v>0</v>
      </c>
      <c r="R31" s="18" t="n">
        <v>0</v>
      </c>
      <c r="S31" s="78">
        <f>IFERROR(IF(AND(P31&gt;0,Q31&gt;0,R31&gt;0),(P31*Q31*R31)/6000,""),"")</f>
        <v/>
      </c>
      <c r="T31" s="34">
        <f>IFERROR(IF(AND(P31&gt;0,Q31&gt;0,R31&gt;0),(P31*Q31*R31)/6000,""),"")</f>
        <v/>
      </c>
      <c r="U31" s="1">
        <f>IFERROR(IF(AND(O31&gt;0,T31&gt;0),MAX(O31,T31),IF(O31&gt;0,O31,IF(T31&gt;0,T31,""))),"")</f>
        <v/>
      </c>
      <c r="V31" s="71" t="n">
        <v>25</v>
      </c>
      <c r="W31" s="1" t="inlineStr">
        <is>
          <t>fornecedor</t>
        </is>
      </c>
      <c r="X31" s="1" t="n">
        <v>101.576349</v>
      </c>
      <c r="Y31" s="39" t="n">
        <v>0.3</v>
      </c>
      <c r="Z31" s="41">
        <f>IFERROR(X31+V31,"")</f>
        <v/>
      </c>
      <c r="AA31" s="41">
        <f>IFERROR(IF(Y31&lt;1,Z31/(1-Y31),""),"")</f>
        <v/>
      </c>
      <c r="AB31" s="43">
        <f>'01_CONFIG_GLOBAL'!$C$14</f>
        <v/>
      </c>
      <c r="AC31" s="41">
        <f>IFERROR(AA31*AB31,"")</f>
        <v/>
      </c>
      <c r="AD31" s="41">
        <f>IFERROR(IF(AB31&lt;1,AA31/(1-AB31),""),"")</f>
        <v/>
      </c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inlineStr">
        <is>
          <t>sim</t>
        </is>
      </c>
      <c r="AN31" s="1" t="n"/>
      <c r="AO31" s="1" t="n"/>
      <c r="AP31" s="1" t="inlineStr">
        <is>
          <t>PENDÊNCIA: sem peso/dimensões — frete default R$25 (estimado); pesar/medir p/ recotar | DRAFT 21/07: sem peso/dimensões — pesar/medir e reativar p/ subir ao site</t>
        </is>
      </c>
      <c r="AQ31" s="1">
        <f>IF(AND(M31&lt;&gt;"",M31&gt;1),A31&amp;"-KIT"&amp;M31,A31)</f>
        <v/>
      </c>
      <c r="AR31" s="44">
        <f>IF(AND(M31&lt;&gt;"",M31&gt;1),D31&amp;" — Kit "&amp;M31&amp;" unidades",D31)</f>
        <v/>
      </c>
      <c r="AS31" s="28" t="inlineStr">
        <is>
          <t>SEM IMAGEM</t>
        </is>
      </c>
    </row>
    <row r="32" ht="15.75" customHeight="1" s="93">
      <c r="A32" s="1" t="inlineStr">
        <is>
          <t>8031-4008</t>
        </is>
      </c>
      <c r="B32" s="1" t="inlineStr">
        <is>
          <t>8031-4008</t>
        </is>
      </c>
      <c r="C32" s="1" t="inlineStr">
        <is>
          <t>ponteira-bico</t>
        </is>
      </c>
      <c r="D32" s="1" t="inlineStr">
        <is>
          <t>Ponteira do Bico - Stara 8031-4008 | Plataforma de Milho Brava</t>
        </is>
      </c>
      <c r="E32" s="1" t="inlineStr">
        <is>
          <t>Peças Plásticas Injetadas</t>
        </is>
      </c>
      <c r="F32" s="1" t="inlineStr">
        <is>
          <t>APP</t>
        </is>
      </c>
      <c r="G32" s="1" t="n"/>
      <c r="H32" s="23" t="inlineStr">
        <is>
          <t>active</t>
        </is>
      </c>
      <c r="I32" s="1" t="inlineStr">
        <is>
          <t>STARA</t>
        </is>
      </c>
      <c r="J32" s="1" t="inlineStr">
        <is>
          <t>COLHEITADEIRA DE MILHO</t>
        </is>
      </c>
      <c r="K32" s="1">
        <f>LOWER(CONCATENATE("Peças Plastica para ",J32," ",D32))</f>
        <v/>
      </c>
      <c r="L32" s="1" t="n"/>
      <c r="M32" s="1" t="n">
        <v>1</v>
      </c>
      <c r="N32" s="18" t="n">
        <v>5</v>
      </c>
      <c r="O32" s="18" t="n">
        <v>0.25</v>
      </c>
      <c r="P32" s="18" t="n">
        <v>11.5</v>
      </c>
      <c r="Q32" s="18" t="n">
        <v>23.4</v>
      </c>
      <c r="R32" s="18" t="n">
        <v>10</v>
      </c>
      <c r="S32" s="78">
        <f>IFERROR(IF(AND(P32&gt;0,Q32&gt;0,R32&gt;0),(P32*Q32*R32)/6000,""),"")</f>
        <v/>
      </c>
      <c r="T32" s="34">
        <f>IFERROR(IF(AND(P32&gt;0,Q32&gt;0,R32&gt;0),(P32*Q32*R32)/6000,""),"")</f>
        <v/>
      </c>
      <c r="U32" s="1">
        <f>IFERROR(IF(AND(O32&gt;0,T32&gt;0),MAX(O32,T32),IF(O32&gt;0,O32,IF(T32&gt;0,T32,""))),"")</f>
        <v/>
      </c>
      <c r="V32" s="71" t="n">
        <v>3.19</v>
      </c>
      <c r="W32" s="1" t="inlineStr">
        <is>
          <t>fornecedor</t>
        </is>
      </c>
      <c r="X32" s="1" t="n">
        <v>21.43692</v>
      </c>
      <c r="Y32" s="39" t="n">
        <v>0.3</v>
      </c>
      <c r="Z32" s="41">
        <f>IFERROR(X32+V32,"")</f>
        <v/>
      </c>
      <c r="AA32" s="41">
        <f>IFERROR(IF(Y32&lt;1,Z32/(1-Y32),""),"")</f>
        <v/>
      </c>
      <c r="AB32" s="43">
        <f>'01_CONFIG_GLOBAL'!$C$14</f>
        <v/>
      </c>
      <c r="AC32" s="41">
        <f>IFERROR(AA32*AB32,"")</f>
        <v/>
      </c>
      <c r="AD32" s="41">
        <f>IFERROR(IF(AB32&lt;1,AA32/(1-AB32),""),"")</f>
        <v/>
      </c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inlineStr">
        <is>
          <t>sim</t>
        </is>
      </c>
      <c r="AN32" s="1" t="n"/>
      <c r="AO32" s="1" t="n"/>
      <c r="AP32" s="1" t="inlineStr">
        <is>
          <t>Fotos: output/fotos_ecommerce_tratemento_v2/STARA_8031-4008_ecommerce.png</t>
        </is>
      </c>
      <c r="AQ32" s="1">
        <f>IF(AND(M32&lt;&gt;"",M32&gt;1),A32&amp;"-KIT"&amp;M32,A32)</f>
        <v/>
      </c>
      <c r="AR32" s="44">
        <f>IF(AND(M32&lt;&gt;"",M32&gt;1),D32&amp;" — Kit "&amp;M32&amp;" unidades",D32)</f>
        <v/>
      </c>
      <c r="AS32" s="28" t="inlineStr">
        <is>
          <t>STARA_8031-4008_ecommerce.png | STARA_8031-4008_ecommerce_2.jpg</t>
        </is>
      </c>
    </row>
    <row r="33" ht="15.75" customHeight="1" s="93">
      <c r="A33" s="1" t="inlineStr">
        <is>
          <t>8031-4008</t>
        </is>
      </c>
      <c r="B33" s="1" t="inlineStr">
        <is>
          <t>8031-4008</t>
        </is>
      </c>
      <c r="C33" s="1" t="inlineStr">
        <is>
          <t>ponteira-bico</t>
        </is>
      </c>
      <c r="D33" s="1" t="inlineStr">
        <is>
          <t>Ponteira do Bico - Kit 10 Unidades - Stara 8031-4008</t>
        </is>
      </c>
      <c r="E33" s="1" t="inlineStr">
        <is>
          <t>Peças Plásticas Injetadas</t>
        </is>
      </c>
      <c r="F33" s="1" t="inlineStr">
        <is>
          <t>APP</t>
        </is>
      </c>
      <c r="G33" s="1" t="n"/>
      <c r="H33" s="23" t="inlineStr">
        <is>
          <t>active</t>
        </is>
      </c>
      <c r="I33" s="1" t="inlineStr">
        <is>
          <t>STARA</t>
        </is>
      </c>
      <c r="J33" s="1" t="inlineStr">
        <is>
          <t>COLHEITADEIRA DE MILHO</t>
        </is>
      </c>
      <c r="K33" s="1">
        <f>LOWER(CONCATENATE("Peças Plastica para ",J33," ",D33))</f>
        <v/>
      </c>
      <c r="L33" s="1" t="n"/>
      <c r="M33" s="1" t="n">
        <v>10</v>
      </c>
      <c r="N33" s="18" t="n">
        <v>5</v>
      </c>
      <c r="O33" s="18">
        <f>O32*M33</f>
        <v/>
      </c>
      <c r="P33" s="18" t="n">
        <v>25</v>
      </c>
      <c r="Q33" s="18" t="n">
        <v>26</v>
      </c>
      <c r="R33" s="18" t="n">
        <v>55</v>
      </c>
      <c r="S33" s="78">
        <f>IFERROR(IF(AND(P33&gt;0,Q33&gt;0,R33&gt;0),(P33*Q33*R33)/6000,""),"")</f>
        <v/>
      </c>
      <c r="T33" s="34">
        <f>IFERROR(IF(AND(P33&gt;0,Q33&gt;0,R33&gt;0),(P33*Q33*R33)/6000,""),"")</f>
        <v/>
      </c>
      <c r="U33" s="1">
        <f>IFERROR(IF(AND(O33&gt;0,T33&gt;0),MAX(O33,T33),IF(O33&gt;0,O33,IF(T33&gt;0,T33,""))),"")</f>
        <v/>
      </c>
      <c r="V33" s="71" t="n">
        <v>31.9</v>
      </c>
      <c r="W33" s="1" t="inlineStr">
        <is>
          <t>fornecedor</t>
        </is>
      </c>
      <c r="X33" s="1">
        <f>X32*M33</f>
        <v/>
      </c>
      <c r="Y33" s="39">
        <f>Y32</f>
        <v/>
      </c>
      <c r="Z33" s="41">
        <f>IFERROR(X33+V33,"")</f>
        <v/>
      </c>
      <c r="AA33" s="41">
        <f>IFERROR(IF(Y33&lt;1,Z33/(1-Y33),""),"")</f>
        <v/>
      </c>
      <c r="AB33" s="43">
        <f>'01_CONFIG_GLOBAL'!$C$14</f>
        <v/>
      </c>
      <c r="AC33" s="41">
        <f>IFERROR(AA33*AB33,"")</f>
        <v/>
      </c>
      <c r="AD33" s="41">
        <f>IFERROR(IF(AB33&lt;1,AA33/(1-AB33),""),"")</f>
        <v/>
      </c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inlineStr">
        <is>
          <t>sim</t>
        </is>
      </c>
      <c r="AN33" s="1" t="n"/>
      <c r="AO33" s="1" t="n"/>
      <c r="AP33" s="1" t="n"/>
      <c r="AQ33" s="1">
        <f>IF(AND(M33&lt;&gt;"",M33&gt;1),A33&amp;"-KIT"&amp;M33,A33)</f>
        <v/>
      </c>
      <c r="AR33" s="44">
        <f>IF(AND(M33&lt;&gt;"",M33&gt;1),D33&amp;" — Kit "&amp;M33&amp;" unidades",D33)</f>
        <v/>
      </c>
      <c r="AS33" s="28" t="inlineStr">
        <is>
          <t>STARA_8031-4008_ecommerce.png | STARA_8031-4008-KIT10_ecommerce.jpg</t>
        </is>
      </c>
    </row>
    <row r="34" hidden="1" ht="15.75" customHeight="1" s="93">
      <c r="A34" s="1" t="inlineStr">
        <is>
          <t>10110-4158</t>
        </is>
      </c>
      <c r="B34" s="1" t="inlineStr">
        <is>
          <t>10110-4158</t>
        </is>
      </c>
      <c r="C34" s="1" t="inlineStr">
        <is>
          <t>chave-capo</t>
        </is>
      </c>
      <c r="D34" s="1" t="inlineStr">
        <is>
          <t>Chave do Capô - Stara 10110-4158 | Trator</t>
        </is>
      </c>
      <c r="E34" s="1" t="inlineStr">
        <is>
          <t>Peças Plásticas Injetadas</t>
        </is>
      </c>
      <c r="F34" s="1" t="inlineStr">
        <is>
          <t>APP</t>
        </is>
      </c>
      <c r="G34" s="1" t="n"/>
      <c r="H34" s="23" t="inlineStr">
        <is>
          <t>draft</t>
        </is>
      </c>
      <c r="I34" s="1" t="inlineStr">
        <is>
          <t>STARA</t>
        </is>
      </c>
      <c r="J34" s="1" t="inlineStr">
        <is>
          <t>TRATOR</t>
        </is>
      </c>
      <c r="K34" s="1">
        <f>LOWER(CONCATENATE("Peças Plastica para ",J34," ",D34))</f>
        <v/>
      </c>
      <c r="L34" s="1" t="n"/>
      <c r="M34" s="1" t="n"/>
      <c r="N34" s="18" t="n">
        <v>5</v>
      </c>
      <c r="O34" s="18" t="n"/>
      <c r="P34" s="18" t="n">
        <v>0</v>
      </c>
      <c r="Q34" s="18" t="n">
        <v>0</v>
      </c>
      <c r="R34" s="18" t="n">
        <v>0</v>
      </c>
      <c r="S34" s="78">
        <f>IFERROR(IF(AND(P34&gt;0,Q34&gt;0,R34&gt;0),(P34*Q34*R34)/6000,""),"")</f>
        <v/>
      </c>
      <c r="T34" s="34">
        <f>IFERROR(IF(AND(P34&gt;0,Q34&gt;0,R34&gt;0),(P34*Q34*R34)/6000,""),"")</f>
        <v/>
      </c>
      <c r="U34" s="1">
        <f>IFERROR(IF(AND(O34&gt;0,T34&gt;0),MAX(O34,T34),IF(O34&gt;0,O34,IF(T34&gt;0,T34,""))),"")</f>
        <v/>
      </c>
      <c r="V34" s="71" t="n">
        <v>25</v>
      </c>
      <c r="W34" s="1" t="inlineStr">
        <is>
          <t>fornecedor</t>
        </is>
      </c>
      <c r="X34" s="1" t="n">
        <v>1.87542</v>
      </c>
      <c r="Y34" s="39" t="n">
        <v>0.3</v>
      </c>
      <c r="Z34" s="41">
        <f>IFERROR(X34+V34,"")</f>
        <v/>
      </c>
      <c r="AA34" s="41">
        <f>IFERROR(IF(Y34&lt;1,Z34/(1-Y34),""),"")</f>
        <v/>
      </c>
      <c r="AB34" s="43">
        <f>'01_CONFIG_GLOBAL'!$C$14</f>
        <v/>
      </c>
      <c r="AC34" s="41">
        <f>IFERROR(AA34*AB34,"")</f>
        <v/>
      </c>
      <c r="AD34" s="41">
        <f>IFERROR(IF(AB34&lt;1,AA34/(1-AB34),""),"")</f>
        <v/>
      </c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inlineStr">
        <is>
          <t>sim</t>
        </is>
      </c>
      <c r="AN34" s="1" t="n"/>
      <c r="AO34" s="1" t="n"/>
      <c r="AP34" s="1" t="inlineStr">
        <is>
          <t>PENDÊNCIA: sem peso/dimensões — frete default R$25 (estimado); pesar/medir p/ recotar | DRAFT 21/07: sem peso/dimensões — pesar/medir e reativar p/ subir ao site</t>
        </is>
      </c>
      <c r="AQ34" s="1">
        <f>IF(AND(M34&lt;&gt;"",M34&gt;1),A34&amp;"-KIT"&amp;M34,A34)</f>
        <v/>
      </c>
      <c r="AR34" s="44">
        <f>IF(AND(M34&lt;&gt;"",M34&gt;1),D34&amp;" — Kit "&amp;M34&amp;" unidades",D34)</f>
        <v/>
      </c>
      <c r="AS34" s="28" t="inlineStr">
        <is>
          <t>SEM IMAGEM</t>
        </is>
      </c>
    </row>
    <row r="35" hidden="1" ht="15.75" customHeight="1" s="93">
      <c r="A35" s="1" t="inlineStr">
        <is>
          <t>6112-4192</t>
        </is>
      </c>
      <c r="B35" s="1" t="inlineStr">
        <is>
          <t>6112-4192</t>
        </is>
      </c>
      <c r="C35" s="1" t="inlineStr">
        <is>
          <t>conector-telescopico-pp-preto</t>
        </is>
      </c>
      <c r="D35" s="1" t="inlineStr">
        <is>
          <t>Conector Telescópico Preto - Stara 6112-4192 | Plantadeira</t>
        </is>
      </c>
      <c r="E35" s="1" t="inlineStr">
        <is>
          <t>Peças Plásticas Injetadas</t>
        </is>
      </c>
      <c r="F35" s="1" t="inlineStr">
        <is>
          <t>APP</t>
        </is>
      </c>
      <c r="G35" s="1" t="n"/>
      <c r="H35" s="23" t="inlineStr">
        <is>
          <t>draft</t>
        </is>
      </c>
      <c r="I35" s="1" t="inlineStr">
        <is>
          <t>STARA</t>
        </is>
      </c>
      <c r="J35" s="1" t="inlineStr">
        <is>
          <t>PLANTADEIRA</t>
        </is>
      </c>
      <c r="K35" s="1">
        <f>LOWER(CONCATENATE("Peças Plastica para ",J35," ",D35))</f>
        <v/>
      </c>
      <c r="L35" s="1" t="n"/>
      <c r="M35" s="1" t="n"/>
      <c r="N35" s="18" t="n">
        <v>5</v>
      </c>
      <c r="O35" s="18" t="n"/>
      <c r="P35" s="18" t="n">
        <v>0</v>
      </c>
      <c r="Q35" s="18" t="n">
        <v>0</v>
      </c>
      <c r="R35" s="18" t="n">
        <v>0</v>
      </c>
      <c r="S35" s="78">
        <f>IFERROR(IF(AND(P35&gt;0,Q35&gt;0,R35&gt;0),(P35*Q35*R35)/6000,""),"")</f>
        <v/>
      </c>
      <c r="T35" s="34">
        <f>IFERROR(IF(AND(P35&gt;0,Q35&gt;0,R35&gt;0),(P35*Q35*R35)/6000,""),"")</f>
        <v/>
      </c>
      <c r="U35" s="1">
        <f>IFERROR(IF(AND(O35&gt;0,T35&gt;0),MAX(O35,T35),IF(O35&gt;0,O35,IF(T35&gt;0,T35,""))),"")</f>
        <v/>
      </c>
      <c r="V35" s="71" t="n">
        <v>25</v>
      </c>
      <c r="W35" s="1" t="inlineStr">
        <is>
          <t>fornecedor</t>
        </is>
      </c>
      <c r="X35" s="1" t="n">
        <v>3.75084</v>
      </c>
      <c r="Y35" s="39" t="n">
        <v>0.3</v>
      </c>
      <c r="Z35" s="41">
        <f>IFERROR(X35+V35,"")</f>
        <v/>
      </c>
      <c r="AA35" s="41">
        <f>IFERROR(IF(Y35&lt;1,Z35/(1-Y35),""),"")</f>
        <v/>
      </c>
      <c r="AB35" s="43">
        <f>'01_CONFIG_GLOBAL'!$C$14</f>
        <v/>
      </c>
      <c r="AC35" s="41">
        <f>IFERROR(AA35*AB35,"")</f>
        <v/>
      </c>
      <c r="AD35" s="41">
        <f>IFERROR(IF(AB35&lt;1,AA35/(1-AB35),""),"")</f>
        <v/>
      </c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inlineStr">
        <is>
          <t>sim</t>
        </is>
      </c>
      <c r="AN35" s="1" t="n"/>
      <c r="AO35" s="1" t="n"/>
      <c r="AP35" s="1" t="inlineStr">
        <is>
          <t>PENDÊNCIA: sem peso/dimensões — frete default R$25 (estimado); pesar/medir p/ recotar | DRAFT 21/07: sem peso/dimensões — pesar/medir e reativar p/ subir ao site</t>
        </is>
      </c>
      <c r="AQ35" s="1">
        <f>IF(AND(M35&lt;&gt;"",M35&gt;1),A35&amp;"-KIT"&amp;M35,A35)</f>
        <v/>
      </c>
      <c r="AR35" s="44">
        <f>IF(AND(M35&lt;&gt;"",M35&gt;1),D35&amp;" — Kit "&amp;M35&amp;" unidades",D35)</f>
        <v/>
      </c>
      <c r="AS35" s="28" t="inlineStr">
        <is>
          <t>SEM IMAGEM</t>
        </is>
      </c>
    </row>
    <row r="36" hidden="1" ht="15.75" customHeight="1" s="93">
      <c r="A36" s="1" t="inlineStr">
        <is>
          <t>6117-4251</t>
        </is>
      </c>
      <c r="B36" s="1" t="inlineStr">
        <is>
          <t>6117-4251</t>
        </is>
      </c>
      <c r="C36" s="1" t="inlineStr">
        <is>
          <t>distribuidor-semente-pastagem</t>
        </is>
      </c>
      <c r="D36" s="1" t="inlineStr">
        <is>
          <t>Distribuidor de Semente de Pastagem - Stara 6117-4251 | Plantadeira</t>
        </is>
      </c>
      <c r="E36" s="1" t="inlineStr">
        <is>
          <t>Peças Plásticas Injetadas</t>
        </is>
      </c>
      <c r="F36" s="1" t="inlineStr">
        <is>
          <t>APP</t>
        </is>
      </c>
      <c r="G36" s="1" t="n"/>
      <c r="H36" s="23" t="inlineStr">
        <is>
          <t>draft</t>
        </is>
      </c>
      <c r="I36" s="1" t="inlineStr">
        <is>
          <t>STARA</t>
        </is>
      </c>
      <c r="J36" s="1" t="inlineStr">
        <is>
          <t>PLANTADEIRA</t>
        </is>
      </c>
      <c r="K36" s="1">
        <f>LOWER(CONCATENATE("Peças Plastica para ",J36," ",D36))</f>
        <v/>
      </c>
      <c r="L36" s="1" t="n"/>
      <c r="M36" s="1" t="n"/>
      <c r="N36" s="18" t="n">
        <v>5</v>
      </c>
      <c r="O36" s="18" t="n"/>
      <c r="P36" s="18" t="n">
        <v>0</v>
      </c>
      <c r="Q36" s="18" t="n">
        <v>0</v>
      </c>
      <c r="R36" s="18" t="n">
        <v>0</v>
      </c>
      <c r="S36" s="78">
        <f>IFERROR(IF(AND(P36&gt;0,Q36&gt;0,R36&gt;0),(P36*Q36*R36)/6000,""),"")</f>
        <v/>
      </c>
      <c r="T36" s="34">
        <f>IFERROR(IF(AND(P36&gt;0,Q36&gt;0,R36&gt;0),(P36*Q36*R36)/6000,""),"")</f>
        <v/>
      </c>
      <c r="U36" s="1">
        <f>IFERROR(IF(AND(O36&gt;0,T36&gt;0),MAX(O36,T36),IF(O36&gt;0,O36,IF(T36&gt;0,T36,""))),"")</f>
        <v/>
      </c>
      <c r="V36" s="71" t="n">
        <v>25</v>
      </c>
      <c r="W36" s="1" t="inlineStr">
        <is>
          <t>fornecedor</t>
        </is>
      </c>
      <c r="X36" s="1" t="n">
        <v>11.06622</v>
      </c>
      <c r="Y36" s="39" t="n">
        <v>0.3</v>
      </c>
      <c r="Z36" s="41">
        <f>IFERROR(X36+V36,"")</f>
        <v/>
      </c>
      <c r="AA36" s="41">
        <f>IFERROR(IF(Y36&lt;1,Z36/(1-Y36),""),"")</f>
        <v/>
      </c>
      <c r="AB36" s="43">
        <f>'01_CONFIG_GLOBAL'!$C$14</f>
        <v/>
      </c>
      <c r="AC36" s="41">
        <f>IFERROR(AA36*AB36,"")</f>
        <v/>
      </c>
      <c r="AD36" s="41">
        <f>IFERROR(IF(AB36&lt;1,AA36/(1-AB36),""),"")</f>
        <v/>
      </c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inlineStr">
        <is>
          <t>sim</t>
        </is>
      </c>
      <c r="AN36" s="1" t="n"/>
      <c r="AO36" s="1" t="n"/>
      <c r="AP36" s="1" t="inlineStr">
        <is>
          <t>PENDÊNCIA: sem peso/dimensões — frete default R$25 (estimado); pesar/medir p/ recotar | DRAFT 21/07: sem peso/dimensões — pesar/medir e reativar p/ subir ao site</t>
        </is>
      </c>
      <c r="AQ36" s="1">
        <f>IF(AND(M36&lt;&gt;"",M36&gt;1),A36&amp;"-KIT"&amp;M36,A36)</f>
        <v/>
      </c>
      <c r="AR36" s="44">
        <f>IF(AND(M36&lt;&gt;"",M36&gt;1),D36&amp;" — Kit "&amp;M36&amp;" unidades",D36)</f>
        <v/>
      </c>
      <c r="AS36" s="28" t="inlineStr">
        <is>
          <t>SEM IMAGEM</t>
        </is>
      </c>
    </row>
    <row r="37" hidden="1" ht="15.75" customHeight="1" s="93">
      <c r="A37" s="1" t="inlineStr">
        <is>
          <t>6123-4126</t>
        </is>
      </c>
      <c r="B37" s="1" t="inlineStr">
        <is>
          <t>6123-4126</t>
        </is>
      </c>
      <c r="C37" s="1" t="inlineStr">
        <is>
          <t>conector-telescopico-pp-preto-menor</t>
        </is>
      </c>
      <c r="D37" s="1" t="inlineStr">
        <is>
          <t>Conector Telescópico Preto Menor - Stara 6123-4126 | Plantadeira</t>
        </is>
      </c>
      <c r="E37" s="1" t="inlineStr">
        <is>
          <t>Peças Plásticas Injetadas</t>
        </is>
      </c>
      <c r="F37" s="1" t="inlineStr">
        <is>
          <t>APP</t>
        </is>
      </c>
      <c r="G37" s="1" t="n"/>
      <c r="H37" s="23" t="inlineStr">
        <is>
          <t>draft</t>
        </is>
      </c>
      <c r="I37" s="1" t="inlineStr">
        <is>
          <t>STARA</t>
        </is>
      </c>
      <c r="J37" s="1" t="inlineStr">
        <is>
          <t>PLANTADEIRA</t>
        </is>
      </c>
      <c r="K37" s="1">
        <f>LOWER(CONCATENATE("Peças Plastica para ",J37," ",D37))</f>
        <v/>
      </c>
      <c r="L37" s="1" t="n"/>
      <c r="M37" s="1" t="n"/>
      <c r="N37" s="18" t="n">
        <v>5</v>
      </c>
      <c r="O37" s="18" t="n"/>
      <c r="P37" s="18" t="n">
        <v>0</v>
      </c>
      <c r="Q37" s="18" t="n">
        <v>0</v>
      </c>
      <c r="R37" s="18" t="n">
        <v>0</v>
      </c>
      <c r="S37" s="78">
        <f>IFERROR(IF(AND(P37&gt;0,Q37&gt;0,R37&gt;0),(P37*Q37*R37)/6000,""),"")</f>
        <v/>
      </c>
      <c r="T37" s="34">
        <f>IFERROR(IF(AND(P37&gt;0,Q37&gt;0,R37&gt;0),(P37*Q37*R37)/6000,""),"")</f>
        <v/>
      </c>
      <c r="U37" s="1">
        <f>IFERROR(IF(AND(O37&gt;0,T37&gt;0),MAX(O37,T37),IF(O37&gt;0,O37,IF(T37&gt;0,T37,""))),"")</f>
        <v/>
      </c>
      <c r="V37" s="71" t="n">
        <v>25</v>
      </c>
      <c r="W37" s="1" t="inlineStr">
        <is>
          <t>fornecedor</t>
        </is>
      </c>
      <c r="X37" s="1" t="n">
        <v>3.37824</v>
      </c>
      <c r="Y37" s="39" t="n">
        <v>0.3</v>
      </c>
      <c r="Z37" s="41">
        <f>IFERROR(X37+V37,"")</f>
        <v/>
      </c>
      <c r="AA37" s="41">
        <f>IFERROR(IF(Y37&lt;1,Z37/(1-Y37),""),"")</f>
        <v/>
      </c>
      <c r="AB37" s="43">
        <f>'01_CONFIG_GLOBAL'!$C$14</f>
        <v/>
      </c>
      <c r="AC37" s="41">
        <f>IFERROR(AA37*AB37,"")</f>
        <v/>
      </c>
      <c r="AD37" s="41">
        <f>IFERROR(IF(AB37&lt;1,AA37/(1-AB37),""),"")</f>
        <v/>
      </c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inlineStr">
        <is>
          <t>sim</t>
        </is>
      </c>
      <c r="AN37" s="1" t="n"/>
      <c r="AO37" s="1" t="n"/>
      <c r="AP37" s="1" t="inlineStr">
        <is>
          <t>PENDÊNCIA: sem peso/dimensões — frete default R$25 (estimado); pesar/medir p/ recotar | DRAFT 21/07: sem peso/dimensões — pesar/medir e reativar p/ subir ao site</t>
        </is>
      </c>
      <c r="AQ37" s="1">
        <f>IF(AND(M37&lt;&gt;"",M37&gt;1),A37&amp;"-KIT"&amp;M37,A37)</f>
        <v/>
      </c>
      <c r="AR37" s="44">
        <f>IF(AND(M37&lt;&gt;"",M37&gt;1),D37&amp;" — Kit "&amp;M37&amp;" unidades",D37)</f>
        <v/>
      </c>
      <c r="AS37" s="28" t="inlineStr">
        <is>
          <t>SEM IMAGEM</t>
        </is>
      </c>
    </row>
    <row r="38" hidden="1" ht="15.75" customHeight="1" s="93">
      <c r="A38" s="1" t="inlineStr">
        <is>
          <t>6424-4003</t>
        </is>
      </c>
      <c r="B38" s="1" t="inlineStr">
        <is>
          <t>6424-4003</t>
        </is>
      </c>
      <c r="C38" s="1" t="inlineStr">
        <is>
          <t>tampa-reservatorio-sementes</t>
        </is>
      </c>
      <c r="D38" s="1" t="inlineStr">
        <is>
          <t>Tampa do Reservatório de Sementes - Stara 6424-4003 | Plantadeira</t>
        </is>
      </c>
      <c r="E38" s="1" t="inlineStr">
        <is>
          <t>Peças Plásticas Injetadas</t>
        </is>
      </c>
      <c r="F38" s="1" t="inlineStr">
        <is>
          <t>APP</t>
        </is>
      </c>
      <c r="G38" s="1" t="n"/>
      <c r="H38" s="23" t="inlineStr">
        <is>
          <t>draft</t>
        </is>
      </c>
      <c r="I38" s="1" t="inlineStr">
        <is>
          <t>STARA</t>
        </is>
      </c>
      <c r="J38" s="1" t="inlineStr">
        <is>
          <t>PLANTADEIRA</t>
        </is>
      </c>
      <c r="K38" s="1">
        <f>LOWER(CONCATENATE("Peças Plastica para ",J38," ",D38))</f>
        <v/>
      </c>
      <c r="L38" s="1" t="n"/>
      <c r="M38" s="1" t="n"/>
      <c r="N38" s="18" t="n">
        <v>5</v>
      </c>
      <c r="O38" s="18" t="n"/>
      <c r="P38" s="18" t="n">
        <v>0</v>
      </c>
      <c r="Q38" s="18" t="n">
        <v>0</v>
      </c>
      <c r="R38" s="18" t="n">
        <v>0</v>
      </c>
      <c r="S38" s="78">
        <f>IFERROR(IF(AND(P38&gt;0,Q38&gt;0,R38&gt;0),(P38*Q38*R38)/6000,""),"")</f>
        <v/>
      </c>
      <c r="T38" s="34">
        <f>IFERROR(IF(AND(P38&gt;0,Q38&gt;0,R38&gt;0),(P38*Q38*R38)/6000,""),"")</f>
        <v/>
      </c>
      <c r="U38" s="1">
        <f>IFERROR(IF(AND(O38&gt;0,T38&gt;0),MAX(O38,T38),IF(O38&gt;0,O38,IF(T38&gt;0,T38,""))),"")</f>
        <v/>
      </c>
      <c r="V38" s="71" t="n">
        <v>25</v>
      </c>
      <c r="W38" s="1" t="inlineStr">
        <is>
          <t>fornecedor</t>
        </is>
      </c>
      <c r="X38" s="1" t="n">
        <v>6.06096</v>
      </c>
      <c r="Y38" s="39" t="n">
        <v>0.3</v>
      </c>
      <c r="Z38" s="41">
        <f>IFERROR(X38+V38,"")</f>
        <v/>
      </c>
      <c r="AA38" s="41">
        <f>IFERROR(IF(Y38&lt;1,Z38/(1-Y38),""),"")</f>
        <v/>
      </c>
      <c r="AB38" s="43">
        <f>'01_CONFIG_GLOBAL'!$C$14</f>
        <v/>
      </c>
      <c r="AC38" s="41">
        <f>IFERROR(AA38*AB38,"")</f>
        <v/>
      </c>
      <c r="AD38" s="41">
        <f>IFERROR(IF(AB38&lt;1,AA38/(1-AB38),""),"")</f>
        <v/>
      </c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inlineStr">
        <is>
          <t>sim</t>
        </is>
      </c>
      <c r="AN38" s="1" t="n"/>
      <c r="AO38" s="1" t="n"/>
      <c r="AP38" s="1" t="inlineStr">
        <is>
          <t>PENDÊNCIA: sem peso/dimensões — frete default R$25 (estimado); pesar/medir p/ recotar | DRAFT 21/07: sem peso/dimensões — pesar/medir e reativar p/ subir ao site</t>
        </is>
      </c>
      <c r="AQ38" s="1">
        <f>IF(AND(M38&lt;&gt;"",M38&gt;1),A38&amp;"-KIT"&amp;M38,A38)</f>
        <v/>
      </c>
      <c r="AR38" s="44">
        <f>IF(AND(M38&lt;&gt;"",M38&gt;1),D38&amp;" — Kit "&amp;M38&amp;" unidades",D38)</f>
        <v/>
      </c>
      <c r="AS38" s="28" t="inlineStr">
        <is>
          <t>SEM IMAGEM</t>
        </is>
      </c>
    </row>
    <row r="39" ht="15.75" customHeight="1" s="93">
      <c r="A39" s="1" t="inlineStr">
        <is>
          <t>6424-4013</t>
        </is>
      </c>
      <c r="B39" s="1" t="inlineStr">
        <is>
          <t>6424-4013</t>
        </is>
      </c>
      <c r="C39" s="1" t="inlineStr">
        <is>
          <t>condutor-adubo-disco-duplo</t>
        </is>
      </c>
      <c r="D39" s="1" t="inlineStr">
        <is>
          <t>Condutor de Adubo Disco Duplo - Stara 6424-4013 | Plantadeira Estrela</t>
        </is>
      </c>
      <c r="E39" s="1" t="inlineStr">
        <is>
          <t>Peças Plásticas Injetadas</t>
        </is>
      </c>
      <c r="F39" s="1" t="inlineStr">
        <is>
          <t>APP</t>
        </is>
      </c>
      <c r="G39" s="1" t="n"/>
      <c r="H39" s="23" t="inlineStr">
        <is>
          <t>active</t>
        </is>
      </c>
      <c r="I39" s="1" t="inlineStr">
        <is>
          <t>STARA</t>
        </is>
      </c>
      <c r="J39" s="1" t="inlineStr">
        <is>
          <t>PLANTADEIRA</t>
        </is>
      </c>
      <c r="K39" s="1">
        <f>LOWER(CONCATENATE("Peças Plastica para ",J39," ",D39))</f>
        <v/>
      </c>
      <c r="L39" s="1" t="n"/>
      <c r="M39" s="1" t="n">
        <v>1</v>
      </c>
      <c r="N39" s="18" t="n">
        <v>5</v>
      </c>
      <c r="O39" s="18" t="n">
        <v>0.2</v>
      </c>
      <c r="P39" s="18" t="n">
        <v>10</v>
      </c>
      <c r="Q39" s="18" t="n">
        <v>54</v>
      </c>
      <c r="R39" s="18" t="n">
        <v>7</v>
      </c>
      <c r="S39" s="78">
        <f>IFERROR(IF(AND(P39&gt;0,Q39&gt;0,R39&gt;0),(P39*Q39*R39)/6000,""),"")</f>
        <v/>
      </c>
      <c r="T39" s="34">
        <f>IFERROR(IF(AND(P39&gt;0,Q39&gt;0,R39&gt;0),(P39*Q39*R39)/6000,""),"")</f>
        <v/>
      </c>
      <c r="U39" s="1">
        <f>IFERROR(IF(AND(O39&gt;0,T39&gt;0),MAX(O39,T39),IF(O39&gt;0,O39,IF(T39&gt;0,T39,""))),"")</f>
        <v/>
      </c>
      <c r="V39" s="71" t="n">
        <v>3.93</v>
      </c>
      <c r="W39" s="1" t="inlineStr">
        <is>
          <t>fornecedor</t>
        </is>
      </c>
      <c r="X39" s="1" t="n">
        <v>8.23446</v>
      </c>
      <c r="Y39" s="39" t="n">
        <v>0.3</v>
      </c>
      <c r="Z39" s="41">
        <f>IFERROR(X39+V39,"")</f>
        <v/>
      </c>
      <c r="AA39" s="41">
        <f>IFERROR(IF(Y39&lt;1,Z39/(1-Y39),""),"")</f>
        <v/>
      </c>
      <c r="AB39" s="43">
        <f>'01_CONFIG_GLOBAL'!$C$14</f>
        <v/>
      </c>
      <c r="AC39" s="41">
        <f>IFERROR(AA39*AB39,"")</f>
        <v/>
      </c>
      <c r="AD39" s="41">
        <f>IFERROR(IF(AB39&lt;1,AA39/(1-AB39),""),"")</f>
        <v/>
      </c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inlineStr">
        <is>
          <t>sim</t>
        </is>
      </c>
      <c r="AN39" s="1" t="n"/>
      <c r="AO39" s="1" t="n"/>
      <c r="AP39" s="1" t="inlineStr">
        <is>
          <t>Fotos: output/fotos_ecommerce_tratemento_v2/STARA_6424-4013_ecommerce.png</t>
        </is>
      </c>
      <c r="AQ39" s="1">
        <f>IF(AND(M39&lt;&gt;"",M39&gt;1),A39&amp;"-KIT"&amp;M39,A39)</f>
        <v/>
      </c>
      <c r="AR39" s="44">
        <f>IF(AND(M39&lt;&gt;"",M39&gt;1),D39&amp;" — Kit "&amp;M39&amp;" unidades",D39)</f>
        <v/>
      </c>
      <c r="AS39" s="28" t="inlineStr">
        <is>
          <t>STARA_6424-4013_ecommerce.png</t>
        </is>
      </c>
    </row>
    <row r="40" ht="15.75" customHeight="1" s="93">
      <c r="A40" s="1" t="inlineStr">
        <is>
          <t>6424-4013</t>
        </is>
      </c>
      <c r="B40" s="1" t="inlineStr">
        <is>
          <t>6424-4013</t>
        </is>
      </c>
      <c r="C40" s="1" t="inlineStr">
        <is>
          <t>condutor-adubo-disco-duplo</t>
        </is>
      </c>
      <c r="D40" s="1" t="inlineStr">
        <is>
          <t>Condutor de Adubo Disco Duplo - Kit 25 Unidades - Stara 6424-4013</t>
        </is>
      </c>
      <c r="E40" s="1" t="inlineStr">
        <is>
          <t>Peças Plásticas Injetadas</t>
        </is>
      </c>
      <c r="F40" s="1" t="inlineStr">
        <is>
          <t>APP</t>
        </is>
      </c>
      <c r="G40" s="1" t="n"/>
      <c r="H40" s="23" t="inlineStr">
        <is>
          <t>active</t>
        </is>
      </c>
      <c r="I40" s="1" t="inlineStr">
        <is>
          <t>STARA</t>
        </is>
      </c>
      <c r="J40" s="1" t="inlineStr">
        <is>
          <t>PLANTADEIRA</t>
        </is>
      </c>
      <c r="K40" s="1">
        <f>LOWER(CONCATENATE("Peças Plastica para ",J40," ",D40))</f>
        <v/>
      </c>
      <c r="L40" s="1" t="n"/>
      <c r="M40" s="1" t="n">
        <v>25</v>
      </c>
      <c r="N40" s="18" t="n">
        <v>5</v>
      </c>
      <c r="O40" s="18">
        <f>O39*M40</f>
        <v/>
      </c>
      <c r="P40" s="18" t="n">
        <v>50</v>
      </c>
      <c r="Q40" s="18" t="n">
        <v>60</v>
      </c>
      <c r="R40" s="18" t="n">
        <v>40</v>
      </c>
      <c r="S40" s="78">
        <f>IFERROR(IF(AND(P40&gt;0,Q40&gt;0,R40&gt;0),(P40*Q40*R40)/6000,""),"")</f>
        <v/>
      </c>
      <c r="T40" s="34">
        <f>IFERROR(IF(AND(P40&gt;0,Q40&gt;0,R40&gt;0),(P40*Q40*R40)/6000,""),"")</f>
        <v/>
      </c>
      <c r="U40" s="1">
        <f>IFERROR(IF(AND(O40&gt;0,T40&gt;0),MAX(O40,T40),IF(O40&gt;0,O40,IF(T40&gt;0,T40,""))),"")</f>
        <v/>
      </c>
      <c r="V40" s="71" t="n">
        <v>98.23</v>
      </c>
      <c r="W40" s="1" t="inlineStr">
        <is>
          <t>fornecedor</t>
        </is>
      </c>
      <c r="X40" s="1">
        <f>X39*M40</f>
        <v/>
      </c>
      <c r="Y40" s="39">
        <f>Y39</f>
        <v/>
      </c>
      <c r="Z40" s="41">
        <f>IFERROR(X40+V40,"")</f>
        <v/>
      </c>
      <c r="AA40" s="41">
        <f>IFERROR(IF(Y40&lt;1,Z40/(1-Y40),""),"")</f>
        <v/>
      </c>
      <c r="AB40" s="43">
        <f>'01_CONFIG_GLOBAL'!$C$14</f>
        <v/>
      </c>
      <c r="AC40" s="41">
        <f>IFERROR(AA40*AB40,"")</f>
        <v/>
      </c>
      <c r="AD40" s="41">
        <f>IFERROR(IF(AB40&lt;1,AA40/(1-AB40),""),"")</f>
        <v/>
      </c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inlineStr">
        <is>
          <t>sim</t>
        </is>
      </c>
      <c r="AN40" s="1" t="n"/>
      <c r="AO40" s="1" t="n"/>
      <c r="AP40" s="1" t="n"/>
      <c r="AQ40" s="1">
        <f>IF(AND(M40&lt;&gt;"",M40&gt;1),A40&amp;"-KIT"&amp;M40,A40)</f>
        <v/>
      </c>
      <c r="AR40" s="44">
        <f>IF(AND(M40&lt;&gt;"",M40&gt;1),D40&amp;" — Kit "&amp;M40&amp;" unidades",D40)</f>
        <v/>
      </c>
      <c r="AS40" s="28" t="inlineStr">
        <is>
          <t>STARA_6424-4013_ecommerce.png</t>
        </is>
      </c>
    </row>
    <row r="41" hidden="1" ht="15.75" customHeight="1" s="93">
      <c r="A41" s="1" t="inlineStr">
        <is>
          <t>6435-3320</t>
        </is>
      </c>
      <c r="B41" s="1" t="inlineStr">
        <is>
          <t>6435-3320</t>
        </is>
      </c>
      <c r="C41" s="1" t="inlineStr">
        <is>
          <t>carenagem-traseira</t>
        </is>
      </c>
      <c r="D41" s="1" t="inlineStr">
        <is>
          <t>Carenagem Traseira - Stara 6435-3320 | Plantadeira</t>
        </is>
      </c>
      <c r="E41" s="1" t="inlineStr">
        <is>
          <t>Peças Plásticas Injetadas</t>
        </is>
      </c>
      <c r="F41" s="1" t="inlineStr">
        <is>
          <t>APP</t>
        </is>
      </c>
      <c r="G41" s="1" t="n"/>
      <c r="H41" s="23" t="inlineStr">
        <is>
          <t>draft</t>
        </is>
      </c>
      <c r="I41" s="1" t="inlineStr">
        <is>
          <t>STARA</t>
        </is>
      </c>
      <c r="J41" s="1" t="inlineStr">
        <is>
          <t>PLANTADEIRA</t>
        </is>
      </c>
      <c r="K41" s="1">
        <f>LOWER(CONCATENATE("Peças Plastica para ",J41," ",D41))</f>
        <v/>
      </c>
      <c r="L41" s="1" t="n"/>
      <c r="M41" s="1" t="n"/>
      <c r="N41" s="18" t="n">
        <v>5</v>
      </c>
      <c r="O41" s="18" t="n"/>
      <c r="P41" s="18" t="n">
        <v>0</v>
      </c>
      <c r="Q41" s="18" t="n">
        <v>0</v>
      </c>
      <c r="R41" s="18" t="n">
        <v>0</v>
      </c>
      <c r="S41" s="78">
        <f>IFERROR(IF(AND(P41&gt;0,Q41&gt;0,R41&gt;0),(P41*Q41*R41)/6000,""),"")</f>
        <v/>
      </c>
      <c r="T41" s="34">
        <f>IFERROR(IF(AND(P41&gt;0,Q41&gt;0,R41&gt;0),(P41*Q41*R41)/6000,""),"")</f>
        <v/>
      </c>
      <c r="U41" s="1">
        <f>IFERROR(IF(AND(O41&gt;0,T41&gt;0),MAX(O41,T41),IF(O41&gt;0,O41,IF(T41&gt;0,T41,""))),"")</f>
        <v/>
      </c>
      <c r="V41" s="71" t="n">
        <v>25</v>
      </c>
      <c r="W41" s="1" t="inlineStr">
        <is>
          <t>fornecedor</t>
        </is>
      </c>
      <c r="X41" s="1" t="n">
        <v>6.38388</v>
      </c>
      <c r="Y41" s="39" t="n">
        <v>0.3</v>
      </c>
      <c r="Z41" s="41">
        <f>IFERROR(X41+V41,"")</f>
        <v/>
      </c>
      <c r="AA41" s="41">
        <f>IFERROR(IF(Y41&lt;1,Z41/(1-Y41),""),"")</f>
        <v/>
      </c>
      <c r="AB41" s="43">
        <f>'01_CONFIG_GLOBAL'!$C$14</f>
        <v/>
      </c>
      <c r="AC41" s="41">
        <f>IFERROR(AA41*AB41,"")</f>
        <v/>
      </c>
      <c r="AD41" s="41">
        <f>IFERROR(IF(AB41&lt;1,AA41/(1-AB41),""),"")</f>
        <v/>
      </c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inlineStr">
        <is>
          <t>sim</t>
        </is>
      </c>
      <c r="AN41" s="1" t="n"/>
      <c r="AO41" s="1" t="n"/>
      <c r="AP41" s="1" t="inlineStr">
        <is>
          <t>PENDÊNCIA: sem peso/dimensões — frete default R$25 (estimado); pesar/medir p/ recotar | DRAFT 21/07: sem peso/dimensões — pesar/medir e reativar p/ subir ao site</t>
        </is>
      </c>
      <c r="AQ41" s="1">
        <f>IF(AND(M41&lt;&gt;"",M41&gt;1),A41&amp;"-KIT"&amp;M41,A41)</f>
        <v/>
      </c>
      <c r="AR41" s="44">
        <f>IF(AND(M41&lt;&gt;"",M41&gt;1),D41&amp;" — Kit "&amp;M41&amp;" unidades",D41)</f>
        <v/>
      </c>
      <c r="AS41" s="28" t="inlineStr">
        <is>
          <t>SEM IMAGEM</t>
        </is>
      </c>
    </row>
    <row r="42" hidden="1" ht="15.75" customHeight="1" s="93">
      <c r="A42" s="1" t="inlineStr">
        <is>
          <t>6424-4006</t>
        </is>
      </c>
      <c r="B42" s="1" t="inlineStr">
        <is>
          <t>6424-4006</t>
        </is>
      </c>
      <c r="C42" s="1" t="inlineStr">
        <is>
          <t>condutor-curvo-adubo</t>
        </is>
      </c>
      <c r="D42" s="1" t="inlineStr">
        <is>
          <t>Condutor Curvo de Adubo - Stara 6424-4006 | Plantadeira</t>
        </is>
      </c>
      <c r="E42" s="1" t="inlineStr">
        <is>
          <t>Peças Plásticas Injetadas</t>
        </is>
      </c>
      <c r="F42" s="1" t="inlineStr">
        <is>
          <t>APP</t>
        </is>
      </c>
      <c r="G42" s="1" t="n"/>
      <c r="H42" s="23" t="inlineStr">
        <is>
          <t>draft</t>
        </is>
      </c>
      <c r="I42" s="1" t="inlineStr">
        <is>
          <t>STARA</t>
        </is>
      </c>
      <c r="J42" s="1" t="inlineStr">
        <is>
          <t>PLANTADEIRA</t>
        </is>
      </c>
      <c r="K42" s="1">
        <f>LOWER(CONCATENATE("Peças Plastica para ",J42," ",D42))</f>
        <v/>
      </c>
      <c r="L42" s="1" t="n"/>
      <c r="M42" s="1" t="n"/>
      <c r="N42" s="18" t="n">
        <v>5</v>
      </c>
      <c r="O42" s="18" t="n"/>
      <c r="P42" s="18" t="n">
        <v>0</v>
      </c>
      <c r="Q42" s="18" t="n">
        <v>0</v>
      </c>
      <c r="R42" s="18" t="n">
        <v>0</v>
      </c>
      <c r="S42" s="78">
        <f>IFERROR(IF(AND(P42&gt;0,Q42&gt;0,R42&gt;0),(P42*Q42*R42)/6000,""),"")</f>
        <v/>
      </c>
      <c r="T42" s="34">
        <f>IFERROR(IF(AND(P42&gt;0,Q42&gt;0,R42&gt;0),(P42*Q42*R42)/6000,""),"")</f>
        <v/>
      </c>
      <c r="U42" s="1">
        <f>IFERROR(IF(AND(O42&gt;0,T42&gt;0),MAX(O42,T42),IF(O42&gt;0,O42,IF(T42&gt;0,T42,""))),"")</f>
        <v/>
      </c>
      <c r="V42" s="71" t="n">
        <v>25</v>
      </c>
      <c r="W42" s="1" t="inlineStr">
        <is>
          <t>fornecedor</t>
        </is>
      </c>
      <c r="X42" s="1" t="n">
        <v>5.16672</v>
      </c>
      <c r="Y42" s="39" t="n">
        <v>0.3</v>
      </c>
      <c r="Z42" s="41">
        <f>IFERROR(X42+V42,"")</f>
        <v/>
      </c>
      <c r="AA42" s="41">
        <f>IFERROR(IF(Y42&lt;1,Z42/(1-Y42),""),"")</f>
        <v/>
      </c>
      <c r="AB42" s="43">
        <f>'01_CONFIG_GLOBAL'!$C$14</f>
        <v/>
      </c>
      <c r="AC42" s="41">
        <f>IFERROR(AA42*AB42,"")</f>
        <v/>
      </c>
      <c r="AD42" s="41">
        <f>IFERROR(IF(AB42&lt;1,AA42/(1-AB42),""),"")</f>
        <v/>
      </c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inlineStr">
        <is>
          <t>sim</t>
        </is>
      </c>
      <c r="AN42" s="1" t="n"/>
      <c r="AO42" s="1" t="n"/>
      <c r="AP42" s="1" t="inlineStr">
        <is>
          <t>PENDÊNCIA: sem peso/dimensões — frete default R$25 (estimado); pesar/medir p/ recotar | DRAFT 21/07: sem peso/dimensões — pesar/medir e reativar p/ subir ao site</t>
        </is>
      </c>
      <c r="AQ42" s="1">
        <f>IF(AND(M42&lt;&gt;"",M42&gt;1),A42&amp;"-KIT"&amp;M42,A42)</f>
        <v/>
      </c>
      <c r="AR42" s="44">
        <f>IF(AND(M42&lt;&gt;"",M42&gt;1),D42&amp;" — Kit "&amp;M42&amp;" unidades",D42)</f>
        <v/>
      </c>
      <c r="AS42" s="28" t="inlineStr">
        <is>
          <t>SEM IMAGEM</t>
        </is>
      </c>
    </row>
    <row r="43" hidden="1" ht="15.75" customHeight="1" s="93">
      <c r="A43" s="1" t="inlineStr">
        <is>
          <t>6424-4009</t>
        </is>
      </c>
      <c r="B43" s="1" t="inlineStr">
        <is>
          <t>6424-4009</t>
        </is>
      </c>
      <c r="C43" s="1" t="inlineStr">
        <is>
          <t>bocal-alimentacao-grande</t>
        </is>
      </c>
      <c r="D43" s="1" t="inlineStr">
        <is>
          <t>Bocal de Alimentação Grande - Stara 6424-4009 | Plantadeira</t>
        </is>
      </c>
      <c r="E43" s="1" t="inlineStr">
        <is>
          <t>Peças Plásticas Injetadas</t>
        </is>
      </c>
      <c r="F43" s="1" t="inlineStr">
        <is>
          <t>APP</t>
        </is>
      </c>
      <c r="G43" s="1" t="n"/>
      <c r="H43" s="23" t="inlineStr">
        <is>
          <t>draft</t>
        </is>
      </c>
      <c r="I43" s="1" t="inlineStr">
        <is>
          <t>STARA</t>
        </is>
      </c>
      <c r="J43" s="1" t="inlineStr">
        <is>
          <t>PLANTADEIRA</t>
        </is>
      </c>
      <c r="K43" s="1">
        <f>LOWER(CONCATENATE("Peças Plastica para ",J43," ",D43))</f>
        <v/>
      </c>
      <c r="L43" s="1" t="n"/>
      <c r="M43" s="1" t="n"/>
      <c r="N43" s="18" t="n">
        <v>5</v>
      </c>
      <c r="O43" s="18" t="n"/>
      <c r="P43" s="18" t="n">
        <v>0</v>
      </c>
      <c r="Q43" s="18" t="n">
        <v>0</v>
      </c>
      <c r="R43" s="18" t="n">
        <v>0</v>
      </c>
      <c r="S43" s="78">
        <f>IFERROR(IF(AND(P43&gt;0,Q43&gt;0,R43&gt;0),(P43*Q43*R43)/6000,""),"")</f>
        <v/>
      </c>
      <c r="T43" s="34">
        <f>IFERROR(IF(AND(P43&gt;0,Q43&gt;0,R43&gt;0),(P43*Q43*R43)/6000,""),"")</f>
        <v/>
      </c>
      <c r="U43" s="1">
        <f>IFERROR(IF(AND(O43&gt;0,T43&gt;0),MAX(O43,T43),IF(O43&gt;0,O43,IF(T43&gt;0,T43,""))),"")</f>
        <v/>
      </c>
      <c r="V43" s="71" t="n">
        <v>25</v>
      </c>
      <c r="W43" s="1" t="inlineStr">
        <is>
          <t>fornecedor</t>
        </is>
      </c>
      <c r="X43" s="1" t="n">
        <v>4.11102</v>
      </c>
      <c r="Y43" s="39" t="n">
        <v>0.3</v>
      </c>
      <c r="Z43" s="41">
        <f>IFERROR(X43+V43,"")</f>
        <v/>
      </c>
      <c r="AA43" s="41">
        <f>IFERROR(IF(Y43&lt;1,Z43/(1-Y43),""),"")</f>
        <v/>
      </c>
      <c r="AB43" s="43">
        <f>'01_CONFIG_GLOBAL'!$C$14</f>
        <v/>
      </c>
      <c r="AC43" s="41">
        <f>IFERROR(AA43*AB43,"")</f>
        <v/>
      </c>
      <c r="AD43" s="41">
        <f>IFERROR(IF(AB43&lt;1,AA43/(1-AB43),""),"")</f>
        <v/>
      </c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inlineStr">
        <is>
          <t>sim</t>
        </is>
      </c>
      <c r="AN43" s="1" t="n"/>
      <c r="AO43" s="1" t="n"/>
      <c r="AP43" s="1" t="inlineStr">
        <is>
          <t>PENDÊNCIA: sem peso/dimensões — frete default R$25 (estimado); pesar/medir p/ recotar | DRAFT 21/07: sem peso/dimensões — pesar/medir e reativar p/ subir ao site</t>
        </is>
      </c>
      <c r="AQ43" s="1">
        <f>IF(AND(M43&lt;&gt;"",M43&gt;1),A43&amp;"-KIT"&amp;M43,A43)</f>
        <v/>
      </c>
      <c r="AR43" s="44">
        <f>IF(AND(M43&lt;&gt;"",M43&gt;1),D43&amp;" — Kit "&amp;M43&amp;" unidades",D43)</f>
        <v/>
      </c>
      <c r="AS43" s="28" t="inlineStr">
        <is>
          <t>SEM IMAGEM</t>
        </is>
      </c>
    </row>
    <row r="44" hidden="1" ht="15.75" customHeight="1" s="93">
      <c r="A44" s="1" t="inlineStr">
        <is>
          <t>6424-4022</t>
        </is>
      </c>
      <c r="B44" s="1" t="inlineStr">
        <is>
          <t>6424-4022</t>
        </is>
      </c>
      <c r="C44" s="1" t="inlineStr">
        <is>
          <t>conexao-tubo-de-pressao</t>
        </is>
      </c>
      <c r="D44" s="1" t="inlineStr">
        <is>
          <t>Conexão do Tubo de Pressão - Stara 6424-4022 | Plantadeira</t>
        </is>
      </c>
      <c r="E44" s="1" t="inlineStr">
        <is>
          <t>Peças Plásticas Injetadas</t>
        </is>
      </c>
      <c r="F44" s="1" t="inlineStr">
        <is>
          <t>APP</t>
        </is>
      </c>
      <c r="G44" s="1" t="n"/>
      <c r="H44" s="23" t="inlineStr">
        <is>
          <t>draft</t>
        </is>
      </c>
      <c r="I44" s="1" t="inlineStr">
        <is>
          <t>STARA</t>
        </is>
      </c>
      <c r="J44" s="1" t="inlineStr">
        <is>
          <t>PLANTADEIRA</t>
        </is>
      </c>
      <c r="K44" s="1">
        <f>LOWER(CONCATENATE("Peças Plastica para ",J44," ",D44))</f>
        <v/>
      </c>
      <c r="L44" s="1" t="n"/>
      <c r="M44" s="1" t="n"/>
      <c r="N44" s="18" t="n">
        <v>5</v>
      </c>
      <c r="O44" s="18" t="n"/>
      <c r="P44" s="18" t="n">
        <v>0</v>
      </c>
      <c r="Q44" s="18" t="n">
        <v>0</v>
      </c>
      <c r="R44" s="18" t="n">
        <v>0</v>
      </c>
      <c r="S44" s="78">
        <f>IFERROR(IF(AND(P44&gt;0,Q44&gt;0,R44&gt;0),(P44*Q44*R44)/6000,""),"")</f>
        <v/>
      </c>
      <c r="T44" s="34">
        <f>IFERROR(IF(AND(P44&gt;0,Q44&gt;0,R44&gt;0),(P44*Q44*R44)/6000,""),"")</f>
        <v/>
      </c>
      <c r="U44" s="1">
        <f>IFERROR(IF(AND(O44&gt;0,T44&gt;0),MAX(O44,T44),IF(O44&gt;0,O44,IF(T44&gt;0,T44,""))),"")</f>
        <v/>
      </c>
      <c r="V44" s="71" t="n">
        <v>25</v>
      </c>
      <c r="W44" s="1" t="inlineStr">
        <is>
          <t>fornecedor</t>
        </is>
      </c>
      <c r="X44" s="1" t="n">
        <v>3.3534</v>
      </c>
      <c r="Y44" s="39" t="n">
        <v>0.3</v>
      </c>
      <c r="Z44" s="41">
        <f>IFERROR(X44+V44,"")</f>
        <v/>
      </c>
      <c r="AA44" s="41">
        <f>IFERROR(IF(Y44&lt;1,Z44/(1-Y44),""),"")</f>
        <v/>
      </c>
      <c r="AB44" s="43">
        <f>'01_CONFIG_GLOBAL'!$C$14</f>
        <v/>
      </c>
      <c r="AC44" s="41">
        <f>IFERROR(AA44*AB44,"")</f>
        <v/>
      </c>
      <c r="AD44" s="41">
        <f>IFERROR(IF(AB44&lt;1,AA44/(1-AB44),""),"")</f>
        <v/>
      </c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inlineStr">
        <is>
          <t>sim</t>
        </is>
      </c>
      <c r="AN44" s="1" t="n"/>
      <c r="AO44" s="1" t="n"/>
      <c r="AP44" s="1" t="inlineStr">
        <is>
          <t>PENDÊNCIA: sem peso/dimensões — frete default R$25 (estimado); pesar/medir p/ recotar | DRAFT 21/07: sem peso/dimensões — pesar/medir e reativar p/ subir ao site</t>
        </is>
      </c>
      <c r="AQ44" s="1">
        <f>IF(AND(M44&lt;&gt;"",M44&gt;1),A44&amp;"-KIT"&amp;M44,A44)</f>
        <v/>
      </c>
      <c r="AR44" s="44">
        <f>IF(AND(M44&lt;&gt;"",M44&gt;1),D44&amp;" — Kit "&amp;M44&amp;" unidades",D44)</f>
        <v/>
      </c>
      <c r="AS44" s="28" t="inlineStr">
        <is>
          <t>SEM IMAGEM</t>
        </is>
      </c>
    </row>
    <row r="45" hidden="1" ht="15.75" customHeight="1" s="93">
      <c r="A45" s="1" t="inlineStr">
        <is>
          <t>6424-4027</t>
        </is>
      </c>
      <c r="B45" s="1" t="inlineStr">
        <is>
          <t>6424-4027</t>
        </is>
      </c>
      <c r="C45" s="1" t="inlineStr">
        <is>
          <t>tampao-mangueira-de-sementes</t>
        </is>
      </c>
      <c r="D45" s="1" t="inlineStr">
        <is>
          <t>Tampão da Mangueira de Sementes - Stara 6424-4027 | Plantadeira</t>
        </is>
      </c>
      <c r="E45" s="1" t="inlineStr">
        <is>
          <t>Peças Plásticas Injetadas</t>
        </is>
      </c>
      <c r="F45" s="1" t="inlineStr">
        <is>
          <t>APP</t>
        </is>
      </c>
      <c r="G45" s="1" t="n"/>
      <c r="H45" s="23" t="inlineStr">
        <is>
          <t>draft</t>
        </is>
      </c>
      <c r="I45" s="1" t="inlineStr">
        <is>
          <t>STARA</t>
        </is>
      </c>
      <c r="J45" s="1" t="inlineStr">
        <is>
          <t>PLANTADEIRA</t>
        </is>
      </c>
      <c r="K45" s="1">
        <f>LOWER(CONCATENATE("Peças Plastica para ",J45," ",D45))</f>
        <v/>
      </c>
      <c r="L45" s="1" t="n"/>
      <c r="M45" s="1" t="n"/>
      <c r="N45" s="18" t="n">
        <v>5</v>
      </c>
      <c r="O45" s="18" t="n"/>
      <c r="P45" s="18" t="n">
        <v>0</v>
      </c>
      <c r="Q45" s="18" t="n">
        <v>0</v>
      </c>
      <c r="R45" s="18" t="n">
        <v>0</v>
      </c>
      <c r="S45" s="78">
        <f>IFERROR(IF(AND(P45&gt;0,Q45&gt;0,R45&gt;0),(P45*Q45*R45)/6000,""),"")</f>
        <v/>
      </c>
      <c r="T45" s="34">
        <f>IFERROR(IF(AND(P45&gt;0,Q45&gt;0,R45&gt;0),(P45*Q45*R45)/6000,""),"")</f>
        <v/>
      </c>
      <c r="U45" s="1">
        <f>IFERROR(IF(AND(O45&gt;0,T45&gt;0),MAX(O45,T45),IF(O45&gt;0,O45,IF(T45&gt;0,T45,""))),"")</f>
        <v/>
      </c>
      <c r="V45" s="71" t="n">
        <v>25</v>
      </c>
      <c r="W45" s="1" t="inlineStr">
        <is>
          <t>fornecedor</t>
        </is>
      </c>
      <c r="X45" s="1" t="n">
        <v>4.75686</v>
      </c>
      <c r="Y45" s="39" t="n">
        <v>0.3</v>
      </c>
      <c r="Z45" s="41">
        <f>IFERROR(X45+V45,"")</f>
        <v/>
      </c>
      <c r="AA45" s="41">
        <f>IFERROR(IF(Y45&lt;1,Z45/(1-Y45),""),"")</f>
        <v/>
      </c>
      <c r="AB45" s="43">
        <f>'01_CONFIG_GLOBAL'!$C$14</f>
        <v/>
      </c>
      <c r="AC45" s="41">
        <f>IFERROR(AA45*AB45,"")</f>
        <v/>
      </c>
      <c r="AD45" s="41">
        <f>IFERROR(IF(AB45&lt;1,AA45/(1-AB45),""),"")</f>
        <v/>
      </c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inlineStr">
        <is>
          <t>sim</t>
        </is>
      </c>
      <c r="AN45" s="1" t="n"/>
      <c r="AO45" s="1" t="n"/>
      <c r="AP45" s="1" t="inlineStr">
        <is>
          <t>PENDÊNCIA: sem peso/dimensões — frete default R$25 (estimado); pesar/medir p/ recotar | DRAFT 21/07: sem peso/dimensões — pesar/medir e reativar p/ subir ao site</t>
        </is>
      </c>
      <c r="AQ45" s="1">
        <f>IF(AND(M45&lt;&gt;"",M45&gt;1),A45&amp;"-KIT"&amp;M45,A45)</f>
        <v/>
      </c>
      <c r="AR45" s="44">
        <f>IF(AND(M45&lt;&gt;"",M45&gt;1),D45&amp;" — Kit "&amp;M45&amp;" unidades",D45)</f>
        <v/>
      </c>
      <c r="AS45" s="28" t="inlineStr">
        <is>
          <t>SEM IMAGEM</t>
        </is>
      </c>
    </row>
    <row r="46" ht="15.75" customHeight="1" s="93">
      <c r="A46" s="1" t="inlineStr">
        <is>
          <t>6237989M1</t>
        </is>
      </c>
      <c r="B46" s="1" t="inlineStr">
        <is>
          <t>6237989M1</t>
        </is>
      </c>
      <c r="C46" s="1" t="n"/>
      <c r="D46" s="1" t="inlineStr">
        <is>
          <t>Corpo Bico 1 Polegada e Saídas - AGCO 6237989M1</t>
        </is>
      </c>
      <c r="E46" s="1" t="inlineStr">
        <is>
          <t>Peças Plásticas Injetadas</t>
        </is>
      </c>
      <c r="F46" s="1" t="inlineStr">
        <is>
          <t>APP</t>
        </is>
      </c>
      <c r="G46" s="1" t="n"/>
      <c r="H46" s="23" t="inlineStr">
        <is>
          <t>active</t>
        </is>
      </c>
      <c r="I46" s="1" t="inlineStr">
        <is>
          <t>AGCO</t>
        </is>
      </c>
      <c r="J46" s="1" t="inlineStr">
        <is>
          <t>PULVERIZADOR</t>
        </is>
      </c>
      <c r="K46" s="1" t="n"/>
      <c r="L46" s="1" t="inlineStr">
        <is>
          <t>6237989-242</t>
        </is>
      </c>
      <c r="M46" s="1" t="n">
        <v>1</v>
      </c>
      <c r="N46" s="18" t="n">
        <v>5</v>
      </c>
      <c r="O46" s="18" t="n">
        <v>0.132</v>
      </c>
      <c r="P46" s="18" t="n">
        <v>10.9</v>
      </c>
      <c r="Q46" s="18" t="n">
        <v>9.4</v>
      </c>
      <c r="R46" s="18" t="n">
        <v>9.199999999999999</v>
      </c>
      <c r="S46" s="78">
        <f>IFERROR(IF(AND(P46&gt;0,Q46&gt;0,R46&gt;0),(P46*Q46*R46)/6000,""),"")</f>
        <v/>
      </c>
      <c r="T46" s="34">
        <f>IFERROR(IF(AND(P46&gt;0,Q46&gt;0,R46&gt;0),(P46*Q46*R46)/6000,""),"")</f>
        <v/>
      </c>
      <c r="U46" s="1">
        <f>IFERROR(IF(AND(O46&gt;0,T46&gt;0),MAX(O46,T46),IF(O46&gt;0,O46,IF(T46&gt;0,T46,""))),"")</f>
        <v/>
      </c>
      <c r="V46" s="71" t="n"/>
      <c r="W46" s="1" t="inlineStr">
        <is>
          <t>fornecedor</t>
        </is>
      </c>
      <c r="X46" s="1" t="n">
        <v>26.46</v>
      </c>
      <c r="Y46" s="39" t="n">
        <v>0.2</v>
      </c>
      <c r="Z46" s="41">
        <f>IFERROR(X46+V46,"")</f>
        <v/>
      </c>
      <c r="AA46" s="41">
        <f>IFERROR(IF(Y46&lt;1,Z46/(1-Y46),""),"")</f>
        <v/>
      </c>
      <c r="AB46" s="43">
        <f>'01_CONFIG_GLOBAL'!$C$14</f>
        <v/>
      </c>
      <c r="AC46" s="41">
        <f>IFERROR(AA46*AB46,"")</f>
        <v/>
      </c>
      <c r="AD46" s="41">
        <f>IFERROR(IF(AB46&lt;1,AA46/(1-AB46),""),"")</f>
        <v/>
      </c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inlineStr">
        <is>
          <t>sim</t>
        </is>
      </c>
      <c r="AN46" s="1" t="n"/>
      <c r="AO46" s="1" t="n"/>
      <c r="AP46" s="1" t="inlineStr">
        <is>
          <t>Fotos: output/fotos_ecommerce_tratemento_v2/STARA_6333-4157_ecommerce.png | DUPLICADO com 03_AGCO (canônico lá) — esta linha não sobe no sync</t>
        </is>
      </c>
      <c r="AQ46" s="1">
        <f>IF(AND(M46&lt;&gt;"",M46&gt;1),A46&amp;"-KIT"&amp;M46,A46)</f>
        <v/>
      </c>
      <c r="AR46" s="44">
        <f>IF(AND(M46&lt;&gt;"",M46&gt;1),D46&amp;" — Kit "&amp;M46&amp;" unidades",D46)</f>
        <v/>
      </c>
      <c r="AS46" s="28" t="inlineStr">
        <is>
          <t>AGCO_6237989M1_ecommerce_1.png | AGCO_6237989M1_ecommerce_2.png</t>
        </is>
      </c>
    </row>
    <row r="47" ht="15.75" customHeight="1" s="93">
      <c r="A47" s="1" t="inlineStr">
        <is>
          <t>6237989M1</t>
        </is>
      </c>
      <c r="B47" s="1" t="inlineStr">
        <is>
          <t>6237989M1</t>
        </is>
      </c>
      <c r="C47" s="1" t="n"/>
      <c r="D47" s="1" t="inlineStr">
        <is>
          <t>Corpo Bico 1 Polegada e Saídas - Kit 10 Unidades - AGCO 6237989M1</t>
        </is>
      </c>
      <c r="E47" s="1" t="inlineStr">
        <is>
          <t>Peças Plásticas Injetadas</t>
        </is>
      </c>
      <c r="F47" s="1" t="inlineStr">
        <is>
          <t>APP</t>
        </is>
      </c>
      <c r="G47" s="1" t="n"/>
      <c r="H47" s="23" t="inlineStr">
        <is>
          <t>active</t>
        </is>
      </c>
      <c r="I47" s="1" t="inlineStr">
        <is>
          <t>AGCO</t>
        </is>
      </c>
      <c r="J47" s="1" t="inlineStr">
        <is>
          <t>PULVERIZADOR</t>
        </is>
      </c>
      <c r="K47" s="1" t="n"/>
      <c r="L47" s="1" t="inlineStr">
        <is>
          <t>6237989-242</t>
        </is>
      </c>
      <c r="M47" s="1" t="n">
        <v>10</v>
      </c>
      <c r="N47" s="18" t="n">
        <v>5</v>
      </c>
      <c r="O47" s="18">
        <f>O46*M47</f>
        <v/>
      </c>
      <c r="P47" s="18" t="n">
        <v>17</v>
      </c>
      <c r="Q47" s="18" t="n">
        <v>35</v>
      </c>
      <c r="R47" s="18" t="n">
        <v>22</v>
      </c>
      <c r="S47" s="78">
        <f>IFERROR(IF(AND(P47&gt;0,Q47&gt;0,R47&gt;0),(P47*Q47*R47)/6000,""),"")</f>
        <v/>
      </c>
      <c r="T47" s="34">
        <f>IFERROR(IF(AND(P47&gt;0,Q47&gt;0,R47&gt;0),(P47*Q47*R47)/6000,""),"")</f>
        <v/>
      </c>
      <c r="U47" s="1">
        <f>IFERROR(IF(AND(O47&gt;0,T47&gt;0),MAX(O47,T47),IF(O47&gt;0,O47,IF(T47&gt;0,T47,""))),"")</f>
        <v/>
      </c>
      <c r="V47" s="71" t="n">
        <v>24.5</v>
      </c>
      <c r="W47" s="1" t="inlineStr">
        <is>
          <t>fornecedor</t>
        </is>
      </c>
      <c r="X47" s="1">
        <f>X46*M47</f>
        <v/>
      </c>
      <c r="Y47" s="39" t="n">
        <v>0.2</v>
      </c>
      <c r="Z47" s="41">
        <f>IFERROR(X47+V47,"")</f>
        <v/>
      </c>
      <c r="AA47" s="41">
        <f>IFERROR(IF(Y47&lt;1,Z47/(1-Y47),""),"")</f>
        <v/>
      </c>
      <c r="AB47" s="43">
        <f>'01_CONFIG_GLOBAL'!$C$14</f>
        <v/>
      </c>
      <c r="AC47" s="41">
        <f>IFERROR(AA47*AB47,"")</f>
        <v/>
      </c>
      <c r="AD47" s="41">
        <f>IFERROR(IF(AB47&lt;1,AA47/(1-AB47),""),"")</f>
        <v/>
      </c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inlineStr">
        <is>
          <t>sim</t>
        </is>
      </c>
      <c r="AN47" s="1" t="n"/>
      <c r="AO47" s="1" t="n"/>
      <c r="AP47" s="1" t="inlineStr">
        <is>
          <t>DUPLICADO com 03_AGCO (canônico lá) — esta linha não sobe no sync</t>
        </is>
      </c>
      <c r="AQ47" s="1">
        <f>IF(AND(M47&lt;&gt;"",M47&gt;1),A47&amp;"-KIT"&amp;M47,A47)</f>
        <v/>
      </c>
      <c r="AR47" s="44">
        <f>IF(AND(M47&lt;&gt;"",M47&gt;1),D47&amp;" — Kit "&amp;M47&amp;" unidades",D47)</f>
        <v/>
      </c>
      <c r="AS47" s="28" t="inlineStr">
        <is>
          <t>AGCO_6237989M1_ecommerce_1.png | AGCO_6237989M1_ecommerce_2.png</t>
        </is>
      </c>
    </row>
    <row r="48" ht="15.75" customHeight="1" s="93">
      <c r="A48" s="1" t="n"/>
      <c r="B48" s="1" t="n"/>
      <c r="C48" s="1" t="n"/>
      <c r="D48" s="1" t="n"/>
      <c r="E48" s="79" t="n"/>
      <c r="F48" s="1" t="n"/>
      <c r="G48" s="1" t="n"/>
      <c r="H48" s="1" t="n"/>
      <c r="I48" s="1" t="n"/>
      <c r="J48" s="1" t="n"/>
      <c r="K48" s="1" t="n"/>
      <c r="L48" s="1" t="n"/>
      <c r="M48" s="1" t="n"/>
      <c r="N48" s="18" t="n"/>
      <c r="O48" s="18" t="n"/>
      <c r="P48" s="18" t="n"/>
      <c r="Q48" s="18" t="n"/>
      <c r="R48" s="18" t="n"/>
      <c r="S48" s="18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</row>
    <row r="49" ht="15.75" customHeight="1" s="93">
      <c r="A49" s="1" t="n"/>
      <c r="B49" s="1" t="n"/>
      <c r="C49" s="1" t="n"/>
      <c r="D49" s="1" t="n"/>
      <c r="E49" s="79" t="n"/>
      <c r="F49" s="1" t="n"/>
      <c r="G49" s="1" t="n"/>
      <c r="H49" s="1" t="n"/>
      <c r="I49" s="1" t="n"/>
      <c r="J49" s="1" t="n"/>
      <c r="K49" s="1" t="n"/>
      <c r="L49" s="1" t="n"/>
      <c r="M49" s="79" t="n"/>
      <c r="N49" s="18" t="n"/>
      <c r="O49" s="18" t="n"/>
      <c r="P49" s="18" t="n"/>
      <c r="Q49" s="18" t="n"/>
      <c r="R49" s="18" t="n"/>
      <c r="S49" s="18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</row>
    <row r="50" ht="15.75" customHeight="1" s="93">
      <c r="A50" s="1" t="n"/>
      <c r="B50" s="1" t="n"/>
      <c r="C50" s="1" t="n"/>
      <c r="D50" s="1" t="n"/>
      <c r="E50" s="79" t="n"/>
      <c r="F50" s="1" t="n"/>
      <c r="G50" s="1" t="n"/>
      <c r="H50" s="1" t="n"/>
      <c r="I50" s="1" t="n"/>
      <c r="J50" s="1" t="n"/>
      <c r="K50" s="1" t="n"/>
      <c r="L50" s="1" t="n"/>
      <c r="M50" s="1" t="n"/>
      <c r="N50" s="18" t="n"/>
      <c r="O50" s="18" t="n"/>
      <c r="P50" s="18" t="n"/>
      <c r="Q50" s="18" t="n"/>
      <c r="R50" s="18" t="n"/>
      <c r="S50" s="18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</row>
    <row r="51" ht="15.75" customHeight="1" s="93">
      <c r="A51" s="1" t="n"/>
      <c r="B51" s="1" t="n"/>
      <c r="C51" s="1" t="n"/>
      <c r="D51" s="1" t="n"/>
      <c r="E51" s="79" t="n"/>
      <c r="F51" s="1" t="n"/>
      <c r="G51" s="1" t="n"/>
      <c r="H51" s="1" t="n"/>
      <c r="I51" s="1" t="n"/>
      <c r="J51" s="1" t="n"/>
      <c r="K51" s="1" t="n"/>
      <c r="L51" s="1" t="n"/>
      <c r="M51" s="1" t="n"/>
      <c r="N51" s="18" t="n"/>
      <c r="O51" s="18" t="n"/>
      <c r="P51" s="18" t="n"/>
      <c r="Q51" s="18" t="n"/>
      <c r="R51" s="18" t="n"/>
      <c r="S51" s="18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</row>
    <row r="52" ht="15.75" customHeight="1" s="93">
      <c r="A52" s="1" t="n"/>
      <c r="B52" s="1" t="n"/>
      <c r="C52" s="1" t="n"/>
      <c r="D52" s="1" t="n"/>
      <c r="E52" s="79" t="n"/>
      <c r="F52" s="1" t="n"/>
      <c r="G52" s="1" t="n"/>
      <c r="H52" s="1" t="n"/>
      <c r="I52" s="1" t="n"/>
      <c r="J52" s="1" t="n"/>
      <c r="K52" s="1" t="n"/>
      <c r="L52" s="1" t="n"/>
      <c r="M52" s="1" t="n"/>
      <c r="N52" s="18" t="n"/>
      <c r="O52" s="18" t="n"/>
      <c r="P52" s="18" t="n"/>
      <c r="Q52" s="18" t="n"/>
      <c r="R52" s="18" t="n"/>
      <c r="S52" s="18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</row>
    <row r="53" ht="15.75" customHeight="1" s="93">
      <c r="A53" s="1" t="n"/>
      <c r="B53" s="1" t="n"/>
      <c r="C53" s="1" t="n"/>
      <c r="D53" s="1" t="n"/>
      <c r="E53" s="79" t="n"/>
      <c r="F53" s="1" t="n"/>
      <c r="G53" s="1" t="n"/>
      <c r="H53" s="1" t="n"/>
      <c r="I53" s="1" t="n"/>
      <c r="J53" s="1" t="n"/>
      <c r="K53" s="1" t="n"/>
      <c r="L53" s="1" t="n"/>
      <c r="M53" s="1" t="n"/>
      <c r="N53" s="18" t="n"/>
      <c r="O53" s="18" t="n"/>
      <c r="P53" s="18" t="n"/>
      <c r="Q53" s="18" t="n"/>
      <c r="R53" s="18" t="n"/>
      <c r="S53" s="18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</row>
    <row r="54" ht="15.75" customHeight="1" s="93">
      <c r="A54" s="1" t="n"/>
      <c r="B54" s="1" t="n"/>
      <c r="C54" s="1" t="n"/>
      <c r="D54" s="1" t="n"/>
      <c r="E54" s="79" t="n"/>
      <c r="F54" s="1" t="n"/>
      <c r="G54" s="1" t="n"/>
      <c r="H54" s="1" t="n"/>
      <c r="I54" s="1" t="n"/>
      <c r="J54" s="1" t="n"/>
      <c r="K54" s="1" t="n"/>
      <c r="L54" s="1" t="n"/>
      <c r="M54" s="1" t="n"/>
      <c r="N54" s="18" t="n"/>
      <c r="O54" s="18" t="n"/>
      <c r="P54" s="18" t="n"/>
      <c r="Q54" s="18" t="n"/>
      <c r="R54" s="18" t="n"/>
      <c r="S54" s="18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</row>
    <row r="55" ht="15.75" customHeight="1" s="93">
      <c r="A55" s="1" t="n"/>
      <c r="B55" s="1" t="n"/>
      <c r="C55" s="1" t="n"/>
      <c r="D55" s="1" t="n"/>
      <c r="E55" s="79" t="n"/>
      <c r="F55" s="1" t="n"/>
      <c r="G55" s="1" t="n"/>
      <c r="H55" s="1" t="n"/>
      <c r="I55" s="1" t="n"/>
      <c r="J55" s="1" t="n"/>
      <c r="K55" s="1" t="n"/>
      <c r="L55" s="1" t="n"/>
      <c r="M55" s="1" t="n"/>
      <c r="N55" s="18" t="n"/>
      <c r="O55" s="18" t="n"/>
      <c r="P55" s="18" t="n"/>
      <c r="Q55" s="18" t="n"/>
      <c r="R55" s="18" t="n"/>
      <c r="S55" s="18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</row>
    <row r="56" ht="15.75" customHeight="1" s="93">
      <c r="A56" s="1" t="n"/>
      <c r="B56" s="1" t="n"/>
      <c r="C56" s="1" t="n"/>
      <c r="D56" s="1" t="n"/>
      <c r="E56" s="79" t="n"/>
      <c r="F56" s="1" t="n"/>
      <c r="G56" s="1" t="n"/>
      <c r="H56" s="1" t="n"/>
      <c r="I56" s="1" t="n"/>
      <c r="J56" s="1" t="n"/>
      <c r="K56" s="1" t="n"/>
      <c r="L56" s="1" t="n"/>
      <c r="M56" s="1" t="n"/>
      <c r="N56" s="18" t="n"/>
      <c r="O56" s="18" t="n"/>
      <c r="P56" s="18" t="n"/>
      <c r="Q56" s="18" t="n"/>
      <c r="R56" s="18" t="n"/>
      <c r="S56" s="18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</row>
    <row r="57" ht="15.75" customHeight="1" s="93">
      <c r="A57" s="1" t="n"/>
      <c r="B57" s="1" t="n"/>
      <c r="C57" s="1" t="n"/>
      <c r="D57" s="1" t="n"/>
      <c r="E57" s="79" t="n"/>
      <c r="F57" s="1" t="n"/>
      <c r="G57" s="1" t="n"/>
      <c r="H57" s="1" t="n"/>
      <c r="I57" s="1" t="n"/>
      <c r="J57" s="1" t="n"/>
      <c r="K57" s="1" t="n"/>
      <c r="L57" s="1" t="n"/>
      <c r="M57" s="1" t="n"/>
      <c r="N57" s="18" t="n"/>
      <c r="O57" s="18" t="n"/>
      <c r="P57" s="18" t="n"/>
      <c r="Q57" s="18" t="n"/>
      <c r="R57" s="18" t="n"/>
      <c r="S57" s="18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</row>
    <row r="58" ht="15.75" customHeight="1" s="93">
      <c r="A58" s="1" t="n"/>
      <c r="B58" s="1" t="n"/>
      <c r="C58" s="1" t="n"/>
      <c r="D58" s="1" t="n"/>
      <c r="E58" s="79" t="n"/>
      <c r="F58" s="1" t="n"/>
      <c r="G58" s="1" t="n"/>
      <c r="H58" s="1" t="n"/>
      <c r="I58" s="1" t="n"/>
      <c r="J58" s="1" t="n"/>
      <c r="K58" s="1" t="n"/>
      <c r="L58" s="1" t="n"/>
      <c r="M58" s="1" t="n"/>
      <c r="N58" s="18" t="n"/>
      <c r="O58" s="18" t="n"/>
      <c r="P58" s="18" t="n"/>
      <c r="Q58" s="18" t="n"/>
      <c r="R58" s="18" t="n"/>
      <c r="S58" s="18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</row>
    <row r="59" ht="15.75" customHeight="1" s="93">
      <c r="A59" s="1" t="n"/>
      <c r="B59" s="1" t="n"/>
      <c r="C59" s="1" t="n"/>
      <c r="D59" s="1" t="n"/>
      <c r="E59" s="79" t="n"/>
      <c r="F59" s="1" t="n"/>
      <c r="G59" s="1" t="n"/>
      <c r="H59" s="1" t="n"/>
      <c r="I59" s="1" t="n"/>
      <c r="J59" s="1" t="n"/>
      <c r="K59" s="1" t="n"/>
      <c r="L59" s="1" t="n"/>
      <c r="M59" s="1" t="n"/>
      <c r="N59" s="18" t="n"/>
      <c r="O59" s="18" t="n"/>
      <c r="P59" s="18" t="n"/>
      <c r="Q59" s="18" t="n"/>
      <c r="R59" s="18" t="n"/>
      <c r="S59" s="18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</row>
    <row r="60" ht="15.75" customHeight="1" s="93">
      <c r="A60" s="1" t="n"/>
      <c r="B60" s="1" t="n"/>
      <c r="C60" s="1" t="n"/>
      <c r="D60" s="1" t="n"/>
      <c r="E60" s="79" t="n"/>
      <c r="F60" s="1" t="n"/>
      <c r="G60" s="1" t="n"/>
      <c r="H60" s="1" t="n"/>
      <c r="I60" s="1" t="n"/>
      <c r="J60" s="1" t="n"/>
      <c r="K60" s="1" t="n"/>
      <c r="L60" s="1" t="n"/>
      <c r="M60" s="1" t="n"/>
      <c r="N60" s="18" t="n"/>
      <c r="O60" s="18" t="n"/>
      <c r="P60" s="18" t="n"/>
      <c r="Q60" s="18" t="n"/>
      <c r="R60" s="18" t="n"/>
      <c r="S60" s="18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</row>
    <row r="61" ht="15.75" customHeight="1" s="93">
      <c r="A61" s="1" t="n"/>
      <c r="B61" s="1" t="n"/>
      <c r="C61" s="1" t="n"/>
      <c r="D61" s="1" t="n"/>
      <c r="E61" s="79" t="n"/>
      <c r="F61" s="1" t="n"/>
      <c r="G61" s="1" t="n"/>
      <c r="H61" s="1" t="n"/>
      <c r="I61" s="1" t="n"/>
      <c r="J61" s="1" t="n"/>
      <c r="K61" s="1" t="n"/>
      <c r="L61" s="1" t="n"/>
      <c r="M61" s="1" t="n"/>
      <c r="N61" s="18" t="n"/>
      <c r="O61" s="18" t="n"/>
      <c r="P61" s="18" t="n"/>
      <c r="Q61" s="18" t="n"/>
      <c r="R61" s="18" t="n"/>
      <c r="S61" s="18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</row>
    <row r="62" ht="15.75" customHeight="1" s="93">
      <c r="A62" s="1" t="n"/>
      <c r="B62" s="1" t="n"/>
      <c r="C62" s="1" t="n"/>
      <c r="D62" s="1" t="n"/>
      <c r="E62" s="79" t="n"/>
      <c r="F62" s="1" t="n"/>
      <c r="G62" s="1" t="n"/>
      <c r="H62" s="1" t="n"/>
      <c r="I62" s="1" t="n"/>
      <c r="J62" s="1" t="n"/>
      <c r="K62" s="1" t="n"/>
      <c r="L62" s="1" t="n"/>
      <c r="M62" s="1" t="n"/>
      <c r="N62" s="18" t="n"/>
      <c r="O62" s="18" t="n"/>
      <c r="P62" s="18" t="n"/>
      <c r="Q62" s="18" t="n"/>
      <c r="R62" s="18" t="n"/>
      <c r="S62" s="18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</row>
    <row r="63" ht="15.75" customHeight="1" s="93">
      <c r="A63" s="1" t="n"/>
      <c r="B63" s="1" t="n"/>
      <c r="C63" s="1" t="n"/>
      <c r="D63" s="1" t="n"/>
      <c r="E63" s="79" t="n"/>
      <c r="F63" s="1" t="n"/>
      <c r="G63" s="1" t="n"/>
      <c r="H63" s="1" t="n"/>
      <c r="I63" s="1" t="n"/>
      <c r="J63" s="1" t="n"/>
      <c r="K63" s="1" t="n"/>
      <c r="L63" s="1" t="n"/>
      <c r="M63" s="1" t="n"/>
      <c r="N63" s="18" t="n"/>
      <c r="O63" s="18" t="n"/>
      <c r="P63" s="18" t="n"/>
      <c r="Q63" s="18" t="n"/>
      <c r="R63" s="18" t="n"/>
      <c r="S63" s="18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</row>
    <row r="64" ht="15.75" customHeight="1" s="93">
      <c r="A64" s="1" t="n"/>
      <c r="B64" s="1" t="n"/>
      <c r="C64" s="1" t="n"/>
      <c r="D64" s="1" t="n"/>
      <c r="E64" s="79" t="n"/>
      <c r="F64" s="1" t="n"/>
      <c r="G64" s="1" t="n"/>
      <c r="H64" s="1" t="n"/>
      <c r="I64" s="1" t="n"/>
      <c r="J64" s="1" t="n"/>
      <c r="K64" s="1" t="n"/>
      <c r="L64" s="1" t="n"/>
      <c r="M64" s="1" t="n"/>
      <c r="N64" s="18" t="n"/>
      <c r="O64" s="18" t="n"/>
      <c r="P64" s="18" t="n"/>
      <c r="Q64" s="18" t="n"/>
      <c r="R64" s="18" t="n"/>
      <c r="S64" s="18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</row>
    <row r="65" ht="15.75" customHeight="1" s="93">
      <c r="A65" s="1" t="n"/>
      <c r="B65" s="1" t="n"/>
      <c r="C65" s="1" t="n"/>
      <c r="D65" s="1" t="n"/>
      <c r="E65" s="79" t="n"/>
      <c r="F65" s="1" t="n"/>
      <c r="G65" s="1" t="n"/>
      <c r="H65" s="1" t="n"/>
      <c r="I65" s="1" t="n"/>
      <c r="J65" s="1" t="n"/>
      <c r="K65" s="1" t="n"/>
      <c r="L65" s="1" t="n"/>
      <c r="M65" s="1" t="n"/>
      <c r="N65" s="18" t="n"/>
      <c r="O65" s="18" t="n"/>
      <c r="P65" s="18" t="n"/>
      <c r="Q65" s="18" t="n"/>
      <c r="R65" s="18" t="n"/>
      <c r="S65" s="18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</row>
    <row r="66" ht="15.75" customHeight="1" s="93">
      <c r="A66" s="1" t="n"/>
      <c r="B66" s="1" t="n"/>
      <c r="C66" s="1" t="n"/>
      <c r="D66" s="1" t="n"/>
      <c r="E66" s="79" t="n"/>
      <c r="F66" s="1" t="n"/>
      <c r="G66" s="1" t="n"/>
      <c r="H66" s="1" t="n"/>
      <c r="I66" s="1" t="n"/>
      <c r="J66" s="1" t="n"/>
      <c r="K66" s="1" t="n"/>
      <c r="L66" s="1" t="n"/>
      <c r="M66" s="1" t="n"/>
      <c r="N66" s="18" t="n"/>
      <c r="O66" s="18" t="n"/>
      <c r="P66" s="18" t="n"/>
      <c r="Q66" s="18" t="n"/>
      <c r="R66" s="18" t="n"/>
      <c r="S66" s="18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</row>
    <row r="67" ht="15.75" customHeight="1" s="93">
      <c r="A67" s="1" t="n"/>
      <c r="B67" s="1" t="n"/>
      <c r="C67" s="1" t="n"/>
      <c r="D67" s="1" t="n"/>
      <c r="E67" s="79" t="n"/>
      <c r="F67" s="1" t="n"/>
      <c r="G67" s="1" t="n"/>
      <c r="H67" s="1" t="n"/>
      <c r="I67" s="1" t="n"/>
      <c r="J67" s="1" t="n"/>
      <c r="K67" s="1" t="n"/>
      <c r="L67" s="1" t="n"/>
      <c r="M67" s="1" t="n"/>
      <c r="N67" s="18" t="n"/>
      <c r="O67" s="18" t="n"/>
      <c r="P67" s="18" t="n"/>
      <c r="Q67" s="18" t="n"/>
      <c r="R67" s="18" t="n"/>
      <c r="S67" s="18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</row>
    <row r="68" ht="15.75" customHeight="1" s="93">
      <c r="A68" s="1" t="n"/>
      <c r="B68" s="1" t="n"/>
      <c r="C68" s="1" t="n"/>
      <c r="D68" s="1" t="n"/>
      <c r="E68" s="79" t="n"/>
      <c r="F68" s="1" t="n"/>
      <c r="G68" s="1" t="n"/>
      <c r="H68" s="1" t="n"/>
      <c r="I68" s="1" t="n"/>
      <c r="J68" s="1" t="n"/>
      <c r="K68" s="1" t="n"/>
      <c r="L68" s="1" t="n"/>
      <c r="M68" s="1" t="n"/>
      <c r="N68" s="18" t="n"/>
      <c r="O68" s="18" t="n"/>
      <c r="P68" s="18" t="n"/>
      <c r="Q68" s="18" t="n"/>
      <c r="R68" s="18" t="n"/>
      <c r="S68" s="18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</row>
    <row r="69" ht="15.75" customHeight="1" s="93">
      <c r="A69" s="1" t="n"/>
      <c r="B69" s="1" t="n"/>
      <c r="C69" s="1" t="n"/>
      <c r="D69" s="1" t="n"/>
      <c r="E69" s="79" t="n"/>
      <c r="F69" s="1" t="n"/>
      <c r="G69" s="1" t="n"/>
      <c r="H69" s="1" t="n"/>
      <c r="I69" s="1" t="n"/>
      <c r="J69" s="1" t="n"/>
      <c r="K69" s="1" t="n"/>
      <c r="L69" s="1" t="n"/>
      <c r="M69" s="1" t="n"/>
      <c r="N69" s="18" t="n"/>
      <c r="O69" s="18" t="n"/>
      <c r="P69" s="18" t="n"/>
      <c r="Q69" s="18" t="n"/>
      <c r="R69" s="18" t="n"/>
      <c r="S69" s="18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</row>
    <row r="70" ht="15.75" customHeight="1" s="93">
      <c r="A70" s="1" t="n"/>
      <c r="B70" s="1" t="n"/>
      <c r="C70" s="1" t="n"/>
      <c r="D70" s="1" t="n"/>
      <c r="E70" s="79" t="n"/>
      <c r="F70" s="1" t="n"/>
      <c r="G70" s="1" t="n"/>
      <c r="H70" s="1" t="n"/>
      <c r="I70" s="1" t="n"/>
      <c r="J70" s="1" t="n"/>
      <c r="K70" s="1" t="n"/>
      <c r="L70" s="1" t="n"/>
      <c r="M70" s="1" t="n"/>
      <c r="N70" s="18" t="n"/>
      <c r="O70" s="18" t="n"/>
      <c r="P70" s="18" t="n"/>
      <c r="Q70" s="18" t="n"/>
      <c r="R70" s="18" t="n"/>
      <c r="S70" s="18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</row>
    <row r="71" ht="15.75" customHeight="1" s="93">
      <c r="A71" s="1" t="n"/>
      <c r="B71" s="1" t="n"/>
      <c r="C71" s="1" t="n"/>
      <c r="D71" s="1" t="n"/>
      <c r="E71" s="79" t="n"/>
      <c r="F71" s="1" t="n"/>
      <c r="G71" s="1" t="n"/>
      <c r="H71" s="1" t="n"/>
      <c r="I71" s="1" t="n"/>
      <c r="J71" s="1" t="n"/>
      <c r="K71" s="1" t="n"/>
      <c r="L71" s="1" t="n"/>
      <c r="M71" s="1" t="n"/>
      <c r="N71" s="18" t="n"/>
      <c r="O71" s="18" t="n"/>
      <c r="P71" s="18" t="n"/>
      <c r="Q71" s="18" t="n"/>
      <c r="R71" s="18" t="n"/>
      <c r="S71" s="18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</row>
    <row r="72" ht="15.75" customHeight="1" s="93">
      <c r="A72" s="1" t="n"/>
      <c r="B72" s="1" t="n"/>
      <c r="C72" s="1" t="n"/>
      <c r="D72" s="1" t="n"/>
      <c r="E72" s="79" t="n"/>
      <c r="F72" s="1" t="n"/>
      <c r="G72" s="1" t="n"/>
      <c r="H72" s="1" t="n"/>
      <c r="I72" s="1" t="n"/>
      <c r="J72" s="1" t="n"/>
      <c r="K72" s="1" t="n"/>
      <c r="L72" s="1" t="n"/>
      <c r="M72" s="1" t="n"/>
      <c r="N72" s="18" t="n"/>
      <c r="O72" s="18" t="n"/>
      <c r="P72" s="18" t="n"/>
      <c r="Q72" s="18" t="n"/>
      <c r="R72" s="18" t="n"/>
      <c r="S72" s="18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</row>
    <row r="73" ht="15.75" customHeight="1" s="93">
      <c r="A73" s="1" t="n"/>
      <c r="B73" s="1" t="n"/>
      <c r="C73" s="1" t="n"/>
      <c r="D73" s="1" t="n"/>
      <c r="E73" s="79" t="n"/>
      <c r="F73" s="1" t="n"/>
      <c r="G73" s="1" t="n"/>
      <c r="H73" s="1" t="n"/>
      <c r="I73" s="1" t="n"/>
      <c r="J73" s="1" t="n"/>
      <c r="K73" s="1" t="n"/>
      <c r="L73" s="1" t="n"/>
      <c r="M73" s="1" t="n"/>
      <c r="N73" s="18" t="n"/>
      <c r="O73" s="18" t="n"/>
      <c r="P73" s="18" t="n"/>
      <c r="Q73" s="18" t="n"/>
      <c r="R73" s="18" t="n"/>
      <c r="S73" s="18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</row>
    <row r="74" ht="15.75" customHeight="1" s="93">
      <c r="A74" s="1" t="n"/>
      <c r="B74" s="1" t="n"/>
      <c r="C74" s="1" t="n"/>
      <c r="D74" s="1" t="n"/>
      <c r="E74" s="79" t="n"/>
      <c r="F74" s="1" t="n"/>
      <c r="G74" s="1" t="n"/>
      <c r="H74" s="1" t="n"/>
      <c r="I74" s="1" t="n"/>
      <c r="J74" s="1" t="n"/>
      <c r="K74" s="1" t="n"/>
      <c r="L74" s="1" t="n"/>
      <c r="M74" s="1" t="n"/>
      <c r="N74" s="18" t="n"/>
      <c r="O74" s="18" t="n"/>
      <c r="P74" s="18" t="n"/>
      <c r="Q74" s="18" t="n"/>
      <c r="R74" s="18" t="n"/>
      <c r="S74" s="18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</row>
    <row r="75" ht="15.75" customHeight="1" s="93">
      <c r="A75" s="1" t="n"/>
      <c r="B75" s="1" t="n"/>
      <c r="C75" s="1" t="n"/>
      <c r="D75" s="1" t="n"/>
      <c r="E75" s="79" t="n"/>
      <c r="F75" s="1" t="n"/>
      <c r="G75" s="1" t="n"/>
      <c r="H75" s="1" t="n"/>
      <c r="I75" s="1" t="n"/>
      <c r="J75" s="1" t="n"/>
      <c r="K75" s="1" t="n"/>
      <c r="L75" s="1" t="n"/>
      <c r="M75" s="1" t="n"/>
      <c r="N75" s="18" t="n"/>
      <c r="O75" s="18" t="n"/>
      <c r="P75" s="18" t="n"/>
      <c r="Q75" s="18" t="n"/>
      <c r="R75" s="18" t="n"/>
      <c r="S75" s="18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</row>
    <row r="76" ht="15.75" customHeight="1" s="93">
      <c r="A76" s="1" t="n"/>
      <c r="B76" s="1" t="n"/>
      <c r="C76" s="1" t="n"/>
      <c r="D76" s="1" t="n"/>
      <c r="E76" s="79" t="n"/>
      <c r="F76" s="1" t="n"/>
      <c r="G76" s="1" t="n"/>
      <c r="H76" s="1" t="n"/>
      <c r="I76" s="1" t="n"/>
      <c r="J76" s="1" t="n"/>
      <c r="K76" s="1" t="n"/>
      <c r="L76" s="1" t="n"/>
      <c r="M76" s="1" t="n"/>
      <c r="N76" s="18" t="n"/>
      <c r="O76" s="18" t="n"/>
      <c r="P76" s="18" t="n"/>
      <c r="Q76" s="18" t="n"/>
      <c r="R76" s="18" t="n"/>
      <c r="S76" s="18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</row>
    <row r="77" ht="15.75" customHeight="1" s="93">
      <c r="A77" s="1" t="n"/>
      <c r="B77" s="1" t="n"/>
      <c r="C77" s="1" t="n"/>
      <c r="D77" s="1" t="n"/>
      <c r="E77" s="79" t="n"/>
      <c r="F77" s="1" t="n"/>
      <c r="G77" s="1" t="n"/>
      <c r="H77" s="1" t="n"/>
      <c r="I77" s="1" t="n"/>
      <c r="J77" s="1" t="n"/>
      <c r="K77" s="1" t="n"/>
      <c r="L77" s="1" t="n"/>
      <c r="M77" s="1" t="n"/>
      <c r="N77" s="18" t="n"/>
      <c r="O77" s="18" t="n"/>
      <c r="P77" s="18" t="n"/>
      <c r="Q77" s="18" t="n"/>
      <c r="R77" s="18" t="n"/>
      <c r="S77" s="18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</row>
    <row r="78" ht="15.75" customHeight="1" s="93">
      <c r="A78" s="1" t="n"/>
      <c r="B78" s="1" t="n"/>
      <c r="C78" s="1" t="n"/>
      <c r="D78" s="1" t="n"/>
      <c r="E78" s="79" t="n"/>
      <c r="F78" s="1" t="n"/>
      <c r="G78" s="1" t="n"/>
      <c r="H78" s="1" t="n"/>
      <c r="I78" s="1" t="n"/>
      <c r="J78" s="1" t="n"/>
      <c r="K78" s="1" t="n"/>
      <c r="L78" s="1" t="n"/>
      <c r="M78" s="1" t="n"/>
      <c r="N78" s="18" t="n"/>
      <c r="O78" s="18" t="n"/>
      <c r="P78" s="18" t="n"/>
      <c r="Q78" s="18" t="n"/>
      <c r="R78" s="18" t="n"/>
      <c r="S78" s="18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</row>
    <row r="79" ht="15.75" customHeight="1" s="93">
      <c r="A79" s="1" t="n"/>
      <c r="B79" s="1" t="n"/>
      <c r="C79" s="1" t="n"/>
      <c r="D79" s="1" t="n"/>
      <c r="E79" s="79" t="n"/>
      <c r="F79" s="1" t="n"/>
      <c r="G79" s="1" t="n"/>
      <c r="H79" s="1" t="n"/>
      <c r="I79" s="1" t="n"/>
      <c r="J79" s="1" t="n"/>
      <c r="K79" s="1" t="n"/>
      <c r="L79" s="1" t="n"/>
      <c r="M79" s="1" t="n"/>
      <c r="N79" s="18" t="n"/>
      <c r="O79" s="18" t="n"/>
      <c r="P79" s="18" t="n"/>
      <c r="Q79" s="18" t="n"/>
      <c r="R79" s="18" t="n"/>
      <c r="S79" s="18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</row>
    <row r="80" ht="15.75" customHeight="1" s="93">
      <c r="A80" s="1" t="n"/>
      <c r="B80" s="1" t="n"/>
      <c r="C80" s="1" t="n"/>
      <c r="D80" s="1" t="n"/>
      <c r="E80" s="79" t="n"/>
      <c r="F80" s="1" t="n"/>
      <c r="G80" s="1" t="n"/>
      <c r="H80" s="1" t="n"/>
      <c r="I80" s="1" t="n"/>
      <c r="J80" s="1" t="n"/>
      <c r="K80" s="1" t="n"/>
      <c r="L80" s="1" t="n"/>
      <c r="M80" s="1" t="n"/>
      <c r="N80" s="18" t="n"/>
      <c r="O80" s="18" t="n"/>
      <c r="P80" s="18" t="n"/>
      <c r="Q80" s="18" t="n"/>
      <c r="R80" s="18" t="n"/>
      <c r="S80" s="18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</row>
    <row r="81" ht="15.75" customHeight="1" s="93">
      <c r="A81" s="1" t="n"/>
      <c r="B81" s="1" t="n"/>
      <c r="C81" s="1" t="n"/>
      <c r="D81" s="1" t="n"/>
      <c r="E81" s="79" t="n"/>
      <c r="F81" s="1" t="n"/>
      <c r="G81" s="1" t="n"/>
      <c r="H81" s="1" t="n"/>
      <c r="I81" s="1" t="n"/>
      <c r="J81" s="1" t="n"/>
      <c r="K81" s="1" t="n"/>
      <c r="L81" s="1" t="n"/>
      <c r="M81" s="1" t="n"/>
      <c r="N81" s="18" t="n"/>
      <c r="O81" s="18" t="n"/>
      <c r="P81" s="18" t="n"/>
      <c r="Q81" s="18" t="n"/>
      <c r="R81" s="18" t="n"/>
      <c r="S81" s="18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</row>
    <row r="82" ht="15.75" customHeight="1" s="93">
      <c r="A82" s="1" t="n"/>
      <c r="B82" s="1" t="n"/>
      <c r="C82" s="1" t="n"/>
      <c r="D82" s="1" t="n"/>
      <c r="E82" s="79" t="n"/>
      <c r="F82" s="1" t="n"/>
      <c r="G82" s="1" t="n"/>
      <c r="H82" s="1" t="n"/>
      <c r="I82" s="1" t="n"/>
      <c r="J82" s="1" t="n"/>
      <c r="K82" s="1" t="n"/>
      <c r="L82" s="1" t="n"/>
      <c r="M82" s="1" t="n"/>
      <c r="N82" s="18" t="n"/>
      <c r="O82" s="18" t="n"/>
      <c r="P82" s="18" t="n"/>
      <c r="Q82" s="18" t="n"/>
      <c r="R82" s="18" t="n"/>
      <c r="S82" s="18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</row>
    <row r="83" ht="15.75" customHeight="1" s="93">
      <c r="A83" s="1" t="n"/>
      <c r="B83" s="1" t="n"/>
      <c r="C83" s="1" t="n"/>
      <c r="D83" s="1" t="n"/>
      <c r="E83" s="79" t="n"/>
      <c r="F83" s="1" t="n"/>
      <c r="G83" s="1" t="n"/>
      <c r="H83" s="1" t="n"/>
      <c r="I83" s="1" t="n"/>
      <c r="J83" s="1" t="n"/>
      <c r="K83" s="1" t="n"/>
      <c r="L83" s="1" t="n"/>
      <c r="M83" s="1" t="n"/>
      <c r="N83" s="18" t="n"/>
      <c r="O83" s="18" t="n"/>
      <c r="P83" s="18" t="n"/>
      <c r="Q83" s="18" t="n"/>
      <c r="R83" s="18" t="n"/>
      <c r="S83" s="18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</row>
    <row r="84" ht="15.75" customHeight="1" s="93">
      <c r="A84" s="1" t="n"/>
      <c r="B84" s="1" t="n"/>
      <c r="C84" s="1" t="n"/>
      <c r="D84" s="1" t="n"/>
      <c r="E84" s="79" t="n"/>
      <c r="F84" s="1" t="n"/>
      <c r="G84" s="1" t="n"/>
      <c r="H84" s="1" t="n"/>
      <c r="I84" s="1" t="n"/>
      <c r="J84" s="1" t="n"/>
      <c r="K84" s="1" t="n"/>
      <c r="L84" s="1" t="n"/>
      <c r="M84" s="1" t="n"/>
      <c r="N84" s="18" t="n"/>
      <c r="O84" s="18" t="n"/>
      <c r="P84" s="18" t="n"/>
      <c r="Q84" s="18" t="n"/>
      <c r="R84" s="18" t="n"/>
      <c r="S84" s="18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</row>
    <row r="85" ht="15.75" customHeight="1" s="93">
      <c r="A85" s="1" t="n"/>
      <c r="B85" s="1" t="n"/>
      <c r="C85" s="1" t="n"/>
      <c r="D85" s="1" t="n"/>
      <c r="E85" s="79" t="n"/>
      <c r="F85" s="1" t="n"/>
      <c r="G85" s="1" t="n"/>
      <c r="H85" s="1" t="n"/>
      <c r="I85" s="1" t="n"/>
      <c r="J85" s="1" t="n"/>
      <c r="K85" s="1" t="n"/>
      <c r="L85" s="1" t="n"/>
      <c r="M85" s="1" t="n"/>
      <c r="N85" s="18" t="n"/>
      <c r="O85" s="18" t="n"/>
      <c r="P85" s="18" t="n"/>
      <c r="Q85" s="18" t="n"/>
      <c r="R85" s="18" t="n"/>
      <c r="S85" s="18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</row>
    <row r="86" ht="15.75" customHeight="1" s="93">
      <c r="A86" s="1" t="n"/>
      <c r="B86" s="1" t="n"/>
      <c r="C86" s="1" t="n"/>
      <c r="D86" s="1" t="n"/>
      <c r="E86" s="79" t="n"/>
      <c r="F86" s="1" t="n"/>
      <c r="G86" s="1" t="n"/>
      <c r="H86" s="1" t="n"/>
      <c r="I86" s="1" t="n"/>
      <c r="J86" s="1" t="n"/>
      <c r="K86" s="1" t="n"/>
      <c r="L86" s="1" t="n"/>
      <c r="M86" s="1" t="n"/>
      <c r="N86" s="18" t="n"/>
      <c r="O86" s="18" t="n"/>
      <c r="P86" s="18" t="n"/>
      <c r="Q86" s="18" t="n"/>
      <c r="R86" s="18" t="n"/>
      <c r="S86" s="18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</row>
    <row r="87" ht="15.75" customHeight="1" s="93">
      <c r="A87" s="1" t="n"/>
      <c r="B87" s="1" t="n"/>
      <c r="C87" s="1" t="n"/>
      <c r="D87" s="1" t="n"/>
      <c r="E87" s="79" t="n"/>
      <c r="F87" s="1" t="n"/>
      <c r="G87" s="1" t="n"/>
      <c r="H87" s="1" t="n"/>
      <c r="I87" s="1" t="n"/>
      <c r="J87" s="1" t="n"/>
      <c r="K87" s="1" t="n"/>
      <c r="L87" s="1" t="n"/>
      <c r="M87" s="1" t="n"/>
      <c r="N87" s="18" t="n"/>
      <c r="O87" s="18" t="n"/>
      <c r="P87" s="18" t="n"/>
      <c r="Q87" s="18" t="n"/>
      <c r="R87" s="18" t="n"/>
      <c r="S87" s="18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</row>
    <row r="88" ht="15.75" customHeight="1" s="93">
      <c r="A88" s="1" t="n"/>
      <c r="B88" s="1" t="n"/>
      <c r="C88" s="1" t="n"/>
      <c r="D88" s="1" t="n"/>
      <c r="E88" s="79" t="n"/>
      <c r="F88" s="1" t="n"/>
      <c r="G88" s="1" t="n"/>
      <c r="H88" s="1" t="n"/>
      <c r="I88" s="1" t="n"/>
      <c r="J88" s="1" t="n"/>
      <c r="K88" s="1" t="n"/>
      <c r="L88" s="1" t="n"/>
      <c r="M88" s="1" t="n"/>
      <c r="N88" s="18" t="n"/>
      <c r="O88" s="18" t="n"/>
      <c r="P88" s="18" t="n"/>
      <c r="Q88" s="18" t="n"/>
      <c r="R88" s="18" t="n"/>
      <c r="S88" s="18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</row>
    <row r="89" ht="15.75" customHeight="1" s="93">
      <c r="A89" s="1" t="n"/>
      <c r="B89" s="1" t="n"/>
      <c r="C89" s="1" t="n"/>
      <c r="D89" s="1" t="n"/>
      <c r="E89" s="79" t="n"/>
      <c r="F89" s="1" t="n"/>
      <c r="G89" s="1" t="n"/>
      <c r="H89" s="1" t="n"/>
      <c r="I89" s="1" t="n"/>
      <c r="J89" s="1" t="n"/>
      <c r="K89" s="1" t="n"/>
      <c r="L89" s="1" t="n"/>
      <c r="M89" s="1" t="n"/>
      <c r="N89" s="18" t="n"/>
      <c r="O89" s="18" t="n"/>
      <c r="P89" s="18" t="n"/>
      <c r="Q89" s="18" t="n"/>
      <c r="R89" s="18" t="n"/>
      <c r="S89" s="18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</row>
    <row r="90" ht="15.75" customHeight="1" s="93">
      <c r="A90" s="1" t="n"/>
      <c r="B90" s="1" t="n"/>
      <c r="C90" s="1" t="n"/>
      <c r="D90" s="1" t="n"/>
      <c r="E90" s="79" t="n"/>
      <c r="F90" s="1" t="n"/>
      <c r="G90" s="1" t="n"/>
      <c r="H90" s="1" t="n"/>
      <c r="I90" s="1" t="n"/>
      <c r="J90" s="1" t="n"/>
      <c r="K90" s="1" t="n"/>
      <c r="L90" s="1" t="n"/>
      <c r="M90" s="1" t="n"/>
      <c r="N90" s="18" t="n"/>
      <c r="O90" s="18" t="n"/>
      <c r="P90" s="18" t="n"/>
      <c r="Q90" s="18" t="n"/>
      <c r="R90" s="18" t="n"/>
      <c r="S90" s="18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</row>
    <row r="91" ht="15.75" customHeight="1" s="93">
      <c r="A91" s="1" t="n"/>
      <c r="B91" s="1" t="n"/>
      <c r="C91" s="1" t="n"/>
      <c r="D91" s="1" t="n"/>
      <c r="E91" s="79" t="n"/>
      <c r="F91" s="1" t="n"/>
      <c r="G91" s="1" t="n"/>
      <c r="H91" s="1" t="n"/>
      <c r="I91" s="1" t="n"/>
      <c r="J91" s="1" t="n"/>
      <c r="K91" s="1" t="n"/>
      <c r="L91" s="1" t="n"/>
      <c r="M91" s="1" t="n"/>
      <c r="N91" s="18" t="n"/>
      <c r="O91" s="18" t="n"/>
      <c r="P91" s="18" t="n"/>
      <c r="Q91" s="18" t="n"/>
      <c r="R91" s="18" t="n"/>
      <c r="S91" s="18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</row>
    <row r="92" ht="15.75" customHeight="1" s="93">
      <c r="A92" s="1" t="n"/>
      <c r="B92" s="1" t="n"/>
      <c r="C92" s="1" t="n"/>
      <c r="D92" s="1" t="n"/>
      <c r="E92" s="79" t="n"/>
      <c r="F92" s="1" t="n"/>
      <c r="G92" s="1" t="n"/>
      <c r="H92" s="1" t="n"/>
      <c r="I92" s="1" t="n"/>
      <c r="J92" s="1" t="n"/>
      <c r="K92" s="1" t="n"/>
      <c r="L92" s="1" t="n"/>
      <c r="M92" s="1" t="n"/>
      <c r="N92" s="18" t="n"/>
      <c r="O92" s="18" t="n"/>
      <c r="P92" s="18" t="n"/>
      <c r="Q92" s="18" t="n"/>
      <c r="R92" s="18" t="n"/>
      <c r="S92" s="18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</row>
    <row r="93" ht="15.75" customHeight="1" s="93">
      <c r="A93" s="1" t="n"/>
      <c r="B93" s="1" t="n"/>
      <c r="C93" s="1" t="n"/>
      <c r="D93" s="1" t="n"/>
      <c r="E93" s="79" t="n"/>
      <c r="F93" s="1" t="n"/>
      <c r="G93" s="1" t="n"/>
      <c r="H93" s="1" t="n"/>
      <c r="I93" s="1" t="n"/>
      <c r="J93" s="1" t="n"/>
      <c r="K93" s="1" t="n"/>
      <c r="L93" s="1" t="n"/>
      <c r="M93" s="1" t="n"/>
      <c r="N93" s="18" t="n"/>
      <c r="O93" s="18" t="n"/>
      <c r="P93" s="18" t="n"/>
      <c r="Q93" s="18" t="n"/>
      <c r="R93" s="18" t="n"/>
      <c r="S93" s="18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</row>
    <row r="94" ht="15.75" customHeight="1" s="93">
      <c r="A94" s="1" t="n"/>
      <c r="B94" s="1" t="n"/>
      <c r="C94" s="1" t="n"/>
      <c r="D94" s="1" t="n"/>
      <c r="E94" s="79" t="n"/>
      <c r="F94" s="1" t="n"/>
      <c r="G94" s="1" t="n"/>
      <c r="H94" s="1" t="n"/>
      <c r="I94" s="1" t="n"/>
      <c r="J94" s="1" t="n"/>
      <c r="K94" s="1" t="n"/>
      <c r="L94" s="1" t="n"/>
      <c r="M94" s="1" t="n"/>
      <c r="N94" s="18" t="n"/>
      <c r="O94" s="18" t="n"/>
      <c r="P94" s="18" t="n"/>
      <c r="Q94" s="18" t="n"/>
      <c r="R94" s="18" t="n"/>
      <c r="S94" s="18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</row>
    <row r="95" ht="15.75" customHeight="1" s="93">
      <c r="A95" s="1" t="n"/>
      <c r="B95" s="1" t="n"/>
      <c r="C95" s="1" t="n"/>
      <c r="D95" s="1" t="n"/>
      <c r="E95" s="79" t="n"/>
      <c r="F95" s="1" t="n"/>
      <c r="G95" s="1" t="n"/>
      <c r="H95" s="1" t="n"/>
      <c r="I95" s="1" t="n"/>
      <c r="J95" s="1" t="n"/>
      <c r="K95" s="1" t="n"/>
      <c r="L95" s="1" t="n"/>
      <c r="M95" s="1" t="n"/>
      <c r="N95" s="18" t="n"/>
      <c r="O95" s="18" t="n"/>
      <c r="P95" s="18" t="n"/>
      <c r="Q95" s="18" t="n"/>
      <c r="R95" s="18" t="n"/>
      <c r="S95" s="18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</row>
    <row r="96" ht="15.75" customHeight="1" s="93">
      <c r="A96" s="1" t="n"/>
      <c r="B96" s="1" t="n"/>
      <c r="C96" s="1" t="n"/>
      <c r="D96" s="1" t="n"/>
      <c r="E96" s="79" t="n"/>
      <c r="F96" s="1" t="n"/>
      <c r="G96" s="1" t="n"/>
      <c r="H96" s="1" t="n"/>
      <c r="I96" s="1" t="n"/>
      <c r="J96" s="1" t="n"/>
      <c r="K96" s="1" t="n"/>
      <c r="L96" s="1" t="n"/>
      <c r="M96" s="1" t="n"/>
      <c r="N96" s="18" t="n"/>
      <c r="O96" s="18" t="n"/>
      <c r="P96" s="18" t="n"/>
      <c r="Q96" s="18" t="n"/>
      <c r="R96" s="18" t="n"/>
      <c r="S96" s="18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</row>
    <row r="97" ht="15.75" customHeight="1" s="93">
      <c r="A97" s="1" t="n"/>
      <c r="B97" s="1" t="n"/>
      <c r="C97" s="1" t="n"/>
      <c r="D97" s="1" t="n"/>
      <c r="E97" s="79" t="n"/>
      <c r="F97" s="1" t="n"/>
      <c r="G97" s="1" t="n"/>
      <c r="H97" s="1" t="n"/>
      <c r="I97" s="1" t="n"/>
      <c r="J97" s="1" t="n"/>
      <c r="K97" s="1" t="n"/>
      <c r="L97" s="1" t="n"/>
      <c r="M97" s="1" t="n"/>
      <c r="N97" s="18" t="n"/>
      <c r="O97" s="18" t="n"/>
      <c r="P97" s="18" t="n"/>
      <c r="Q97" s="18" t="n"/>
      <c r="R97" s="18" t="n"/>
      <c r="S97" s="18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</row>
    <row r="98" ht="15.75" customHeight="1" s="93">
      <c r="A98" s="1" t="n"/>
      <c r="B98" s="1" t="n"/>
      <c r="C98" s="1" t="n"/>
      <c r="D98" s="1" t="n"/>
      <c r="E98" s="79" t="n"/>
      <c r="F98" s="1" t="n"/>
      <c r="G98" s="1" t="n"/>
      <c r="H98" s="1" t="n"/>
      <c r="I98" s="1" t="n"/>
      <c r="J98" s="1" t="n"/>
      <c r="K98" s="1" t="n"/>
      <c r="L98" s="1" t="n"/>
      <c r="M98" s="1" t="n"/>
      <c r="N98" s="18" t="n"/>
      <c r="O98" s="18" t="n"/>
      <c r="P98" s="18" t="n"/>
      <c r="Q98" s="18" t="n"/>
      <c r="R98" s="18" t="n"/>
      <c r="S98" s="18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</row>
    <row r="99" ht="15.75" customHeight="1" s="93">
      <c r="A99" s="1" t="n"/>
      <c r="B99" s="1" t="n"/>
      <c r="C99" s="1" t="n"/>
      <c r="D99" s="1" t="n"/>
      <c r="E99" s="79" t="n"/>
      <c r="F99" s="1" t="n"/>
      <c r="G99" s="1" t="n"/>
      <c r="H99" s="1" t="n"/>
      <c r="I99" s="1" t="n"/>
      <c r="J99" s="1" t="n"/>
      <c r="K99" s="1" t="n"/>
      <c r="L99" s="1" t="n"/>
      <c r="M99" s="1" t="n"/>
      <c r="N99" s="18" t="n"/>
      <c r="O99" s="18" t="n"/>
      <c r="P99" s="18" t="n"/>
      <c r="Q99" s="18" t="n"/>
      <c r="R99" s="18" t="n"/>
      <c r="S99" s="18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</row>
    <row r="100" ht="15.75" customHeight="1" s="93">
      <c r="A100" s="1" t="n"/>
      <c r="B100" s="1" t="n"/>
      <c r="C100" s="1" t="n"/>
      <c r="D100" s="1" t="n"/>
      <c r="E100" s="79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8" t="n"/>
      <c r="O100" s="18" t="n"/>
      <c r="P100" s="18" t="n"/>
      <c r="Q100" s="18" t="n"/>
      <c r="R100" s="18" t="n"/>
      <c r="S100" s="18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</row>
    <row r="101" ht="15.75" customHeight="1" s="93">
      <c r="A101" s="1" t="n"/>
      <c r="B101" s="1" t="n"/>
      <c r="C101" s="1" t="n"/>
      <c r="D101" s="1" t="n"/>
      <c r="E101" s="79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8" t="n"/>
      <c r="O101" s="18" t="n"/>
      <c r="P101" s="18" t="n"/>
      <c r="Q101" s="18" t="n"/>
      <c r="R101" s="18" t="n"/>
      <c r="S101" s="18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</row>
    <row r="102" ht="15.75" customHeight="1" s="93">
      <c r="A102" s="1" t="n"/>
      <c r="B102" s="1" t="n"/>
      <c r="C102" s="1" t="n"/>
      <c r="D102" s="1" t="n"/>
      <c r="E102" s="79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8" t="n"/>
      <c r="O102" s="18" t="n"/>
      <c r="P102" s="18" t="n"/>
      <c r="Q102" s="18" t="n"/>
      <c r="R102" s="18" t="n"/>
      <c r="S102" s="18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</row>
    <row r="103" ht="15.75" customHeight="1" s="93">
      <c r="A103" s="1" t="n"/>
      <c r="B103" s="1" t="n"/>
      <c r="C103" s="1" t="n"/>
      <c r="D103" s="1" t="n"/>
      <c r="E103" s="79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8" t="n"/>
      <c r="O103" s="18" t="n"/>
      <c r="P103" s="18" t="n"/>
      <c r="Q103" s="18" t="n"/>
      <c r="R103" s="18" t="n"/>
      <c r="S103" s="18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</row>
    <row r="104" ht="15.75" customHeight="1" s="93">
      <c r="A104" s="1" t="n"/>
      <c r="B104" s="1" t="n"/>
      <c r="C104" s="1" t="n"/>
      <c r="D104" s="1" t="n"/>
      <c r="E104" s="79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8" t="n"/>
      <c r="O104" s="18" t="n"/>
      <c r="P104" s="18" t="n"/>
      <c r="Q104" s="18" t="n"/>
      <c r="R104" s="18" t="n"/>
      <c r="S104" s="18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</row>
    <row r="105" ht="15.75" customHeight="1" s="93">
      <c r="A105" s="1" t="n"/>
      <c r="B105" s="1" t="n"/>
      <c r="C105" s="1" t="n"/>
      <c r="D105" s="1" t="n"/>
      <c r="E105" s="79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8" t="n"/>
      <c r="O105" s="18" t="n"/>
      <c r="P105" s="18" t="n"/>
      <c r="Q105" s="18" t="n"/>
      <c r="R105" s="18" t="n"/>
      <c r="S105" s="18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</row>
    <row r="106" ht="15.75" customHeight="1" s="93">
      <c r="A106" s="1" t="n"/>
      <c r="B106" s="1" t="n"/>
      <c r="C106" s="1" t="n"/>
      <c r="D106" s="1" t="n"/>
      <c r="E106" s="79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8" t="n"/>
      <c r="O106" s="18" t="n"/>
      <c r="P106" s="18" t="n"/>
      <c r="Q106" s="18" t="n"/>
      <c r="R106" s="18" t="n"/>
      <c r="S106" s="18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</row>
    <row r="107" ht="15.75" customHeight="1" s="93">
      <c r="A107" s="1" t="n"/>
      <c r="B107" s="1" t="n"/>
      <c r="C107" s="1" t="n"/>
      <c r="D107" s="1" t="n"/>
      <c r="E107" s="79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8" t="n"/>
      <c r="O107" s="18" t="n"/>
      <c r="P107" s="18" t="n"/>
      <c r="Q107" s="18" t="n"/>
      <c r="R107" s="18" t="n"/>
      <c r="S107" s="18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</row>
    <row r="108" ht="15.75" customHeight="1" s="93">
      <c r="A108" s="1" t="n"/>
      <c r="B108" s="1" t="n"/>
      <c r="C108" s="1" t="n"/>
      <c r="D108" s="1" t="n"/>
      <c r="E108" s="79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8" t="n"/>
      <c r="O108" s="18" t="n"/>
      <c r="P108" s="18" t="n"/>
      <c r="Q108" s="18" t="n"/>
      <c r="R108" s="18" t="n"/>
      <c r="S108" s="18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</row>
    <row r="109" ht="15.75" customHeight="1" s="93">
      <c r="A109" s="1" t="n"/>
      <c r="B109" s="1" t="n"/>
      <c r="C109" s="1" t="n"/>
      <c r="D109" s="1" t="n"/>
      <c r="E109" s="79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8" t="n"/>
      <c r="O109" s="18" t="n"/>
      <c r="P109" s="18" t="n"/>
      <c r="Q109" s="18" t="n"/>
      <c r="R109" s="18" t="n"/>
      <c r="S109" s="18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</row>
    <row r="110" ht="15.75" customHeight="1" s="93">
      <c r="A110" s="1" t="n"/>
      <c r="B110" s="1" t="n"/>
      <c r="C110" s="1" t="n"/>
      <c r="D110" s="1" t="n"/>
      <c r="E110" s="79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8" t="n"/>
      <c r="O110" s="18" t="n"/>
      <c r="P110" s="18" t="n"/>
      <c r="Q110" s="18" t="n"/>
      <c r="R110" s="18" t="n"/>
      <c r="S110" s="18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</row>
    <row r="111" ht="15.75" customHeight="1" s="93">
      <c r="A111" s="1" t="n"/>
      <c r="B111" s="1" t="n"/>
      <c r="C111" s="1" t="n"/>
      <c r="D111" s="1" t="n"/>
      <c r="E111" s="79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8" t="n"/>
      <c r="O111" s="18" t="n"/>
      <c r="P111" s="18" t="n"/>
      <c r="Q111" s="18" t="n"/>
      <c r="R111" s="18" t="n"/>
      <c r="S111" s="18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</row>
    <row r="112" ht="15.75" customHeight="1" s="93">
      <c r="A112" s="1" t="n"/>
      <c r="B112" s="1" t="n"/>
      <c r="C112" s="1" t="n"/>
      <c r="D112" s="1" t="n"/>
      <c r="E112" s="79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8" t="n"/>
      <c r="O112" s="18" t="n"/>
      <c r="P112" s="18" t="n"/>
      <c r="Q112" s="18" t="n"/>
      <c r="R112" s="18" t="n"/>
      <c r="S112" s="18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</row>
    <row r="113" ht="15.75" customHeight="1" s="93">
      <c r="A113" s="1" t="n"/>
      <c r="B113" s="1" t="n"/>
      <c r="C113" s="1" t="n"/>
      <c r="D113" s="1" t="n"/>
      <c r="E113" s="79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8" t="n"/>
      <c r="O113" s="18" t="n"/>
      <c r="P113" s="18" t="n"/>
      <c r="Q113" s="18" t="n"/>
      <c r="R113" s="18" t="n"/>
      <c r="S113" s="18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</row>
    <row r="114" ht="15.75" customHeight="1" s="93">
      <c r="A114" s="1" t="n"/>
      <c r="B114" s="1" t="n"/>
      <c r="C114" s="1" t="n"/>
      <c r="D114" s="1" t="n"/>
      <c r="E114" s="79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8" t="n"/>
      <c r="O114" s="18" t="n"/>
      <c r="P114" s="18" t="n"/>
      <c r="Q114" s="18" t="n"/>
      <c r="R114" s="18" t="n"/>
      <c r="S114" s="18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</row>
    <row r="115" ht="15.75" customHeight="1" s="93">
      <c r="A115" s="1" t="n"/>
      <c r="B115" s="1" t="n"/>
      <c r="C115" s="1" t="n"/>
      <c r="D115" s="1" t="n"/>
      <c r="E115" s="79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8" t="n"/>
      <c r="O115" s="18" t="n"/>
      <c r="P115" s="18" t="n"/>
      <c r="Q115" s="18" t="n"/>
      <c r="R115" s="18" t="n"/>
      <c r="S115" s="18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</row>
    <row r="116" ht="15.75" customHeight="1" s="93">
      <c r="A116" s="1" t="n"/>
      <c r="B116" s="1" t="n"/>
      <c r="C116" s="1" t="n"/>
      <c r="D116" s="1" t="n"/>
      <c r="E116" s="79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8" t="n"/>
      <c r="O116" s="18" t="n"/>
      <c r="P116" s="18" t="n"/>
      <c r="Q116" s="18" t="n"/>
      <c r="R116" s="18" t="n"/>
      <c r="S116" s="18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</row>
    <row r="117" ht="15.75" customHeight="1" s="93">
      <c r="A117" s="1" t="n"/>
      <c r="B117" s="1" t="n"/>
      <c r="C117" s="1" t="n"/>
      <c r="D117" s="1" t="n"/>
      <c r="E117" s="79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8" t="n"/>
      <c r="O117" s="18" t="n"/>
      <c r="P117" s="18" t="n"/>
      <c r="Q117" s="18" t="n"/>
      <c r="R117" s="18" t="n"/>
      <c r="S117" s="18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</row>
    <row r="118" ht="15.75" customHeight="1" s="93">
      <c r="A118" s="1" t="n"/>
      <c r="B118" s="1" t="n"/>
      <c r="C118" s="1" t="n"/>
      <c r="D118" s="1" t="n"/>
      <c r="E118" s="79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8" t="n"/>
      <c r="O118" s="18" t="n"/>
      <c r="P118" s="18" t="n"/>
      <c r="Q118" s="18" t="n"/>
      <c r="R118" s="18" t="n"/>
      <c r="S118" s="18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</row>
    <row r="119" ht="15.75" customHeight="1" s="93">
      <c r="A119" s="1" t="n"/>
      <c r="B119" s="1" t="n"/>
      <c r="C119" s="1" t="n"/>
      <c r="D119" s="1" t="n"/>
      <c r="E119" s="79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8" t="n"/>
      <c r="O119" s="18" t="n"/>
      <c r="P119" s="18" t="n"/>
      <c r="Q119" s="18" t="n"/>
      <c r="R119" s="18" t="n"/>
      <c r="S119" s="18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</row>
    <row r="120" ht="15.75" customHeight="1" s="93">
      <c r="A120" s="1" t="n"/>
      <c r="B120" s="1" t="n"/>
      <c r="C120" s="1" t="n"/>
      <c r="D120" s="1" t="n"/>
      <c r="E120" s="79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8" t="n"/>
      <c r="O120" s="18" t="n"/>
      <c r="P120" s="18" t="n"/>
      <c r="Q120" s="18" t="n"/>
      <c r="R120" s="18" t="n"/>
      <c r="S120" s="18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</row>
    <row r="121" ht="15.75" customHeight="1" s="93">
      <c r="A121" s="1" t="n"/>
      <c r="B121" s="1" t="n"/>
      <c r="C121" s="1" t="n"/>
      <c r="D121" s="1" t="n"/>
      <c r="E121" s="79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8" t="n"/>
      <c r="O121" s="18" t="n"/>
      <c r="P121" s="18" t="n"/>
      <c r="Q121" s="18" t="n"/>
      <c r="R121" s="18" t="n"/>
      <c r="S121" s="18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</row>
    <row r="122" ht="15.75" customHeight="1" s="93">
      <c r="A122" s="1" t="n"/>
      <c r="B122" s="1" t="n"/>
      <c r="C122" s="1" t="n"/>
      <c r="D122" s="1" t="n"/>
      <c r="E122" s="79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8" t="n"/>
      <c r="O122" s="18" t="n"/>
      <c r="P122" s="18" t="n"/>
      <c r="Q122" s="18" t="n"/>
      <c r="R122" s="18" t="n"/>
      <c r="S122" s="18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</row>
    <row r="123" ht="15.75" customHeight="1" s="93">
      <c r="A123" s="1" t="n"/>
      <c r="B123" s="1" t="n"/>
      <c r="C123" s="1" t="n"/>
      <c r="D123" s="1" t="n"/>
      <c r="E123" s="79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8" t="n"/>
      <c r="O123" s="18" t="n"/>
      <c r="P123" s="18" t="n"/>
      <c r="Q123" s="18" t="n"/>
      <c r="R123" s="18" t="n"/>
      <c r="S123" s="18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</row>
    <row r="124" ht="15.75" customHeight="1" s="93">
      <c r="A124" s="1" t="n"/>
      <c r="B124" s="1" t="n"/>
      <c r="C124" s="1" t="n"/>
      <c r="D124" s="1" t="n"/>
      <c r="E124" s="79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8" t="n"/>
      <c r="O124" s="18" t="n"/>
      <c r="P124" s="18" t="n"/>
      <c r="Q124" s="18" t="n"/>
      <c r="R124" s="18" t="n"/>
      <c r="S124" s="18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</row>
    <row r="125" ht="15.75" customHeight="1" s="93">
      <c r="A125" s="1" t="n"/>
      <c r="B125" s="1" t="n"/>
      <c r="C125" s="1" t="n"/>
      <c r="D125" s="1" t="n"/>
      <c r="E125" s="79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8" t="n"/>
      <c r="O125" s="18" t="n"/>
      <c r="P125" s="18" t="n"/>
      <c r="Q125" s="18" t="n"/>
      <c r="R125" s="18" t="n"/>
      <c r="S125" s="18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</row>
    <row r="126" ht="15.75" customHeight="1" s="93">
      <c r="A126" s="1" t="n"/>
      <c r="B126" s="1" t="n"/>
      <c r="C126" s="1" t="n"/>
      <c r="D126" s="1" t="n"/>
      <c r="E126" s="79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8" t="n"/>
      <c r="O126" s="18" t="n"/>
      <c r="P126" s="18" t="n"/>
      <c r="Q126" s="18" t="n"/>
      <c r="R126" s="18" t="n"/>
      <c r="S126" s="18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</row>
    <row r="127" ht="15.75" customHeight="1" s="93">
      <c r="A127" s="1" t="n"/>
      <c r="B127" s="1" t="n"/>
      <c r="C127" s="1" t="n"/>
      <c r="D127" s="1" t="n"/>
      <c r="E127" s="79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8" t="n"/>
      <c r="O127" s="18" t="n"/>
      <c r="P127" s="18" t="n"/>
      <c r="Q127" s="18" t="n"/>
      <c r="R127" s="18" t="n"/>
      <c r="S127" s="18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</row>
    <row r="128" ht="15.75" customHeight="1" s="93">
      <c r="A128" s="1" t="n"/>
      <c r="B128" s="1" t="n"/>
      <c r="C128" s="1" t="n"/>
      <c r="D128" s="1" t="n"/>
      <c r="E128" s="79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8" t="n"/>
      <c r="O128" s="18" t="n"/>
      <c r="P128" s="18" t="n"/>
      <c r="Q128" s="18" t="n"/>
      <c r="R128" s="18" t="n"/>
      <c r="S128" s="18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</row>
    <row r="129" ht="15.75" customHeight="1" s="93">
      <c r="A129" s="1" t="n"/>
      <c r="B129" s="1" t="n"/>
      <c r="C129" s="1" t="n"/>
      <c r="D129" s="1" t="n"/>
      <c r="E129" s="79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8" t="n"/>
      <c r="O129" s="18" t="n"/>
      <c r="P129" s="18" t="n"/>
      <c r="Q129" s="18" t="n"/>
      <c r="R129" s="18" t="n"/>
      <c r="S129" s="18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</row>
    <row r="130" ht="15.75" customHeight="1" s="93">
      <c r="A130" s="1" t="n"/>
      <c r="B130" s="1" t="n"/>
      <c r="C130" s="1" t="n"/>
      <c r="D130" s="1" t="n"/>
      <c r="E130" s="79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8" t="n"/>
      <c r="O130" s="18" t="n"/>
      <c r="P130" s="18" t="n"/>
      <c r="Q130" s="18" t="n"/>
      <c r="R130" s="18" t="n"/>
      <c r="S130" s="18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</row>
    <row r="131" ht="15.75" customHeight="1" s="93">
      <c r="A131" s="1" t="n"/>
      <c r="B131" s="1" t="n"/>
      <c r="C131" s="1" t="n"/>
      <c r="D131" s="1" t="n"/>
      <c r="E131" s="79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8" t="n"/>
      <c r="O131" s="18" t="n"/>
      <c r="P131" s="18" t="n"/>
      <c r="Q131" s="18" t="n"/>
      <c r="R131" s="18" t="n"/>
      <c r="S131" s="18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</row>
    <row r="132" ht="15.75" customHeight="1" s="93">
      <c r="A132" s="1" t="n"/>
      <c r="B132" s="1" t="n"/>
      <c r="C132" s="1" t="n"/>
      <c r="D132" s="1" t="n"/>
      <c r="E132" s="79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8" t="n"/>
      <c r="O132" s="18" t="n"/>
      <c r="P132" s="18" t="n"/>
      <c r="Q132" s="18" t="n"/>
      <c r="R132" s="18" t="n"/>
      <c r="S132" s="18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</row>
    <row r="133" ht="15.75" customHeight="1" s="93">
      <c r="A133" s="1" t="n"/>
      <c r="B133" s="1" t="n"/>
      <c r="C133" s="1" t="n"/>
      <c r="D133" s="1" t="n"/>
      <c r="E133" s="79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8" t="n"/>
      <c r="O133" s="18" t="n"/>
      <c r="P133" s="18" t="n"/>
      <c r="Q133" s="18" t="n"/>
      <c r="R133" s="18" t="n"/>
      <c r="S133" s="18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</row>
    <row r="134" ht="15.75" customHeight="1" s="93">
      <c r="A134" s="1" t="n"/>
      <c r="B134" s="1" t="n"/>
      <c r="C134" s="1" t="n"/>
      <c r="D134" s="1" t="n"/>
      <c r="E134" s="79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8" t="n"/>
      <c r="O134" s="18" t="n"/>
      <c r="P134" s="18" t="n"/>
      <c r="Q134" s="18" t="n"/>
      <c r="R134" s="18" t="n"/>
      <c r="S134" s="18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</row>
    <row r="135" ht="15.75" customHeight="1" s="93">
      <c r="A135" s="1" t="n"/>
      <c r="B135" s="1" t="n"/>
      <c r="C135" s="1" t="n"/>
      <c r="D135" s="1" t="n"/>
      <c r="E135" s="79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8" t="n"/>
      <c r="O135" s="18" t="n"/>
      <c r="P135" s="18" t="n"/>
      <c r="Q135" s="18" t="n"/>
      <c r="R135" s="18" t="n"/>
      <c r="S135" s="18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</row>
    <row r="136" ht="15.75" customHeight="1" s="93">
      <c r="A136" s="1" t="n"/>
      <c r="B136" s="1" t="n"/>
      <c r="C136" s="1" t="n"/>
      <c r="D136" s="1" t="n"/>
      <c r="E136" s="79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8" t="n"/>
      <c r="O136" s="18" t="n"/>
      <c r="P136" s="18" t="n"/>
      <c r="Q136" s="18" t="n"/>
      <c r="R136" s="18" t="n"/>
      <c r="S136" s="18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</row>
    <row r="137" ht="15.75" customHeight="1" s="93">
      <c r="A137" s="1" t="n"/>
      <c r="B137" s="1" t="n"/>
      <c r="C137" s="1" t="n"/>
      <c r="D137" s="1" t="n"/>
      <c r="E137" s="79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8" t="n"/>
      <c r="O137" s="18" t="n"/>
      <c r="P137" s="18" t="n"/>
      <c r="Q137" s="18" t="n"/>
      <c r="R137" s="18" t="n"/>
      <c r="S137" s="18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</row>
    <row r="138" ht="15.75" customHeight="1" s="93">
      <c r="A138" s="1" t="n"/>
      <c r="B138" s="1" t="n"/>
      <c r="C138" s="1" t="n"/>
      <c r="D138" s="1" t="n"/>
      <c r="E138" s="79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8" t="n"/>
      <c r="O138" s="18" t="n"/>
      <c r="P138" s="18" t="n"/>
      <c r="Q138" s="18" t="n"/>
      <c r="R138" s="18" t="n"/>
      <c r="S138" s="18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</row>
    <row r="139" ht="15.75" customHeight="1" s="93">
      <c r="A139" s="1" t="n"/>
      <c r="B139" s="1" t="n"/>
      <c r="C139" s="1" t="n"/>
      <c r="D139" s="1" t="n"/>
      <c r="E139" s="79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8" t="n"/>
      <c r="O139" s="18" t="n"/>
      <c r="P139" s="18" t="n"/>
      <c r="Q139" s="18" t="n"/>
      <c r="R139" s="18" t="n"/>
      <c r="S139" s="18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</row>
    <row r="140" ht="15.75" customHeight="1" s="93">
      <c r="A140" s="1" t="n"/>
      <c r="B140" s="1" t="n"/>
      <c r="C140" s="1" t="n"/>
      <c r="D140" s="1" t="n"/>
      <c r="E140" s="79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8" t="n"/>
      <c r="O140" s="18" t="n"/>
      <c r="P140" s="18" t="n"/>
      <c r="Q140" s="18" t="n"/>
      <c r="R140" s="18" t="n"/>
      <c r="S140" s="18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</row>
    <row r="141" ht="15.75" customHeight="1" s="93">
      <c r="A141" s="1" t="n"/>
      <c r="B141" s="1" t="n"/>
      <c r="C141" s="1" t="n"/>
      <c r="D141" s="1" t="n"/>
      <c r="E141" s="79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8" t="n"/>
      <c r="O141" s="18" t="n"/>
      <c r="P141" s="18" t="n"/>
      <c r="Q141" s="18" t="n"/>
      <c r="R141" s="18" t="n"/>
      <c r="S141" s="18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</row>
    <row r="142" ht="15.75" customHeight="1" s="93">
      <c r="A142" s="1" t="n"/>
      <c r="B142" s="1" t="n"/>
      <c r="C142" s="1" t="n"/>
      <c r="D142" s="1" t="n"/>
      <c r="E142" s="79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8" t="n"/>
      <c r="O142" s="18" t="n"/>
      <c r="P142" s="18" t="n"/>
      <c r="Q142" s="18" t="n"/>
      <c r="R142" s="18" t="n"/>
      <c r="S142" s="18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</row>
    <row r="143" ht="15.75" customHeight="1" s="93">
      <c r="A143" s="1" t="n"/>
      <c r="B143" s="1" t="n"/>
      <c r="C143" s="1" t="n"/>
      <c r="D143" s="1" t="n"/>
      <c r="E143" s="79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8" t="n"/>
      <c r="O143" s="18" t="n"/>
      <c r="P143" s="18" t="n"/>
      <c r="Q143" s="18" t="n"/>
      <c r="R143" s="18" t="n"/>
      <c r="S143" s="18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</row>
    <row r="144" ht="15.75" customHeight="1" s="93">
      <c r="A144" s="1" t="n"/>
      <c r="B144" s="1" t="n"/>
      <c r="C144" s="1" t="n"/>
      <c r="D144" s="1" t="n"/>
      <c r="E144" s="79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8" t="n"/>
      <c r="O144" s="18" t="n"/>
      <c r="P144" s="18" t="n"/>
      <c r="Q144" s="18" t="n"/>
      <c r="R144" s="18" t="n"/>
      <c r="S144" s="18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</row>
    <row r="145" ht="15.75" customHeight="1" s="93">
      <c r="A145" s="1" t="n"/>
      <c r="B145" s="1" t="n"/>
      <c r="C145" s="1" t="n"/>
      <c r="D145" s="1" t="n"/>
      <c r="E145" s="79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8" t="n"/>
      <c r="O145" s="18" t="n"/>
      <c r="P145" s="18" t="n"/>
      <c r="Q145" s="18" t="n"/>
      <c r="R145" s="18" t="n"/>
      <c r="S145" s="18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</row>
    <row r="146" ht="15.75" customHeight="1" s="93">
      <c r="A146" s="1" t="n"/>
      <c r="B146" s="1" t="n"/>
      <c r="C146" s="1" t="n"/>
      <c r="D146" s="1" t="n"/>
      <c r="E146" s="79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8" t="n"/>
      <c r="O146" s="18" t="n"/>
      <c r="P146" s="18" t="n"/>
      <c r="Q146" s="18" t="n"/>
      <c r="R146" s="18" t="n"/>
      <c r="S146" s="18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</row>
    <row r="147" ht="15.75" customHeight="1" s="93">
      <c r="A147" s="1" t="n"/>
      <c r="B147" s="1" t="n"/>
      <c r="C147" s="1" t="n"/>
      <c r="D147" s="1" t="n"/>
      <c r="E147" s="79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8" t="n"/>
      <c r="O147" s="18" t="n"/>
      <c r="P147" s="18" t="n"/>
      <c r="Q147" s="18" t="n"/>
      <c r="R147" s="18" t="n"/>
      <c r="S147" s="18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</row>
    <row r="148" ht="15.75" customHeight="1" s="93">
      <c r="A148" s="1" t="n"/>
      <c r="B148" s="1" t="n"/>
      <c r="C148" s="1" t="n"/>
      <c r="D148" s="1" t="n"/>
      <c r="E148" s="79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8" t="n"/>
      <c r="O148" s="18" t="n"/>
      <c r="P148" s="18" t="n"/>
      <c r="Q148" s="18" t="n"/>
      <c r="R148" s="18" t="n"/>
      <c r="S148" s="18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</row>
    <row r="149" ht="15.75" customHeight="1" s="93">
      <c r="A149" s="1" t="n"/>
      <c r="B149" s="1" t="n"/>
      <c r="C149" s="1" t="n"/>
      <c r="D149" s="1" t="n"/>
      <c r="E149" s="79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8" t="n"/>
      <c r="O149" s="18" t="n"/>
      <c r="P149" s="18" t="n"/>
      <c r="Q149" s="18" t="n"/>
      <c r="R149" s="18" t="n"/>
      <c r="S149" s="18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</row>
    <row r="150" ht="15.75" customHeight="1" s="93">
      <c r="A150" s="1" t="n"/>
      <c r="B150" s="1" t="n"/>
      <c r="C150" s="1" t="n"/>
      <c r="D150" s="1" t="n"/>
      <c r="E150" s="79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8" t="n"/>
      <c r="O150" s="18" t="n"/>
      <c r="P150" s="18" t="n"/>
      <c r="Q150" s="18" t="n"/>
      <c r="R150" s="18" t="n"/>
      <c r="S150" s="18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</row>
    <row r="151" ht="15.75" customHeight="1" s="93">
      <c r="A151" s="1" t="n"/>
      <c r="B151" s="1" t="n"/>
      <c r="C151" s="1" t="n"/>
      <c r="D151" s="1" t="n"/>
      <c r="E151" s="79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8" t="n"/>
      <c r="O151" s="18" t="n"/>
      <c r="P151" s="18" t="n"/>
      <c r="Q151" s="18" t="n"/>
      <c r="R151" s="18" t="n"/>
      <c r="S151" s="18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</row>
    <row r="152" ht="15.75" customHeight="1" s="93">
      <c r="A152" s="1" t="n"/>
      <c r="B152" s="1" t="n"/>
      <c r="C152" s="1" t="n"/>
      <c r="D152" s="1" t="n"/>
      <c r="E152" s="79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8" t="n"/>
      <c r="O152" s="18" t="n"/>
      <c r="P152" s="18" t="n"/>
      <c r="Q152" s="18" t="n"/>
      <c r="R152" s="18" t="n"/>
      <c r="S152" s="18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</row>
    <row r="153" ht="15.75" customHeight="1" s="93">
      <c r="A153" s="1" t="n"/>
      <c r="B153" s="1" t="n"/>
      <c r="C153" s="1" t="n"/>
      <c r="D153" s="1" t="n"/>
      <c r="E153" s="79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8" t="n"/>
      <c r="O153" s="18" t="n"/>
      <c r="P153" s="18" t="n"/>
      <c r="Q153" s="18" t="n"/>
      <c r="R153" s="18" t="n"/>
      <c r="S153" s="18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</row>
    <row r="154" ht="15.75" customHeight="1" s="93">
      <c r="A154" s="1" t="n"/>
      <c r="B154" s="1" t="n"/>
      <c r="C154" s="1" t="n"/>
      <c r="D154" s="1" t="n"/>
      <c r="E154" s="79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8" t="n"/>
      <c r="O154" s="18" t="n"/>
      <c r="P154" s="18" t="n"/>
      <c r="Q154" s="18" t="n"/>
      <c r="R154" s="18" t="n"/>
      <c r="S154" s="18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</row>
    <row r="155" ht="15.75" customHeight="1" s="93">
      <c r="A155" s="1" t="n"/>
      <c r="B155" s="1" t="n"/>
      <c r="C155" s="1" t="n"/>
      <c r="D155" s="1" t="n"/>
      <c r="E155" s="79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8" t="n"/>
      <c r="O155" s="18" t="n"/>
      <c r="P155" s="18" t="n"/>
      <c r="Q155" s="18" t="n"/>
      <c r="R155" s="18" t="n"/>
      <c r="S155" s="18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</row>
    <row r="156" ht="15.75" customHeight="1" s="93">
      <c r="A156" s="1" t="n"/>
      <c r="B156" s="1" t="n"/>
      <c r="C156" s="1" t="n"/>
      <c r="D156" s="1" t="n"/>
      <c r="E156" s="79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8" t="n"/>
      <c r="O156" s="18" t="n"/>
      <c r="P156" s="18" t="n"/>
      <c r="Q156" s="18" t="n"/>
      <c r="R156" s="18" t="n"/>
      <c r="S156" s="18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</row>
    <row r="157" ht="15.75" customHeight="1" s="93">
      <c r="A157" s="1" t="n"/>
      <c r="B157" s="1" t="n"/>
      <c r="C157" s="1" t="n"/>
      <c r="D157" s="1" t="n"/>
      <c r="E157" s="79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8" t="n"/>
      <c r="O157" s="18" t="n"/>
      <c r="P157" s="18" t="n"/>
      <c r="Q157" s="18" t="n"/>
      <c r="R157" s="18" t="n"/>
      <c r="S157" s="18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</row>
    <row r="158" ht="15.75" customHeight="1" s="93">
      <c r="A158" s="1" t="n"/>
      <c r="B158" s="1" t="n"/>
      <c r="C158" s="1" t="n"/>
      <c r="D158" s="1" t="n"/>
      <c r="E158" s="79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8" t="n"/>
      <c r="O158" s="18" t="n"/>
      <c r="P158" s="18" t="n"/>
      <c r="Q158" s="18" t="n"/>
      <c r="R158" s="18" t="n"/>
      <c r="S158" s="18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</row>
    <row r="159" ht="15.75" customHeight="1" s="93">
      <c r="A159" s="1" t="n"/>
      <c r="B159" s="1" t="n"/>
      <c r="C159" s="1" t="n"/>
      <c r="D159" s="1" t="n"/>
      <c r="E159" s="79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8" t="n"/>
      <c r="O159" s="18" t="n"/>
      <c r="P159" s="18" t="n"/>
      <c r="Q159" s="18" t="n"/>
      <c r="R159" s="18" t="n"/>
      <c r="S159" s="18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</row>
    <row r="160" ht="15.75" customHeight="1" s="93">
      <c r="A160" s="1" t="n"/>
      <c r="B160" s="1" t="n"/>
      <c r="C160" s="1" t="n"/>
      <c r="D160" s="1" t="n"/>
      <c r="E160" s="79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8" t="n"/>
      <c r="O160" s="18" t="n"/>
      <c r="P160" s="18" t="n"/>
      <c r="Q160" s="18" t="n"/>
      <c r="R160" s="18" t="n"/>
      <c r="S160" s="18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</row>
    <row r="161" ht="15.75" customHeight="1" s="93">
      <c r="A161" s="1" t="n"/>
      <c r="B161" s="1" t="n"/>
      <c r="C161" s="1" t="n"/>
      <c r="D161" s="1" t="n"/>
      <c r="E161" s="79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8" t="n"/>
      <c r="O161" s="18" t="n"/>
      <c r="P161" s="18" t="n"/>
      <c r="Q161" s="18" t="n"/>
      <c r="R161" s="18" t="n"/>
      <c r="S161" s="18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</row>
    <row r="162" ht="15.75" customHeight="1" s="93">
      <c r="A162" s="1" t="n"/>
      <c r="B162" s="1" t="n"/>
      <c r="C162" s="1" t="n"/>
      <c r="D162" s="1" t="n"/>
      <c r="E162" s="79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8" t="n"/>
      <c r="O162" s="18" t="n"/>
      <c r="P162" s="18" t="n"/>
      <c r="Q162" s="18" t="n"/>
      <c r="R162" s="18" t="n"/>
      <c r="S162" s="18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</row>
    <row r="163" ht="15.75" customHeight="1" s="93">
      <c r="A163" s="1" t="n"/>
      <c r="B163" s="1" t="n"/>
      <c r="C163" s="1" t="n"/>
      <c r="D163" s="1" t="n"/>
      <c r="E163" s="79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8" t="n"/>
      <c r="O163" s="18" t="n"/>
      <c r="P163" s="18" t="n"/>
      <c r="Q163" s="18" t="n"/>
      <c r="R163" s="18" t="n"/>
      <c r="S163" s="18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</row>
    <row r="164" ht="15.75" customHeight="1" s="93">
      <c r="A164" s="1" t="n"/>
      <c r="B164" s="1" t="n"/>
      <c r="C164" s="1" t="n"/>
      <c r="D164" s="1" t="n"/>
      <c r="E164" s="79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8" t="n"/>
      <c r="O164" s="18" t="n"/>
      <c r="P164" s="18" t="n"/>
      <c r="Q164" s="18" t="n"/>
      <c r="R164" s="18" t="n"/>
      <c r="S164" s="18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</row>
    <row r="165" ht="15.75" customHeight="1" s="93">
      <c r="A165" s="1" t="n"/>
      <c r="B165" s="1" t="n"/>
      <c r="C165" s="1" t="n"/>
      <c r="D165" s="1" t="n"/>
      <c r="E165" s="79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8" t="n"/>
      <c r="O165" s="18" t="n"/>
      <c r="P165" s="18" t="n"/>
      <c r="Q165" s="18" t="n"/>
      <c r="R165" s="18" t="n"/>
      <c r="S165" s="18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</row>
    <row r="166" ht="15.75" customHeight="1" s="93">
      <c r="A166" s="1" t="n"/>
      <c r="B166" s="1" t="n"/>
      <c r="C166" s="1" t="n"/>
      <c r="D166" s="1" t="n"/>
      <c r="E166" s="79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8" t="n"/>
      <c r="O166" s="18" t="n"/>
      <c r="P166" s="18" t="n"/>
      <c r="Q166" s="18" t="n"/>
      <c r="R166" s="18" t="n"/>
      <c r="S166" s="18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</row>
    <row r="167" ht="15.75" customHeight="1" s="93">
      <c r="A167" s="1" t="n"/>
      <c r="B167" s="1" t="n"/>
      <c r="C167" s="1" t="n"/>
      <c r="D167" s="1" t="n"/>
      <c r="E167" s="79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8" t="n"/>
      <c r="O167" s="18" t="n"/>
      <c r="P167" s="18" t="n"/>
      <c r="Q167" s="18" t="n"/>
      <c r="R167" s="18" t="n"/>
      <c r="S167" s="18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</row>
    <row r="168" ht="15.75" customHeight="1" s="93">
      <c r="A168" s="1" t="n"/>
      <c r="B168" s="1" t="n"/>
      <c r="C168" s="1" t="n"/>
      <c r="D168" s="1" t="n"/>
      <c r="E168" s="79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8" t="n"/>
      <c r="O168" s="18" t="n"/>
      <c r="P168" s="18" t="n"/>
      <c r="Q168" s="18" t="n"/>
      <c r="R168" s="18" t="n"/>
      <c r="S168" s="18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</row>
    <row r="169" ht="15.75" customHeight="1" s="93">
      <c r="A169" s="1" t="n"/>
      <c r="B169" s="1" t="n"/>
      <c r="C169" s="1" t="n"/>
      <c r="D169" s="1" t="n"/>
      <c r="E169" s="79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8" t="n"/>
      <c r="O169" s="18" t="n"/>
      <c r="P169" s="18" t="n"/>
      <c r="Q169" s="18" t="n"/>
      <c r="R169" s="18" t="n"/>
      <c r="S169" s="18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</row>
    <row r="170" ht="15.75" customHeight="1" s="93">
      <c r="A170" s="1" t="n"/>
      <c r="B170" s="1" t="n"/>
      <c r="C170" s="1" t="n"/>
      <c r="D170" s="1" t="n"/>
      <c r="E170" s="79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8" t="n"/>
      <c r="O170" s="18" t="n"/>
      <c r="P170" s="18" t="n"/>
      <c r="Q170" s="18" t="n"/>
      <c r="R170" s="18" t="n"/>
      <c r="S170" s="18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</row>
    <row r="171" ht="15.75" customHeight="1" s="93">
      <c r="A171" s="1" t="n"/>
      <c r="B171" s="1" t="n"/>
      <c r="C171" s="1" t="n"/>
      <c r="D171" s="1" t="n"/>
      <c r="E171" s="79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8" t="n"/>
      <c r="O171" s="18" t="n"/>
      <c r="P171" s="18" t="n"/>
      <c r="Q171" s="18" t="n"/>
      <c r="R171" s="18" t="n"/>
      <c r="S171" s="18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</row>
    <row r="172" ht="15.75" customHeight="1" s="93">
      <c r="A172" s="1" t="n"/>
      <c r="B172" s="1" t="n"/>
      <c r="C172" s="1" t="n"/>
      <c r="D172" s="1" t="n"/>
      <c r="E172" s="79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8" t="n"/>
      <c r="O172" s="18" t="n"/>
      <c r="P172" s="18" t="n"/>
      <c r="Q172" s="18" t="n"/>
      <c r="R172" s="18" t="n"/>
      <c r="S172" s="18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</row>
    <row r="173" ht="15.75" customHeight="1" s="93">
      <c r="A173" s="1" t="n"/>
      <c r="B173" s="1" t="n"/>
      <c r="C173" s="1" t="n"/>
      <c r="D173" s="1" t="n"/>
      <c r="E173" s="79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8" t="n"/>
      <c r="O173" s="18" t="n"/>
      <c r="P173" s="18" t="n"/>
      <c r="Q173" s="18" t="n"/>
      <c r="R173" s="18" t="n"/>
      <c r="S173" s="18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</row>
    <row r="174" ht="15.75" customHeight="1" s="93">
      <c r="A174" s="1" t="n"/>
      <c r="B174" s="1" t="n"/>
      <c r="C174" s="1" t="n"/>
      <c r="D174" s="1" t="n"/>
      <c r="E174" s="79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8" t="n"/>
      <c r="O174" s="18" t="n"/>
      <c r="P174" s="18" t="n"/>
      <c r="Q174" s="18" t="n"/>
      <c r="R174" s="18" t="n"/>
      <c r="S174" s="18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</row>
    <row r="175" ht="15.75" customHeight="1" s="93">
      <c r="A175" s="1" t="n"/>
      <c r="B175" s="1" t="n"/>
      <c r="C175" s="1" t="n"/>
      <c r="D175" s="1" t="n"/>
      <c r="E175" s="79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8" t="n"/>
      <c r="O175" s="18" t="n"/>
      <c r="P175" s="18" t="n"/>
      <c r="Q175" s="18" t="n"/>
      <c r="R175" s="18" t="n"/>
      <c r="S175" s="18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</row>
    <row r="176" ht="15.75" customHeight="1" s="93">
      <c r="A176" s="1" t="n"/>
      <c r="B176" s="1" t="n"/>
      <c r="C176" s="1" t="n"/>
      <c r="D176" s="1" t="n"/>
      <c r="E176" s="79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8" t="n"/>
      <c r="O176" s="18" t="n"/>
      <c r="P176" s="18" t="n"/>
      <c r="Q176" s="18" t="n"/>
      <c r="R176" s="18" t="n"/>
      <c r="S176" s="18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</row>
    <row r="177" ht="15.75" customHeight="1" s="93">
      <c r="A177" s="1" t="n"/>
      <c r="B177" s="1" t="n"/>
      <c r="C177" s="1" t="n"/>
      <c r="D177" s="1" t="n"/>
      <c r="E177" s="79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8" t="n"/>
      <c r="O177" s="18" t="n"/>
      <c r="P177" s="18" t="n"/>
      <c r="Q177" s="18" t="n"/>
      <c r="R177" s="18" t="n"/>
      <c r="S177" s="18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</row>
    <row r="178" ht="15.75" customHeight="1" s="93">
      <c r="A178" s="1" t="n"/>
      <c r="B178" s="1" t="n"/>
      <c r="C178" s="1" t="n"/>
      <c r="D178" s="1" t="n"/>
      <c r="E178" s="79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8" t="n"/>
      <c r="O178" s="18" t="n"/>
      <c r="P178" s="18" t="n"/>
      <c r="Q178" s="18" t="n"/>
      <c r="R178" s="18" t="n"/>
      <c r="S178" s="18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</row>
    <row r="179" ht="15.75" customHeight="1" s="93">
      <c r="A179" s="1" t="n"/>
      <c r="B179" s="1" t="n"/>
      <c r="C179" s="1" t="n"/>
      <c r="D179" s="1" t="n"/>
      <c r="E179" s="79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8" t="n"/>
      <c r="O179" s="18" t="n"/>
      <c r="P179" s="18" t="n"/>
      <c r="Q179" s="18" t="n"/>
      <c r="R179" s="18" t="n"/>
      <c r="S179" s="18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</row>
    <row r="180" ht="15.75" customHeight="1" s="93">
      <c r="A180" s="1" t="n"/>
      <c r="B180" s="1" t="n"/>
      <c r="C180" s="1" t="n"/>
      <c r="D180" s="1" t="n"/>
      <c r="E180" s="79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8" t="n"/>
      <c r="O180" s="18" t="n"/>
      <c r="P180" s="18" t="n"/>
      <c r="Q180" s="18" t="n"/>
      <c r="R180" s="18" t="n"/>
      <c r="S180" s="18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</row>
    <row r="181" ht="15.75" customHeight="1" s="93">
      <c r="A181" s="1" t="n"/>
      <c r="B181" s="1" t="n"/>
      <c r="C181" s="1" t="n"/>
      <c r="D181" s="1" t="n"/>
      <c r="E181" s="79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8" t="n"/>
      <c r="O181" s="18" t="n"/>
      <c r="P181" s="18" t="n"/>
      <c r="Q181" s="18" t="n"/>
      <c r="R181" s="18" t="n"/>
      <c r="S181" s="18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</row>
    <row r="182" ht="15.75" customHeight="1" s="93">
      <c r="A182" s="1" t="n"/>
      <c r="B182" s="1" t="n"/>
      <c r="C182" s="1" t="n"/>
      <c r="D182" s="1" t="n"/>
      <c r="E182" s="79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8" t="n"/>
      <c r="O182" s="18" t="n"/>
      <c r="P182" s="18" t="n"/>
      <c r="Q182" s="18" t="n"/>
      <c r="R182" s="18" t="n"/>
      <c r="S182" s="18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</row>
    <row r="183" ht="15.75" customHeight="1" s="93">
      <c r="A183" s="1" t="n"/>
      <c r="B183" s="1" t="n"/>
      <c r="C183" s="1" t="n"/>
      <c r="D183" s="1" t="n"/>
      <c r="E183" s="79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8" t="n"/>
      <c r="O183" s="18" t="n"/>
      <c r="P183" s="18" t="n"/>
      <c r="Q183" s="18" t="n"/>
      <c r="R183" s="18" t="n"/>
      <c r="S183" s="18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</row>
    <row r="184" ht="15.75" customHeight="1" s="93">
      <c r="A184" s="1" t="n"/>
      <c r="B184" s="1" t="n"/>
      <c r="C184" s="1" t="n"/>
      <c r="D184" s="1" t="n"/>
      <c r="E184" s="79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8" t="n"/>
      <c r="O184" s="18" t="n"/>
      <c r="P184" s="18" t="n"/>
      <c r="Q184" s="18" t="n"/>
      <c r="R184" s="18" t="n"/>
      <c r="S184" s="18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</row>
    <row r="185" ht="15.75" customHeight="1" s="93">
      <c r="A185" s="1" t="n"/>
      <c r="B185" s="1" t="n"/>
      <c r="C185" s="1" t="n"/>
      <c r="D185" s="1" t="n"/>
      <c r="E185" s="79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8" t="n"/>
      <c r="O185" s="18" t="n"/>
      <c r="P185" s="18" t="n"/>
      <c r="Q185" s="18" t="n"/>
      <c r="R185" s="18" t="n"/>
      <c r="S185" s="18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</row>
    <row r="186" ht="15.75" customHeight="1" s="93">
      <c r="A186" s="1" t="n"/>
      <c r="B186" s="1" t="n"/>
      <c r="C186" s="1" t="n"/>
      <c r="D186" s="1" t="n"/>
      <c r="E186" s="79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8" t="n"/>
      <c r="O186" s="18" t="n"/>
      <c r="P186" s="18" t="n"/>
      <c r="Q186" s="18" t="n"/>
      <c r="R186" s="18" t="n"/>
      <c r="S186" s="18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</row>
    <row r="187" ht="15.75" customHeight="1" s="93">
      <c r="A187" s="1" t="n"/>
      <c r="B187" s="1" t="n"/>
      <c r="C187" s="1" t="n"/>
      <c r="D187" s="1" t="n"/>
      <c r="E187" s="79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8" t="n"/>
      <c r="O187" s="18" t="n"/>
      <c r="P187" s="18" t="n"/>
      <c r="Q187" s="18" t="n"/>
      <c r="R187" s="18" t="n"/>
      <c r="S187" s="18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</row>
    <row r="188" ht="15.75" customHeight="1" s="93">
      <c r="A188" s="1" t="n"/>
      <c r="B188" s="1" t="n"/>
      <c r="C188" s="1" t="n"/>
      <c r="D188" s="1" t="n"/>
      <c r="E188" s="79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8" t="n"/>
      <c r="O188" s="18" t="n"/>
      <c r="P188" s="18" t="n"/>
      <c r="Q188" s="18" t="n"/>
      <c r="R188" s="18" t="n"/>
      <c r="S188" s="18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</row>
    <row r="189" ht="15.75" customHeight="1" s="93">
      <c r="A189" s="1" t="n"/>
      <c r="B189" s="1" t="n"/>
      <c r="C189" s="1" t="n"/>
      <c r="D189" s="1" t="n"/>
      <c r="E189" s="79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8" t="n"/>
      <c r="O189" s="18" t="n"/>
      <c r="P189" s="18" t="n"/>
      <c r="Q189" s="18" t="n"/>
      <c r="R189" s="18" t="n"/>
      <c r="S189" s="18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</row>
    <row r="190" ht="15.75" customHeight="1" s="93">
      <c r="A190" s="1" t="n"/>
      <c r="B190" s="1" t="n"/>
      <c r="C190" s="1" t="n"/>
      <c r="D190" s="1" t="n"/>
      <c r="E190" s="79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8" t="n"/>
      <c r="O190" s="18" t="n"/>
      <c r="P190" s="18" t="n"/>
      <c r="Q190" s="18" t="n"/>
      <c r="R190" s="18" t="n"/>
      <c r="S190" s="18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</row>
    <row r="191" ht="15.75" customHeight="1" s="93">
      <c r="A191" s="1" t="n"/>
      <c r="B191" s="1" t="n"/>
      <c r="C191" s="1" t="n"/>
      <c r="D191" s="1" t="n"/>
      <c r="E191" s="79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8" t="n"/>
      <c r="O191" s="18" t="n"/>
      <c r="P191" s="18" t="n"/>
      <c r="Q191" s="18" t="n"/>
      <c r="R191" s="18" t="n"/>
      <c r="S191" s="18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</row>
    <row r="192" ht="15.75" customHeight="1" s="93">
      <c r="A192" s="1" t="n"/>
      <c r="B192" s="1" t="n"/>
      <c r="C192" s="1" t="n"/>
      <c r="D192" s="1" t="n"/>
      <c r="E192" s="79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8" t="n"/>
      <c r="O192" s="18" t="n"/>
      <c r="P192" s="18" t="n"/>
      <c r="Q192" s="18" t="n"/>
      <c r="R192" s="18" t="n"/>
      <c r="S192" s="18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</row>
    <row r="193" ht="15.75" customHeight="1" s="93">
      <c r="A193" s="1" t="n"/>
      <c r="B193" s="1" t="n"/>
      <c r="C193" s="1" t="n"/>
      <c r="D193" s="1" t="n"/>
      <c r="E193" s="79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8" t="n"/>
      <c r="O193" s="18" t="n"/>
      <c r="P193" s="18" t="n"/>
      <c r="Q193" s="18" t="n"/>
      <c r="R193" s="18" t="n"/>
      <c r="S193" s="18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</row>
    <row r="194" ht="15.75" customHeight="1" s="93">
      <c r="A194" s="1" t="n"/>
      <c r="B194" s="1" t="n"/>
      <c r="C194" s="1" t="n"/>
      <c r="D194" s="1" t="n"/>
      <c r="E194" s="79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8" t="n"/>
      <c r="O194" s="18" t="n"/>
      <c r="P194" s="18" t="n"/>
      <c r="Q194" s="18" t="n"/>
      <c r="R194" s="18" t="n"/>
      <c r="S194" s="18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</row>
    <row r="195" ht="15.75" customHeight="1" s="93">
      <c r="A195" s="1" t="n"/>
      <c r="B195" s="1" t="n"/>
      <c r="C195" s="1" t="n"/>
      <c r="D195" s="1" t="n"/>
      <c r="E195" s="79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8" t="n"/>
      <c r="O195" s="18" t="n"/>
      <c r="P195" s="18" t="n"/>
      <c r="Q195" s="18" t="n"/>
      <c r="R195" s="18" t="n"/>
      <c r="S195" s="18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</row>
    <row r="196" ht="15.75" customHeight="1" s="93">
      <c r="A196" s="1" t="n"/>
      <c r="B196" s="1" t="n"/>
      <c r="C196" s="1" t="n"/>
      <c r="D196" s="1" t="n"/>
      <c r="E196" s="79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8" t="n"/>
      <c r="O196" s="18" t="n"/>
      <c r="P196" s="18" t="n"/>
      <c r="Q196" s="18" t="n"/>
      <c r="R196" s="18" t="n"/>
      <c r="S196" s="18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</row>
    <row r="197" ht="15.75" customHeight="1" s="93">
      <c r="A197" s="1" t="n"/>
      <c r="B197" s="1" t="n"/>
      <c r="C197" s="1" t="n"/>
      <c r="D197" s="1" t="n"/>
      <c r="E197" s="79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8" t="n"/>
      <c r="O197" s="18" t="n"/>
      <c r="P197" s="18" t="n"/>
      <c r="Q197" s="18" t="n"/>
      <c r="R197" s="18" t="n"/>
      <c r="S197" s="18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</row>
    <row r="198" ht="15.75" customHeight="1" s="93">
      <c r="A198" s="1" t="n"/>
      <c r="B198" s="1" t="n"/>
      <c r="C198" s="1" t="n"/>
      <c r="D198" s="1" t="n"/>
      <c r="E198" s="79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8" t="n"/>
      <c r="O198" s="18" t="n"/>
      <c r="P198" s="18" t="n"/>
      <c r="Q198" s="18" t="n"/>
      <c r="R198" s="18" t="n"/>
      <c r="S198" s="18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</row>
    <row r="199" ht="15.75" customHeight="1" s="93">
      <c r="A199" s="1" t="n"/>
      <c r="B199" s="1" t="n"/>
      <c r="C199" s="1" t="n"/>
      <c r="D199" s="1" t="n"/>
      <c r="E199" s="79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8" t="n"/>
      <c r="O199" s="18" t="n"/>
      <c r="P199" s="18" t="n"/>
      <c r="Q199" s="18" t="n"/>
      <c r="R199" s="18" t="n"/>
      <c r="S199" s="18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</row>
    <row r="200" ht="15.75" customHeight="1" s="93">
      <c r="A200" s="1" t="n"/>
      <c r="B200" s="1" t="n"/>
      <c r="C200" s="1" t="n"/>
      <c r="D200" s="1" t="n"/>
      <c r="E200" s="79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8" t="n"/>
      <c r="O200" s="18" t="n"/>
      <c r="P200" s="18" t="n"/>
      <c r="Q200" s="18" t="n"/>
      <c r="R200" s="18" t="n"/>
      <c r="S200" s="18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</row>
    <row r="201" ht="15.75" customHeight="1" s="93">
      <c r="A201" s="1" t="n"/>
      <c r="B201" s="1" t="n"/>
      <c r="C201" s="1" t="n"/>
      <c r="D201" s="1" t="n"/>
      <c r="E201" s="79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8" t="n"/>
      <c r="O201" s="18" t="n"/>
      <c r="P201" s="18" t="n"/>
      <c r="Q201" s="18" t="n"/>
      <c r="R201" s="18" t="n"/>
      <c r="S201" s="18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</row>
    <row r="202" ht="15.75" customHeight="1" s="93">
      <c r="A202" s="1" t="n"/>
      <c r="B202" s="1" t="n"/>
      <c r="C202" s="1" t="n"/>
      <c r="D202" s="1" t="n"/>
      <c r="E202" s="79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8" t="n"/>
      <c r="O202" s="18" t="n"/>
      <c r="P202" s="18" t="n"/>
      <c r="Q202" s="18" t="n"/>
      <c r="R202" s="18" t="n"/>
      <c r="S202" s="18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</row>
    <row r="203" ht="15.75" customHeight="1" s="93">
      <c r="A203" s="1" t="n"/>
      <c r="B203" s="1" t="n"/>
      <c r="C203" s="1" t="n"/>
      <c r="D203" s="1" t="n"/>
      <c r="E203" s="79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8" t="n"/>
      <c r="O203" s="18" t="n"/>
      <c r="P203" s="18" t="n"/>
      <c r="Q203" s="18" t="n"/>
      <c r="R203" s="18" t="n"/>
      <c r="S203" s="18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</row>
    <row r="204" ht="15.75" customHeight="1" s="93">
      <c r="A204" s="1" t="n"/>
      <c r="B204" s="1" t="n"/>
      <c r="C204" s="1" t="n"/>
      <c r="D204" s="1" t="n"/>
      <c r="E204" s="79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8" t="n"/>
      <c r="O204" s="18" t="n"/>
      <c r="P204" s="18" t="n"/>
      <c r="Q204" s="18" t="n"/>
      <c r="R204" s="18" t="n"/>
      <c r="S204" s="18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</row>
    <row r="205" ht="15.75" customHeight="1" s="93">
      <c r="A205" s="1" t="n"/>
      <c r="B205" s="1" t="n"/>
      <c r="C205" s="1" t="n"/>
      <c r="D205" s="1" t="n"/>
      <c r="E205" s="79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8" t="n"/>
      <c r="O205" s="18" t="n"/>
      <c r="P205" s="18" t="n"/>
      <c r="Q205" s="18" t="n"/>
      <c r="R205" s="18" t="n"/>
      <c r="S205" s="18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</row>
    <row r="206" ht="15.75" customHeight="1" s="93">
      <c r="A206" s="1" t="n"/>
      <c r="B206" s="1" t="n"/>
      <c r="C206" s="1" t="n"/>
      <c r="D206" s="1" t="n"/>
      <c r="E206" s="79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8" t="n"/>
      <c r="O206" s="18" t="n"/>
      <c r="P206" s="18" t="n"/>
      <c r="Q206" s="18" t="n"/>
      <c r="R206" s="18" t="n"/>
      <c r="S206" s="18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</row>
    <row r="207" ht="15.75" customHeight="1" s="93">
      <c r="A207" s="1" t="n"/>
      <c r="B207" s="1" t="n"/>
      <c r="C207" s="1" t="n"/>
      <c r="D207" s="1" t="n"/>
      <c r="E207" s="79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8" t="n"/>
      <c r="O207" s="18" t="n"/>
      <c r="P207" s="18" t="n"/>
      <c r="Q207" s="18" t="n"/>
      <c r="R207" s="18" t="n"/>
      <c r="S207" s="18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</row>
    <row r="208" ht="15.75" customHeight="1" s="93">
      <c r="A208" s="1" t="n"/>
      <c r="B208" s="1" t="n"/>
      <c r="C208" s="1" t="n"/>
      <c r="D208" s="1" t="n"/>
      <c r="E208" s="79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8" t="n"/>
      <c r="O208" s="18" t="n"/>
      <c r="P208" s="18" t="n"/>
      <c r="Q208" s="18" t="n"/>
      <c r="R208" s="18" t="n"/>
      <c r="S208" s="18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</row>
    <row r="209" ht="15.75" customHeight="1" s="93">
      <c r="A209" s="1" t="n"/>
      <c r="B209" s="1" t="n"/>
      <c r="C209" s="1" t="n"/>
      <c r="D209" s="1" t="n"/>
      <c r="E209" s="79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8" t="n"/>
      <c r="O209" s="18" t="n"/>
      <c r="P209" s="18" t="n"/>
      <c r="Q209" s="18" t="n"/>
      <c r="R209" s="18" t="n"/>
      <c r="S209" s="18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</row>
    <row r="210" ht="15.75" customHeight="1" s="93">
      <c r="A210" s="1" t="n"/>
      <c r="B210" s="1" t="n"/>
      <c r="C210" s="1" t="n"/>
      <c r="D210" s="1" t="n"/>
      <c r="E210" s="79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8" t="n"/>
      <c r="O210" s="18" t="n"/>
      <c r="P210" s="18" t="n"/>
      <c r="Q210" s="18" t="n"/>
      <c r="R210" s="18" t="n"/>
      <c r="S210" s="18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</row>
    <row r="211" ht="15.75" customHeight="1" s="93">
      <c r="A211" s="1" t="n"/>
      <c r="B211" s="1" t="n"/>
      <c r="C211" s="1" t="n"/>
      <c r="D211" s="1" t="n"/>
      <c r="E211" s="79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8" t="n"/>
      <c r="O211" s="18" t="n"/>
      <c r="P211" s="18" t="n"/>
      <c r="Q211" s="18" t="n"/>
      <c r="R211" s="18" t="n"/>
      <c r="S211" s="18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</row>
    <row r="212" ht="15.75" customHeight="1" s="93">
      <c r="A212" s="1" t="n"/>
      <c r="B212" s="1" t="n"/>
      <c r="C212" s="1" t="n"/>
      <c r="D212" s="1" t="n"/>
      <c r="E212" s="79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8" t="n"/>
      <c r="O212" s="18" t="n"/>
      <c r="P212" s="18" t="n"/>
      <c r="Q212" s="18" t="n"/>
      <c r="R212" s="18" t="n"/>
      <c r="S212" s="18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</row>
    <row r="213" ht="15.75" customHeight="1" s="93">
      <c r="A213" s="1" t="n"/>
      <c r="B213" s="1" t="n"/>
      <c r="C213" s="1" t="n"/>
      <c r="D213" s="1" t="n"/>
      <c r="E213" s="79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8" t="n"/>
      <c r="O213" s="18" t="n"/>
      <c r="P213" s="18" t="n"/>
      <c r="Q213" s="18" t="n"/>
      <c r="R213" s="18" t="n"/>
      <c r="S213" s="18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</row>
    <row r="214" ht="15.75" customHeight="1" s="93">
      <c r="A214" s="1" t="n"/>
      <c r="B214" s="1" t="n"/>
      <c r="C214" s="1" t="n"/>
      <c r="D214" s="1" t="n"/>
      <c r="E214" s="79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8" t="n"/>
      <c r="O214" s="18" t="n"/>
      <c r="P214" s="18" t="n"/>
      <c r="Q214" s="18" t="n"/>
      <c r="R214" s="18" t="n"/>
      <c r="S214" s="18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</row>
    <row r="215" ht="15.75" customHeight="1" s="93">
      <c r="A215" s="1" t="n"/>
      <c r="B215" s="1" t="n"/>
      <c r="C215" s="1" t="n"/>
      <c r="D215" s="1" t="n"/>
      <c r="E215" s="79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8" t="n"/>
      <c r="O215" s="18" t="n"/>
      <c r="P215" s="18" t="n"/>
      <c r="Q215" s="18" t="n"/>
      <c r="R215" s="18" t="n"/>
      <c r="S215" s="18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</row>
    <row r="216" ht="15.75" customHeight="1" s="93">
      <c r="A216" s="1" t="n"/>
      <c r="B216" s="1" t="n"/>
      <c r="C216" s="1" t="n"/>
      <c r="D216" s="1" t="n"/>
      <c r="E216" s="79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8" t="n"/>
      <c r="O216" s="18" t="n"/>
      <c r="P216" s="18" t="n"/>
      <c r="Q216" s="18" t="n"/>
      <c r="R216" s="18" t="n"/>
      <c r="S216" s="18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</row>
    <row r="217" ht="15.75" customHeight="1" s="93">
      <c r="A217" s="1" t="n"/>
      <c r="B217" s="1" t="n"/>
      <c r="C217" s="1" t="n"/>
      <c r="D217" s="1" t="n"/>
      <c r="E217" s="79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8" t="n"/>
      <c r="O217" s="18" t="n"/>
      <c r="P217" s="18" t="n"/>
      <c r="Q217" s="18" t="n"/>
      <c r="R217" s="18" t="n"/>
      <c r="S217" s="18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</row>
    <row r="218" ht="15.75" customHeight="1" s="93">
      <c r="A218" s="1" t="n"/>
      <c r="B218" s="1" t="n"/>
      <c r="C218" s="1" t="n"/>
      <c r="D218" s="1" t="n"/>
      <c r="E218" s="79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8" t="n"/>
      <c r="O218" s="18" t="n"/>
      <c r="P218" s="18" t="n"/>
      <c r="Q218" s="18" t="n"/>
      <c r="R218" s="18" t="n"/>
      <c r="S218" s="18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</row>
    <row r="219" ht="15.75" customHeight="1" s="93">
      <c r="A219" s="1" t="n"/>
      <c r="B219" s="1" t="n"/>
      <c r="C219" s="1" t="n"/>
      <c r="D219" s="1" t="n"/>
      <c r="E219" s="79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8" t="n"/>
      <c r="O219" s="18" t="n"/>
      <c r="P219" s="18" t="n"/>
      <c r="Q219" s="18" t="n"/>
      <c r="R219" s="18" t="n"/>
      <c r="S219" s="18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</row>
    <row r="220" ht="15.75" customHeight="1" s="93">
      <c r="A220" s="1" t="n"/>
      <c r="B220" s="1" t="n"/>
      <c r="C220" s="1" t="n"/>
      <c r="D220" s="1" t="n"/>
      <c r="E220" s="79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8" t="n"/>
      <c r="O220" s="18" t="n"/>
      <c r="P220" s="18" t="n"/>
      <c r="Q220" s="18" t="n"/>
      <c r="R220" s="18" t="n"/>
      <c r="S220" s="18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</row>
    <row r="221" ht="15.75" customHeight="1" s="93">
      <c r="A221" s="1" t="n"/>
      <c r="B221" s="1" t="n"/>
      <c r="C221" s="1" t="n"/>
      <c r="D221" s="1" t="n"/>
      <c r="E221" s="79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8" t="n"/>
      <c r="O221" s="18" t="n"/>
      <c r="P221" s="18" t="n"/>
      <c r="Q221" s="18" t="n"/>
      <c r="R221" s="18" t="n"/>
      <c r="S221" s="18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</row>
    <row r="222" ht="15.75" customHeight="1" s="93">
      <c r="A222" s="1" t="n"/>
      <c r="B222" s="1" t="n"/>
      <c r="C222" s="1" t="n"/>
      <c r="D222" s="1" t="n"/>
      <c r="E222" s="79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8" t="n"/>
      <c r="O222" s="18" t="n"/>
      <c r="P222" s="18" t="n"/>
      <c r="Q222" s="18" t="n"/>
      <c r="R222" s="18" t="n"/>
      <c r="S222" s="18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</row>
    <row r="223" ht="15.75" customHeight="1" s="93">
      <c r="A223" s="1" t="n"/>
      <c r="B223" s="1" t="n"/>
      <c r="C223" s="1" t="n"/>
      <c r="D223" s="1" t="n"/>
      <c r="E223" s="79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8" t="n"/>
      <c r="O223" s="18" t="n"/>
      <c r="P223" s="18" t="n"/>
      <c r="Q223" s="18" t="n"/>
      <c r="R223" s="18" t="n"/>
      <c r="S223" s="18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</row>
    <row r="224" ht="15.75" customHeight="1" s="93">
      <c r="A224" s="1" t="n"/>
      <c r="B224" s="1" t="n"/>
      <c r="C224" s="1" t="n"/>
      <c r="D224" s="1" t="n"/>
      <c r="E224" s="79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8" t="n"/>
      <c r="O224" s="18" t="n"/>
      <c r="P224" s="18" t="n"/>
      <c r="Q224" s="18" t="n"/>
      <c r="R224" s="18" t="n"/>
      <c r="S224" s="18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</row>
    <row r="225" ht="15.75" customHeight="1" s="93">
      <c r="A225" s="1" t="n"/>
      <c r="B225" s="1" t="n"/>
      <c r="C225" s="1" t="n"/>
      <c r="D225" s="1" t="n"/>
      <c r="E225" s="79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8" t="n"/>
      <c r="O225" s="18" t="n"/>
      <c r="P225" s="18" t="n"/>
      <c r="Q225" s="18" t="n"/>
      <c r="R225" s="18" t="n"/>
      <c r="S225" s="18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</row>
    <row r="226" ht="15.75" customHeight="1" s="93">
      <c r="A226" s="1" t="n"/>
      <c r="B226" s="1" t="n"/>
      <c r="C226" s="1" t="n"/>
      <c r="D226" s="1" t="n"/>
      <c r="E226" s="79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8" t="n"/>
      <c r="O226" s="18" t="n"/>
      <c r="P226" s="18" t="n"/>
      <c r="Q226" s="18" t="n"/>
      <c r="R226" s="18" t="n"/>
      <c r="S226" s="18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</row>
    <row r="227" ht="15.75" customHeight="1" s="93">
      <c r="A227" s="1" t="n"/>
      <c r="B227" s="1" t="n"/>
      <c r="C227" s="1" t="n"/>
      <c r="D227" s="1" t="n"/>
      <c r="E227" s="79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8" t="n"/>
      <c r="O227" s="18" t="n"/>
      <c r="P227" s="18" t="n"/>
      <c r="Q227" s="18" t="n"/>
      <c r="R227" s="18" t="n"/>
      <c r="S227" s="18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</row>
    <row r="228" ht="15.75" customHeight="1" s="93">
      <c r="A228" s="1" t="n"/>
      <c r="B228" s="1" t="n"/>
      <c r="C228" s="1" t="n"/>
      <c r="D228" s="1" t="n"/>
      <c r="E228" s="79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8" t="n"/>
      <c r="O228" s="18" t="n"/>
      <c r="P228" s="18" t="n"/>
      <c r="Q228" s="18" t="n"/>
      <c r="R228" s="18" t="n"/>
      <c r="S228" s="18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</row>
    <row r="229" ht="15.75" customHeight="1" s="93">
      <c r="A229" s="1" t="n"/>
      <c r="B229" s="1" t="n"/>
      <c r="C229" s="1" t="n"/>
      <c r="D229" s="1" t="n"/>
      <c r="E229" s="79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8" t="n"/>
      <c r="O229" s="18" t="n"/>
      <c r="P229" s="18" t="n"/>
      <c r="Q229" s="18" t="n"/>
      <c r="R229" s="18" t="n"/>
      <c r="S229" s="18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</row>
    <row r="230" ht="15.75" customHeight="1" s="93">
      <c r="A230" s="1" t="n"/>
      <c r="B230" s="1" t="n"/>
      <c r="C230" s="1" t="n"/>
      <c r="D230" s="1" t="n"/>
      <c r="E230" s="79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8" t="n"/>
      <c r="O230" s="18" t="n"/>
      <c r="P230" s="18" t="n"/>
      <c r="Q230" s="18" t="n"/>
      <c r="R230" s="18" t="n"/>
      <c r="S230" s="18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</row>
    <row r="231" ht="15.75" customHeight="1" s="93">
      <c r="A231" s="1" t="n"/>
      <c r="B231" s="1" t="n"/>
      <c r="C231" s="1" t="n"/>
      <c r="D231" s="1" t="n"/>
      <c r="E231" s="79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8" t="n"/>
      <c r="O231" s="18" t="n"/>
      <c r="P231" s="18" t="n"/>
      <c r="Q231" s="18" t="n"/>
      <c r="R231" s="18" t="n"/>
      <c r="S231" s="18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</row>
    <row r="232" ht="15.75" customHeight="1" s="93">
      <c r="A232" s="1" t="n"/>
      <c r="B232" s="1" t="n"/>
      <c r="C232" s="1" t="n"/>
      <c r="D232" s="1" t="n"/>
      <c r="E232" s="79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8" t="n"/>
      <c r="O232" s="18" t="n"/>
      <c r="P232" s="18" t="n"/>
      <c r="Q232" s="18" t="n"/>
      <c r="R232" s="18" t="n"/>
      <c r="S232" s="18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</row>
    <row r="233" ht="15.75" customHeight="1" s="93">
      <c r="A233" s="1" t="n"/>
      <c r="B233" s="1" t="n"/>
      <c r="C233" s="1" t="n"/>
      <c r="D233" s="1" t="n"/>
      <c r="E233" s="79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8" t="n"/>
      <c r="O233" s="18" t="n"/>
      <c r="P233" s="18" t="n"/>
      <c r="Q233" s="18" t="n"/>
      <c r="R233" s="18" t="n"/>
      <c r="S233" s="18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</row>
    <row r="234" ht="15.75" customHeight="1" s="93">
      <c r="A234" s="1" t="n"/>
      <c r="B234" s="1" t="n"/>
      <c r="C234" s="1" t="n"/>
      <c r="D234" s="1" t="n"/>
      <c r="E234" s="79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8" t="n"/>
      <c r="O234" s="18" t="n"/>
      <c r="P234" s="18" t="n"/>
      <c r="Q234" s="18" t="n"/>
      <c r="R234" s="18" t="n"/>
      <c r="S234" s="18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</row>
    <row r="235" ht="15.75" customHeight="1" s="93">
      <c r="A235" s="1" t="n"/>
      <c r="B235" s="1" t="n"/>
      <c r="C235" s="1" t="n"/>
      <c r="D235" s="1" t="n"/>
      <c r="E235" s="79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8" t="n"/>
      <c r="O235" s="18" t="n"/>
      <c r="P235" s="18" t="n"/>
      <c r="Q235" s="18" t="n"/>
      <c r="R235" s="18" t="n"/>
      <c r="S235" s="18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</row>
    <row r="236" ht="15.75" customHeight="1" s="93">
      <c r="A236" s="1" t="n"/>
      <c r="B236" s="1" t="n"/>
      <c r="C236" s="1" t="n"/>
      <c r="D236" s="1" t="n"/>
      <c r="E236" s="79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8" t="n"/>
      <c r="O236" s="18" t="n"/>
      <c r="P236" s="18" t="n"/>
      <c r="Q236" s="18" t="n"/>
      <c r="R236" s="18" t="n"/>
      <c r="S236" s="18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</row>
    <row r="237" ht="15.75" customHeight="1" s="93">
      <c r="A237" s="1" t="n"/>
      <c r="B237" s="1" t="n"/>
      <c r="C237" s="1" t="n"/>
      <c r="D237" s="1" t="n"/>
      <c r="E237" s="79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8" t="n"/>
      <c r="O237" s="18" t="n"/>
      <c r="P237" s="18" t="n"/>
      <c r="Q237" s="18" t="n"/>
      <c r="R237" s="18" t="n"/>
      <c r="S237" s="18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</row>
    <row r="238" ht="15.75" customHeight="1" s="93">
      <c r="A238" s="1" t="n"/>
      <c r="B238" s="1" t="n"/>
      <c r="C238" s="1" t="n"/>
      <c r="D238" s="1" t="n"/>
      <c r="E238" s="79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8" t="n"/>
      <c r="O238" s="18" t="n"/>
      <c r="P238" s="18" t="n"/>
      <c r="Q238" s="18" t="n"/>
      <c r="R238" s="18" t="n"/>
      <c r="S238" s="18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</row>
    <row r="239" ht="15.75" customHeight="1" s="93">
      <c r="A239" s="1" t="n"/>
      <c r="B239" s="1" t="n"/>
      <c r="C239" s="1" t="n"/>
      <c r="D239" s="1" t="n"/>
      <c r="E239" s="79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8" t="n"/>
      <c r="O239" s="18" t="n"/>
      <c r="P239" s="18" t="n"/>
      <c r="Q239" s="18" t="n"/>
      <c r="R239" s="18" t="n"/>
      <c r="S239" s="18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</row>
    <row r="240" ht="15.75" customHeight="1" s="93">
      <c r="A240" s="1" t="n"/>
      <c r="B240" s="1" t="n"/>
      <c r="C240" s="1" t="n"/>
      <c r="D240" s="1" t="n"/>
      <c r="E240" s="79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8" t="n"/>
      <c r="O240" s="18" t="n"/>
      <c r="P240" s="18" t="n"/>
      <c r="Q240" s="18" t="n"/>
      <c r="R240" s="18" t="n"/>
      <c r="S240" s="18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</row>
    <row r="241" ht="15.75" customHeight="1" s="93">
      <c r="A241" s="1" t="n"/>
      <c r="B241" s="1" t="n"/>
      <c r="C241" s="1" t="n"/>
      <c r="D241" s="1" t="n"/>
      <c r="E241" s="79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8" t="n"/>
      <c r="O241" s="18" t="n"/>
      <c r="P241" s="18" t="n"/>
      <c r="Q241" s="18" t="n"/>
      <c r="R241" s="18" t="n"/>
      <c r="S241" s="18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</row>
    <row r="242" ht="15.75" customHeight="1" s="93">
      <c r="A242" s="1" t="n"/>
      <c r="B242" s="1" t="n"/>
      <c r="C242" s="1" t="n"/>
      <c r="D242" s="1" t="n"/>
      <c r="E242" s="79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8" t="n"/>
      <c r="O242" s="18" t="n"/>
      <c r="P242" s="18" t="n"/>
      <c r="Q242" s="18" t="n"/>
      <c r="R242" s="18" t="n"/>
      <c r="S242" s="18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</row>
    <row r="243" ht="15.75" customHeight="1" s="93">
      <c r="A243" s="1" t="n"/>
      <c r="B243" s="1" t="n"/>
      <c r="C243" s="1" t="n"/>
      <c r="D243" s="1" t="n"/>
      <c r="E243" s="79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8" t="n"/>
      <c r="O243" s="18" t="n"/>
      <c r="P243" s="18" t="n"/>
      <c r="Q243" s="18" t="n"/>
      <c r="R243" s="18" t="n"/>
      <c r="S243" s="18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</row>
    <row r="244" ht="15.75" customHeight="1" s="93">
      <c r="A244" s="1" t="n"/>
      <c r="B244" s="1" t="n"/>
      <c r="C244" s="1" t="n"/>
      <c r="D244" s="1" t="n"/>
      <c r="E244" s="79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8" t="n"/>
      <c r="O244" s="18" t="n"/>
      <c r="P244" s="18" t="n"/>
      <c r="Q244" s="18" t="n"/>
      <c r="R244" s="18" t="n"/>
      <c r="S244" s="18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</row>
    <row r="245" ht="15.75" customHeight="1" s="93">
      <c r="A245" s="1" t="n"/>
      <c r="B245" s="1" t="n"/>
      <c r="C245" s="1" t="n"/>
      <c r="D245" s="1" t="n"/>
      <c r="E245" s="79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8" t="n"/>
      <c r="O245" s="18" t="n"/>
      <c r="P245" s="18" t="n"/>
      <c r="Q245" s="18" t="n"/>
      <c r="R245" s="18" t="n"/>
      <c r="S245" s="18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</row>
    <row r="246" ht="15.75" customHeight="1" s="93">
      <c r="A246" s="1" t="n"/>
      <c r="B246" s="1" t="n"/>
      <c r="C246" s="1" t="n"/>
      <c r="D246" s="1" t="n"/>
      <c r="E246" s="79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8" t="n"/>
      <c r="O246" s="18" t="n"/>
      <c r="P246" s="18" t="n"/>
      <c r="Q246" s="18" t="n"/>
      <c r="R246" s="18" t="n"/>
      <c r="S246" s="18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</row>
    <row r="247" ht="15.75" customHeight="1" s="93">
      <c r="A247" s="1" t="n"/>
      <c r="B247" s="1" t="n"/>
      <c r="C247" s="1" t="n"/>
      <c r="D247" s="1" t="n"/>
      <c r="E247" s="79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8" t="n"/>
      <c r="O247" s="18" t="n"/>
      <c r="P247" s="18" t="n"/>
      <c r="Q247" s="18" t="n"/>
      <c r="R247" s="18" t="n"/>
      <c r="S247" s="18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</row>
    <row r="248" ht="15.75" customHeight="1" s="9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</row>
    <row r="249" ht="15.75" customHeight="1" s="9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</row>
    <row r="250" ht="15.75" customHeight="1" s="9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</row>
    <row r="251" ht="15.75" customHeight="1" s="9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</row>
    <row r="252" ht="15.75" customHeight="1" s="9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</row>
    <row r="253" ht="15.75" customHeight="1" s="9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</row>
    <row r="254" ht="15.75" customHeight="1" s="9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</row>
    <row r="255" ht="15.75" customHeight="1" s="9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</row>
    <row r="256" ht="15.75" customHeight="1" s="9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</row>
    <row r="257" ht="15.75" customHeight="1" s="9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</row>
    <row r="258" ht="15.75" customHeight="1" s="9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</row>
    <row r="259" ht="15.75" customHeight="1" s="9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</row>
    <row r="260" ht="15.75" customHeight="1" s="9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</row>
    <row r="261" ht="15.75" customHeight="1" s="9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</row>
    <row r="262" ht="15.75" customHeight="1" s="9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</row>
    <row r="263" ht="15.75" customHeight="1" s="9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</row>
    <row r="264" ht="15.75" customHeight="1" s="9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</row>
    <row r="265" ht="15.75" customHeight="1" s="9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</row>
    <row r="266" ht="15.75" customHeight="1" s="9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</row>
    <row r="267" ht="15.75" customHeight="1" s="9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</row>
    <row r="268" ht="15.75" customHeight="1" s="9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</row>
    <row r="269" ht="15.75" customHeight="1" s="9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</row>
    <row r="270" ht="15.75" customHeight="1" s="9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</row>
    <row r="271" ht="15.75" customHeight="1" s="9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</row>
    <row r="272" ht="15.75" customHeight="1" s="9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</row>
    <row r="273" ht="15.75" customHeight="1" s="9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</row>
    <row r="274" ht="15.75" customHeight="1" s="9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</row>
    <row r="275" ht="15.75" customHeight="1" s="9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</row>
    <row r="276" ht="15.75" customHeight="1" s="9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</row>
    <row r="277" ht="15.75" customHeight="1" s="9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</row>
    <row r="278" ht="15.75" customHeight="1" s="9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</row>
    <row r="279" ht="15.75" customHeight="1" s="9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</row>
    <row r="280" ht="15.75" customHeight="1" s="9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</row>
    <row r="281" ht="15.75" customHeight="1" s="9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</row>
    <row r="282" ht="15.75" customHeight="1" s="9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</row>
    <row r="283" ht="15.75" customHeight="1" s="9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</row>
    <row r="284" ht="15.75" customHeight="1" s="9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</row>
    <row r="285" ht="15.75" customHeight="1" s="9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</row>
    <row r="286" ht="15.75" customHeight="1" s="9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</row>
    <row r="287" ht="15.75" customHeight="1" s="9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</row>
    <row r="288" ht="15.75" customHeight="1" s="9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</row>
    <row r="289" ht="15.75" customHeight="1" s="9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</row>
    <row r="290" ht="15.75" customHeight="1" s="9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</row>
    <row r="291" ht="15.75" customHeight="1" s="9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</row>
    <row r="292" ht="15.75" customHeight="1" s="9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</row>
    <row r="293" ht="15.75" customHeight="1" s="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</row>
    <row r="294" ht="15.75" customHeight="1" s="9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</row>
    <row r="295" ht="15.75" customHeight="1" s="9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</row>
    <row r="296" ht="15.75" customHeight="1" s="9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</row>
    <row r="297" ht="15.75" customHeight="1" s="9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</row>
    <row r="298" ht="15.75" customHeight="1" s="9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</row>
    <row r="299" ht="15.75" customHeight="1" s="9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</row>
    <row r="300" ht="15.75" customHeight="1" s="9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</row>
    <row r="301" ht="15.75" customHeight="1" s="9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</row>
    <row r="302" ht="15.75" customHeight="1" s="9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</row>
    <row r="303" ht="15.75" customHeight="1" s="9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</row>
    <row r="304" ht="15.75" customHeight="1" s="9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</row>
    <row r="305" ht="15.75" customHeight="1" s="9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</row>
    <row r="306" ht="15.75" customHeight="1" s="9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</row>
    <row r="307" ht="15.75" customHeight="1" s="9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</row>
    <row r="308" ht="15.75" customHeight="1" s="9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</row>
    <row r="309" ht="15.75" customHeight="1" s="9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</row>
    <row r="310" ht="15.75" customHeight="1" s="9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</row>
    <row r="311" ht="15.75" customHeight="1" s="9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</row>
    <row r="312" ht="15.75" customHeight="1" s="9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</row>
    <row r="313" ht="15.75" customHeight="1" s="9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</row>
    <row r="314" ht="15.75" customHeight="1" s="9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</row>
    <row r="315" ht="15.75" customHeight="1" s="9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</row>
    <row r="316" ht="15.75" customHeight="1" s="9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</row>
    <row r="317" ht="15.75" customHeight="1" s="9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</row>
    <row r="318" ht="15.75" customHeight="1" s="9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</row>
    <row r="319" ht="15.75" customHeight="1" s="9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</row>
    <row r="320" ht="15.75" customHeight="1" s="9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</row>
    <row r="321" ht="15.75" customHeight="1" s="9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</row>
    <row r="322" ht="15.75" customHeight="1" s="9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</row>
    <row r="323" ht="15.75" customHeight="1" s="9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</row>
    <row r="324" ht="15.75" customHeight="1" s="9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</row>
    <row r="325" ht="15.75" customHeight="1" s="9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</row>
    <row r="326" ht="15.75" customHeight="1" s="9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</row>
    <row r="327" ht="15.75" customHeight="1" s="9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</row>
    <row r="328" ht="15.75" customHeight="1" s="9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</row>
    <row r="329" ht="15.75" customHeight="1" s="9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</row>
    <row r="330" ht="15.75" customHeight="1" s="9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</row>
    <row r="331" ht="15.75" customHeight="1" s="9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</row>
    <row r="332" ht="15.75" customHeight="1" s="9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</row>
    <row r="333" ht="15.75" customHeight="1" s="9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</row>
    <row r="334" ht="15.75" customHeight="1" s="9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</row>
    <row r="335" ht="15.75" customHeight="1" s="9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</row>
    <row r="336" ht="15.75" customHeight="1" s="9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</row>
    <row r="337" ht="15.75" customHeight="1" s="9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</row>
    <row r="338" ht="15.75" customHeight="1" s="9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</row>
    <row r="339" ht="15.75" customHeight="1" s="9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</row>
    <row r="340" ht="15.75" customHeight="1" s="9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</row>
    <row r="341" ht="15.75" customHeight="1" s="9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</row>
    <row r="342" ht="15.75" customHeight="1" s="9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</row>
    <row r="343" ht="15.75" customHeight="1" s="9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</row>
    <row r="344" ht="15.75" customHeight="1" s="9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</row>
    <row r="345" ht="15.75" customHeight="1" s="9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</row>
    <row r="346" ht="15.75" customHeight="1" s="9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</row>
    <row r="347" ht="15.75" customHeight="1" s="9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</row>
    <row r="348" ht="15.75" customHeight="1" s="9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</row>
    <row r="349" ht="15.75" customHeight="1" s="9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</row>
    <row r="350" ht="15.75" customHeight="1" s="9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</row>
    <row r="351" ht="15.75" customHeight="1" s="9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</row>
    <row r="352" ht="15.75" customHeight="1" s="9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</row>
    <row r="353" ht="15.75" customHeight="1" s="9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</row>
    <row r="354" ht="15.75" customHeight="1" s="9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</row>
    <row r="355" ht="15.75" customHeight="1" s="9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</row>
    <row r="356" ht="15.75" customHeight="1" s="9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</row>
    <row r="357" ht="15.75" customHeight="1" s="9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</row>
    <row r="358" ht="15.75" customHeight="1" s="9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</row>
    <row r="359" ht="15.75" customHeight="1" s="9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</row>
    <row r="360" ht="15.75" customHeight="1" s="9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</row>
    <row r="361" ht="15.75" customHeight="1" s="9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</row>
    <row r="362" ht="15.75" customHeight="1" s="9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</row>
    <row r="363" ht="15.75" customHeight="1" s="9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</row>
    <row r="364" ht="15.75" customHeight="1" s="9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</row>
    <row r="365" ht="15.75" customHeight="1" s="9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</row>
    <row r="366" ht="15.75" customHeight="1" s="9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</row>
    <row r="367" ht="15.75" customHeight="1" s="9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</row>
    <row r="368" ht="15.75" customHeight="1" s="9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</row>
    <row r="369" ht="15.75" customHeight="1" s="9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</row>
    <row r="370" ht="15.75" customHeight="1" s="9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</row>
    <row r="371" ht="15.75" customHeight="1" s="9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</row>
    <row r="372" ht="15.75" customHeight="1" s="9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</row>
    <row r="373" ht="15.75" customHeight="1" s="9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</row>
    <row r="374" ht="15.75" customHeight="1" s="9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</row>
    <row r="375" ht="15.75" customHeight="1" s="9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</row>
    <row r="376" ht="15.75" customHeight="1" s="9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</row>
    <row r="377" ht="15.75" customHeight="1" s="9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</row>
    <row r="378" ht="15.75" customHeight="1" s="9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</row>
    <row r="379" ht="15.75" customHeight="1" s="9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</row>
    <row r="380" ht="15.75" customHeight="1" s="9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</row>
    <row r="381" ht="15.75" customHeight="1" s="9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</row>
    <row r="382" ht="15.75" customHeight="1" s="9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</row>
    <row r="383" ht="15.75" customHeight="1" s="9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</row>
    <row r="384" ht="15.75" customHeight="1" s="9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</row>
    <row r="385" ht="15.75" customHeight="1" s="9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</row>
    <row r="386" ht="15.75" customHeight="1" s="9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</row>
    <row r="387" ht="15.75" customHeight="1" s="9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</row>
    <row r="388" ht="15.75" customHeight="1" s="9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</row>
    <row r="389" ht="15.75" customHeight="1" s="9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</row>
    <row r="390" ht="15.75" customHeight="1" s="9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</row>
    <row r="391" ht="15.75" customHeight="1" s="9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</row>
    <row r="392" ht="15.75" customHeight="1" s="9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</row>
    <row r="393" ht="15.75" customHeight="1" s="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</row>
    <row r="394" ht="15.75" customHeight="1" s="9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</row>
    <row r="395" ht="15.75" customHeight="1" s="9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</row>
    <row r="396" ht="15.75" customHeight="1" s="9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</row>
    <row r="397" ht="15.75" customHeight="1" s="9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</row>
    <row r="398" ht="15.75" customHeight="1" s="9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</row>
    <row r="399" ht="15.75" customHeight="1" s="9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</row>
    <row r="400" ht="15.75" customHeight="1" s="9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</row>
    <row r="401" ht="15.75" customHeight="1" s="9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</row>
    <row r="402" ht="15.75" customHeight="1" s="9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</row>
    <row r="403" ht="15.75" customHeight="1" s="9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</row>
    <row r="404" ht="15.75" customHeight="1" s="9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</row>
    <row r="405" ht="15.75" customHeight="1" s="9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</row>
    <row r="406" ht="15.75" customHeight="1" s="9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</row>
    <row r="407" ht="15.75" customHeight="1" s="9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</row>
    <row r="408" ht="15.75" customHeight="1" s="9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</row>
    <row r="409" ht="15.75" customHeight="1" s="9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</row>
    <row r="410" ht="15.75" customHeight="1" s="9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</row>
    <row r="411" ht="15.75" customHeight="1" s="9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</row>
    <row r="412" ht="15.75" customHeight="1" s="9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</row>
    <row r="413" ht="15.75" customHeight="1" s="9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</row>
    <row r="414" ht="15.75" customHeight="1" s="9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</row>
    <row r="415" ht="15.75" customHeight="1" s="9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</row>
    <row r="416" ht="15.75" customHeight="1" s="9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</row>
    <row r="417" ht="15.75" customHeight="1" s="9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</row>
    <row r="418" ht="15.75" customHeight="1" s="9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</row>
    <row r="419" ht="15.75" customHeight="1" s="9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</row>
    <row r="420" ht="15.75" customHeight="1" s="9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</row>
    <row r="421" ht="15.75" customHeight="1" s="9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</row>
    <row r="422" ht="15.75" customHeight="1" s="9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</row>
    <row r="423" ht="15.75" customHeight="1" s="9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</row>
    <row r="424" ht="15.75" customHeight="1" s="9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</row>
    <row r="425" ht="15.75" customHeight="1" s="9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</row>
    <row r="426" ht="15.75" customHeight="1" s="9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</row>
    <row r="427" ht="15.75" customHeight="1" s="9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</row>
    <row r="428" ht="15.75" customHeight="1" s="9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</row>
    <row r="429" ht="15.75" customHeight="1" s="9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</row>
    <row r="430" ht="15.75" customHeight="1" s="9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</row>
    <row r="431" ht="15.75" customHeight="1" s="9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</row>
    <row r="432" ht="15.75" customHeight="1" s="9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</row>
    <row r="433" ht="15.75" customHeight="1" s="9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</row>
    <row r="434" ht="15.75" customHeight="1" s="9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</row>
    <row r="435" ht="15.75" customHeight="1" s="9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</row>
    <row r="436" ht="15.75" customHeight="1" s="9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</row>
    <row r="437" ht="15.75" customHeight="1" s="9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</row>
    <row r="438" ht="15.75" customHeight="1" s="9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</row>
    <row r="439" ht="15.75" customHeight="1" s="9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</row>
    <row r="440" ht="15.75" customHeight="1" s="9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</row>
    <row r="441" ht="15.75" customHeight="1" s="9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</row>
    <row r="442" ht="15.75" customHeight="1" s="9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</row>
    <row r="443" ht="15.75" customHeight="1" s="9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</row>
    <row r="444" ht="15.75" customHeight="1" s="9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</row>
    <row r="445" ht="15.75" customHeight="1" s="9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</row>
    <row r="446" ht="15.75" customHeight="1" s="9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</row>
    <row r="447" ht="15.75" customHeight="1" s="9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</row>
    <row r="448" ht="15.75" customHeight="1" s="9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</row>
    <row r="449" ht="15.75" customHeight="1" s="9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</row>
    <row r="450" ht="15.75" customHeight="1" s="9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</row>
    <row r="451" ht="15.75" customHeight="1" s="9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</row>
    <row r="452" ht="15.75" customHeight="1" s="9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</row>
    <row r="453" ht="15.75" customHeight="1" s="9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</row>
    <row r="454" ht="15.75" customHeight="1" s="9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</row>
    <row r="455" ht="15.75" customHeight="1" s="9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</row>
    <row r="456" ht="15.75" customHeight="1" s="9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</row>
    <row r="457" ht="15.75" customHeight="1" s="9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</row>
    <row r="458" ht="15.75" customHeight="1" s="9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</row>
    <row r="459" ht="15.75" customHeight="1" s="9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</row>
    <row r="460" ht="15.75" customHeight="1" s="9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</row>
    <row r="461" ht="15.75" customHeight="1" s="9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</row>
    <row r="462" ht="15.75" customHeight="1" s="9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</row>
    <row r="463" ht="15.75" customHeight="1" s="9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</row>
    <row r="464" ht="15.75" customHeight="1" s="9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</row>
    <row r="465" ht="15.75" customHeight="1" s="9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</row>
    <row r="466" ht="15.75" customHeight="1" s="9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</row>
    <row r="467" ht="15.75" customHeight="1" s="9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</row>
    <row r="468" ht="15.75" customHeight="1" s="9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</row>
    <row r="469" ht="15.75" customHeight="1" s="9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</row>
    <row r="470" ht="15.75" customHeight="1" s="9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</row>
    <row r="471" ht="15.75" customHeight="1" s="9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</row>
    <row r="472" ht="15.75" customHeight="1" s="9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</row>
    <row r="473" ht="15.75" customHeight="1" s="9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</row>
    <row r="474" ht="15.75" customHeight="1" s="9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</row>
    <row r="475" ht="15.75" customHeight="1" s="9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</row>
    <row r="476" ht="15.75" customHeight="1" s="9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</row>
    <row r="477" ht="15.75" customHeight="1" s="9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</row>
    <row r="478" ht="15.75" customHeight="1" s="9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</row>
    <row r="479" ht="15.75" customHeight="1" s="9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</row>
    <row r="480" ht="15.75" customHeight="1" s="9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</row>
    <row r="481" ht="15.75" customHeight="1" s="9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</row>
    <row r="482" ht="15.75" customHeight="1" s="9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</row>
    <row r="483" ht="15.75" customHeight="1" s="9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</row>
    <row r="484" ht="15.75" customHeight="1" s="9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</row>
    <row r="485" ht="15.75" customHeight="1" s="9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</row>
    <row r="486" ht="15.75" customHeight="1" s="9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</row>
    <row r="487" ht="15.75" customHeight="1" s="9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</row>
    <row r="488" ht="15.75" customHeight="1" s="9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</row>
    <row r="489" ht="15.75" customHeight="1" s="9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</row>
    <row r="490" ht="15.75" customHeight="1" s="9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</row>
    <row r="491" ht="15.75" customHeight="1" s="9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</row>
    <row r="492" ht="15.75" customHeight="1" s="9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</row>
    <row r="493" ht="15.75" customHeight="1" s="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</row>
    <row r="494" ht="15.75" customHeight="1" s="9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</row>
    <row r="495" ht="15.75" customHeight="1" s="9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</row>
    <row r="496" ht="15.75" customHeight="1" s="9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</row>
    <row r="497" ht="15.75" customHeight="1" s="9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</row>
    <row r="498" ht="15.75" customHeight="1" s="9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</row>
    <row r="499" ht="15.75" customHeight="1" s="9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</row>
    <row r="500" ht="15.75" customHeight="1" s="9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</row>
    <row r="501" ht="15.75" customHeight="1" s="9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</row>
    <row r="502" ht="15.75" customHeight="1" s="9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</row>
    <row r="503" ht="15.75" customHeight="1" s="9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</row>
    <row r="504" ht="15.75" customHeight="1" s="9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</row>
    <row r="505" ht="15.75" customHeight="1" s="9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</row>
    <row r="506" ht="15.75" customHeight="1" s="9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</row>
    <row r="507" ht="15.75" customHeight="1" s="9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</row>
    <row r="508" ht="15.75" customHeight="1" s="9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</row>
    <row r="509" ht="15.75" customHeight="1" s="9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</row>
    <row r="510" ht="15.75" customHeight="1" s="9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</row>
    <row r="511" ht="15.75" customHeight="1" s="9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</row>
    <row r="512" ht="15.75" customHeight="1" s="9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</row>
    <row r="513" ht="15.75" customHeight="1" s="9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</row>
    <row r="514" ht="15.75" customHeight="1" s="9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</row>
    <row r="515" ht="15.75" customHeight="1" s="9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</row>
    <row r="516" ht="15.75" customHeight="1" s="9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</row>
    <row r="517" ht="15.75" customHeight="1" s="9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</row>
    <row r="518" ht="15.75" customHeight="1" s="9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</row>
    <row r="519" ht="15.75" customHeight="1" s="9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</row>
    <row r="520" ht="15.75" customHeight="1" s="9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</row>
    <row r="521" ht="15.75" customHeight="1" s="9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</row>
    <row r="522" ht="15.75" customHeight="1" s="9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</row>
    <row r="523" ht="15.75" customHeight="1" s="9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</row>
    <row r="524" ht="15.75" customHeight="1" s="9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</row>
    <row r="525" ht="15.75" customHeight="1" s="9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</row>
    <row r="526" ht="15.75" customHeight="1" s="9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</row>
    <row r="527" ht="15.75" customHeight="1" s="9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</row>
    <row r="528" ht="15.75" customHeight="1" s="9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</row>
    <row r="529" ht="15.75" customHeight="1" s="9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</row>
    <row r="530" ht="15.75" customHeight="1" s="9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</row>
    <row r="531" ht="15.75" customHeight="1" s="9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</row>
    <row r="532" ht="15.75" customHeight="1" s="9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</row>
    <row r="533" ht="15.75" customHeight="1" s="9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</row>
    <row r="534" ht="15.75" customHeight="1" s="9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</row>
    <row r="535" ht="15.75" customHeight="1" s="9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</row>
    <row r="536" ht="15.75" customHeight="1" s="9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</row>
    <row r="537" ht="15.75" customHeight="1" s="9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</row>
    <row r="538" ht="15.75" customHeight="1" s="9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</row>
    <row r="539" ht="15.75" customHeight="1" s="9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</row>
    <row r="540" ht="15.75" customHeight="1" s="9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</row>
    <row r="541" ht="15.75" customHeight="1" s="9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</row>
    <row r="542" ht="15.75" customHeight="1" s="9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</row>
    <row r="543" ht="15.75" customHeight="1" s="9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</row>
    <row r="544" ht="15.75" customHeight="1" s="9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</row>
    <row r="545" ht="15.75" customHeight="1" s="9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</row>
    <row r="546" ht="15.75" customHeight="1" s="9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</row>
    <row r="547" ht="15.75" customHeight="1" s="9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</row>
    <row r="548" ht="15.75" customHeight="1" s="9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</row>
    <row r="549" ht="15.75" customHeight="1" s="9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</row>
    <row r="550" ht="15.75" customHeight="1" s="9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</row>
    <row r="551" ht="15.75" customHeight="1" s="9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</row>
    <row r="552" ht="15.75" customHeight="1" s="9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</row>
    <row r="553" ht="15.75" customHeight="1" s="9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</row>
    <row r="554" ht="15.75" customHeight="1" s="9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</row>
    <row r="555" ht="15.75" customHeight="1" s="9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</row>
    <row r="556" ht="15.75" customHeight="1" s="9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</row>
    <row r="557" ht="15.75" customHeight="1" s="9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</row>
    <row r="558" ht="15.75" customHeight="1" s="9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</row>
    <row r="559" ht="15.75" customHeight="1" s="9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</row>
    <row r="560" ht="15.75" customHeight="1" s="9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</row>
    <row r="561" ht="15.75" customHeight="1" s="9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</row>
    <row r="562" ht="15.75" customHeight="1" s="9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</row>
    <row r="563" ht="15.75" customHeight="1" s="9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</row>
    <row r="564" ht="15.75" customHeight="1" s="9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</row>
    <row r="565" ht="15.75" customHeight="1" s="9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</row>
    <row r="566" ht="15.75" customHeight="1" s="9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</row>
    <row r="567" ht="15.75" customHeight="1" s="9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</row>
    <row r="568" ht="15.75" customHeight="1" s="9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</row>
    <row r="569" ht="15.75" customHeight="1" s="9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</row>
    <row r="570" ht="15.75" customHeight="1" s="9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</row>
    <row r="571" ht="15.75" customHeight="1" s="9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</row>
    <row r="572" ht="15.75" customHeight="1" s="9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</row>
    <row r="573" ht="15.75" customHeight="1" s="9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</row>
    <row r="574" ht="15.75" customHeight="1" s="9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</row>
    <row r="575" ht="15.75" customHeight="1" s="9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</row>
    <row r="576" ht="15.75" customHeight="1" s="9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</row>
    <row r="577" ht="15.75" customHeight="1" s="9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</row>
    <row r="578" ht="15.75" customHeight="1" s="9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</row>
    <row r="579" ht="15.75" customHeight="1" s="9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</row>
    <row r="580" ht="15.75" customHeight="1" s="9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</row>
    <row r="581" ht="15.75" customHeight="1" s="9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</row>
    <row r="582" ht="15.75" customHeight="1" s="9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</row>
    <row r="583" ht="15.75" customHeight="1" s="9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</row>
    <row r="584" ht="15.75" customHeight="1" s="9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</row>
    <row r="585" ht="15.75" customHeight="1" s="9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</row>
    <row r="586" ht="15.75" customHeight="1" s="9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</row>
    <row r="587" ht="15.75" customHeight="1" s="9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</row>
    <row r="588" ht="15.75" customHeight="1" s="9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</row>
    <row r="589" ht="15.75" customHeight="1" s="9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</row>
    <row r="590" ht="15.75" customHeight="1" s="9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</row>
    <row r="591" ht="15.75" customHeight="1" s="9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</row>
    <row r="592" ht="15.75" customHeight="1" s="9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</row>
    <row r="593" ht="15.75" customHeight="1" s="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</row>
    <row r="594" ht="15.75" customHeight="1" s="9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</row>
    <row r="595" ht="15.75" customHeight="1" s="9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</row>
    <row r="596" ht="15.75" customHeight="1" s="9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</row>
    <row r="597" ht="15.75" customHeight="1" s="9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</row>
    <row r="598" ht="15.75" customHeight="1" s="9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</row>
    <row r="599" ht="15.75" customHeight="1" s="9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</row>
    <row r="600" ht="15.75" customHeight="1" s="9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</row>
    <row r="601" ht="15.75" customHeight="1" s="9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</row>
    <row r="602" ht="15.75" customHeight="1" s="9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</row>
    <row r="603" ht="15.75" customHeight="1" s="9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</row>
    <row r="604" ht="15.75" customHeight="1" s="9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</row>
    <row r="605" ht="15.75" customHeight="1" s="9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</row>
    <row r="606" ht="15.75" customHeight="1" s="9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</row>
    <row r="607" ht="15.75" customHeight="1" s="9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</row>
    <row r="608" ht="15.75" customHeight="1" s="9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</row>
    <row r="609" ht="15.75" customHeight="1" s="9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</row>
    <row r="610" ht="15.75" customHeight="1" s="9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</row>
    <row r="611" ht="15.75" customHeight="1" s="9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</row>
    <row r="612" ht="15.75" customHeight="1" s="9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</row>
    <row r="613" ht="15.75" customHeight="1" s="9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</row>
    <row r="614" ht="15.75" customHeight="1" s="9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</row>
    <row r="615" ht="15.75" customHeight="1" s="9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</row>
    <row r="616" ht="15.75" customHeight="1" s="9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</row>
    <row r="617" ht="15.75" customHeight="1" s="9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</row>
    <row r="618" ht="15.75" customHeight="1" s="9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</row>
    <row r="619" ht="15.75" customHeight="1" s="9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</row>
    <row r="620" ht="15.75" customHeight="1" s="9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</row>
    <row r="621" ht="15.75" customHeight="1" s="9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</row>
    <row r="622" ht="15.75" customHeight="1" s="9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</row>
    <row r="623" ht="15.75" customHeight="1" s="9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</row>
    <row r="624" ht="15.75" customHeight="1" s="9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</row>
    <row r="625" ht="15.75" customHeight="1" s="9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</row>
    <row r="626" ht="15.75" customHeight="1" s="9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</row>
    <row r="627" ht="15.75" customHeight="1" s="9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</row>
    <row r="628" ht="15.75" customHeight="1" s="9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</row>
    <row r="629" ht="15.75" customHeight="1" s="9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</row>
    <row r="630" ht="15.75" customHeight="1" s="9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</row>
    <row r="631" ht="15.75" customHeight="1" s="9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</row>
    <row r="632" ht="15.75" customHeight="1" s="9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</row>
    <row r="633" ht="15.75" customHeight="1" s="9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</row>
    <row r="634" ht="15.75" customHeight="1" s="9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</row>
    <row r="635" ht="15.75" customHeight="1" s="9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</row>
    <row r="636" ht="15.75" customHeight="1" s="9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</row>
    <row r="637" ht="15.75" customHeight="1" s="9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</row>
    <row r="638" ht="15.75" customHeight="1" s="9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</row>
    <row r="639" ht="15.75" customHeight="1" s="9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</row>
    <row r="640" ht="15.75" customHeight="1" s="9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</row>
    <row r="641" ht="15.75" customHeight="1" s="9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</row>
    <row r="642" ht="15.75" customHeight="1" s="9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</row>
    <row r="643" ht="15.75" customHeight="1" s="9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</row>
    <row r="644" ht="15.75" customHeight="1" s="9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</row>
    <row r="645" ht="15.75" customHeight="1" s="9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</row>
    <row r="646" ht="15.75" customHeight="1" s="9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</row>
    <row r="647" ht="15.75" customHeight="1" s="9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</row>
    <row r="648" ht="15.75" customHeight="1" s="9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</row>
    <row r="649" ht="15.75" customHeight="1" s="9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</row>
    <row r="650" ht="15.75" customHeight="1" s="9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</row>
    <row r="651" ht="15.75" customHeight="1" s="9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</row>
    <row r="652" ht="15.75" customHeight="1" s="9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</row>
    <row r="653" ht="15.75" customHeight="1" s="9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</row>
    <row r="654" ht="15.75" customHeight="1" s="9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</row>
    <row r="655" ht="15.75" customHeight="1" s="9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</row>
    <row r="656" ht="15.75" customHeight="1" s="9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</row>
    <row r="657" ht="15.75" customHeight="1" s="9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</row>
    <row r="658" ht="15.75" customHeight="1" s="9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</row>
    <row r="659" ht="15.75" customHeight="1" s="9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</row>
    <row r="660" ht="15.75" customHeight="1" s="9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</row>
    <row r="661" ht="15.75" customHeight="1" s="9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</row>
    <row r="662" ht="15.75" customHeight="1" s="9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</row>
    <row r="663" ht="15.75" customHeight="1" s="9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</row>
    <row r="664" ht="15.75" customHeight="1" s="9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</row>
    <row r="665" ht="15.75" customHeight="1" s="9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</row>
    <row r="666" ht="15.75" customHeight="1" s="9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</row>
    <row r="667" ht="15.75" customHeight="1" s="9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</row>
    <row r="668" ht="15.75" customHeight="1" s="9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</row>
    <row r="669" ht="15.75" customHeight="1" s="9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</row>
    <row r="670" ht="15.75" customHeight="1" s="9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</row>
    <row r="671" ht="15.75" customHeight="1" s="9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</row>
    <row r="672" ht="15.75" customHeight="1" s="9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</row>
    <row r="673" ht="15.75" customHeight="1" s="9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</row>
    <row r="674" ht="15.75" customHeight="1" s="9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</row>
    <row r="675" ht="15.75" customHeight="1" s="9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</row>
    <row r="676" ht="15.75" customHeight="1" s="9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</row>
    <row r="677" ht="15.75" customHeight="1" s="9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</row>
    <row r="678" ht="15.75" customHeight="1" s="9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</row>
    <row r="679" ht="15.75" customHeight="1" s="9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</row>
    <row r="680" ht="15.75" customHeight="1" s="9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</row>
    <row r="681" ht="15.75" customHeight="1" s="9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</row>
    <row r="682" ht="15.75" customHeight="1" s="9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</row>
    <row r="683" ht="15.75" customHeight="1" s="9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</row>
    <row r="684" ht="15.75" customHeight="1" s="9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</row>
    <row r="685" ht="15.75" customHeight="1" s="9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</row>
    <row r="686" ht="15.75" customHeight="1" s="9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</row>
    <row r="687" ht="15.75" customHeight="1" s="9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</row>
    <row r="688" ht="15.75" customHeight="1" s="9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</row>
    <row r="689" ht="15.75" customHeight="1" s="9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</row>
    <row r="690" ht="15.75" customHeight="1" s="9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</row>
    <row r="691" ht="15.75" customHeight="1" s="9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</row>
    <row r="692" ht="15.75" customHeight="1" s="9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</row>
    <row r="693" ht="15.75" customHeight="1" s="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</row>
    <row r="694" ht="15.75" customHeight="1" s="9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</row>
    <row r="695" ht="15.75" customHeight="1" s="9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</row>
    <row r="696" ht="15.75" customHeight="1" s="9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</row>
    <row r="697" ht="15.75" customHeight="1" s="9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</row>
    <row r="698" ht="15.75" customHeight="1" s="9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</row>
    <row r="699" ht="15.75" customHeight="1" s="9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</row>
    <row r="700" ht="15.75" customHeight="1" s="9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</row>
    <row r="701" ht="15.75" customHeight="1" s="9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</row>
    <row r="702" ht="15.75" customHeight="1" s="9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</row>
    <row r="703" ht="15.75" customHeight="1" s="9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</row>
    <row r="704" ht="15.75" customHeight="1" s="9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</row>
    <row r="705" ht="15.75" customHeight="1" s="9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</row>
    <row r="706" ht="15.75" customHeight="1" s="9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</row>
    <row r="707" ht="15.75" customHeight="1" s="9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</row>
    <row r="708" ht="15.75" customHeight="1" s="9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</row>
    <row r="709" ht="15.75" customHeight="1" s="9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</row>
    <row r="710" ht="15.75" customHeight="1" s="9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</row>
    <row r="711" ht="15.75" customHeight="1" s="9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</row>
    <row r="712" ht="15.75" customHeight="1" s="9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</row>
    <row r="713" ht="15.75" customHeight="1" s="9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</row>
    <row r="714" ht="15.75" customHeight="1" s="9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</row>
    <row r="715" ht="15.75" customHeight="1" s="9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</row>
    <row r="716" ht="15.75" customHeight="1" s="9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</row>
    <row r="717" ht="15.75" customHeight="1" s="9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</row>
    <row r="718" ht="15.75" customHeight="1" s="9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</row>
    <row r="719" ht="15.75" customHeight="1" s="9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</row>
    <row r="720" ht="15.75" customHeight="1" s="9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</row>
    <row r="721" ht="15.75" customHeight="1" s="9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</row>
    <row r="722" ht="15.75" customHeight="1" s="9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</row>
    <row r="723" ht="15.75" customHeight="1" s="9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</row>
    <row r="724" ht="15.75" customHeight="1" s="9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</row>
    <row r="725" ht="15.75" customHeight="1" s="9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</row>
    <row r="726" ht="15.75" customHeight="1" s="9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</row>
    <row r="727" ht="15.75" customHeight="1" s="9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</row>
    <row r="728" ht="15.75" customHeight="1" s="9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</row>
    <row r="729" ht="15.75" customHeight="1" s="9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</row>
    <row r="730" ht="15.75" customHeight="1" s="9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</row>
    <row r="731" ht="15.75" customHeight="1" s="9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</row>
    <row r="732" ht="15.75" customHeight="1" s="9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</row>
    <row r="733" ht="15.75" customHeight="1" s="9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</row>
    <row r="734" ht="15.75" customHeight="1" s="9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</row>
    <row r="735" ht="15.75" customHeight="1" s="9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</row>
    <row r="736" ht="15.75" customHeight="1" s="9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</row>
    <row r="737" ht="15.75" customHeight="1" s="9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</row>
    <row r="738" ht="15.75" customHeight="1" s="9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</row>
    <row r="739" ht="15.75" customHeight="1" s="9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</row>
    <row r="740" ht="15.75" customHeight="1" s="9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</row>
    <row r="741" ht="15.75" customHeight="1" s="9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</row>
    <row r="742" ht="15.75" customHeight="1" s="9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</row>
    <row r="743" ht="15.75" customHeight="1" s="9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</row>
    <row r="744" ht="15.75" customHeight="1" s="9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</row>
    <row r="745" ht="15.75" customHeight="1" s="9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</row>
    <row r="746" ht="15.75" customHeight="1" s="9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</row>
    <row r="747" ht="15.75" customHeight="1" s="9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</row>
    <row r="748" ht="15.75" customHeight="1" s="9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</row>
    <row r="749" ht="15.75" customHeight="1" s="9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</row>
    <row r="750" ht="15.75" customHeight="1" s="9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</row>
    <row r="751" ht="15.75" customHeight="1" s="9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</row>
    <row r="752" ht="15.75" customHeight="1" s="9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</row>
    <row r="753" ht="15.75" customHeight="1" s="9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</row>
    <row r="754" ht="15.75" customHeight="1" s="9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</row>
    <row r="755" ht="15.75" customHeight="1" s="9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</row>
    <row r="756" ht="15.75" customHeight="1" s="9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</row>
    <row r="757" ht="15.75" customHeight="1" s="9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</row>
    <row r="758" ht="15.75" customHeight="1" s="9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</row>
    <row r="759" ht="15.75" customHeight="1" s="9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</row>
    <row r="760" ht="15.75" customHeight="1" s="9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</row>
    <row r="761" ht="15.75" customHeight="1" s="9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</row>
    <row r="762" ht="15.75" customHeight="1" s="9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</row>
    <row r="763" ht="15.75" customHeight="1" s="9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</row>
    <row r="764" ht="15.75" customHeight="1" s="9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</row>
    <row r="765" ht="15.75" customHeight="1" s="9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</row>
    <row r="766" ht="15.75" customHeight="1" s="9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</row>
    <row r="767" ht="15.75" customHeight="1" s="9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</row>
    <row r="768" ht="15.75" customHeight="1" s="9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</row>
    <row r="769" ht="15.75" customHeight="1" s="9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</row>
    <row r="770" ht="15.75" customHeight="1" s="9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</row>
    <row r="771" ht="15.75" customHeight="1" s="9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</row>
    <row r="772" ht="15.75" customHeight="1" s="9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</row>
    <row r="773" ht="15.75" customHeight="1" s="9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</row>
    <row r="774" ht="15.75" customHeight="1" s="9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</row>
    <row r="775" ht="15.75" customHeight="1" s="9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</row>
    <row r="776" ht="15.75" customHeight="1" s="9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</row>
    <row r="777" ht="15.75" customHeight="1" s="9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</row>
    <row r="778" ht="15.75" customHeight="1" s="9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</row>
    <row r="779" ht="15.75" customHeight="1" s="9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</row>
    <row r="780" ht="15.75" customHeight="1" s="9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</row>
    <row r="781" ht="15.75" customHeight="1" s="9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</row>
    <row r="782" ht="15.75" customHeight="1" s="9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</row>
    <row r="783" ht="15.75" customHeight="1" s="9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</row>
    <row r="784" ht="15.75" customHeight="1" s="9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</row>
    <row r="785" ht="15.75" customHeight="1" s="9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</row>
    <row r="786" ht="15.75" customHeight="1" s="9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</row>
    <row r="787" ht="15.75" customHeight="1" s="9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</row>
    <row r="788" ht="15.75" customHeight="1" s="9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</row>
    <row r="789" ht="15.75" customHeight="1" s="9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</row>
    <row r="790" ht="15.75" customHeight="1" s="9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</row>
    <row r="791" ht="15.75" customHeight="1" s="9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</row>
    <row r="792" ht="15.75" customHeight="1" s="9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</row>
    <row r="793" ht="15.75" customHeight="1" s="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</row>
    <row r="794" ht="15.75" customHeight="1" s="9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</row>
    <row r="795" ht="15.75" customHeight="1" s="9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</row>
    <row r="796" ht="15.75" customHeight="1" s="9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</row>
    <row r="797" ht="15.75" customHeight="1" s="9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</row>
    <row r="798" ht="15.75" customHeight="1" s="9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</row>
    <row r="799" ht="15.75" customHeight="1" s="9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</row>
    <row r="800" ht="15.75" customHeight="1" s="9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</row>
    <row r="801" ht="15.75" customHeight="1" s="9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</row>
    <row r="802" ht="15.75" customHeight="1" s="9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</row>
    <row r="803" ht="15.75" customHeight="1" s="9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</row>
    <row r="804" ht="15.75" customHeight="1" s="9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</row>
    <row r="805" ht="15.75" customHeight="1" s="9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</row>
    <row r="806" ht="15.75" customHeight="1" s="9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</row>
    <row r="807" ht="15.75" customHeight="1" s="9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</row>
    <row r="808" ht="15.75" customHeight="1" s="9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</row>
    <row r="809" ht="15.75" customHeight="1" s="9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</row>
    <row r="810" ht="15.75" customHeight="1" s="9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</row>
    <row r="811" ht="15.75" customHeight="1" s="9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</row>
    <row r="812" ht="15.75" customHeight="1" s="9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</row>
    <row r="813" ht="15.75" customHeight="1" s="9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</row>
    <row r="814" ht="15.75" customHeight="1" s="9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</row>
    <row r="815" ht="15.75" customHeight="1" s="9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</row>
    <row r="816" ht="15.75" customHeight="1" s="9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</row>
    <row r="817" ht="15.75" customHeight="1" s="9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</row>
    <row r="818" ht="15.75" customHeight="1" s="9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</row>
    <row r="819" ht="15.75" customHeight="1" s="9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</row>
    <row r="820" ht="15.75" customHeight="1" s="9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</row>
    <row r="821" ht="15.75" customHeight="1" s="9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</row>
    <row r="822" ht="15.75" customHeight="1" s="9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</row>
    <row r="823" ht="15.75" customHeight="1" s="9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</row>
    <row r="824" ht="15.75" customHeight="1" s="9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</row>
    <row r="825" ht="15.75" customHeight="1" s="9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</row>
    <row r="826" ht="15.75" customHeight="1" s="9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</row>
    <row r="827" ht="15.75" customHeight="1" s="9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</row>
    <row r="828" ht="15.75" customHeight="1" s="9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</row>
    <row r="829" ht="15.75" customHeight="1" s="9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</row>
    <row r="830" ht="15.75" customHeight="1" s="9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</row>
    <row r="831" ht="15.75" customHeight="1" s="9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</row>
    <row r="832" ht="15.75" customHeight="1" s="9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</row>
    <row r="833" ht="15.75" customHeight="1" s="9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</row>
    <row r="834" ht="15.75" customHeight="1" s="9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</row>
    <row r="835" ht="15.75" customHeight="1" s="9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</row>
    <row r="836" ht="15.75" customHeight="1" s="9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</row>
    <row r="837" ht="15.75" customHeight="1" s="9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</row>
    <row r="838" ht="15.75" customHeight="1" s="9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</row>
    <row r="839" ht="15.75" customHeight="1" s="9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</row>
    <row r="840" ht="15.75" customHeight="1" s="9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</row>
    <row r="841" ht="15.75" customHeight="1" s="9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</row>
    <row r="842" ht="15.75" customHeight="1" s="9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</row>
    <row r="843" ht="15.75" customHeight="1" s="9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</row>
    <row r="844" ht="15.75" customHeight="1" s="9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</row>
    <row r="845" ht="15.75" customHeight="1" s="9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</row>
    <row r="846" ht="15.75" customHeight="1" s="9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</row>
    <row r="847" ht="15.75" customHeight="1" s="9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</row>
    <row r="848" ht="15.75" customHeight="1" s="9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</row>
    <row r="849" ht="15.75" customHeight="1" s="9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</row>
    <row r="850" ht="15.75" customHeight="1" s="9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</row>
    <row r="851" ht="15.75" customHeight="1" s="9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</row>
    <row r="852" ht="15.75" customHeight="1" s="9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</row>
    <row r="853" ht="15.75" customHeight="1" s="9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</row>
    <row r="854" ht="15.75" customHeight="1" s="9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</row>
    <row r="855" ht="15.75" customHeight="1" s="9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</row>
    <row r="856" ht="15.75" customHeight="1" s="9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</row>
    <row r="857" ht="15.75" customHeight="1" s="9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</row>
    <row r="858" ht="15.75" customHeight="1" s="9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</row>
    <row r="859" ht="15.75" customHeight="1" s="9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</row>
    <row r="860" ht="15.75" customHeight="1" s="9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</row>
    <row r="861" ht="15.75" customHeight="1" s="9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</row>
    <row r="862" ht="15.75" customHeight="1" s="9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</row>
    <row r="863" ht="15.75" customHeight="1" s="9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</row>
    <row r="864" ht="15.75" customHeight="1" s="9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</row>
    <row r="865" ht="15.75" customHeight="1" s="9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</row>
    <row r="866" ht="15.75" customHeight="1" s="9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</row>
    <row r="867" ht="15.75" customHeight="1" s="9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</row>
    <row r="868" ht="15.75" customHeight="1" s="9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</row>
    <row r="869" ht="15.75" customHeight="1" s="9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</row>
    <row r="870" ht="15.75" customHeight="1" s="9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</row>
    <row r="871" ht="15.75" customHeight="1" s="9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</row>
    <row r="872" ht="15.75" customHeight="1" s="9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</row>
    <row r="873" ht="15.75" customHeight="1" s="9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</row>
    <row r="874" ht="15.75" customHeight="1" s="9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</row>
    <row r="875" ht="15.75" customHeight="1" s="9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</row>
    <row r="876" ht="15.75" customHeight="1" s="9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</row>
    <row r="877" ht="15.75" customHeight="1" s="9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</row>
    <row r="878" ht="15.75" customHeight="1" s="9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</row>
    <row r="879" ht="15.75" customHeight="1" s="9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</row>
    <row r="880" ht="15.75" customHeight="1" s="9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</row>
    <row r="881" ht="15.75" customHeight="1" s="9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</row>
    <row r="882" ht="15.75" customHeight="1" s="9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</row>
    <row r="883" ht="15.75" customHeight="1" s="9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</row>
    <row r="884" ht="15.75" customHeight="1" s="9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</row>
    <row r="885" ht="15.75" customHeight="1" s="9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</row>
    <row r="886" ht="15.75" customHeight="1" s="9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</row>
    <row r="887" ht="15.75" customHeight="1" s="9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</row>
    <row r="888" ht="15.75" customHeight="1" s="9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</row>
    <row r="889" ht="15.75" customHeight="1" s="9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</row>
    <row r="890" ht="15.75" customHeight="1" s="9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</row>
    <row r="891" ht="15.75" customHeight="1" s="9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</row>
    <row r="892" ht="15.75" customHeight="1" s="9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</row>
    <row r="893" ht="15.75" customHeight="1" s="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</row>
    <row r="894" ht="15.75" customHeight="1" s="9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</row>
    <row r="895" ht="15.75" customHeight="1" s="9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</row>
    <row r="896" ht="15.75" customHeight="1" s="9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</row>
    <row r="897" ht="15.75" customHeight="1" s="9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</row>
    <row r="898" ht="15.75" customHeight="1" s="9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</row>
    <row r="899" ht="15.75" customHeight="1" s="9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</row>
    <row r="900" ht="15.75" customHeight="1" s="9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</row>
    <row r="901" ht="15.75" customHeight="1" s="9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</row>
    <row r="902" ht="15.75" customHeight="1" s="9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</row>
    <row r="903" ht="15.75" customHeight="1" s="9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</row>
    <row r="904" ht="15.75" customHeight="1" s="9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</row>
    <row r="905" ht="15.75" customHeight="1" s="9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</row>
    <row r="906" ht="15.75" customHeight="1" s="9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</row>
    <row r="907" ht="15.75" customHeight="1" s="9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</row>
    <row r="908" ht="15.75" customHeight="1" s="9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</row>
    <row r="909" ht="15.75" customHeight="1" s="9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</row>
    <row r="910" ht="15.75" customHeight="1" s="9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</row>
    <row r="911" ht="15.75" customHeight="1" s="9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</row>
    <row r="912" ht="15.75" customHeight="1" s="9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</row>
    <row r="913" ht="15.75" customHeight="1" s="9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</row>
    <row r="914" ht="15.75" customHeight="1" s="9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</row>
    <row r="915" ht="15.75" customHeight="1" s="9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</row>
    <row r="916" ht="15.75" customHeight="1" s="9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</row>
    <row r="917" ht="15.75" customHeight="1" s="9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</row>
    <row r="918" ht="15.75" customHeight="1" s="9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</row>
    <row r="919" ht="15.75" customHeight="1" s="9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</row>
    <row r="920" ht="15.75" customHeight="1" s="9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</row>
    <row r="921" ht="15.75" customHeight="1" s="9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</row>
    <row r="922" ht="15.75" customHeight="1" s="9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</row>
    <row r="923" ht="15.75" customHeight="1" s="9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</row>
    <row r="924" ht="15.75" customHeight="1" s="9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</row>
    <row r="925" ht="15.75" customHeight="1" s="9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</row>
    <row r="926" ht="15.75" customHeight="1" s="9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</row>
    <row r="927" ht="15.75" customHeight="1" s="9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</row>
    <row r="928" ht="15.75" customHeight="1" s="9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</row>
    <row r="929" ht="15.75" customHeight="1" s="9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</row>
    <row r="930" ht="15.75" customHeight="1" s="9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</row>
    <row r="931" ht="15.75" customHeight="1" s="9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</row>
    <row r="932" ht="15.75" customHeight="1" s="9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</row>
    <row r="933" ht="15.75" customHeight="1" s="9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</row>
    <row r="934" ht="15.75" customHeight="1" s="9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</row>
    <row r="935" ht="15.75" customHeight="1" s="9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</row>
    <row r="936" ht="15.75" customHeight="1" s="9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</row>
    <row r="937" ht="15.75" customHeight="1" s="9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</row>
    <row r="938" ht="15.75" customHeight="1" s="9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</row>
    <row r="939" ht="15.75" customHeight="1" s="9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</row>
    <row r="940" ht="15.75" customHeight="1" s="9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</row>
    <row r="941" ht="15.75" customHeight="1" s="9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</row>
    <row r="942" ht="15.75" customHeight="1" s="9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</row>
    <row r="943" ht="15.75" customHeight="1" s="9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</row>
    <row r="944" ht="15.75" customHeight="1" s="9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</row>
    <row r="945" ht="15.75" customHeight="1" s="9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</row>
    <row r="946" ht="15.75" customHeight="1" s="9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</row>
    <row r="947" ht="15.75" customHeight="1" s="9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</row>
    <row r="948" ht="15.75" customHeight="1" s="9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</row>
    <row r="949" ht="15.75" customHeight="1" s="9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</row>
    <row r="950" ht="15.75" customHeight="1" s="9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</row>
    <row r="951" ht="15.75" customHeight="1" s="9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</row>
    <row r="952" ht="15.75" customHeight="1" s="9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</row>
    <row r="953" ht="15.75" customHeight="1" s="9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</row>
    <row r="954" ht="15.75" customHeight="1" s="9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</row>
    <row r="955" ht="15.75" customHeight="1" s="9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</row>
    <row r="956" ht="15.75" customHeight="1" s="9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</row>
    <row r="957" ht="15.75" customHeight="1" s="9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</row>
    <row r="958" ht="15.75" customHeight="1" s="9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</row>
    <row r="959" ht="15.75" customHeight="1" s="9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</row>
    <row r="960" ht="15.75" customHeight="1" s="9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</row>
    <row r="961" ht="15.75" customHeight="1" s="9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</row>
    <row r="962" ht="15.75" customHeight="1" s="9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</row>
    <row r="963" ht="15.75" customHeight="1" s="9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</row>
    <row r="964" ht="15.75" customHeight="1" s="9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</row>
    <row r="965" ht="15.75" customHeight="1" s="9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</row>
    <row r="966" ht="15.75" customHeight="1" s="9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</row>
    <row r="967" ht="15.75" customHeight="1" s="9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</row>
    <row r="968" ht="15.75" customHeight="1" s="9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</row>
    <row r="969" ht="15.75" customHeight="1" s="9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</row>
    <row r="970" ht="15.75" customHeight="1" s="9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</row>
    <row r="971" ht="15.75" customHeight="1" s="9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</row>
    <row r="972" ht="15.75" customHeight="1" s="9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</row>
    <row r="973" ht="15.75" customHeight="1" s="9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</row>
    <row r="974" ht="15.75" customHeight="1" s="9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</row>
    <row r="975" ht="15.75" customHeight="1" s="9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</row>
    <row r="976" ht="15.75" customHeight="1" s="9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</row>
    <row r="977" ht="15.75" customHeight="1" s="9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</row>
    <row r="978" ht="15.75" customHeight="1" s="9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</row>
    <row r="979" ht="15.75" customHeight="1" s="9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</row>
    <row r="980" ht="15.75" customHeight="1" s="9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</row>
    <row r="981" ht="15.75" customHeight="1" s="9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</row>
    <row r="982" ht="15.75" customHeight="1" s="9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</row>
    <row r="983" ht="15.75" customHeight="1" s="9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</row>
    <row r="984" ht="15.75" customHeight="1" s="9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</row>
    <row r="985" ht="15.75" customHeight="1" s="9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</row>
    <row r="986" ht="15.75" customHeight="1" s="9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</row>
    <row r="987" ht="15.75" customHeight="1" s="9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</row>
    <row r="988" ht="15.75" customHeight="1" s="9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</row>
    <row r="989" ht="15.75" customHeight="1" s="9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</row>
    <row r="990" ht="15.75" customHeight="1" s="9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</row>
    <row r="991" ht="15.75" customHeight="1" s="9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</row>
    <row r="992" ht="15.75" customHeight="1" s="9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</row>
    <row r="993" ht="15.75" customHeight="1" s="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</row>
    <row r="994" ht="15.75" customHeight="1" s="9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</row>
    <row r="995" ht="15.75" customHeight="1" s="9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</row>
    <row r="996" ht="15.75" customHeight="1" s="9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</row>
    <row r="997" ht="15.75" customHeight="1" s="9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</row>
    <row r="998" ht="15.75" customHeight="1" s="9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</row>
    <row r="999" ht="15.75" customHeight="1" s="9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</row>
    <row r="1000" ht="15.75" customHeight="1" s="9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</row>
  </sheetData>
  <autoFilter ref="$A$5:$AR$47">
    <filterColumn colId="7" hiddenButton="0" showButton="1">
      <filters>
        <filter val="active"/>
      </filters>
    </filterColumn>
  </autoFilter>
  <mergeCells count="7">
    <mergeCell ref="A4:H4"/>
    <mergeCell ref="AE4:AL4"/>
    <mergeCell ref="A1:AP1"/>
    <mergeCell ref="X4:AD4"/>
    <mergeCell ref="AM4:AP4"/>
    <mergeCell ref="I4:L4"/>
    <mergeCell ref="O4:W4"/>
  </mergeCells>
  <conditionalFormatting sqref="A6:AR47">
    <cfRule type="expression" priority="1" dxfId="3">
      <formula>AND($A6&lt;&gt;"",ISEVEN(ROW()))</formula>
    </cfRule>
    <cfRule type="expression" priority="2" dxfId="4">
      <formula>AND($A6&lt;&gt;"",$X6="")</formula>
    </cfRule>
    <cfRule type="expression" priority="3" dxfId="5">
      <formula>AND($A6&lt;&gt;"",$AM6="não")</formula>
    </cfRule>
  </conditionalFormatting>
  <dataValidations count="3">
    <dataValidation sqref="E6:E47" showDropDown="0" showInputMessage="0" showErrorMessage="0" allowBlank="1" type="list">
      <formula1>"Bombas Hidráulicas,Sensores Agrícolas,Peças Plásticas Injetadas,Kits e Acessórios,Componentes Eletrônicos"</formula1>
    </dataValidation>
    <dataValidation sqref="H6:H47" showDropDown="0" showInputMessage="0" showErrorMessage="0" allowBlank="1" type="list">
      <formula1>"active,draft,archived"</formula1>
    </dataValidation>
    <dataValidation sqref="F46:F47" showDropDown="0" showInputMessage="0" showErrorMessage="0" allowBlank="1" type="list">
      <formula1>"SOHIPREN,AGRAL,GRECO,AGCO,ADG,LIVENZA"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20" customWidth="1" style="93" min="1" max="1"/>
    <col width="14" customWidth="1" style="93" min="2" max="2"/>
    <col width="22" customWidth="1" style="93" min="3" max="3"/>
    <col width="50" customWidth="1" style="93" min="4" max="4"/>
    <col width="22" customWidth="1" style="93" min="5" max="5"/>
    <col width="14" customWidth="1" style="93" min="6" max="6"/>
    <col width="28" customWidth="1" style="93" min="7" max="7"/>
    <col width="10" customWidth="1" style="93" min="8" max="8"/>
    <col width="18" customWidth="1" style="93" min="9" max="9"/>
    <col width="24" customWidth="1" style="93" min="10" max="10"/>
    <col width="18" customWidth="1" style="93" min="11" max="11"/>
    <col width="22" customWidth="1" style="93" min="12" max="12"/>
    <col width="15.71" customWidth="1" style="93" min="13" max="13"/>
    <col width="10" customWidth="1" style="93" min="14" max="16"/>
    <col width="14" customWidth="1" style="93" min="17" max="17"/>
    <col width="12" customWidth="1" style="93" min="18" max="18"/>
    <col width="11" customWidth="1" style="93" min="19" max="19"/>
    <col width="14" customWidth="1" style="93" min="20" max="20"/>
    <col width="16" customWidth="1" style="93" min="21" max="21"/>
    <col width="8.710000000000001" customWidth="1" style="93" min="22" max="22"/>
    <col width="18" customWidth="1" style="93" min="23" max="23"/>
    <col width="14" customWidth="1" style="93" min="24" max="24"/>
    <col width="8.710000000000001" customWidth="1" style="93" min="25" max="25"/>
    <col width="16" customWidth="1" style="93" min="26" max="26"/>
    <col width="14" customWidth="1" style="93" min="27" max="27"/>
    <col width="16" customWidth="1" style="93" min="28" max="28"/>
    <col width="12" customWidth="1" style="93" min="29" max="29"/>
    <col width="14" customWidth="1" style="93" min="30" max="30"/>
    <col width="18" customWidth="1" style="93" min="31" max="31"/>
    <col width="8.710000000000001" customWidth="1" style="93" min="32" max="36"/>
    <col width="20" customWidth="1" style="93" min="37" max="37"/>
    <col width="14" customWidth="1" style="93" min="38" max="38"/>
    <col width="18" customWidth="1" style="93" min="39" max="39"/>
    <col width="16" customWidth="1" style="93" min="40" max="40"/>
    <col width="18" customWidth="1" style="93" min="41" max="41"/>
    <col width="28" customWidth="1" style="93" min="42" max="42"/>
  </cols>
  <sheetData>
    <row r="1" ht="30" customHeight="1" s="93">
      <c r="A1" s="5" t="inlineStr">
        <is>
          <t>APP — Agro Peças Padrão | Master 06_GTS</t>
        </is>
      </c>
    </row>
    <row r="2">
      <c r="A2" s="8" t="inlineStr">
        <is>
          <t>Total de SKUs:</t>
        </is>
      </c>
      <c r="B2" s="12">
        <f>COUNTA(A6:A100000)</f>
        <v/>
      </c>
      <c r="C2" s="1" t="n"/>
      <c r="D2" s="8" t="inlineStr">
        <is>
          <t>Faltando embalagem:</t>
        </is>
      </c>
      <c r="E2" s="13">
        <f>COUNTIF(W6:W100000,"FALTA")</f>
        <v/>
      </c>
      <c r="F2" s="1" t="n"/>
      <c r="G2" s="8" t="inlineStr">
        <is>
          <t>Cadastrados Shopify:</t>
        </is>
      </c>
      <c r="H2" s="12">
        <f>COUNTIF(AM6:AM100000,"sim")</f>
        <v/>
      </c>
      <c r="I2" s="1" t="n"/>
      <c r="J2" s="8" t="inlineStr">
        <is>
          <t>Divergentes:</t>
        </is>
      </c>
      <c r="K2" s="17">
        <f>COUNTIF(AM6:AM100000,"divergente")</f>
        <v/>
      </c>
      <c r="L2" s="1" t="n"/>
      <c r="M2" s="18" t="n"/>
      <c r="N2" s="1" t="n"/>
      <c r="O2" s="1" t="n"/>
      <c r="P2" s="1" t="n"/>
      <c r="Q2" s="18" t="n"/>
      <c r="R2" s="18" t="n"/>
      <c r="S2" s="18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8" t="n"/>
      <c r="N3" s="1" t="n"/>
      <c r="O3" s="1" t="n"/>
      <c r="P3" s="1" t="n"/>
      <c r="Q3" s="18" t="n"/>
      <c r="R3" s="18" t="n"/>
      <c r="S3" s="18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21.75" customHeight="1" s="93">
      <c r="A4" s="20" t="inlineStr">
        <is>
          <t>IDENTIFICAÇÃO</t>
        </is>
      </c>
      <c r="B4" s="102" t="n"/>
      <c r="C4" s="102" t="n"/>
      <c r="D4" s="102" t="n"/>
      <c r="E4" s="102" t="n"/>
      <c r="F4" s="102" t="n"/>
      <c r="G4" s="102" t="n"/>
      <c r="H4" s="102" t="n"/>
      <c r="I4" s="20" t="inlineStr">
        <is>
          <t>APLICAÇÃO TÉCNICA</t>
        </is>
      </c>
      <c r="J4" s="102" t="n"/>
      <c r="K4" s="102" t="n"/>
      <c r="L4" s="102" t="n"/>
      <c r="M4" s="24" t="n"/>
      <c r="N4" s="24" t="n"/>
      <c r="O4" s="24" t="n"/>
      <c r="P4" s="20" t="inlineStr">
        <is>
          <t>LOGÍSTICA E EMBALAGEM</t>
        </is>
      </c>
      <c r="Q4" s="102" t="n"/>
      <c r="R4" s="102" t="n"/>
      <c r="S4" s="102" t="n"/>
      <c r="T4" s="102" t="n"/>
      <c r="U4" s="102" t="n"/>
      <c r="V4" s="102" t="n"/>
      <c r="W4" s="102" t="n"/>
      <c r="X4" s="20" t="inlineStr">
        <is>
          <t>CUSTO E PRECIFICAÇÃO</t>
        </is>
      </c>
      <c r="Y4" s="102" t="n"/>
      <c r="Z4" s="102" t="n"/>
      <c r="AA4" s="102" t="n"/>
      <c r="AB4" s="102" t="n"/>
      <c r="AC4" s="102" t="n"/>
      <c r="AD4" s="102" t="n"/>
      <c r="AE4" s="20" t="inlineStr">
        <is>
          <t>PESQUISA DE MERCADO</t>
        </is>
      </c>
      <c r="AF4" s="102" t="n"/>
      <c r="AG4" s="102" t="n"/>
      <c r="AH4" s="102" t="n"/>
      <c r="AI4" s="102" t="n"/>
      <c r="AJ4" s="102" t="n"/>
      <c r="AK4" s="102" t="n"/>
      <c r="AL4" s="102" t="n"/>
      <c r="AM4" s="20" t="inlineStr">
        <is>
          <t>WORKFLOW</t>
        </is>
      </c>
      <c r="AN4" s="102" t="n"/>
      <c r="AO4" s="102" t="n"/>
      <c r="AP4" s="102" t="n"/>
    </row>
    <row r="5" ht="33.75" customHeight="1" s="93">
      <c r="A5" s="25" t="inlineStr">
        <is>
          <t>SKU / Código</t>
        </is>
      </c>
      <c r="B5" s="25" t="inlineStr">
        <is>
          <t>Part Number</t>
        </is>
      </c>
      <c r="C5" s="25" t="inlineStr">
        <is>
          <t>Handle (Shopify)</t>
        </is>
      </c>
      <c r="D5" s="25" t="inlineStr">
        <is>
          <t>Title (PT-BR)</t>
        </is>
      </c>
      <c r="E5" s="25" t="inlineStr">
        <is>
          <t>Product Type</t>
        </is>
      </c>
      <c r="F5" s="25" t="inlineStr">
        <is>
          <t>Vendor (Fabricante)</t>
        </is>
      </c>
      <c r="G5" s="25" t="inlineStr">
        <is>
          <t>Tags (vírgula)</t>
        </is>
      </c>
      <c r="H5" s="25" t="inlineStr">
        <is>
          <t>Status</t>
        </is>
      </c>
      <c r="I5" s="25" t="inlineStr">
        <is>
          <t>Montadora compatível</t>
        </is>
      </c>
      <c r="J5" s="25" t="inlineStr">
        <is>
          <t>Equipamento / Modelo</t>
        </is>
      </c>
      <c r="K5" s="25" t="inlineStr">
        <is>
          <t>Função / Aplicação</t>
        </is>
      </c>
      <c r="L5" s="25" t="inlineStr">
        <is>
          <t>Códigos cruzados</t>
        </is>
      </c>
      <c r="M5" s="25" t="inlineStr">
        <is>
          <t>NCM</t>
        </is>
      </c>
      <c r="N5" s="25" t="inlineStr">
        <is>
          <t>Qtde KIT</t>
        </is>
      </c>
      <c r="O5" s="25" t="inlineStr">
        <is>
          <t>Lead Time</t>
        </is>
      </c>
      <c r="P5" s="25" t="inlineStr">
        <is>
          <t>Peso (kg)</t>
        </is>
      </c>
      <c r="Q5" s="25" t="inlineStr">
        <is>
          <t>Comprimento (cm)</t>
        </is>
      </c>
      <c r="R5" s="25" t="inlineStr">
        <is>
          <t>Largura (cm)</t>
        </is>
      </c>
      <c r="S5" s="25" t="inlineStr">
        <is>
          <t>Altura (cm)</t>
        </is>
      </c>
      <c r="T5" s="25" t="inlineStr">
        <is>
          <t>Peso cubado (kg)</t>
        </is>
      </c>
      <c r="U5" s="25" t="inlineStr">
        <is>
          <t>Peso considerado (kg)</t>
        </is>
      </c>
      <c r="V5" s="25" t="inlineStr">
        <is>
          <t>Frete fábrica → eCom ()</t>
        </is>
      </c>
      <c r="W5" s="25" t="inlineStr">
        <is>
          <t>Origem do dado embalagem</t>
        </is>
      </c>
      <c r="X5" s="25" t="inlineStr">
        <is>
          <t>Custo unitário ()</t>
        </is>
      </c>
      <c r="Y5" s="25" t="inlineStr">
        <is>
          <t>% Margem de lucro</t>
        </is>
      </c>
      <c r="Z5" s="25" t="inlineStr">
        <is>
          <t>Custo + frete inbound ()</t>
        </is>
      </c>
      <c r="AA5" s="25" t="inlineStr">
        <is>
          <t>Preço c/ margem ()</t>
        </is>
      </c>
      <c r="AB5" s="25" t="inlineStr">
        <is>
          <t>Taxa Mercado Pago (%)</t>
        </is>
      </c>
      <c r="AC5" s="25" t="inlineStr">
        <is>
          <t>Taxa MP ()</t>
        </is>
      </c>
      <c r="AD5" s="25" t="inlineStr">
        <is>
          <t>Preço final site ()</t>
        </is>
      </c>
      <c r="AE5" s="25" t="inlineStr">
        <is>
          <t>Concorrente 1 — Nome</t>
        </is>
      </c>
      <c r="AF5" s="25" t="inlineStr">
        <is>
          <t>Concorrente 1 — Preço ()</t>
        </is>
      </c>
      <c r="AG5" s="25" t="inlineStr">
        <is>
          <t>Concorrente 2 — Nome</t>
        </is>
      </c>
      <c r="AH5" s="25" t="inlineStr">
        <is>
          <t>Concorrente 2 — Preço ()</t>
        </is>
      </c>
      <c r="AI5" s="25" t="inlineStr">
        <is>
          <t>Concorrente 3 — Nome</t>
        </is>
      </c>
      <c r="AJ5" s="25" t="inlineStr">
        <is>
          <t>Concorrente 3 — Preço ()</t>
        </is>
      </c>
      <c r="AK5" s="25" t="inlineStr">
        <is>
          <t>Preço médio concorrência ()</t>
        </is>
      </c>
      <c r="AL5" s="25" t="inlineStr">
        <is>
          <t>Posicionamento</t>
        </is>
      </c>
      <c r="AM5" s="25" t="inlineStr">
        <is>
          <t>Cadastrado Shopify?</t>
        </is>
      </c>
      <c r="AN5" s="25" t="inlineStr">
        <is>
          <t>Última atualização</t>
        </is>
      </c>
      <c r="AO5" s="25" t="inlineStr">
        <is>
          <t>Operador responsável</t>
        </is>
      </c>
      <c r="AP5" s="25" t="inlineStr">
        <is>
          <t>Observações</t>
        </is>
      </c>
      <c r="AQ5" s="28" t="inlineStr">
        <is>
          <t>Imagens site (assets)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8" t="n"/>
      <c r="N19" s="1" t="n"/>
      <c r="O19" s="1" t="n"/>
      <c r="P19" s="1" t="n"/>
      <c r="Q19" s="18" t="n"/>
      <c r="R19" s="18" t="n"/>
      <c r="S19" s="18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8" t="n"/>
      <c r="N20" s="1" t="n"/>
      <c r="O20" s="1" t="n"/>
      <c r="P20" s="1" t="n"/>
      <c r="Q20" s="18" t="n"/>
      <c r="R20" s="18" t="n"/>
      <c r="S20" s="18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</row>
    <row r="21" ht="15.75" customHeight="1" s="9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8" t="n"/>
      <c r="N21" s="1" t="n"/>
      <c r="O21" s="1" t="n"/>
      <c r="P21" s="1" t="n"/>
      <c r="Q21" s="18" t="n"/>
      <c r="R21" s="18" t="n"/>
      <c r="S21" s="18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</row>
    <row r="22" ht="15.75" customHeight="1" s="9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8" t="n"/>
      <c r="N22" s="1" t="n"/>
      <c r="O22" s="1" t="n"/>
      <c r="P22" s="1" t="n"/>
      <c r="Q22" s="18" t="n"/>
      <c r="R22" s="18" t="n"/>
      <c r="S22" s="18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</row>
    <row r="23" ht="15.75" customHeight="1" s="9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8" t="n"/>
      <c r="N23" s="1" t="n"/>
      <c r="O23" s="1" t="n"/>
      <c r="P23" s="1" t="n"/>
      <c r="Q23" s="18" t="n"/>
      <c r="R23" s="18" t="n"/>
      <c r="S23" s="18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</row>
    <row r="24" ht="15.75" customHeight="1" s="9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8" t="n"/>
      <c r="N24" s="1" t="n"/>
      <c r="O24" s="1" t="n"/>
      <c r="P24" s="1" t="n"/>
      <c r="Q24" s="18" t="n"/>
      <c r="R24" s="18" t="n"/>
      <c r="S24" s="18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</row>
    <row r="25" ht="15.75" customHeight="1" s="9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8" t="n"/>
      <c r="N25" s="1" t="n"/>
      <c r="O25" s="1" t="n"/>
      <c r="P25" s="1" t="n"/>
      <c r="Q25" s="18" t="n"/>
      <c r="R25" s="18" t="n"/>
      <c r="S25" s="18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</row>
    <row r="26" ht="15.75" customHeight="1" s="9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8" t="n"/>
      <c r="N26" s="1" t="n"/>
      <c r="O26" s="1" t="n"/>
      <c r="P26" s="1" t="n"/>
      <c r="Q26" s="18" t="n"/>
      <c r="R26" s="18" t="n"/>
      <c r="S26" s="18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</row>
    <row r="27" ht="15.75" customHeight="1" s="9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8" t="n"/>
      <c r="N27" s="1" t="n"/>
      <c r="O27" s="1" t="n"/>
      <c r="P27" s="1" t="n"/>
      <c r="Q27" s="18" t="n"/>
      <c r="R27" s="18" t="n"/>
      <c r="S27" s="18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</row>
    <row r="28" ht="15.75" customHeight="1" s="9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8" t="n"/>
      <c r="N28" s="1" t="n"/>
      <c r="O28" s="1" t="n"/>
      <c r="P28" s="1" t="n"/>
      <c r="Q28" s="18" t="n"/>
      <c r="R28" s="18" t="n"/>
      <c r="S28" s="18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</row>
    <row r="29" ht="15.75" customHeight="1" s="9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8" t="n"/>
      <c r="N29" s="1" t="n"/>
      <c r="O29" s="1" t="n"/>
      <c r="P29" s="1" t="n"/>
      <c r="Q29" s="18" t="n"/>
      <c r="R29" s="18" t="n"/>
      <c r="S29" s="18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</row>
    <row r="30" ht="15.75" customHeight="1" s="9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8" t="n"/>
      <c r="N30" s="1" t="n"/>
      <c r="O30" s="1" t="n"/>
      <c r="P30" s="1" t="n"/>
      <c r="Q30" s="18" t="n"/>
      <c r="R30" s="18" t="n"/>
      <c r="S30" s="18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</row>
    <row r="31" ht="15.75" customHeight="1" s="9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8" t="n"/>
      <c r="N31" s="1" t="n"/>
      <c r="O31" s="1" t="n"/>
      <c r="P31" s="1" t="n"/>
      <c r="Q31" s="18" t="n"/>
      <c r="R31" s="18" t="n"/>
      <c r="S31" s="18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</row>
    <row r="32" ht="15.75" customHeight="1" s="9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8" t="n"/>
      <c r="N32" s="1" t="n"/>
      <c r="O32" s="1" t="n"/>
      <c r="P32" s="1" t="n"/>
      <c r="Q32" s="18" t="n"/>
      <c r="R32" s="18" t="n"/>
      <c r="S32" s="18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</row>
    <row r="33" ht="15.75" customHeight="1" s="9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8" t="n"/>
      <c r="N33" s="1" t="n"/>
      <c r="O33" s="1" t="n"/>
      <c r="P33" s="1" t="n"/>
      <c r="Q33" s="18" t="n"/>
      <c r="R33" s="18" t="n"/>
      <c r="S33" s="18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</row>
    <row r="34" ht="15.75" customHeight="1" s="9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8" t="n"/>
      <c r="N34" s="1" t="n"/>
      <c r="O34" s="1" t="n"/>
      <c r="P34" s="1" t="n"/>
      <c r="Q34" s="18" t="n"/>
      <c r="R34" s="18" t="n"/>
      <c r="S34" s="18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</row>
    <row r="35" ht="15.75" customHeight="1" s="9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8" t="n"/>
      <c r="N35" s="1" t="n"/>
      <c r="O35" s="1" t="n"/>
      <c r="P35" s="1" t="n"/>
      <c r="Q35" s="18" t="n"/>
      <c r="R35" s="18" t="n"/>
      <c r="S35" s="18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</row>
    <row r="36" ht="15.75" customHeight="1" s="9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8" t="n"/>
      <c r="N36" s="1" t="n"/>
      <c r="O36" s="1" t="n"/>
      <c r="P36" s="1" t="n"/>
      <c r="Q36" s="18" t="n"/>
      <c r="R36" s="18" t="n"/>
      <c r="S36" s="18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</row>
    <row r="37" ht="15.75" customHeight="1" s="9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8" t="n"/>
      <c r="N37" s="1" t="n"/>
      <c r="O37" s="1" t="n"/>
      <c r="P37" s="1" t="n"/>
      <c r="Q37" s="18" t="n"/>
      <c r="R37" s="18" t="n"/>
      <c r="S37" s="18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</row>
    <row r="38" ht="15.75" customHeight="1" s="9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8" t="n"/>
      <c r="N38" s="1" t="n"/>
      <c r="O38" s="1" t="n"/>
      <c r="P38" s="1" t="n"/>
      <c r="Q38" s="18" t="n"/>
      <c r="R38" s="18" t="n"/>
      <c r="S38" s="18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</row>
    <row r="39" ht="15.75" customHeight="1" s="9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8" t="n"/>
      <c r="N39" s="1" t="n"/>
      <c r="O39" s="1" t="n"/>
      <c r="P39" s="1" t="n"/>
      <c r="Q39" s="18" t="n"/>
      <c r="R39" s="18" t="n"/>
      <c r="S39" s="18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</row>
    <row r="40" ht="15.75" customHeight="1" s="9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8" t="n"/>
      <c r="N40" s="1" t="n"/>
      <c r="O40" s="1" t="n"/>
      <c r="P40" s="1" t="n"/>
      <c r="Q40" s="18" t="n"/>
      <c r="R40" s="18" t="n"/>
      <c r="S40" s="18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</row>
    <row r="41" ht="15.75" customHeight="1" s="9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8" t="n"/>
      <c r="N41" s="1" t="n"/>
      <c r="O41" s="1" t="n"/>
      <c r="P41" s="1" t="n"/>
      <c r="Q41" s="18" t="n"/>
      <c r="R41" s="18" t="n"/>
      <c r="S41" s="18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</row>
    <row r="42" ht="15.75" customHeight="1" s="9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8" t="n"/>
      <c r="N42" s="1" t="n"/>
      <c r="O42" s="1" t="n"/>
      <c r="P42" s="1" t="n"/>
      <c r="Q42" s="18" t="n"/>
      <c r="R42" s="18" t="n"/>
      <c r="S42" s="18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</row>
    <row r="43" ht="15.75" customHeight="1" s="9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8" t="n"/>
      <c r="N43" s="1" t="n"/>
      <c r="O43" s="1" t="n"/>
      <c r="P43" s="1" t="n"/>
      <c r="Q43" s="18" t="n"/>
      <c r="R43" s="18" t="n"/>
      <c r="S43" s="18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</row>
    <row r="44" ht="15.75" customHeight="1" s="9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8" t="n"/>
      <c r="N44" s="1" t="n"/>
      <c r="O44" s="1" t="n"/>
      <c r="P44" s="1" t="n"/>
      <c r="Q44" s="18" t="n"/>
      <c r="R44" s="18" t="n"/>
      <c r="S44" s="18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</row>
    <row r="45" ht="15.75" customHeight="1" s="9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8" t="n"/>
      <c r="N45" s="1" t="n"/>
      <c r="O45" s="1" t="n"/>
      <c r="P45" s="1" t="n"/>
      <c r="Q45" s="18" t="n"/>
      <c r="R45" s="18" t="n"/>
      <c r="S45" s="18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</row>
    <row r="46" ht="15.75" customHeight="1" s="9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8" t="n"/>
      <c r="N46" s="1" t="n"/>
      <c r="O46" s="1" t="n"/>
      <c r="P46" s="1" t="n"/>
      <c r="Q46" s="18" t="n"/>
      <c r="R46" s="18" t="n"/>
      <c r="S46" s="18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</row>
    <row r="47" ht="15.75" customHeight="1" s="9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8" t="n"/>
      <c r="N47" s="1" t="n"/>
      <c r="O47" s="1" t="n"/>
      <c r="P47" s="1" t="n"/>
      <c r="Q47" s="18" t="n"/>
      <c r="R47" s="18" t="n"/>
      <c r="S47" s="18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</row>
    <row r="48" ht="15.75" customHeight="1" s="9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8" t="n"/>
      <c r="N48" s="1" t="n"/>
      <c r="O48" s="1" t="n"/>
      <c r="P48" s="1" t="n"/>
      <c r="Q48" s="18" t="n"/>
      <c r="R48" s="18" t="n"/>
      <c r="S48" s="18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</row>
    <row r="49" ht="15.75" customHeight="1" s="9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8" t="n"/>
      <c r="N49" s="1" t="n"/>
      <c r="O49" s="1" t="n"/>
      <c r="P49" s="1" t="n"/>
      <c r="Q49" s="18" t="n"/>
      <c r="R49" s="18" t="n"/>
      <c r="S49" s="18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</row>
    <row r="50" ht="15.75" customHeight="1" s="9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8" t="n"/>
      <c r="N50" s="1" t="n"/>
      <c r="O50" s="1" t="n"/>
      <c r="P50" s="1" t="n"/>
      <c r="Q50" s="18" t="n"/>
      <c r="R50" s="18" t="n"/>
      <c r="S50" s="18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</row>
    <row r="51" ht="15.75" customHeight="1" s="9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8" t="n"/>
      <c r="N51" s="1" t="n"/>
      <c r="O51" s="1" t="n"/>
      <c r="P51" s="1" t="n"/>
      <c r="Q51" s="18" t="n"/>
      <c r="R51" s="18" t="n"/>
      <c r="S51" s="18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</row>
    <row r="52" ht="15.75" customHeight="1" s="9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8" t="n"/>
      <c r="N52" s="1" t="n"/>
      <c r="O52" s="1" t="n"/>
      <c r="P52" s="1" t="n"/>
      <c r="Q52" s="18" t="n"/>
      <c r="R52" s="18" t="n"/>
      <c r="S52" s="18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</row>
    <row r="53" ht="15.75" customHeight="1" s="9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8" t="n"/>
      <c r="N53" s="1" t="n"/>
      <c r="O53" s="1" t="n"/>
      <c r="P53" s="1" t="n"/>
      <c r="Q53" s="18" t="n"/>
      <c r="R53" s="18" t="n"/>
      <c r="S53" s="18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</row>
    <row r="54" ht="15.75" customHeight="1" s="9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8" t="n"/>
      <c r="N54" s="1" t="n"/>
      <c r="O54" s="1" t="n"/>
      <c r="P54" s="1" t="n"/>
      <c r="Q54" s="18" t="n"/>
      <c r="R54" s="18" t="n"/>
      <c r="S54" s="18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</row>
    <row r="55" ht="15.75" customHeight="1" s="9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8" t="n"/>
      <c r="N55" s="1" t="n"/>
      <c r="O55" s="1" t="n"/>
      <c r="P55" s="1" t="n"/>
      <c r="Q55" s="18" t="n"/>
      <c r="R55" s="18" t="n"/>
      <c r="S55" s="18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</row>
    <row r="56" ht="15.75" customHeight="1" s="9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8" t="n"/>
      <c r="N56" s="1" t="n"/>
      <c r="O56" s="1" t="n"/>
      <c r="P56" s="1" t="n"/>
      <c r="Q56" s="18" t="n"/>
      <c r="R56" s="18" t="n"/>
      <c r="S56" s="18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</row>
    <row r="57" ht="15.75" customHeight="1" s="9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8" t="n"/>
      <c r="N57" s="1" t="n"/>
      <c r="O57" s="1" t="n"/>
      <c r="P57" s="1" t="n"/>
      <c r="Q57" s="18" t="n"/>
      <c r="R57" s="18" t="n"/>
      <c r="S57" s="18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</row>
    <row r="58" ht="15.75" customHeight="1" s="9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8" t="n"/>
      <c r="N58" s="1" t="n"/>
      <c r="O58" s="1" t="n"/>
      <c r="P58" s="1" t="n"/>
      <c r="Q58" s="18" t="n"/>
      <c r="R58" s="18" t="n"/>
      <c r="S58" s="18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</row>
    <row r="59" ht="15.75" customHeight="1" s="9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8" t="n"/>
      <c r="N59" s="1" t="n"/>
      <c r="O59" s="1" t="n"/>
      <c r="P59" s="1" t="n"/>
      <c r="Q59" s="18" t="n"/>
      <c r="R59" s="18" t="n"/>
      <c r="S59" s="18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</row>
    <row r="60" ht="15.75" customHeight="1" s="9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8" t="n"/>
      <c r="N60" s="1" t="n"/>
      <c r="O60" s="1" t="n"/>
      <c r="P60" s="1" t="n"/>
      <c r="Q60" s="18" t="n"/>
      <c r="R60" s="18" t="n"/>
      <c r="S60" s="18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</row>
    <row r="61" ht="15.75" customHeight="1" s="9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8" t="n"/>
      <c r="N61" s="1" t="n"/>
      <c r="O61" s="1" t="n"/>
      <c r="P61" s="1" t="n"/>
      <c r="Q61" s="18" t="n"/>
      <c r="R61" s="18" t="n"/>
      <c r="S61" s="18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</row>
    <row r="62" ht="15.75" customHeight="1" s="9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8" t="n"/>
      <c r="N62" s="1" t="n"/>
      <c r="O62" s="1" t="n"/>
      <c r="P62" s="1" t="n"/>
      <c r="Q62" s="18" t="n"/>
      <c r="R62" s="18" t="n"/>
      <c r="S62" s="18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</row>
    <row r="63" ht="15.75" customHeight="1" s="9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8" t="n"/>
      <c r="N63" s="1" t="n"/>
      <c r="O63" s="1" t="n"/>
      <c r="P63" s="1" t="n"/>
      <c r="Q63" s="18" t="n"/>
      <c r="R63" s="18" t="n"/>
      <c r="S63" s="18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</row>
    <row r="64" ht="15.75" customHeight="1" s="9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8" t="n"/>
      <c r="N64" s="1" t="n"/>
      <c r="O64" s="1" t="n"/>
      <c r="P64" s="1" t="n"/>
      <c r="Q64" s="18" t="n"/>
      <c r="R64" s="18" t="n"/>
      <c r="S64" s="18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</row>
    <row r="65" ht="15.75" customHeight="1" s="9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8" t="n"/>
      <c r="N65" s="1" t="n"/>
      <c r="O65" s="1" t="n"/>
      <c r="P65" s="1" t="n"/>
      <c r="Q65" s="18" t="n"/>
      <c r="R65" s="18" t="n"/>
      <c r="S65" s="18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</row>
    <row r="66" ht="15.75" customHeight="1" s="9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8" t="n"/>
      <c r="N66" s="1" t="n"/>
      <c r="O66" s="1" t="n"/>
      <c r="P66" s="1" t="n"/>
      <c r="Q66" s="18" t="n"/>
      <c r="R66" s="18" t="n"/>
      <c r="S66" s="18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</row>
    <row r="67" ht="15.75" customHeight="1" s="9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8" t="n"/>
      <c r="N67" s="1" t="n"/>
      <c r="O67" s="1" t="n"/>
      <c r="P67" s="1" t="n"/>
      <c r="Q67" s="18" t="n"/>
      <c r="R67" s="18" t="n"/>
      <c r="S67" s="18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</row>
    <row r="68" ht="15.75" customHeight="1" s="9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8" t="n"/>
      <c r="N68" s="1" t="n"/>
      <c r="O68" s="1" t="n"/>
      <c r="P68" s="1" t="n"/>
      <c r="Q68" s="18" t="n"/>
      <c r="R68" s="18" t="n"/>
      <c r="S68" s="18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</row>
    <row r="69" ht="15.75" customHeight="1" s="9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8" t="n"/>
      <c r="N69" s="1" t="n"/>
      <c r="O69" s="1" t="n"/>
      <c r="P69" s="1" t="n"/>
      <c r="Q69" s="18" t="n"/>
      <c r="R69" s="18" t="n"/>
      <c r="S69" s="18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</row>
    <row r="70" ht="15.75" customHeight="1" s="9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8" t="n"/>
      <c r="N70" s="1" t="n"/>
      <c r="O70" s="1" t="n"/>
      <c r="P70" s="1" t="n"/>
      <c r="Q70" s="18" t="n"/>
      <c r="R70" s="18" t="n"/>
      <c r="S70" s="18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</row>
    <row r="71" ht="15.75" customHeight="1" s="9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8" t="n"/>
      <c r="N71" s="1" t="n"/>
      <c r="O71" s="1" t="n"/>
      <c r="P71" s="1" t="n"/>
      <c r="Q71" s="18" t="n"/>
      <c r="R71" s="18" t="n"/>
      <c r="S71" s="18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</row>
    <row r="72" ht="15.75" customHeight="1" s="9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8" t="n"/>
      <c r="N72" s="1" t="n"/>
      <c r="O72" s="1" t="n"/>
      <c r="P72" s="1" t="n"/>
      <c r="Q72" s="18" t="n"/>
      <c r="R72" s="18" t="n"/>
      <c r="S72" s="18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</row>
    <row r="73" ht="15.75" customHeight="1" s="9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8" t="n"/>
      <c r="N73" s="1" t="n"/>
      <c r="O73" s="1" t="n"/>
      <c r="P73" s="1" t="n"/>
      <c r="Q73" s="18" t="n"/>
      <c r="R73" s="18" t="n"/>
      <c r="S73" s="18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</row>
    <row r="74" ht="15.75" customHeight="1" s="9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8" t="n"/>
      <c r="N74" s="1" t="n"/>
      <c r="O74" s="1" t="n"/>
      <c r="P74" s="1" t="n"/>
      <c r="Q74" s="18" t="n"/>
      <c r="R74" s="18" t="n"/>
      <c r="S74" s="18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</row>
    <row r="75" ht="15.75" customHeight="1" s="9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8" t="n"/>
      <c r="N75" s="1" t="n"/>
      <c r="O75" s="1" t="n"/>
      <c r="P75" s="1" t="n"/>
      <c r="Q75" s="18" t="n"/>
      <c r="R75" s="18" t="n"/>
      <c r="S75" s="18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</row>
    <row r="76" ht="15.75" customHeight="1" s="9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8" t="n"/>
      <c r="N76" s="1" t="n"/>
      <c r="O76" s="1" t="n"/>
      <c r="P76" s="1" t="n"/>
      <c r="Q76" s="18" t="n"/>
      <c r="R76" s="18" t="n"/>
      <c r="S76" s="18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</row>
    <row r="77" ht="15.75" customHeight="1" s="9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8" t="n"/>
      <c r="N77" s="1" t="n"/>
      <c r="O77" s="1" t="n"/>
      <c r="P77" s="1" t="n"/>
      <c r="Q77" s="18" t="n"/>
      <c r="R77" s="18" t="n"/>
      <c r="S77" s="18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</row>
    <row r="78" ht="15.75" customHeight="1" s="9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8" t="n"/>
      <c r="N78" s="1" t="n"/>
      <c r="O78" s="1" t="n"/>
      <c r="P78" s="1" t="n"/>
      <c r="Q78" s="18" t="n"/>
      <c r="R78" s="18" t="n"/>
      <c r="S78" s="18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</row>
    <row r="79" ht="15.75" customHeight="1" s="9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8" t="n"/>
      <c r="N79" s="1" t="n"/>
      <c r="O79" s="1" t="n"/>
      <c r="P79" s="1" t="n"/>
      <c r="Q79" s="18" t="n"/>
      <c r="R79" s="18" t="n"/>
      <c r="S79" s="18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</row>
    <row r="80" ht="15.75" customHeight="1" s="9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8" t="n"/>
      <c r="N80" s="1" t="n"/>
      <c r="O80" s="1" t="n"/>
      <c r="P80" s="1" t="n"/>
      <c r="Q80" s="18" t="n"/>
      <c r="R80" s="18" t="n"/>
      <c r="S80" s="18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</row>
    <row r="81" ht="15.75" customHeight="1" s="9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8" t="n"/>
      <c r="N81" s="1" t="n"/>
      <c r="O81" s="1" t="n"/>
      <c r="P81" s="1" t="n"/>
      <c r="Q81" s="18" t="n"/>
      <c r="R81" s="18" t="n"/>
      <c r="S81" s="18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</row>
    <row r="82" ht="15.75" customHeight="1" s="9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8" t="n"/>
      <c r="N82" s="1" t="n"/>
      <c r="O82" s="1" t="n"/>
      <c r="P82" s="1" t="n"/>
      <c r="Q82" s="18" t="n"/>
      <c r="R82" s="18" t="n"/>
      <c r="S82" s="18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</row>
    <row r="83" ht="15.75" customHeight="1" s="9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8" t="n"/>
      <c r="N83" s="1" t="n"/>
      <c r="O83" s="1" t="n"/>
      <c r="P83" s="1" t="n"/>
      <c r="Q83" s="18" t="n"/>
      <c r="R83" s="18" t="n"/>
      <c r="S83" s="18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</row>
    <row r="84" ht="15.75" customHeight="1" s="9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8" t="n"/>
      <c r="N84" s="1" t="n"/>
      <c r="O84" s="1" t="n"/>
      <c r="P84" s="1" t="n"/>
      <c r="Q84" s="18" t="n"/>
      <c r="R84" s="18" t="n"/>
      <c r="S84" s="18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</row>
    <row r="85" ht="15.75" customHeight="1" s="9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8" t="n"/>
      <c r="N85" s="1" t="n"/>
      <c r="O85" s="1" t="n"/>
      <c r="P85" s="1" t="n"/>
      <c r="Q85" s="18" t="n"/>
      <c r="R85" s="18" t="n"/>
      <c r="S85" s="18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</row>
    <row r="86" ht="15.75" customHeight="1" s="9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8" t="n"/>
      <c r="N86" s="1" t="n"/>
      <c r="O86" s="1" t="n"/>
      <c r="P86" s="1" t="n"/>
      <c r="Q86" s="18" t="n"/>
      <c r="R86" s="18" t="n"/>
      <c r="S86" s="18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</row>
    <row r="87" ht="15.75" customHeight="1" s="9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8" t="n"/>
      <c r="N87" s="1" t="n"/>
      <c r="O87" s="1" t="n"/>
      <c r="P87" s="1" t="n"/>
      <c r="Q87" s="18" t="n"/>
      <c r="R87" s="18" t="n"/>
      <c r="S87" s="18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</row>
    <row r="88" ht="15.75" customHeight="1" s="9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8" t="n"/>
      <c r="N88" s="1" t="n"/>
      <c r="O88" s="1" t="n"/>
      <c r="P88" s="1" t="n"/>
      <c r="Q88" s="18" t="n"/>
      <c r="R88" s="18" t="n"/>
      <c r="S88" s="18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</row>
    <row r="89" ht="15.75" customHeight="1" s="9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8" t="n"/>
      <c r="N89" s="1" t="n"/>
      <c r="O89" s="1" t="n"/>
      <c r="P89" s="1" t="n"/>
      <c r="Q89" s="18" t="n"/>
      <c r="R89" s="18" t="n"/>
      <c r="S89" s="18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</row>
    <row r="90" ht="15.75" customHeight="1" s="9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8" t="n"/>
      <c r="N90" s="1" t="n"/>
      <c r="O90" s="1" t="n"/>
      <c r="P90" s="1" t="n"/>
      <c r="Q90" s="18" t="n"/>
      <c r="R90" s="18" t="n"/>
      <c r="S90" s="18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</row>
    <row r="91" ht="15.75" customHeight="1" s="9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8" t="n"/>
      <c r="N91" s="1" t="n"/>
      <c r="O91" s="1" t="n"/>
      <c r="P91" s="1" t="n"/>
      <c r="Q91" s="18" t="n"/>
      <c r="R91" s="18" t="n"/>
      <c r="S91" s="18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</row>
    <row r="92" ht="15.75" customHeight="1" s="9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8" t="n"/>
      <c r="N92" s="1" t="n"/>
      <c r="O92" s="1" t="n"/>
      <c r="P92" s="1" t="n"/>
      <c r="Q92" s="18" t="n"/>
      <c r="R92" s="18" t="n"/>
      <c r="S92" s="18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</row>
    <row r="93" ht="15.75" customHeight="1" s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8" t="n"/>
      <c r="N93" s="1" t="n"/>
      <c r="O93" s="1" t="n"/>
      <c r="P93" s="1" t="n"/>
      <c r="Q93" s="18" t="n"/>
      <c r="R93" s="18" t="n"/>
      <c r="S93" s="18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</row>
    <row r="94" ht="15.75" customHeight="1" s="9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8" t="n"/>
      <c r="N94" s="1" t="n"/>
      <c r="O94" s="1" t="n"/>
      <c r="P94" s="1" t="n"/>
      <c r="Q94" s="18" t="n"/>
      <c r="R94" s="18" t="n"/>
      <c r="S94" s="18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</row>
    <row r="95" ht="15.75" customHeight="1" s="9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8" t="n"/>
      <c r="N95" s="1" t="n"/>
      <c r="O95" s="1" t="n"/>
      <c r="P95" s="1" t="n"/>
      <c r="Q95" s="18" t="n"/>
      <c r="R95" s="18" t="n"/>
      <c r="S95" s="18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</row>
    <row r="96" ht="15.75" customHeight="1" s="9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8" t="n"/>
      <c r="N96" s="1" t="n"/>
      <c r="O96" s="1" t="n"/>
      <c r="P96" s="1" t="n"/>
      <c r="Q96" s="18" t="n"/>
      <c r="R96" s="18" t="n"/>
      <c r="S96" s="18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</row>
    <row r="97" ht="15.75" customHeight="1" s="9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8" t="n"/>
      <c r="N97" s="1" t="n"/>
      <c r="O97" s="1" t="n"/>
      <c r="P97" s="1" t="n"/>
      <c r="Q97" s="18" t="n"/>
      <c r="R97" s="18" t="n"/>
      <c r="S97" s="18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</row>
    <row r="98" ht="15.75" customHeight="1" s="9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8" t="n"/>
      <c r="N98" s="1" t="n"/>
      <c r="O98" s="1" t="n"/>
      <c r="P98" s="1" t="n"/>
      <c r="Q98" s="18" t="n"/>
      <c r="R98" s="18" t="n"/>
      <c r="S98" s="18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</row>
    <row r="99" ht="15.75" customHeight="1" s="9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8" t="n"/>
      <c r="N99" s="1" t="n"/>
      <c r="O99" s="1" t="n"/>
      <c r="P99" s="1" t="n"/>
      <c r="Q99" s="18" t="n"/>
      <c r="R99" s="18" t="n"/>
      <c r="S99" s="18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</row>
    <row r="100" ht="15.75" customHeight="1" s="9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8" t="n"/>
      <c r="N100" s="1" t="n"/>
      <c r="O100" s="1" t="n"/>
      <c r="P100" s="1" t="n"/>
      <c r="Q100" s="18" t="n"/>
      <c r="R100" s="18" t="n"/>
      <c r="S100" s="18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</row>
    <row r="101" ht="15.75" customHeight="1" s="9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8" t="n"/>
      <c r="N101" s="1" t="n"/>
      <c r="O101" s="1" t="n"/>
      <c r="P101" s="1" t="n"/>
      <c r="Q101" s="18" t="n"/>
      <c r="R101" s="18" t="n"/>
      <c r="S101" s="18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</row>
    <row r="102" ht="15.75" customHeight="1" s="9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8" t="n"/>
      <c r="N102" s="1" t="n"/>
      <c r="O102" s="1" t="n"/>
      <c r="P102" s="1" t="n"/>
      <c r="Q102" s="18" t="n"/>
      <c r="R102" s="18" t="n"/>
      <c r="S102" s="18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</row>
    <row r="103" ht="15.75" customHeight="1" s="9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8" t="n"/>
      <c r="N103" s="1" t="n"/>
      <c r="O103" s="1" t="n"/>
      <c r="P103" s="1" t="n"/>
      <c r="Q103" s="18" t="n"/>
      <c r="R103" s="18" t="n"/>
      <c r="S103" s="18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</row>
    <row r="104" ht="15.75" customHeight="1" s="9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8" t="n"/>
      <c r="N104" s="1" t="n"/>
      <c r="O104" s="1" t="n"/>
      <c r="P104" s="1" t="n"/>
      <c r="Q104" s="18" t="n"/>
      <c r="R104" s="18" t="n"/>
      <c r="S104" s="18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</row>
    <row r="105" ht="15.75" customHeight="1" s="9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8" t="n"/>
      <c r="N105" s="1" t="n"/>
      <c r="O105" s="1" t="n"/>
      <c r="P105" s="1" t="n"/>
      <c r="Q105" s="18" t="n"/>
      <c r="R105" s="18" t="n"/>
      <c r="S105" s="18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</row>
    <row r="106" ht="15.75" customHeight="1" s="9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8" t="n"/>
      <c r="N106" s="1" t="n"/>
      <c r="O106" s="1" t="n"/>
      <c r="P106" s="1" t="n"/>
      <c r="Q106" s="18" t="n"/>
      <c r="R106" s="18" t="n"/>
      <c r="S106" s="18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</row>
    <row r="107" ht="15.75" customHeight="1" s="9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8" t="n"/>
      <c r="N107" s="1" t="n"/>
      <c r="O107" s="1" t="n"/>
      <c r="P107" s="1" t="n"/>
      <c r="Q107" s="18" t="n"/>
      <c r="R107" s="18" t="n"/>
      <c r="S107" s="18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</row>
    <row r="108" ht="15.75" customHeight="1" s="9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8" t="n"/>
      <c r="N108" s="1" t="n"/>
      <c r="O108" s="1" t="n"/>
      <c r="P108" s="1" t="n"/>
      <c r="Q108" s="18" t="n"/>
      <c r="R108" s="18" t="n"/>
      <c r="S108" s="18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</row>
    <row r="109" ht="15.75" customHeight="1" s="9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8" t="n"/>
      <c r="N109" s="1" t="n"/>
      <c r="O109" s="1" t="n"/>
      <c r="P109" s="1" t="n"/>
      <c r="Q109" s="18" t="n"/>
      <c r="R109" s="18" t="n"/>
      <c r="S109" s="18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</row>
    <row r="110" ht="15.75" customHeight="1" s="9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8" t="n"/>
      <c r="N110" s="1" t="n"/>
      <c r="O110" s="1" t="n"/>
      <c r="P110" s="1" t="n"/>
      <c r="Q110" s="18" t="n"/>
      <c r="R110" s="18" t="n"/>
      <c r="S110" s="18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</row>
    <row r="111" ht="15.75" customHeight="1" s="9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8" t="n"/>
      <c r="N111" s="1" t="n"/>
      <c r="O111" s="1" t="n"/>
      <c r="P111" s="1" t="n"/>
      <c r="Q111" s="18" t="n"/>
      <c r="R111" s="18" t="n"/>
      <c r="S111" s="18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</row>
    <row r="112" ht="15.75" customHeight="1" s="9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8" t="n"/>
      <c r="N112" s="1" t="n"/>
      <c r="O112" s="1" t="n"/>
      <c r="P112" s="1" t="n"/>
      <c r="Q112" s="18" t="n"/>
      <c r="R112" s="18" t="n"/>
      <c r="S112" s="18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</row>
    <row r="113" ht="15.75" customHeight="1" s="9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8" t="n"/>
      <c r="N113" s="1" t="n"/>
      <c r="O113" s="1" t="n"/>
      <c r="P113" s="1" t="n"/>
      <c r="Q113" s="18" t="n"/>
      <c r="R113" s="18" t="n"/>
      <c r="S113" s="18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</row>
    <row r="114" ht="15.75" customHeight="1" s="9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8" t="n"/>
      <c r="N114" s="1" t="n"/>
      <c r="O114" s="1" t="n"/>
      <c r="P114" s="1" t="n"/>
      <c r="Q114" s="18" t="n"/>
      <c r="R114" s="18" t="n"/>
      <c r="S114" s="18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</row>
    <row r="115" ht="15.75" customHeight="1" s="9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8" t="n"/>
      <c r="N115" s="1" t="n"/>
      <c r="O115" s="1" t="n"/>
      <c r="P115" s="1" t="n"/>
      <c r="Q115" s="18" t="n"/>
      <c r="R115" s="18" t="n"/>
      <c r="S115" s="18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</row>
    <row r="116" ht="15.75" customHeight="1" s="9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8" t="n"/>
      <c r="N116" s="1" t="n"/>
      <c r="O116" s="1" t="n"/>
      <c r="P116" s="1" t="n"/>
      <c r="Q116" s="18" t="n"/>
      <c r="R116" s="18" t="n"/>
      <c r="S116" s="18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</row>
    <row r="117" ht="15.75" customHeight="1" s="9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8" t="n"/>
      <c r="N117" s="1" t="n"/>
      <c r="O117" s="1" t="n"/>
      <c r="P117" s="1" t="n"/>
      <c r="Q117" s="18" t="n"/>
      <c r="R117" s="18" t="n"/>
      <c r="S117" s="18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</row>
    <row r="118" ht="15.75" customHeight="1" s="9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8" t="n"/>
      <c r="N118" s="1" t="n"/>
      <c r="O118" s="1" t="n"/>
      <c r="P118" s="1" t="n"/>
      <c r="Q118" s="18" t="n"/>
      <c r="R118" s="18" t="n"/>
      <c r="S118" s="18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</row>
    <row r="119" ht="15.75" customHeight="1" s="9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8" t="n"/>
      <c r="N119" s="1" t="n"/>
      <c r="O119" s="1" t="n"/>
      <c r="P119" s="1" t="n"/>
      <c r="Q119" s="18" t="n"/>
      <c r="R119" s="18" t="n"/>
      <c r="S119" s="18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</row>
    <row r="120" ht="15.75" customHeight="1" s="9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8" t="n"/>
      <c r="N120" s="1" t="n"/>
      <c r="O120" s="1" t="n"/>
      <c r="P120" s="1" t="n"/>
      <c r="Q120" s="18" t="n"/>
      <c r="R120" s="18" t="n"/>
      <c r="S120" s="18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</row>
    <row r="121" ht="15.75" customHeight="1" s="9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8" t="n"/>
      <c r="N121" s="1" t="n"/>
      <c r="O121" s="1" t="n"/>
      <c r="P121" s="1" t="n"/>
      <c r="Q121" s="18" t="n"/>
      <c r="R121" s="18" t="n"/>
      <c r="S121" s="18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</row>
    <row r="122" ht="15.75" customHeight="1" s="9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8" t="n"/>
      <c r="N122" s="1" t="n"/>
      <c r="O122" s="1" t="n"/>
      <c r="P122" s="1" t="n"/>
      <c r="Q122" s="18" t="n"/>
      <c r="R122" s="18" t="n"/>
      <c r="S122" s="18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</row>
    <row r="123" ht="15.75" customHeight="1" s="9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8" t="n"/>
      <c r="N123" s="1" t="n"/>
      <c r="O123" s="1" t="n"/>
      <c r="P123" s="1" t="n"/>
      <c r="Q123" s="18" t="n"/>
      <c r="R123" s="18" t="n"/>
      <c r="S123" s="18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</row>
    <row r="124" ht="15.75" customHeight="1" s="9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8" t="n"/>
      <c r="N124" s="1" t="n"/>
      <c r="O124" s="1" t="n"/>
      <c r="P124" s="1" t="n"/>
      <c r="Q124" s="18" t="n"/>
      <c r="R124" s="18" t="n"/>
      <c r="S124" s="18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</row>
    <row r="125" ht="15.75" customHeight="1" s="9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8" t="n"/>
      <c r="N125" s="1" t="n"/>
      <c r="O125" s="1" t="n"/>
      <c r="P125" s="1" t="n"/>
      <c r="Q125" s="18" t="n"/>
      <c r="R125" s="18" t="n"/>
      <c r="S125" s="18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</row>
    <row r="126" ht="15.75" customHeight="1" s="9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8" t="n"/>
      <c r="N126" s="1" t="n"/>
      <c r="O126" s="1" t="n"/>
      <c r="P126" s="1" t="n"/>
      <c r="Q126" s="18" t="n"/>
      <c r="R126" s="18" t="n"/>
      <c r="S126" s="18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</row>
    <row r="127" ht="15.75" customHeight="1" s="9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8" t="n"/>
      <c r="N127" s="1" t="n"/>
      <c r="O127" s="1" t="n"/>
      <c r="P127" s="1" t="n"/>
      <c r="Q127" s="18" t="n"/>
      <c r="R127" s="18" t="n"/>
      <c r="S127" s="18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</row>
    <row r="128" ht="15.75" customHeight="1" s="9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8" t="n"/>
      <c r="N128" s="1" t="n"/>
      <c r="O128" s="1" t="n"/>
      <c r="P128" s="1" t="n"/>
      <c r="Q128" s="18" t="n"/>
      <c r="R128" s="18" t="n"/>
      <c r="S128" s="18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</row>
    <row r="129" ht="15.75" customHeight="1" s="9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8" t="n"/>
      <c r="N129" s="1" t="n"/>
      <c r="O129" s="1" t="n"/>
      <c r="P129" s="1" t="n"/>
      <c r="Q129" s="18" t="n"/>
      <c r="R129" s="18" t="n"/>
      <c r="S129" s="18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</row>
    <row r="130" ht="15.75" customHeight="1" s="9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8" t="n"/>
      <c r="N130" s="1" t="n"/>
      <c r="O130" s="1" t="n"/>
      <c r="P130" s="1" t="n"/>
      <c r="Q130" s="18" t="n"/>
      <c r="R130" s="18" t="n"/>
      <c r="S130" s="18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</row>
    <row r="131" ht="15.75" customHeight="1" s="9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8" t="n"/>
      <c r="N131" s="1" t="n"/>
      <c r="O131" s="1" t="n"/>
      <c r="P131" s="1" t="n"/>
      <c r="Q131" s="18" t="n"/>
      <c r="R131" s="18" t="n"/>
      <c r="S131" s="18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</row>
    <row r="132" ht="15.75" customHeight="1" s="9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8" t="n"/>
      <c r="N132" s="1" t="n"/>
      <c r="O132" s="1" t="n"/>
      <c r="P132" s="1" t="n"/>
      <c r="Q132" s="18" t="n"/>
      <c r="R132" s="18" t="n"/>
      <c r="S132" s="18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</row>
    <row r="133" ht="15.75" customHeight="1" s="9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8" t="n"/>
      <c r="N133" s="1" t="n"/>
      <c r="O133" s="1" t="n"/>
      <c r="P133" s="1" t="n"/>
      <c r="Q133" s="18" t="n"/>
      <c r="R133" s="18" t="n"/>
      <c r="S133" s="18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</row>
    <row r="134" ht="15.75" customHeight="1" s="9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8" t="n"/>
      <c r="N134" s="1" t="n"/>
      <c r="O134" s="1" t="n"/>
      <c r="P134" s="1" t="n"/>
      <c r="Q134" s="18" t="n"/>
      <c r="R134" s="18" t="n"/>
      <c r="S134" s="18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</row>
    <row r="135" ht="15.75" customHeight="1" s="9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8" t="n"/>
      <c r="N135" s="1" t="n"/>
      <c r="O135" s="1" t="n"/>
      <c r="P135" s="1" t="n"/>
      <c r="Q135" s="18" t="n"/>
      <c r="R135" s="18" t="n"/>
      <c r="S135" s="18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</row>
    <row r="136" ht="15.75" customHeight="1" s="9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8" t="n"/>
      <c r="N136" s="1" t="n"/>
      <c r="O136" s="1" t="n"/>
      <c r="P136" s="1" t="n"/>
      <c r="Q136" s="18" t="n"/>
      <c r="R136" s="18" t="n"/>
      <c r="S136" s="18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</row>
    <row r="137" ht="15.75" customHeight="1" s="9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8" t="n"/>
      <c r="N137" s="1" t="n"/>
      <c r="O137" s="1" t="n"/>
      <c r="P137" s="1" t="n"/>
      <c r="Q137" s="18" t="n"/>
      <c r="R137" s="18" t="n"/>
      <c r="S137" s="18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</row>
    <row r="138" ht="15.75" customHeight="1" s="9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8" t="n"/>
      <c r="N138" s="1" t="n"/>
      <c r="O138" s="1" t="n"/>
      <c r="P138" s="1" t="n"/>
      <c r="Q138" s="18" t="n"/>
      <c r="R138" s="18" t="n"/>
      <c r="S138" s="18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</row>
    <row r="139" ht="15.75" customHeight="1" s="9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8" t="n"/>
      <c r="N139" s="1" t="n"/>
      <c r="O139" s="1" t="n"/>
      <c r="P139" s="1" t="n"/>
      <c r="Q139" s="18" t="n"/>
      <c r="R139" s="18" t="n"/>
      <c r="S139" s="18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</row>
    <row r="140" ht="15.75" customHeight="1" s="9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8" t="n"/>
      <c r="N140" s="1" t="n"/>
      <c r="O140" s="1" t="n"/>
      <c r="P140" s="1" t="n"/>
      <c r="Q140" s="18" t="n"/>
      <c r="R140" s="18" t="n"/>
      <c r="S140" s="18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</row>
    <row r="141" ht="15.75" customHeight="1" s="9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8" t="n"/>
      <c r="N141" s="1" t="n"/>
      <c r="O141" s="1" t="n"/>
      <c r="P141" s="1" t="n"/>
      <c r="Q141" s="18" t="n"/>
      <c r="R141" s="18" t="n"/>
      <c r="S141" s="18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</row>
    <row r="142" ht="15.75" customHeight="1" s="9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8" t="n"/>
      <c r="N142" s="1" t="n"/>
      <c r="O142" s="1" t="n"/>
      <c r="P142" s="1" t="n"/>
      <c r="Q142" s="18" t="n"/>
      <c r="R142" s="18" t="n"/>
      <c r="S142" s="18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</row>
    <row r="143" ht="15.75" customHeight="1" s="9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8" t="n"/>
      <c r="N143" s="1" t="n"/>
      <c r="O143" s="1" t="n"/>
      <c r="P143" s="1" t="n"/>
      <c r="Q143" s="18" t="n"/>
      <c r="R143" s="18" t="n"/>
      <c r="S143" s="18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</row>
    <row r="144" ht="15.75" customHeight="1" s="9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8" t="n"/>
      <c r="N144" s="1" t="n"/>
      <c r="O144" s="1" t="n"/>
      <c r="P144" s="1" t="n"/>
      <c r="Q144" s="18" t="n"/>
      <c r="R144" s="18" t="n"/>
      <c r="S144" s="18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</row>
    <row r="145" ht="15.75" customHeight="1" s="9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8" t="n"/>
      <c r="N145" s="1" t="n"/>
      <c r="O145" s="1" t="n"/>
      <c r="P145" s="1" t="n"/>
      <c r="Q145" s="18" t="n"/>
      <c r="R145" s="18" t="n"/>
      <c r="S145" s="18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</row>
    <row r="146" ht="15.75" customHeight="1" s="9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8" t="n"/>
      <c r="N146" s="1" t="n"/>
      <c r="O146" s="1" t="n"/>
      <c r="P146" s="1" t="n"/>
      <c r="Q146" s="18" t="n"/>
      <c r="R146" s="18" t="n"/>
      <c r="S146" s="18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</row>
    <row r="147" ht="15.75" customHeight="1" s="9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8" t="n"/>
      <c r="N147" s="1" t="n"/>
      <c r="O147" s="1" t="n"/>
      <c r="P147" s="1" t="n"/>
      <c r="Q147" s="18" t="n"/>
      <c r="R147" s="18" t="n"/>
      <c r="S147" s="18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</row>
    <row r="148" ht="15.75" customHeight="1" s="9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8" t="n"/>
      <c r="N148" s="1" t="n"/>
      <c r="O148" s="1" t="n"/>
      <c r="P148" s="1" t="n"/>
      <c r="Q148" s="18" t="n"/>
      <c r="R148" s="18" t="n"/>
      <c r="S148" s="18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</row>
    <row r="149" ht="15.75" customHeight="1" s="9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8" t="n"/>
      <c r="N149" s="1" t="n"/>
      <c r="O149" s="1" t="n"/>
      <c r="P149" s="1" t="n"/>
      <c r="Q149" s="18" t="n"/>
      <c r="R149" s="18" t="n"/>
      <c r="S149" s="18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</row>
    <row r="150" ht="15.75" customHeight="1" s="9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8" t="n"/>
      <c r="N150" s="1" t="n"/>
      <c r="O150" s="1" t="n"/>
      <c r="P150" s="1" t="n"/>
      <c r="Q150" s="18" t="n"/>
      <c r="R150" s="18" t="n"/>
      <c r="S150" s="18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</row>
    <row r="151" ht="15.75" customHeight="1" s="9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8" t="n"/>
      <c r="N151" s="1" t="n"/>
      <c r="O151" s="1" t="n"/>
      <c r="P151" s="1" t="n"/>
      <c r="Q151" s="18" t="n"/>
      <c r="R151" s="18" t="n"/>
      <c r="S151" s="18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</row>
    <row r="152" ht="15.75" customHeight="1" s="9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8" t="n"/>
      <c r="N152" s="1" t="n"/>
      <c r="O152" s="1" t="n"/>
      <c r="P152" s="1" t="n"/>
      <c r="Q152" s="18" t="n"/>
      <c r="R152" s="18" t="n"/>
      <c r="S152" s="18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</row>
    <row r="153" ht="15.75" customHeight="1" s="9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8" t="n"/>
      <c r="N153" s="1" t="n"/>
      <c r="O153" s="1" t="n"/>
      <c r="P153" s="1" t="n"/>
      <c r="Q153" s="18" t="n"/>
      <c r="R153" s="18" t="n"/>
      <c r="S153" s="18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</row>
    <row r="154" ht="15.75" customHeight="1" s="9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8" t="n"/>
      <c r="N154" s="1" t="n"/>
      <c r="O154" s="1" t="n"/>
      <c r="P154" s="1" t="n"/>
      <c r="Q154" s="18" t="n"/>
      <c r="R154" s="18" t="n"/>
      <c r="S154" s="18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</row>
    <row r="155" ht="15.75" customHeight="1" s="9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8" t="n"/>
      <c r="N155" s="1" t="n"/>
      <c r="O155" s="1" t="n"/>
      <c r="P155" s="1" t="n"/>
      <c r="Q155" s="18" t="n"/>
      <c r="R155" s="18" t="n"/>
      <c r="S155" s="18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</row>
    <row r="156" ht="15.75" customHeight="1" s="9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8" t="n"/>
      <c r="N156" s="1" t="n"/>
      <c r="O156" s="1" t="n"/>
      <c r="P156" s="1" t="n"/>
      <c r="Q156" s="18" t="n"/>
      <c r="R156" s="18" t="n"/>
      <c r="S156" s="18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</row>
    <row r="157" ht="15.75" customHeight="1" s="9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8" t="n"/>
      <c r="N157" s="1" t="n"/>
      <c r="O157" s="1" t="n"/>
      <c r="P157" s="1" t="n"/>
      <c r="Q157" s="18" t="n"/>
      <c r="R157" s="18" t="n"/>
      <c r="S157" s="18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</row>
    <row r="158" ht="15.75" customHeight="1" s="9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8" t="n"/>
      <c r="N158" s="1" t="n"/>
      <c r="O158" s="1" t="n"/>
      <c r="P158" s="1" t="n"/>
      <c r="Q158" s="18" t="n"/>
      <c r="R158" s="18" t="n"/>
      <c r="S158" s="18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</row>
    <row r="159" ht="15.75" customHeight="1" s="9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8" t="n"/>
      <c r="N159" s="1" t="n"/>
      <c r="O159" s="1" t="n"/>
      <c r="P159" s="1" t="n"/>
      <c r="Q159" s="18" t="n"/>
      <c r="R159" s="18" t="n"/>
      <c r="S159" s="18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</row>
    <row r="160" ht="15.75" customHeight="1" s="9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8" t="n"/>
      <c r="N160" s="1" t="n"/>
      <c r="O160" s="1" t="n"/>
      <c r="P160" s="1" t="n"/>
      <c r="Q160" s="18" t="n"/>
      <c r="R160" s="18" t="n"/>
      <c r="S160" s="18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</row>
    <row r="161" ht="15.75" customHeight="1" s="9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8" t="n"/>
      <c r="N161" s="1" t="n"/>
      <c r="O161" s="1" t="n"/>
      <c r="P161" s="1" t="n"/>
      <c r="Q161" s="18" t="n"/>
      <c r="R161" s="18" t="n"/>
      <c r="S161" s="18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</row>
    <row r="162" ht="15.75" customHeight="1" s="9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8" t="n"/>
      <c r="N162" s="1" t="n"/>
      <c r="O162" s="1" t="n"/>
      <c r="P162" s="1" t="n"/>
      <c r="Q162" s="18" t="n"/>
      <c r="R162" s="18" t="n"/>
      <c r="S162" s="18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</row>
    <row r="163" ht="15.75" customHeight="1" s="9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8" t="n"/>
      <c r="N163" s="1" t="n"/>
      <c r="O163" s="1" t="n"/>
      <c r="P163" s="1" t="n"/>
      <c r="Q163" s="18" t="n"/>
      <c r="R163" s="18" t="n"/>
      <c r="S163" s="18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</row>
    <row r="164" ht="15.75" customHeight="1" s="9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8" t="n"/>
      <c r="N164" s="1" t="n"/>
      <c r="O164" s="1" t="n"/>
      <c r="P164" s="1" t="n"/>
      <c r="Q164" s="18" t="n"/>
      <c r="R164" s="18" t="n"/>
      <c r="S164" s="18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</row>
    <row r="165" ht="15.75" customHeight="1" s="9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8" t="n"/>
      <c r="N165" s="1" t="n"/>
      <c r="O165" s="1" t="n"/>
      <c r="P165" s="1" t="n"/>
      <c r="Q165" s="18" t="n"/>
      <c r="R165" s="18" t="n"/>
      <c r="S165" s="18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</row>
    <row r="166" ht="15.75" customHeight="1" s="9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8" t="n"/>
      <c r="N166" s="1" t="n"/>
      <c r="O166" s="1" t="n"/>
      <c r="P166" s="1" t="n"/>
      <c r="Q166" s="18" t="n"/>
      <c r="R166" s="18" t="n"/>
      <c r="S166" s="18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</row>
    <row r="167" ht="15.75" customHeight="1" s="9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8" t="n"/>
      <c r="N167" s="1" t="n"/>
      <c r="O167" s="1" t="n"/>
      <c r="P167" s="1" t="n"/>
      <c r="Q167" s="18" t="n"/>
      <c r="R167" s="18" t="n"/>
      <c r="S167" s="18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</row>
    <row r="168" ht="15.75" customHeight="1" s="9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8" t="n"/>
      <c r="N168" s="1" t="n"/>
      <c r="O168" s="1" t="n"/>
      <c r="P168" s="1" t="n"/>
      <c r="Q168" s="18" t="n"/>
      <c r="R168" s="18" t="n"/>
      <c r="S168" s="18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</row>
    <row r="169" ht="15.75" customHeight="1" s="9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8" t="n"/>
      <c r="N169" s="1" t="n"/>
      <c r="O169" s="1" t="n"/>
      <c r="P169" s="1" t="n"/>
      <c r="Q169" s="18" t="n"/>
      <c r="R169" s="18" t="n"/>
      <c r="S169" s="18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</row>
    <row r="170" ht="15.75" customHeight="1" s="9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8" t="n"/>
      <c r="N170" s="1" t="n"/>
      <c r="O170" s="1" t="n"/>
      <c r="P170" s="1" t="n"/>
      <c r="Q170" s="18" t="n"/>
      <c r="R170" s="18" t="n"/>
      <c r="S170" s="18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</row>
    <row r="171" ht="15.75" customHeight="1" s="9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8" t="n"/>
      <c r="N171" s="1" t="n"/>
      <c r="O171" s="1" t="n"/>
      <c r="P171" s="1" t="n"/>
      <c r="Q171" s="18" t="n"/>
      <c r="R171" s="18" t="n"/>
      <c r="S171" s="18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</row>
    <row r="172" ht="15.75" customHeight="1" s="9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8" t="n"/>
      <c r="N172" s="1" t="n"/>
      <c r="O172" s="1" t="n"/>
      <c r="P172" s="1" t="n"/>
      <c r="Q172" s="18" t="n"/>
      <c r="R172" s="18" t="n"/>
      <c r="S172" s="18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</row>
    <row r="173" ht="15.75" customHeight="1" s="9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8" t="n"/>
      <c r="N173" s="1" t="n"/>
      <c r="O173" s="1" t="n"/>
      <c r="P173" s="1" t="n"/>
      <c r="Q173" s="18" t="n"/>
      <c r="R173" s="18" t="n"/>
      <c r="S173" s="18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</row>
    <row r="174" ht="15.75" customHeight="1" s="9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8" t="n"/>
      <c r="N174" s="1" t="n"/>
      <c r="O174" s="1" t="n"/>
      <c r="P174" s="1" t="n"/>
      <c r="Q174" s="18" t="n"/>
      <c r="R174" s="18" t="n"/>
      <c r="S174" s="18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</row>
    <row r="175" ht="15.75" customHeight="1" s="9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8" t="n"/>
      <c r="N175" s="1" t="n"/>
      <c r="O175" s="1" t="n"/>
      <c r="P175" s="1" t="n"/>
      <c r="Q175" s="18" t="n"/>
      <c r="R175" s="18" t="n"/>
      <c r="S175" s="18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</row>
    <row r="176" ht="15.75" customHeight="1" s="9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8" t="n"/>
      <c r="N176" s="1" t="n"/>
      <c r="O176" s="1" t="n"/>
      <c r="P176" s="1" t="n"/>
      <c r="Q176" s="18" t="n"/>
      <c r="R176" s="18" t="n"/>
      <c r="S176" s="18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</row>
    <row r="177" ht="15.75" customHeight="1" s="9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8" t="n"/>
      <c r="N177" s="1" t="n"/>
      <c r="O177" s="1" t="n"/>
      <c r="P177" s="1" t="n"/>
      <c r="Q177" s="18" t="n"/>
      <c r="R177" s="18" t="n"/>
      <c r="S177" s="18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</row>
    <row r="178" ht="15.75" customHeight="1" s="9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8" t="n"/>
      <c r="N178" s="1" t="n"/>
      <c r="O178" s="1" t="n"/>
      <c r="P178" s="1" t="n"/>
      <c r="Q178" s="18" t="n"/>
      <c r="R178" s="18" t="n"/>
      <c r="S178" s="18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</row>
    <row r="179" ht="15.75" customHeight="1" s="9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8" t="n"/>
      <c r="N179" s="1" t="n"/>
      <c r="O179" s="1" t="n"/>
      <c r="P179" s="1" t="n"/>
      <c r="Q179" s="18" t="n"/>
      <c r="R179" s="18" t="n"/>
      <c r="S179" s="18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</row>
    <row r="180" ht="15.75" customHeight="1" s="9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8" t="n"/>
      <c r="N180" s="1" t="n"/>
      <c r="O180" s="1" t="n"/>
      <c r="P180" s="1" t="n"/>
      <c r="Q180" s="18" t="n"/>
      <c r="R180" s="18" t="n"/>
      <c r="S180" s="18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</row>
    <row r="181" ht="15.75" customHeight="1" s="9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8" t="n"/>
      <c r="N181" s="1" t="n"/>
      <c r="O181" s="1" t="n"/>
      <c r="P181" s="1" t="n"/>
      <c r="Q181" s="18" t="n"/>
      <c r="R181" s="18" t="n"/>
      <c r="S181" s="18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</row>
    <row r="182" ht="15.75" customHeight="1" s="9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8" t="n"/>
      <c r="N182" s="1" t="n"/>
      <c r="O182" s="1" t="n"/>
      <c r="P182" s="1" t="n"/>
      <c r="Q182" s="18" t="n"/>
      <c r="R182" s="18" t="n"/>
      <c r="S182" s="18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</row>
    <row r="183" ht="15.75" customHeight="1" s="9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8" t="n"/>
      <c r="N183" s="1" t="n"/>
      <c r="O183" s="1" t="n"/>
      <c r="P183" s="1" t="n"/>
      <c r="Q183" s="18" t="n"/>
      <c r="R183" s="18" t="n"/>
      <c r="S183" s="18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</row>
    <row r="184" ht="15.75" customHeight="1" s="9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8" t="n"/>
      <c r="N184" s="1" t="n"/>
      <c r="O184" s="1" t="n"/>
      <c r="P184" s="1" t="n"/>
      <c r="Q184" s="18" t="n"/>
      <c r="R184" s="18" t="n"/>
      <c r="S184" s="18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</row>
    <row r="185" ht="15.75" customHeight="1" s="9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8" t="n"/>
      <c r="N185" s="1" t="n"/>
      <c r="O185" s="1" t="n"/>
      <c r="P185" s="1" t="n"/>
      <c r="Q185" s="18" t="n"/>
      <c r="R185" s="18" t="n"/>
      <c r="S185" s="18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</row>
    <row r="186" ht="15.75" customHeight="1" s="9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8" t="n"/>
      <c r="N186" s="1" t="n"/>
      <c r="O186" s="1" t="n"/>
      <c r="P186" s="1" t="n"/>
      <c r="Q186" s="18" t="n"/>
      <c r="R186" s="18" t="n"/>
      <c r="S186" s="18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</row>
    <row r="187" ht="15.75" customHeight="1" s="9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8" t="n"/>
      <c r="N187" s="1" t="n"/>
      <c r="O187" s="1" t="n"/>
      <c r="P187" s="1" t="n"/>
      <c r="Q187" s="18" t="n"/>
      <c r="R187" s="18" t="n"/>
      <c r="S187" s="18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</row>
    <row r="188" ht="15.75" customHeight="1" s="9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8" t="n"/>
      <c r="N188" s="1" t="n"/>
      <c r="O188" s="1" t="n"/>
      <c r="P188" s="1" t="n"/>
      <c r="Q188" s="18" t="n"/>
      <c r="R188" s="18" t="n"/>
      <c r="S188" s="18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</row>
    <row r="189" ht="15.75" customHeight="1" s="9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8" t="n"/>
      <c r="N189" s="1" t="n"/>
      <c r="O189" s="1" t="n"/>
      <c r="P189" s="1" t="n"/>
      <c r="Q189" s="18" t="n"/>
      <c r="R189" s="18" t="n"/>
      <c r="S189" s="18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</row>
    <row r="190" ht="15.75" customHeight="1" s="9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8" t="n"/>
      <c r="N190" s="1" t="n"/>
      <c r="O190" s="1" t="n"/>
      <c r="P190" s="1" t="n"/>
      <c r="Q190" s="18" t="n"/>
      <c r="R190" s="18" t="n"/>
      <c r="S190" s="18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</row>
    <row r="191" ht="15.75" customHeight="1" s="9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8" t="n"/>
      <c r="N191" s="1" t="n"/>
      <c r="O191" s="1" t="n"/>
      <c r="P191" s="1" t="n"/>
      <c r="Q191" s="18" t="n"/>
      <c r="R191" s="18" t="n"/>
      <c r="S191" s="18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</row>
    <row r="192" ht="15.75" customHeight="1" s="9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8" t="n"/>
      <c r="N192" s="1" t="n"/>
      <c r="O192" s="1" t="n"/>
      <c r="P192" s="1" t="n"/>
      <c r="Q192" s="18" t="n"/>
      <c r="R192" s="18" t="n"/>
      <c r="S192" s="18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</row>
    <row r="193" ht="15.75" customHeight="1" s="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8" t="n"/>
      <c r="N193" s="1" t="n"/>
      <c r="O193" s="1" t="n"/>
      <c r="P193" s="1" t="n"/>
      <c r="Q193" s="18" t="n"/>
      <c r="R193" s="18" t="n"/>
      <c r="S193" s="18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</row>
    <row r="194" ht="15.75" customHeight="1" s="9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8" t="n"/>
      <c r="N194" s="1" t="n"/>
      <c r="O194" s="1" t="n"/>
      <c r="P194" s="1" t="n"/>
      <c r="Q194" s="18" t="n"/>
      <c r="R194" s="18" t="n"/>
      <c r="S194" s="18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</row>
    <row r="195" ht="15.75" customHeight="1" s="9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8" t="n"/>
      <c r="N195" s="1" t="n"/>
      <c r="O195" s="1" t="n"/>
      <c r="P195" s="1" t="n"/>
      <c r="Q195" s="18" t="n"/>
      <c r="R195" s="18" t="n"/>
      <c r="S195" s="18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</row>
    <row r="196" ht="15.75" customHeight="1" s="9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8" t="n"/>
      <c r="N196" s="1" t="n"/>
      <c r="O196" s="1" t="n"/>
      <c r="P196" s="1" t="n"/>
      <c r="Q196" s="18" t="n"/>
      <c r="R196" s="18" t="n"/>
      <c r="S196" s="18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</row>
    <row r="197" ht="15.75" customHeight="1" s="9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8" t="n"/>
      <c r="N197" s="1" t="n"/>
      <c r="O197" s="1" t="n"/>
      <c r="P197" s="1" t="n"/>
      <c r="Q197" s="18" t="n"/>
      <c r="R197" s="18" t="n"/>
      <c r="S197" s="18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</row>
    <row r="198" ht="15.75" customHeight="1" s="9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8" t="n"/>
      <c r="N198" s="1" t="n"/>
      <c r="O198" s="1" t="n"/>
      <c r="P198" s="1" t="n"/>
      <c r="Q198" s="18" t="n"/>
      <c r="R198" s="18" t="n"/>
      <c r="S198" s="18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</row>
    <row r="199" ht="15.75" customHeight="1" s="9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8" t="n"/>
      <c r="N199" s="1" t="n"/>
      <c r="O199" s="1" t="n"/>
      <c r="P199" s="1" t="n"/>
      <c r="Q199" s="18" t="n"/>
      <c r="R199" s="18" t="n"/>
      <c r="S199" s="18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</row>
    <row r="200" ht="15.75" customHeight="1" s="9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8" t="n"/>
      <c r="N200" s="1" t="n"/>
      <c r="O200" s="1" t="n"/>
      <c r="P200" s="1" t="n"/>
      <c r="Q200" s="18" t="n"/>
      <c r="R200" s="18" t="n"/>
      <c r="S200" s="18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</row>
    <row r="201" ht="15.75" customHeight="1" s="9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8" t="n"/>
      <c r="N201" s="1" t="n"/>
      <c r="O201" s="1" t="n"/>
      <c r="P201" s="1" t="n"/>
      <c r="Q201" s="18" t="n"/>
      <c r="R201" s="18" t="n"/>
      <c r="S201" s="18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</row>
    <row r="202" ht="15.75" customHeight="1" s="9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8" t="n"/>
      <c r="N202" s="1" t="n"/>
      <c r="O202" s="1" t="n"/>
      <c r="P202" s="1" t="n"/>
      <c r="Q202" s="18" t="n"/>
      <c r="R202" s="18" t="n"/>
      <c r="S202" s="18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</row>
    <row r="203" ht="15.75" customHeight="1" s="9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8" t="n"/>
      <c r="N203" s="1" t="n"/>
      <c r="O203" s="1" t="n"/>
      <c r="P203" s="1" t="n"/>
      <c r="Q203" s="18" t="n"/>
      <c r="R203" s="18" t="n"/>
      <c r="S203" s="18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</row>
    <row r="204" ht="15.75" customHeight="1" s="9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8" t="n"/>
      <c r="N204" s="1" t="n"/>
      <c r="O204" s="1" t="n"/>
      <c r="P204" s="1" t="n"/>
      <c r="Q204" s="18" t="n"/>
      <c r="R204" s="18" t="n"/>
      <c r="S204" s="18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</row>
    <row r="205" ht="15.75" customHeight="1" s="9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8" t="n"/>
      <c r="N205" s="1" t="n"/>
      <c r="O205" s="1" t="n"/>
      <c r="P205" s="1" t="n"/>
      <c r="Q205" s="18" t="n"/>
      <c r="R205" s="18" t="n"/>
      <c r="S205" s="18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</row>
    <row r="206" ht="15.75" customHeight="1" s="9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8" t="n"/>
      <c r="N206" s="1" t="n"/>
      <c r="O206" s="1" t="n"/>
      <c r="P206" s="1" t="n"/>
      <c r="Q206" s="18" t="n"/>
      <c r="R206" s="18" t="n"/>
      <c r="S206" s="18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</row>
    <row r="207" ht="15.75" customHeight="1" s="9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8" t="n"/>
      <c r="N207" s="1" t="n"/>
      <c r="O207" s="1" t="n"/>
      <c r="P207" s="1" t="n"/>
      <c r="Q207" s="18" t="n"/>
      <c r="R207" s="18" t="n"/>
      <c r="S207" s="18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</row>
    <row r="208" ht="15.75" customHeight="1" s="9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8" t="n"/>
      <c r="N208" s="1" t="n"/>
      <c r="O208" s="1" t="n"/>
      <c r="P208" s="1" t="n"/>
      <c r="Q208" s="18" t="n"/>
      <c r="R208" s="18" t="n"/>
      <c r="S208" s="18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</row>
    <row r="209" ht="15.75" customHeight="1" s="9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8" t="n"/>
      <c r="N209" s="1" t="n"/>
      <c r="O209" s="1" t="n"/>
      <c r="P209" s="1" t="n"/>
      <c r="Q209" s="18" t="n"/>
      <c r="R209" s="18" t="n"/>
      <c r="S209" s="18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</row>
    <row r="210" ht="15.75" customHeight="1" s="9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8" t="n"/>
      <c r="N210" s="1" t="n"/>
      <c r="O210" s="1" t="n"/>
      <c r="P210" s="1" t="n"/>
      <c r="Q210" s="18" t="n"/>
      <c r="R210" s="18" t="n"/>
      <c r="S210" s="18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</row>
    <row r="211" ht="15.75" customHeight="1" s="9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8" t="n"/>
      <c r="N211" s="1" t="n"/>
      <c r="O211" s="1" t="n"/>
      <c r="P211" s="1" t="n"/>
      <c r="Q211" s="18" t="n"/>
      <c r="R211" s="18" t="n"/>
      <c r="S211" s="18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</row>
    <row r="212" ht="15.75" customHeight="1" s="9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8" t="n"/>
      <c r="N212" s="1" t="n"/>
      <c r="O212" s="1" t="n"/>
      <c r="P212" s="1" t="n"/>
      <c r="Q212" s="18" t="n"/>
      <c r="R212" s="18" t="n"/>
      <c r="S212" s="18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</row>
    <row r="213" ht="15.75" customHeight="1" s="9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8" t="n"/>
      <c r="N213" s="1" t="n"/>
      <c r="O213" s="1" t="n"/>
      <c r="P213" s="1" t="n"/>
      <c r="Q213" s="18" t="n"/>
      <c r="R213" s="18" t="n"/>
      <c r="S213" s="18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</row>
    <row r="214" ht="15.75" customHeight="1" s="9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8" t="n"/>
      <c r="N214" s="1" t="n"/>
      <c r="O214" s="1" t="n"/>
      <c r="P214" s="1" t="n"/>
      <c r="Q214" s="18" t="n"/>
      <c r="R214" s="18" t="n"/>
      <c r="S214" s="18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</row>
    <row r="215" ht="15.75" customHeight="1" s="9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8" t="n"/>
      <c r="N215" s="1" t="n"/>
      <c r="O215" s="1" t="n"/>
      <c r="P215" s="1" t="n"/>
      <c r="Q215" s="18" t="n"/>
      <c r="R215" s="18" t="n"/>
      <c r="S215" s="18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</row>
    <row r="216" ht="15.75" customHeight="1" s="9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8" t="n"/>
      <c r="N216" s="1" t="n"/>
      <c r="O216" s="1" t="n"/>
      <c r="P216" s="1" t="n"/>
      <c r="Q216" s="18" t="n"/>
      <c r="R216" s="18" t="n"/>
      <c r="S216" s="18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</row>
    <row r="217" ht="15.75" customHeight="1" s="9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8" t="n"/>
      <c r="N217" s="1" t="n"/>
      <c r="O217" s="1" t="n"/>
      <c r="P217" s="1" t="n"/>
      <c r="Q217" s="18" t="n"/>
      <c r="R217" s="18" t="n"/>
      <c r="S217" s="18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</row>
    <row r="218" ht="15.75" customHeight="1" s="9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8" t="n"/>
      <c r="N218" s="1" t="n"/>
      <c r="O218" s="1" t="n"/>
      <c r="P218" s="1" t="n"/>
      <c r="Q218" s="18" t="n"/>
      <c r="R218" s="18" t="n"/>
      <c r="S218" s="18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</row>
    <row r="219" ht="15.75" customHeight="1" s="9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8" t="n"/>
      <c r="N219" s="1" t="n"/>
      <c r="O219" s="1" t="n"/>
      <c r="P219" s="1" t="n"/>
      <c r="Q219" s="18" t="n"/>
      <c r="R219" s="18" t="n"/>
      <c r="S219" s="18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</row>
    <row r="220" ht="15.75" customHeight="1" s="9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8" t="n"/>
      <c r="N220" s="1" t="n"/>
      <c r="O220" s="1" t="n"/>
      <c r="P220" s="1" t="n"/>
      <c r="Q220" s="18" t="n"/>
      <c r="R220" s="18" t="n"/>
      <c r="S220" s="18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</row>
    <row r="221" ht="15.75" customHeight="1" s="9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</row>
    <row r="222" ht="15.75" customHeight="1" s="9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</row>
    <row r="223" ht="15.75" customHeight="1" s="9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</row>
    <row r="224" ht="15.75" customHeight="1" s="9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</row>
    <row r="225" ht="15.75" customHeight="1" s="9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</row>
    <row r="226" ht="15.75" customHeight="1" s="9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</row>
    <row r="227" ht="15.75" customHeight="1" s="9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</row>
    <row r="228" ht="15.75" customHeight="1" s="9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</row>
    <row r="229" ht="15.75" customHeight="1" s="9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</row>
    <row r="230" ht="15.75" customHeight="1" s="9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</row>
    <row r="231" ht="15.75" customHeight="1" s="9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</row>
    <row r="232" ht="15.75" customHeight="1" s="9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</row>
    <row r="233" ht="15.75" customHeight="1" s="9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</row>
    <row r="234" ht="15.75" customHeight="1" s="9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</row>
    <row r="235" ht="15.75" customHeight="1" s="9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</row>
    <row r="236" ht="15.75" customHeight="1" s="9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</row>
    <row r="237" ht="15.75" customHeight="1" s="9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</row>
    <row r="238" ht="15.75" customHeight="1" s="9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</row>
    <row r="239" ht="15.75" customHeight="1" s="9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</row>
    <row r="240" ht="15.75" customHeight="1" s="9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</row>
    <row r="241" ht="15.75" customHeight="1" s="9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</row>
    <row r="242" ht="15.75" customHeight="1" s="9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</row>
    <row r="243" ht="15.75" customHeight="1" s="9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</row>
    <row r="244" ht="15.75" customHeight="1" s="9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</row>
    <row r="245" ht="15.75" customHeight="1" s="9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</row>
    <row r="246" ht="15.75" customHeight="1" s="9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</row>
    <row r="247" ht="15.75" customHeight="1" s="9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</row>
    <row r="248" ht="15.75" customHeight="1" s="9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</row>
    <row r="249" ht="15.75" customHeight="1" s="9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</row>
    <row r="250" ht="15.75" customHeight="1" s="9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</row>
    <row r="251" ht="15.75" customHeight="1" s="9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</row>
    <row r="252" ht="15.75" customHeight="1" s="9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</row>
    <row r="253" ht="15.75" customHeight="1" s="9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</row>
    <row r="254" ht="15.75" customHeight="1" s="9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</row>
    <row r="255" ht="15.75" customHeight="1" s="9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</row>
    <row r="256" ht="15.75" customHeight="1" s="9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</row>
    <row r="257" ht="15.75" customHeight="1" s="9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</row>
    <row r="258" ht="15.75" customHeight="1" s="9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</row>
    <row r="259" ht="15.75" customHeight="1" s="9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</row>
    <row r="260" ht="15.75" customHeight="1" s="9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</row>
    <row r="261" ht="15.75" customHeight="1" s="9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</row>
    <row r="262" ht="15.75" customHeight="1" s="9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</row>
    <row r="263" ht="15.75" customHeight="1" s="9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</row>
    <row r="264" ht="15.75" customHeight="1" s="9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</row>
    <row r="265" ht="15.75" customHeight="1" s="9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</row>
    <row r="266" ht="15.75" customHeight="1" s="9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</row>
    <row r="267" ht="15.75" customHeight="1" s="9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</row>
    <row r="268" ht="15.75" customHeight="1" s="9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</row>
    <row r="269" ht="15.75" customHeight="1" s="9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</row>
    <row r="270" ht="15.75" customHeight="1" s="9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</row>
    <row r="271" ht="15.75" customHeight="1" s="9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</row>
    <row r="272" ht="15.75" customHeight="1" s="9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</row>
    <row r="273" ht="15.75" customHeight="1" s="9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</row>
    <row r="274" ht="15.75" customHeight="1" s="9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</row>
    <row r="275" ht="15.75" customHeight="1" s="9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</row>
    <row r="276" ht="15.75" customHeight="1" s="9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</row>
    <row r="277" ht="15.75" customHeight="1" s="9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</row>
    <row r="278" ht="15.75" customHeight="1" s="9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</row>
    <row r="279" ht="15.75" customHeight="1" s="9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</row>
    <row r="280" ht="15.75" customHeight="1" s="9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</row>
    <row r="281" ht="15.75" customHeight="1" s="9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</row>
    <row r="282" ht="15.75" customHeight="1" s="9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</row>
    <row r="283" ht="15.75" customHeight="1" s="9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</row>
    <row r="284" ht="15.75" customHeight="1" s="9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</row>
    <row r="285" ht="15.75" customHeight="1" s="9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</row>
    <row r="286" ht="15.75" customHeight="1" s="9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</row>
    <row r="287" ht="15.75" customHeight="1" s="9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</row>
    <row r="288" ht="15.75" customHeight="1" s="9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</row>
    <row r="289" ht="15.75" customHeight="1" s="9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</row>
    <row r="290" ht="15.75" customHeight="1" s="9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</row>
    <row r="291" ht="15.75" customHeight="1" s="9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</row>
    <row r="292" ht="15.75" customHeight="1" s="9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</row>
    <row r="293" ht="15.75" customHeight="1" s="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</row>
    <row r="294" ht="15.75" customHeight="1" s="9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</row>
    <row r="295" ht="15.75" customHeight="1" s="9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</row>
    <row r="296" ht="15.75" customHeight="1" s="9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</row>
    <row r="297" ht="15.75" customHeight="1" s="9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</row>
    <row r="298" ht="15.75" customHeight="1" s="9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</row>
    <row r="299" ht="15.75" customHeight="1" s="9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</row>
    <row r="300" ht="15.75" customHeight="1" s="9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</row>
    <row r="301" ht="15.75" customHeight="1" s="9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</row>
    <row r="302" ht="15.75" customHeight="1" s="9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</row>
    <row r="303" ht="15.75" customHeight="1" s="9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</row>
    <row r="304" ht="15.75" customHeight="1" s="9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</row>
    <row r="305" ht="15.75" customHeight="1" s="9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</row>
    <row r="306" ht="15.75" customHeight="1" s="9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</row>
    <row r="307" ht="15.75" customHeight="1" s="9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</row>
    <row r="308" ht="15.75" customHeight="1" s="9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</row>
    <row r="309" ht="15.75" customHeight="1" s="9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</row>
    <row r="310" ht="15.75" customHeight="1" s="9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</row>
    <row r="311" ht="15.75" customHeight="1" s="9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</row>
    <row r="312" ht="15.75" customHeight="1" s="9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</row>
    <row r="313" ht="15.75" customHeight="1" s="9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</row>
    <row r="314" ht="15.75" customHeight="1" s="9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</row>
    <row r="315" ht="15.75" customHeight="1" s="9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</row>
    <row r="316" ht="15.75" customHeight="1" s="9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</row>
    <row r="317" ht="15.75" customHeight="1" s="9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</row>
    <row r="318" ht="15.75" customHeight="1" s="9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</row>
    <row r="319" ht="15.75" customHeight="1" s="9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</row>
    <row r="320" ht="15.75" customHeight="1" s="9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</row>
    <row r="321" ht="15.75" customHeight="1" s="9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</row>
    <row r="322" ht="15.75" customHeight="1" s="9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</row>
    <row r="323" ht="15.75" customHeight="1" s="9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</row>
    <row r="324" ht="15.75" customHeight="1" s="9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</row>
    <row r="325" ht="15.75" customHeight="1" s="9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</row>
    <row r="326" ht="15.75" customHeight="1" s="9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</row>
    <row r="327" ht="15.75" customHeight="1" s="9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</row>
    <row r="328" ht="15.75" customHeight="1" s="9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</row>
    <row r="329" ht="15.75" customHeight="1" s="9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</row>
    <row r="330" ht="15.75" customHeight="1" s="9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</row>
    <row r="331" ht="15.75" customHeight="1" s="9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</row>
    <row r="332" ht="15.75" customHeight="1" s="9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</row>
    <row r="333" ht="15.75" customHeight="1" s="9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</row>
    <row r="334" ht="15.75" customHeight="1" s="9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</row>
    <row r="335" ht="15.75" customHeight="1" s="9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</row>
    <row r="336" ht="15.75" customHeight="1" s="9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</row>
    <row r="337" ht="15.75" customHeight="1" s="9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</row>
    <row r="338" ht="15.75" customHeight="1" s="9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</row>
    <row r="339" ht="15.75" customHeight="1" s="9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</row>
    <row r="340" ht="15.75" customHeight="1" s="9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</row>
    <row r="341" ht="15.75" customHeight="1" s="9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</row>
    <row r="342" ht="15.75" customHeight="1" s="9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</row>
    <row r="343" ht="15.75" customHeight="1" s="9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</row>
    <row r="344" ht="15.75" customHeight="1" s="9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</row>
    <row r="345" ht="15.75" customHeight="1" s="9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</row>
    <row r="346" ht="15.75" customHeight="1" s="9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</row>
    <row r="347" ht="15.75" customHeight="1" s="9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</row>
    <row r="348" ht="15.75" customHeight="1" s="9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</row>
    <row r="349" ht="15.75" customHeight="1" s="9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</row>
    <row r="350" ht="15.75" customHeight="1" s="9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</row>
    <row r="351" ht="15.75" customHeight="1" s="9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</row>
    <row r="352" ht="15.75" customHeight="1" s="9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</row>
    <row r="353" ht="15.75" customHeight="1" s="9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</row>
    <row r="354" ht="15.75" customHeight="1" s="9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</row>
    <row r="355" ht="15.75" customHeight="1" s="9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</row>
    <row r="356" ht="15.75" customHeight="1" s="9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</row>
    <row r="357" ht="15.75" customHeight="1" s="9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</row>
    <row r="358" ht="15.75" customHeight="1" s="9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</row>
    <row r="359" ht="15.75" customHeight="1" s="9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</row>
    <row r="360" ht="15.75" customHeight="1" s="9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</row>
    <row r="361" ht="15.75" customHeight="1" s="9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</row>
    <row r="362" ht="15.75" customHeight="1" s="9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</row>
    <row r="363" ht="15.75" customHeight="1" s="9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</row>
    <row r="364" ht="15.75" customHeight="1" s="9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</row>
    <row r="365" ht="15.75" customHeight="1" s="9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</row>
    <row r="366" ht="15.75" customHeight="1" s="9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</row>
    <row r="367" ht="15.75" customHeight="1" s="9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</row>
    <row r="368" ht="15.75" customHeight="1" s="9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</row>
    <row r="369" ht="15.75" customHeight="1" s="9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</row>
    <row r="370" ht="15.75" customHeight="1" s="9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</row>
    <row r="371" ht="15.75" customHeight="1" s="9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</row>
    <row r="372" ht="15.75" customHeight="1" s="9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</row>
    <row r="373" ht="15.75" customHeight="1" s="9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</row>
    <row r="374" ht="15.75" customHeight="1" s="9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</row>
    <row r="375" ht="15.75" customHeight="1" s="9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</row>
    <row r="376" ht="15.75" customHeight="1" s="9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</row>
    <row r="377" ht="15.75" customHeight="1" s="9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</row>
    <row r="378" ht="15.75" customHeight="1" s="9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</row>
    <row r="379" ht="15.75" customHeight="1" s="9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</row>
    <row r="380" ht="15.75" customHeight="1" s="9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</row>
    <row r="381" ht="15.75" customHeight="1" s="9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</row>
    <row r="382" ht="15.75" customHeight="1" s="9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</row>
    <row r="383" ht="15.75" customHeight="1" s="9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</row>
    <row r="384" ht="15.75" customHeight="1" s="9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</row>
    <row r="385" ht="15.75" customHeight="1" s="9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</row>
    <row r="386" ht="15.75" customHeight="1" s="9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</row>
    <row r="387" ht="15.75" customHeight="1" s="9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</row>
    <row r="388" ht="15.75" customHeight="1" s="9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</row>
    <row r="389" ht="15.75" customHeight="1" s="9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</row>
    <row r="390" ht="15.75" customHeight="1" s="9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</row>
    <row r="391" ht="15.75" customHeight="1" s="9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</row>
    <row r="392" ht="15.75" customHeight="1" s="9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</row>
    <row r="393" ht="15.75" customHeight="1" s="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</row>
    <row r="394" ht="15.75" customHeight="1" s="9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</row>
    <row r="395" ht="15.75" customHeight="1" s="9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</row>
    <row r="396" ht="15.75" customHeight="1" s="9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</row>
    <row r="397" ht="15.75" customHeight="1" s="9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</row>
    <row r="398" ht="15.75" customHeight="1" s="9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</row>
    <row r="399" ht="15.75" customHeight="1" s="9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</row>
    <row r="400" ht="15.75" customHeight="1" s="9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</row>
    <row r="401" ht="15.75" customHeight="1" s="9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</row>
    <row r="402" ht="15.75" customHeight="1" s="9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</row>
    <row r="403" ht="15.75" customHeight="1" s="9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</row>
    <row r="404" ht="15.75" customHeight="1" s="9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</row>
    <row r="405" ht="15.75" customHeight="1" s="9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</row>
    <row r="406" ht="15.75" customHeight="1" s="9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</row>
    <row r="407" ht="15.75" customHeight="1" s="9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</row>
    <row r="408" ht="15.75" customHeight="1" s="9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</row>
    <row r="409" ht="15.75" customHeight="1" s="9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</row>
    <row r="410" ht="15.75" customHeight="1" s="9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</row>
    <row r="411" ht="15.75" customHeight="1" s="9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</row>
    <row r="412" ht="15.75" customHeight="1" s="9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</row>
    <row r="413" ht="15.75" customHeight="1" s="9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</row>
    <row r="414" ht="15.75" customHeight="1" s="9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</row>
    <row r="415" ht="15.75" customHeight="1" s="9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</row>
    <row r="416" ht="15.75" customHeight="1" s="9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</row>
    <row r="417" ht="15.75" customHeight="1" s="9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</row>
    <row r="418" ht="15.75" customHeight="1" s="9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</row>
    <row r="419" ht="15.75" customHeight="1" s="9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</row>
    <row r="420" ht="15.75" customHeight="1" s="9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</row>
    <row r="421" ht="15.75" customHeight="1" s="9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</row>
    <row r="422" ht="15.75" customHeight="1" s="9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</row>
    <row r="423" ht="15.75" customHeight="1" s="9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</row>
    <row r="424" ht="15.75" customHeight="1" s="9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</row>
    <row r="425" ht="15.75" customHeight="1" s="9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</row>
    <row r="426" ht="15.75" customHeight="1" s="9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</row>
    <row r="427" ht="15.75" customHeight="1" s="9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</row>
    <row r="428" ht="15.75" customHeight="1" s="9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</row>
    <row r="429" ht="15.75" customHeight="1" s="9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</row>
    <row r="430" ht="15.75" customHeight="1" s="9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</row>
    <row r="431" ht="15.75" customHeight="1" s="9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</row>
    <row r="432" ht="15.75" customHeight="1" s="9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</row>
    <row r="433" ht="15.75" customHeight="1" s="9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</row>
    <row r="434" ht="15.75" customHeight="1" s="9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</row>
    <row r="435" ht="15.75" customHeight="1" s="9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</row>
    <row r="436" ht="15.75" customHeight="1" s="9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</row>
    <row r="437" ht="15.75" customHeight="1" s="9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</row>
    <row r="438" ht="15.75" customHeight="1" s="9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</row>
    <row r="439" ht="15.75" customHeight="1" s="9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</row>
    <row r="440" ht="15.75" customHeight="1" s="9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</row>
    <row r="441" ht="15.75" customHeight="1" s="9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</row>
    <row r="442" ht="15.75" customHeight="1" s="9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</row>
    <row r="443" ht="15.75" customHeight="1" s="9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</row>
    <row r="444" ht="15.75" customHeight="1" s="9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</row>
    <row r="445" ht="15.75" customHeight="1" s="9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</row>
    <row r="446" ht="15.75" customHeight="1" s="9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</row>
    <row r="447" ht="15.75" customHeight="1" s="9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</row>
    <row r="448" ht="15.75" customHeight="1" s="9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</row>
    <row r="449" ht="15.75" customHeight="1" s="9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</row>
    <row r="450" ht="15.75" customHeight="1" s="9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</row>
    <row r="451" ht="15.75" customHeight="1" s="9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</row>
    <row r="452" ht="15.75" customHeight="1" s="9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</row>
    <row r="453" ht="15.75" customHeight="1" s="9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</row>
    <row r="454" ht="15.75" customHeight="1" s="9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</row>
    <row r="455" ht="15.75" customHeight="1" s="9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</row>
    <row r="456" ht="15.75" customHeight="1" s="9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</row>
    <row r="457" ht="15.75" customHeight="1" s="9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</row>
    <row r="458" ht="15.75" customHeight="1" s="9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</row>
    <row r="459" ht="15.75" customHeight="1" s="9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</row>
    <row r="460" ht="15.75" customHeight="1" s="9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</row>
    <row r="461" ht="15.75" customHeight="1" s="9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</row>
    <row r="462" ht="15.75" customHeight="1" s="9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</row>
    <row r="463" ht="15.75" customHeight="1" s="9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</row>
    <row r="464" ht="15.75" customHeight="1" s="9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</row>
    <row r="465" ht="15.75" customHeight="1" s="9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</row>
    <row r="466" ht="15.75" customHeight="1" s="9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</row>
    <row r="467" ht="15.75" customHeight="1" s="9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</row>
    <row r="468" ht="15.75" customHeight="1" s="9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</row>
    <row r="469" ht="15.75" customHeight="1" s="9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</row>
    <row r="470" ht="15.75" customHeight="1" s="9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</row>
    <row r="471" ht="15.75" customHeight="1" s="9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</row>
    <row r="472" ht="15.75" customHeight="1" s="9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</row>
    <row r="473" ht="15.75" customHeight="1" s="9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</row>
    <row r="474" ht="15.75" customHeight="1" s="9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</row>
    <row r="475" ht="15.75" customHeight="1" s="9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</row>
    <row r="476" ht="15.75" customHeight="1" s="9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</row>
    <row r="477" ht="15.75" customHeight="1" s="9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</row>
    <row r="478" ht="15.75" customHeight="1" s="9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</row>
    <row r="479" ht="15.75" customHeight="1" s="9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</row>
    <row r="480" ht="15.75" customHeight="1" s="9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</row>
    <row r="481" ht="15.75" customHeight="1" s="9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</row>
    <row r="482" ht="15.75" customHeight="1" s="9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</row>
    <row r="483" ht="15.75" customHeight="1" s="9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</row>
    <row r="484" ht="15.75" customHeight="1" s="9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</row>
    <row r="485" ht="15.75" customHeight="1" s="9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</row>
    <row r="486" ht="15.75" customHeight="1" s="9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</row>
    <row r="487" ht="15.75" customHeight="1" s="9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</row>
    <row r="488" ht="15.75" customHeight="1" s="9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</row>
    <row r="489" ht="15.75" customHeight="1" s="9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</row>
    <row r="490" ht="15.75" customHeight="1" s="9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</row>
    <row r="491" ht="15.75" customHeight="1" s="9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</row>
    <row r="492" ht="15.75" customHeight="1" s="9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</row>
    <row r="493" ht="15.75" customHeight="1" s="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</row>
    <row r="494" ht="15.75" customHeight="1" s="9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</row>
    <row r="495" ht="15.75" customHeight="1" s="9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</row>
    <row r="496" ht="15.75" customHeight="1" s="9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</row>
    <row r="497" ht="15.75" customHeight="1" s="9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</row>
    <row r="498" ht="15.75" customHeight="1" s="9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</row>
    <row r="499" ht="15.75" customHeight="1" s="9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</row>
    <row r="500" ht="15.75" customHeight="1" s="9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</row>
    <row r="501" ht="15.75" customHeight="1" s="9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</row>
    <row r="502" ht="15.75" customHeight="1" s="9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</row>
    <row r="503" ht="15.75" customHeight="1" s="9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</row>
    <row r="504" ht="15.75" customHeight="1" s="9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</row>
    <row r="505" ht="15.75" customHeight="1" s="9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</row>
    <row r="506" ht="15.75" customHeight="1" s="9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</row>
    <row r="507" ht="15.75" customHeight="1" s="9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</row>
    <row r="508" ht="15.75" customHeight="1" s="9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</row>
    <row r="509" ht="15.75" customHeight="1" s="9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</row>
    <row r="510" ht="15.75" customHeight="1" s="9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</row>
    <row r="511" ht="15.75" customHeight="1" s="9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</row>
    <row r="512" ht="15.75" customHeight="1" s="9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</row>
    <row r="513" ht="15.75" customHeight="1" s="9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</row>
    <row r="514" ht="15.75" customHeight="1" s="9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</row>
    <row r="515" ht="15.75" customHeight="1" s="9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</row>
    <row r="516" ht="15.75" customHeight="1" s="9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</row>
    <row r="517" ht="15.75" customHeight="1" s="9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</row>
    <row r="518" ht="15.75" customHeight="1" s="9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</row>
    <row r="519" ht="15.75" customHeight="1" s="9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</row>
    <row r="520" ht="15.75" customHeight="1" s="9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</row>
    <row r="521" ht="15.75" customHeight="1" s="9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</row>
    <row r="522" ht="15.75" customHeight="1" s="9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</row>
    <row r="523" ht="15.75" customHeight="1" s="9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</row>
    <row r="524" ht="15.75" customHeight="1" s="9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</row>
    <row r="525" ht="15.75" customHeight="1" s="9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</row>
    <row r="526" ht="15.75" customHeight="1" s="9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</row>
    <row r="527" ht="15.75" customHeight="1" s="9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</row>
    <row r="528" ht="15.75" customHeight="1" s="9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</row>
    <row r="529" ht="15.75" customHeight="1" s="9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</row>
    <row r="530" ht="15.75" customHeight="1" s="9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</row>
    <row r="531" ht="15.75" customHeight="1" s="9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</row>
    <row r="532" ht="15.75" customHeight="1" s="9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</row>
    <row r="533" ht="15.75" customHeight="1" s="9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</row>
    <row r="534" ht="15.75" customHeight="1" s="9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</row>
    <row r="535" ht="15.75" customHeight="1" s="9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</row>
    <row r="536" ht="15.75" customHeight="1" s="9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</row>
    <row r="537" ht="15.75" customHeight="1" s="9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</row>
    <row r="538" ht="15.75" customHeight="1" s="9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</row>
    <row r="539" ht="15.75" customHeight="1" s="9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</row>
    <row r="540" ht="15.75" customHeight="1" s="9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</row>
    <row r="541" ht="15.75" customHeight="1" s="9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</row>
    <row r="542" ht="15.75" customHeight="1" s="9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</row>
    <row r="543" ht="15.75" customHeight="1" s="9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</row>
    <row r="544" ht="15.75" customHeight="1" s="9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</row>
    <row r="545" ht="15.75" customHeight="1" s="9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</row>
    <row r="546" ht="15.75" customHeight="1" s="9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</row>
    <row r="547" ht="15.75" customHeight="1" s="9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</row>
    <row r="548" ht="15.75" customHeight="1" s="9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</row>
    <row r="549" ht="15.75" customHeight="1" s="9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</row>
    <row r="550" ht="15.75" customHeight="1" s="9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</row>
    <row r="551" ht="15.75" customHeight="1" s="9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</row>
    <row r="552" ht="15.75" customHeight="1" s="9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</row>
    <row r="553" ht="15.75" customHeight="1" s="9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</row>
    <row r="554" ht="15.75" customHeight="1" s="9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</row>
    <row r="555" ht="15.75" customHeight="1" s="9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</row>
    <row r="556" ht="15.75" customHeight="1" s="9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</row>
    <row r="557" ht="15.75" customHeight="1" s="9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</row>
    <row r="558" ht="15.75" customHeight="1" s="9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</row>
    <row r="559" ht="15.75" customHeight="1" s="9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</row>
    <row r="560" ht="15.75" customHeight="1" s="9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</row>
    <row r="561" ht="15.75" customHeight="1" s="9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</row>
    <row r="562" ht="15.75" customHeight="1" s="9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</row>
    <row r="563" ht="15.75" customHeight="1" s="9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</row>
    <row r="564" ht="15.75" customHeight="1" s="9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</row>
    <row r="565" ht="15.75" customHeight="1" s="9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</row>
    <row r="566" ht="15.75" customHeight="1" s="9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</row>
    <row r="567" ht="15.75" customHeight="1" s="9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</row>
    <row r="568" ht="15.75" customHeight="1" s="9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</row>
    <row r="569" ht="15.75" customHeight="1" s="9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</row>
    <row r="570" ht="15.75" customHeight="1" s="9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</row>
    <row r="571" ht="15.75" customHeight="1" s="9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</row>
    <row r="572" ht="15.75" customHeight="1" s="9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</row>
    <row r="573" ht="15.75" customHeight="1" s="9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</row>
    <row r="574" ht="15.75" customHeight="1" s="9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</row>
    <row r="575" ht="15.75" customHeight="1" s="9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</row>
    <row r="576" ht="15.75" customHeight="1" s="9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</row>
    <row r="577" ht="15.75" customHeight="1" s="9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</row>
    <row r="578" ht="15.75" customHeight="1" s="9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</row>
    <row r="579" ht="15.75" customHeight="1" s="9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</row>
    <row r="580" ht="15.75" customHeight="1" s="9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</row>
    <row r="581" ht="15.75" customHeight="1" s="9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</row>
    <row r="582" ht="15.75" customHeight="1" s="9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</row>
    <row r="583" ht="15.75" customHeight="1" s="9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</row>
    <row r="584" ht="15.75" customHeight="1" s="9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</row>
    <row r="585" ht="15.75" customHeight="1" s="9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</row>
    <row r="586" ht="15.75" customHeight="1" s="9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</row>
    <row r="587" ht="15.75" customHeight="1" s="9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</row>
    <row r="588" ht="15.75" customHeight="1" s="9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</row>
    <row r="589" ht="15.75" customHeight="1" s="9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</row>
    <row r="590" ht="15.75" customHeight="1" s="9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</row>
    <row r="591" ht="15.75" customHeight="1" s="9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</row>
    <row r="592" ht="15.75" customHeight="1" s="9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</row>
    <row r="593" ht="15.75" customHeight="1" s="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</row>
    <row r="594" ht="15.75" customHeight="1" s="9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</row>
    <row r="595" ht="15.75" customHeight="1" s="9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</row>
    <row r="596" ht="15.75" customHeight="1" s="9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</row>
    <row r="597" ht="15.75" customHeight="1" s="9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</row>
    <row r="598" ht="15.75" customHeight="1" s="9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</row>
    <row r="599" ht="15.75" customHeight="1" s="9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</row>
    <row r="600" ht="15.75" customHeight="1" s="9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</row>
    <row r="601" ht="15.75" customHeight="1" s="9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</row>
    <row r="602" ht="15.75" customHeight="1" s="9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</row>
    <row r="603" ht="15.75" customHeight="1" s="9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</row>
    <row r="604" ht="15.75" customHeight="1" s="9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</row>
    <row r="605" ht="15.75" customHeight="1" s="9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</row>
    <row r="606" ht="15.75" customHeight="1" s="9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</row>
    <row r="607" ht="15.75" customHeight="1" s="9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</row>
    <row r="608" ht="15.75" customHeight="1" s="9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</row>
    <row r="609" ht="15.75" customHeight="1" s="9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</row>
    <row r="610" ht="15.75" customHeight="1" s="9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</row>
    <row r="611" ht="15.75" customHeight="1" s="9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</row>
    <row r="612" ht="15.75" customHeight="1" s="9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</row>
    <row r="613" ht="15.75" customHeight="1" s="9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</row>
    <row r="614" ht="15.75" customHeight="1" s="9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</row>
    <row r="615" ht="15.75" customHeight="1" s="9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</row>
    <row r="616" ht="15.75" customHeight="1" s="9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</row>
    <row r="617" ht="15.75" customHeight="1" s="9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</row>
    <row r="618" ht="15.75" customHeight="1" s="9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</row>
    <row r="619" ht="15.75" customHeight="1" s="9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</row>
    <row r="620" ht="15.75" customHeight="1" s="9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</row>
    <row r="621" ht="15.75" customHeight="1" s="9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</row>
    <row r="622" ht="15.75" customHeight="1" s="9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</row>
    <row r="623" ht="15.75" customHeight="1" s="9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</row>
    <row r="624" ht="15.75" customHeight="1" s="9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</row>
    <row r="625" ht="15.75" customHeight="1" s="9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</row>
    <row r="626" ht="15.75" customHeight="1" s="9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</row>
    <row r="627" ht="15.75" customHeight="1" s="9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</row>
    <row r="628" ht="15.75" customHeight="1" s="9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</row>
    <row r="629" ht="15.75" customHeight="1" s="9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</row>
    <row r="630" ht="15.75" customHeight="1" s="9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</row>
    <row r="631" ht="15.75" customHeight="1" s="9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</row>
    <row r="632" ht="15.75" customHeight="1" s="9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</row>
    <row r="633" ht="15.75" customHeight="1" s="9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</row>
    <row r="634" ht="15.75" customHeight="1" s="9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</row>
    <row r="635" ht="15.75" customHeight="1" s="9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</row>
    <row r="636" ht="15.75" customHeight="1" s="9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</row>
    <row r="637" ht="15.75" customHeight="1" s="9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</row>
    <row r="638" ht="15.75" customHeight="1" s="9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</row>
    <row r="639" ht="15.75" customHeight="1" s="9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</row>
    <row r="640" ht="15.75" customHeight="1" s="9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</row>
    <row r="641" ht="15.75" customHeight="1" s="9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</row>
    <row r="642" ht="15.75" customHeight="1" s="9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</row>
    <row r="643" ht="15.75" customHeight="1" s="9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</row>
    <row r="644" ht="15.75" customHeight="1" s="9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</row>
    <row r="645" ht="15.75" customHeight="1" s="9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</row>
    <row r="646" ht="15.75" customHeight="1" s="9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</row>
    <row r="647" ht="15.75" customHeight="1" s="9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</row>
    <row r="648" ht="15.75" customHeight="1" s="9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</row>
    <row r="649" ht="15.75" customHeight="1" s="9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</row>
    <row r="650" ht="15.75" customHeight="1" s="9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</row>
    <row r="651" ht="15.75" customHeight="1" s="9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</row>
    <row r="652" ht="15.75" customHeight="1" s="9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</row>
    <row r="653" ht="15.75" customHeight="1" s="9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</row>
    <row r="654" ht="15.75" customHeight="1" s="9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</row>
    <row r="655" ht="15.75" customHeight="1" s="9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</row>
    <row r="656" ht="15.75" customHeight="1" s="9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</row>
    <row r="657" ht="15.75" customHeight="1" s="9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</row>
    <row r="658" ht="15.75" customHeight="1" s="9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</row>
    <row r="659" ht="15.75" customHeight="1" s="9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</row>
    <row r="660" ht="15.75" customHeight="1" s="9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</row>
    <row r="661" ht="15.75" customHeight="1" s="9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</row>
    <row r="662" ht="15.75" customHeight="1" s="9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</row>
    <row r="663" ht="15.75" customHeight="1" s="9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</row>
    <row r="664" ht="15.75" customHeight="1" s="9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</row>
    <row r="665" ht="15.75" customHeight="1" s="9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</row>
    <row r="666" ht="15.75" customHeight="1" s="9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</row>
    <row r="667" ht="15.75" customHeight="1" s="9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</row>
    <row r="668" ht="15.75" customHeight="1" s="9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</row>
    <row r="669" ht="15.75" customHeight="1" s="9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</row>
    <row r="670" ht="15.75" customHeight="1" s="9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</row>
    <row r="671" ht="15.75" customHeight="1" s="9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</row>
    <row r="672" ht="15.75" customHeight="1" s="9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</row>
    <row r="673" ht="15.75" customHeight="1" s="9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</row>
    <row r="674" ht="15.75" customHeight="1" s="9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</row>
    <row r="675" ht="15.75" customHeight="1" s="9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</row>
    <row r="676" ht="15.75" customHeight="1" s="9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</row>
    <row r="677" ht="15.75" customHeight="1" s="9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</row>
    <row r="678" ht="15.75" customHeight="1" s="9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</row>
    <row r="679" ht="15.75" customHeight="1" s="9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</row>
    <row r="680" ht="15.75" customHeight="1" s="9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</row>
    <row r="681" ht="15.75" customHeight="1" s="9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</row>
    <row r="682" ht="15.75" customHeight="1" s="9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</row>
    <row r="683" ht="15.75" customHeight="1" s="9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</row>
    <row r="684" ht="15.75" customHeight="1" s="9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</row>
    <row r="685" ht="15.75" customHeight="1" s="9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</row>
    <row r="686" ht="15.75" customHeight="1" s="9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</row>
    <row r="687" ht="15.75" customHeight="1" s="9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</row>
    <row r="688" ht="15.75" customHeight="1" s="9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</row>
    <row r="689" ht="15.75" customHeight="1" s="9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</row>
    <row r="690" ht="15.75" customHeight="1" s="9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</row>
    <row r="691" ht="15.75" customHeight="1" s="9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</row>
    <row r="692" ht="15.75" customHeight="1" s="9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</row>
    <row r="693" ht="15.75" customHeight="1" s="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</row>
    <row r="694" ht="15.75" customHeight="1" s="9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</row>
    <row r="695" ht="15.75" customHeight="1" s="9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</row>
    <row r="696" ht="15.75" customHeight="1" s="9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</row>
    <row r="697" ht="15.75" customHeight="1" s="9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</row>
    <row r="698" ht="15.75" customHeight="1" s="9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</row>
    <row r="699" ht="15.75" customHeight="1" s="9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</row>
    <row r="700" ht="15.75" customHeight="1" s="9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</row>
    <row r="701" ht="15.75" customHeight="1" s="9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</row>
    <row r="702" ht="15.75" customHeight="1" s="9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</row>
    <row r="703" ht="15.75" customHeight="1" s="9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</row>
    <row r="704" ht="15.75" customHeight="1" s="9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</row>
    <row r="705" ht="15.75" customHeight="1" s="9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</row>
    <row r="706" ht="15.75" customHeight="1" s="9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</row>
    <row r="707" ht="15.75" customHeight="1" s="9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</row>
    <row r="708" ht="15.75" customHeight="1" s="9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</row>
    <row r="709" ht="15.75" customHeight="1" s="9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</row>
    <row r="710" ht="15.75" customHeight="1" s="9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</row>
    <row r="711" ht="15.75" customHeight="1" s="9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</row>
    <row r="712" ht="15.75" customHeight="1" s="9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</row>
    <row r="713" ht="15.75" customHeight="1" s="9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</row>
    <row r="714" ht="15.75" customHeight="1" s="9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</row>
    <row r="715" ht="15.75" customHeight="1" s="9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</row>
    <row r="716" ht="15.75" customHeight="1" s="9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</row>
    <row r="717" ht="15.75" customHeight="1" s="9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</row>
    <row r="718" ht="15.75" customHeight="1" s="9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</row>
    <row r="719" ht="15.75" customHeight="1" s="9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</row>
    <row r="720" ht="15.75" customHeight="1" s="9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</row>
    <row r="721" ht="15.75" customHeight="1" s="9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</row>
    <row r="722" ht="15.75" customHeight="1" s="9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</row>
    <row r="723" ht="15.75" customHeight="1" s="9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</row>
    <row r="724" ht="15.75" customHeight="1" s="9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</row>
    <row r="725" ht="15.75" customHeight="1" s="9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</row>
    <row r="726" ht="15.75" customHeight="1" s="9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</row>
    <row r="727" ht="15.75" customHeight="1" s="9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</row>
    <row r="728" ht="15.75" customHeight="1" s="9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</row>
    <row r="729" ht="15.75" customHeight="1" s="9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</row>
    <row r="730" ht="15.75" customHeight="1" s="9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</row>
    <row r="731" ht="15.75" customHeight="1" s="9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</row>
    <row r="732" ht="15.75" customHeight="1" s="9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</row>
    <row r="733" ht="15.75" customHeight="1" s="9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</row>
    <row r="734" ht="15.75" customHeight="1" s="9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</row>
    <row r="735" ht="15.75" customHeight="1" s="9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</row>
    <row r="736" ht="15.75" customHeight="1" s="9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</row>
    <row r="737" ht="15.75" customHeight="1" s="9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</row>
    <row r="738" ht="15.75" customHeight="1" s="9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</row>
    <row r="739" ht="15.75" customHeight="1" s="9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</row>
    <row r="740" ht="15.75" customHeight="1" s="9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</row>
    <row r="741" ht="15.75" customHeight="1" s="9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</row>
    <row r="742" ht="15.75" customHeight="1" s="9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</row>
    <row r="743" ht="15.75" customHeight="1" s="9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</row>
    <row r="744" ht="15.75" customHeight="1" s="9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</row>
    <row r="745" ht="15.75" customHeight="1" s="9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</row>
    <row r="746" ht="15.75" customHeight="1" s="9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</row>
    <row r="747" ht="15.75" customHeight="1" s="9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</row>
    <row r="748" ht="15.75" customHeight="1" s="9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</row>
    <row r="749" ht="15.75" customHeight="1" s="9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</row>
    <row r="750" ht="15.75" customHeight="1" s="9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</row>
    <row r="751" ht="15.75" customHeight="1" s="9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</row>
    <row r="752" ht="15.75" customHeight="1" s="9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</row>
    <row r="753" ht="15.75" customHeight="1" s="9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</row>
    <row r="754" ht="15.75" customHeight="1" s="9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</row>
    <row r="755" ht="15.75" customHeight="1" s="9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</row>
    <row r="756" ht="15.75" customHeight="1" s="9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</row>
    <row r="757" ht="15.75" customHeight="1" s="9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</row>
    <row r="758" ht="15.75" customHeight="1" s="9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</row>
    <row r="759" ht="15.75" customHeight="1" s="9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</row>
    <row r="760" ht="15.75" customHeight="1" s="9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</row>
    <row r="761" ht="15.75" customHeight="1" s="9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</row>
    <row r="762" ht="15.75" customHeight="1" s="9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</row>
    <row r="763" ht="15.75" customHeight="1" s="9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</row>
    <row r="764" ht="15.75" customHeight="1" s="9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</row>
    <row r="765" ht="15.75" customHeight="1" s="9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</row>
    <row r="766" ht="15.75" customHeight="1" s="9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</row>
    <row r="767" ht="15.75" customHeight="1" s="9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</row>
    <row r="768" ht="15.75" customHeight="1" s="9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</row>
    <row r="769" ht="15.75" customHeight="1" s="9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</row>
    <row r="770" ht="15.75" customHeight="1" s="9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</row>
    <row r="771" ht="15.75" customHeight="1" s="9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</row>
    <row r="772" ht="15.75" customHeight="1" s="9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</row>
    <row r="773" ht="15.75" customHeight="1" s="9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</row>
    <row r="774" ht="15.75" customHeight="1" s="9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</row>
    <row r="775" ht="15.75" customHeight="1" s="9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</row>
    <row r="776" ht="15.75" customHeight="1" s="9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</row>
    <row r="777" ht="15.75" customHeight="1" s="9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</row>
    <row r="778" ht="15.75" customHeight="1" s="9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</row>
    <row r="779" ht="15.75" customHeight="1" s="9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</row>
    <row r="780" ht="15.75" customHeight="1" s="9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</row>
    <row r="781" ht="15.75" customHeight="1" s="9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</row>
    <row r="782" ht="15.75" customHeight="1" s="9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</row>
    <row r="783" ht="15.75" customHeight="1" s="9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</row>
    <row r="784" ht="15.75" customHeight="1" s="9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</row>
    <row r="785" ht="15.75" customHeight="1" s="9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</row>
    <row r="786" ht="15.75" customHeight="1" s="9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</row>
    <row r="787" ht="15.75" customHeight="1" s="9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</row>
    <row r="788" ht="15.75" customHeight="1" s="9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</row>
    <row r="789" ht="15.75" customHeight="1" s="9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</row>
    <row r="790" ht="15.75" customHeight="1" s="9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</row>
    <row r="791" ht="15.75" customHeight="1" s="9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</row>
    <row r="792" ht="15.75" customHeight="1" s="9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</row>
    <row r="793" ht="15.75" customHeight="1" s="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</row>
    <row r="794" ht="15.75" customHeight="1" s="9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</row>
    <row r="795" ht="15.75" customHeight="1" s="9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</row>
    <row r="796" ht="15.75" customHeight="1" s="9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</row>
    <row r="797" ht="15.75" customHeight="1" s="9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</row>
    <row r="798" ht="15.75" customHeight="1" s="9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</row>
    <row r="799" ht="15.75" customHeight="1" s="9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</row>
    <row r="800" ht="15.75" customHeight="1" s="9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</row>
    <row r="801" ht="15.75" customHeight="1" s="9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</row>
    <row r="802" ht="15.75" customHeight="1" s="9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</row>
    <row r="803" ht="15.75" customHeight="1" s="9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</row>
    <row r="804" ht="15.75" customHeight="1" s="9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</row>
    <row r="805" ht="15.75" customHeight="1" s="9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</row>
    <row r="806" ht="15.75" customHeight="1" s="9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</row>
    <row r="807" ht="15.75" customHeight="1" s="9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</row>
    <row r="808" ht="15.75" customHeight="1" s="9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</row>
    <row r="809" ht="15.75" customHeight="1" s="9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</row>
    <row r="810" ht="15.75" customHeight="1" s="9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</row>
    <row r="811" ht="15.75" customHeight="1" s="9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</row>
    <row r="812" ht="15.75" customHeight="1" s="9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</row>
    <row r="813" ht="15.75" customHeight="1" s="9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</row>
    <row r="814" ht="15.75" customHeight="1" s="9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</row>
    <row r="815" ht="15.75" customHeight="1" s="9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</row>
    <row r="816" ht="15.75" customHeight="1" s="9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</row>
    <row r="817" ht="15.75" customHeight="1" s="9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</row>
    <row r="818" ht="15.75" customHeight="1" s="9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</row>
    <row r="819" ht="15.75" customHeight="1" s="9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</row>
    <row r="820" ht="15.75" customHeight="1" s="9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</row>
    <row r="821" ht="15.75" customHeight="1" s="9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</row>
    <row r="822" ht="15.75" customHeight="1" s="9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</row>
    <row r="823" ht="15.75" customHeight="1" s="9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</row>
    <row r="824" ht="15.75" customHeight="1" s="9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</row>
    <row r="825" ht="15.75" customHeight="1" s="9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</row>
    <row r="826" ht="15.75" customHeight="1" s="9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</row>
    <row r="827" ht="15.75" customHeight="1" s="9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</row>
    <row r="828" ht="15.75" customHeight="1" s="9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</row>
    <row r="829" ht="15.75" customHeight="1" s="9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</row>
    <row r="830" ht="15.75" customHeight="1" s="9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</row>
    <row r="831" ht="15.75" customHeight="1" s="9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</row>
    <row r="832" ht="15.75" customHeight="1" s="9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</row>
    <row r="833" ht="15.75" customHeight="1" s="9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</row>
    <row r="834" ht="15.75" customHeight="1" s="9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</row>
    <row r="835" ht="15.75" customHeight="1" s="9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</row>
    <row r="836" ht="15.75" customHeight="1" s="9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</row>
    <row r="837" ht="15.75" customHeight="1" s="9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</row>
    <row r="838" ht="15.75" customHeight="1" s="9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</row>
    <row r="839" ht="15.75" customHeight="1" s="9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</row>
    <row r="840" ht="15.75" customHeight="1" s="9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</row>
    <row r="841" ht="15.75" customHeight="1" s="9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</row>
    <row r="842" ht="15.75" customHeight="1" s="9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</row>
    <row r="843" ht="15.75" customHeight="1" s="9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</row>
    <row r="844" ht="15.75" customHeight="1" s="9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</row>
    <row r="845" ht="15.75" customHeight="1" s="9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</row>
    <row r="846" ht="15.75" customHeight="1" s="9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</row>
    <row r="847" ht="15.75" customHeight="1" s="9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</row>
    <row r="848" ht="15.75" customHeight="1" s="9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</row>
    <row r="849" ht="15.75" customHeight="1" s="9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</row>
    <row r="850" ht="15.75" customHeight="1" s="9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</row>
    <row r="851" ht="15.75" customHeight="1" s="9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</row>
    <row r="852" ht="15.75" customHeight="1" s="9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</row>
    <row r="853" ht="15.75" customHeight="1" s="9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</row>
    <row r="854" ht="15.75" customHeight="1" s="9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</row>
    <row r="855" ht="15.75" customHeight="1" s="9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</row>
    <row r="856" ht="15.75" customHeight="1" s="9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</row>
    <row r="857" ht="15.75" customHeight="1" s="9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</row>
    <row r="858" ht="15.75" customHeight="1" s="9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</row>
    <row r="859" ht="15.75" customHeight="1" s="9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</row>
    <row r="860" ht="15.75" customHeight="1" s="9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</row>
    <row r="861" ht="15.75" customHeight="1" s="9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</row>
    <row r="862" ht="15.75" customHeight="1" s="9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</row>
    <row r="863" ht="15.75" customHeight="1" s="9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</row>
    <row r="864" ht="15.75" customHeight="1" s="9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</row>
    <row r="865" ht="15.75" customHeight="1" s="9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</row>
    <row r="866" ht="15.75" customHeight="1" s="9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</row>
    <row r="867" ht="15.75" customHeight="1" s="9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</row>
    <row r="868" ht="15.75" customHeight="1" s="9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</row>
    <row r="869" ht="15.75" customHeight="1" s="9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</row>
    <row r="870" ht="15.75" customHeight="1" s="9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</row>
    <row r="871" ht="15.75" customHeight="1" s="9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</row>
    <row r="872" ht="15.75" customHeight="1" s="9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</row>
    <row r="873" ht="15.75" customHeight="1" s="9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</row>
    <row r="874" ht="15.75" customHeight="1" s="9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</row>
    <row r="875" ht="15.75" customHeight="1" s="9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</row>
    <row r="876" ht="15.75" customHeight="1" s="9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</row>
    <row r="877" ht="15.75" customHeight="1" s="9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</row>
    <row r="878" ht="15.75" customHeight="1" s="9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</row>
    <row r="879" ht="15.75" customHeight="1" s="9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</row>
    <row r="880" ht="15.75" customHeight="1" s="9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</row>
    <row r="881" ht="15.75" customHeight="1" s="9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</row>
    <row r="882" ht="15.75" customHeight="1" s="9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</row>
    <row r="883" ht="15.75" customHeight="1" s="9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</row>
    <row r="884" ht="15.75" customHeight="1" s="9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</row>
    <row r="885" ht="15.75" customHeight="1" s="9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</row>
    <row r="886" ht="15.75" customHeight="1" s="9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</row>
    <row r="887" ht="15.75" customHeight="1" s="9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</row>
    <row r="888" ht="15.75" customHeight="1" s="9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</row>
    <row r="889" ht="15.75" customHeight="1" s="9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</row>
    <row r="890" ht="15.75" customHeight="1" s="9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</row>
    <row r="891" ht="15.75" customHeight="1" s="9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</row>
    <row r="892" ht="15.75" customHeight="1" s="9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</row>
    <row r="893" ht="15.75" customHeight="1" s="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</row>
    <row r="894" ht="15.75" customHeight="1" s="9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</row>
    <row r="895" ht="15.75" customHeight="1" s="9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</row>
    <row r="896" ht="15.75" customHeight="1" s="9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</row>
    <row r="897" ht="15.75" customHeight="1" s="9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</row>
    <row r="898" ht="15.75" customHeight="1" s="9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</row>
    <row r="899" ht="15.75" customHeight="1" s="9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</row>
    <row r="900" ht="15.75" customHeight="1" s="9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</row>
    <row r="901" ht="15.75" customHeight="1" s="9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</row>
    <row r="902" ht="15.75" customHeight="1" s="9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</row>
    <row r="903" ht="15.75" customHeight="1" s="9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</row>
    <row r="904" ht="15.75" customHeight="1" s="9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</row>
    <row r="905" ht="15.75" customHeight="1" s="9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</row>
    <row r="906" ht="15.75" customHeight="1" s="9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</row>
    <row r="907" ht="15.75" customHeight="1" s="9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</row>
    <row r="908" ht="15.75" customHeight="1" s="9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</row>
    <row r="909" ht="15.75" customHeight="1" s="9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</row>
    <row r="910" ht="15.75" customHeight="1" s="9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</row>
    <row r="911" ht="15.75" customHeight="1" s="9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</row>
    <row r="912" ht="15.75" customHeight="1" s="9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</row>
    <row r="913" ht="15.75" customHeight="1" s="9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</row>
    <row r="914" ht="15.75" customHeight="1" s="9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</row>
    <row r="915" ht="15.75" customHeight="1" s="9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</row>
    <row r="916" ht="15.75" customHeight="1" s="9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</row>
    <row r="917" ht="15.75" customHeight="1" s="9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</row>
    <row r="918" ht="15.75" customHeight="1" s="9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</row>
    <row r="919" ht="15.75" customHeight="1" s="9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</row>
    <row r="920" ht="15.75" customHeight="1" s="9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</row>
    <row r="921" ht="15.75" customHeight="1" s="9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</row>
    <row r="922" ht="15.75" customHeight="1" s="9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</row>
    <row r="923" ht="15.75" customHeight="1" s="9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</row>
    <row r="924" ht="15.75" customHeight="1" s="9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</row>
    <row r="925" ht="15.75" customHeight="1" s="9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</row>
    <row r="926" ht="15.75" customHeight="1" s="9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</row>
    <row r="927" ht="15.75" customHeight="1" s="9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</row>
    <row r="928" ht="15.75" customHeight="1" s="9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</row>
    <row r="929" ht="15.75" customHeight="1" s="9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</row>
    <row r="930" ht="15.75" customHeight="1" s="9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</row>
    <row r="931" ht="15.75" customHeight="1" s="9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</row>
    <row r="932" ht="15.75" customHeight="1" s="9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</row>
    <row r="933" ht="15.75" customHeight="1" s="9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</row>
    <row r="934" ht="15.75" customHeight="1" s="9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</row>
    <row r="935" ht="15.75" customHeight="1" s="9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</row>
    <row r="936" ht="15.75" customHeight="1" s="9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</row>
    <row r="937" ht="15.75" customHeight="1" s="9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</row>
    <row r="938" ht="15.75" customHeight="1" s="9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</row>
    <row r="939" ht="15.75" customHeight="1" s="9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</row>
    <row r="940" ht="15.75" customHeight="1" s="9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</row>
    <row r="941" ht="15.75" customHeight="1" s="9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</row>
    <row r="942" ht="15.75" customHeight="1" s="9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</row>
    <row r="943" ht="15.75" customHeight="1" s="9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</row>
    <row r="944" ht="15.75" customHeight="1" s="9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</row>
    <row r="945" ht="15.75" customHeight="1" s="9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</row>
    <row r="946" ht="15.75" customHeight="1" s="9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</row>
    <row r="947" ht="15.75" customHeight="1" s="9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</row>
    <row r="948" ht="15.75" customHeight="1" s="9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</row>
    <row r="949" ht="15.75" customHeight="1" s="9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</row>
    <row r="950" ht="15.75" customHeight="1" s="9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</row>
    <row r="951" ht="15.75" customHeight="1" s="9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</row>
    <row r="952" ht="15.75" customHeight="1" s="9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</row>
    <row r="953" ht="15.75" customHeight="1" s="9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</row>
    <row r="954" ht="15.75" customHeight="1" s="9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</row>
    <row r="955" ht="15.75" customHeight="1" s="9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</row>
    <row r="956" ht="15.75" customHeight="1" s="9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</row>
    <row r="957" ht="15.75" customHeight="1" s="9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</row>
    <row r="958" ht="15.75" customHeight="1" s="9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</row>
    <row r="959" ht="15.75" customHeight="1" s="9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</row>
    <row r="960" ht="15.75" customHeight="1" s="9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</row>
    <row r="961" ht="15.75" customHeight="1" s="9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</row>
    <row r="962" ht="15.75" customHeight="1" s="9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</row>
    <row r="963" ht="15.75" customHeight="1" s="9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</row>
    <row r="964" ht="15.75" customHeight="1" s="9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</row>
    <row r="965" ht="15.75" customHeight="1" s="9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</row>
    <row r="966" ht="15.75" customHeight="1" s="9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</row>
    <row r="967" ht="15.75" customHeight="1" s="9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</row>
    <row r="968" ht="15.75" customHeight="1" s="9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</row>
    <row r="969" ht="15.75" customHeight="1" s="9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</row>
    <row r="970" ht="15.75" customHeight="1" s="9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</row>
    <row r="971" ht="15.75" customHeight="1" s="9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</row>
    <row r="972" ht="15.75" customHeight="1" s="9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</row>
    <row r="973" ht="15.75" customHeight="1" s="9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</row>
    <row r="974" ht="15.75" customHeight="1" s="9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</row>
    <row r="975" ht="15.75" customHeight="1" s="9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</row>
    <row r="976" ht="15.75" customHeight="1" s="9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</row>
    <row r="977" ht="15.75" customHeight="1" s="9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</row>
    <row r="978" ht="15.75" customHeight="1" s="9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</row>
    <row r="979" ht="15.75" customHeight="1" s="9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</row>
    <row r="980" ht="15.75" customHeight="1" s="9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</row>
    <row r="981" ht="15.75" customHeight="1" s="9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</row>
    <row r="982" ht="15.75" customHeight="1" s="9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</row>
    <row r="983" ht="15.75" customHeight="1" s="9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</row>
    <row r="984" ht="15.75" customHeight="1" s="9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</row>
    <row r="985" ht="15.75" customHeight="1" s="9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</row>
    <row r="986" ht="15.75" customHeight="1" s="9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</row>
    <row r="987" ht="15.75" customHeight="1" s="9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</row>
    <row r="988" ht="15.75" customHeight="1" s="9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</row>
    <row r="989" ht="15.75" customHeight="1" s="9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</row>
    <row r="990" ht="15.75" customHeight="1" s="9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</row>
    <row r="991" ht="15.75" customHeight="1" s="9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</row>
    <row r="992" ht="15.75" customHeight="1" s="9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</row>
    <row r="993" ht="15.75" customHeight="1" s="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</row>
    <row r="994" ht="15.75" customHeight="1" s="9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</row>
    <row r="995" ht="15.75" customHeight="1" s="9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</row>
    <row r="996" ht="15.75" customHeight="1" s="9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</row>
    <row r="997" ht="15.75" customHeight="1" s="9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</row>
    <row r="998" ht="15.75" customHeight="1" s="9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</row>
    <row r="999" ht="15.75" customHeight="1" s="9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</row>
    <row r="1000" ht="15.75" customHeight="1" s="9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</row>
  </sheetData>
  <autoFilter ref="$A$5:$AP$6"/>
  <mergeCells count="7">
    <mergeCell ref="A4:H4"/>
    <mergeCell ref="AE4:AL4"/>
    <mergeCell ref="A1:AP1"/>
    <mergeCell ref="X4:AD4"/>
    <mergeCell ref="P4:W4"/>
    <mergeCell ref="AM4:AP4"/>
    <mergeCell ref="I4:L4"/>
  </mergeCells>
  <conditionalFormatting sqref="A6:AP6">
    <cfRule type="expression" priority="1" dxfId="3">
      <formula>AND($A6&lt;&gt;"",ISEVEN(ROW()))</formula>
    </cfRule>
    <cfRule type="expression" priority="2" dxfId="4">
      <formula>AND($A6&lt;&gt;"",$X6="")</formula>
    </cfRule>
    <cfRule type="expression" priority="3" dxfId="5">
      <formula>AND($A6&lt;&gt;"",$AM6="não")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2026-08-08T20:23:15Z</dcterms:created>
  <dcterms:modified xsi:type="dcterms:W3CDTF">2026-08-08T20:23:17Z</dcterms:modified>
</cp:coreProperties>
</file>