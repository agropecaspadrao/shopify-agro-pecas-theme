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⚙ Configurações" sheetId="1" state="visible" r:id="rId1"/>
    <sheet name="💰 Formação de Preço" sheetId="2" state="visible" r:id="rId2"/>
    <sheet name="🛒 Exportação Shopify" sheetId="3" state="visible" r:id="rId3"/>
  </sheets>
  <definedNames>
    <definedName name="_xlnm._FilterDatabase" localSheetId="1" hidden="1">'💰 Formação de Preço'!$A$3:$AB$61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"/>
    <numFmt numFmtId="165" formatCode="0.0%"/>
    <numFmt numFmtId="166" formatCode="0.0 &quot;kg&quot;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7B4F00"/>
      <sz val="10"/>
    </font>
    <font>
      <name val="Calibri"/>
      <i val="1"/>
      <color rgb="00666666"/>
      <sz val="8"/>
    </font>
    <font>
      <name val="Calibri"/>
      <i val="1"/>
      <color rgb="00000000"/>
      <sz val="9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color rgb="001A4A2E"/>
      <sz val="10"/>
    </font>
    <font>
      <name val="Calibri"/>
      <b val="1"/>
      <color rgb="001A4A2E"/>
      <sz val="10"/>
    </font>
    <font>
      <name val="Calibri"/>
      <color rgb="007B3A00"/>
      <sz val="9"/>
    </font>
    <font>
      <name val="Calibri"/>
      <b val="1"/>
      <color rgb="004A148C"/>
      <sz val="10"/>
    </font>
    <font>
      <name val="Calibri"/>
      <b val="1"/>
      <color rgb="00B71C1C"/>
      <sz val="10"/>
    </font>
    <font>
      <name val="Calibri"/>
      <b val="1"/>
      <color rgb="00FFFFFF"/>
      <sz val="12"/>
    </font>
    <font>
      <name val="Calibri"/>
      <i val="1"/>
      <color rgb="00B71C1C"/>
      <sz val="9"/>
    </font>
  </fonts>
  <fills count="17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2F6B4F"/>
      </patternFill>
    </fill>
    <fill>
      <patternFill patternType="solid">
        <fgColor rgb="00F0F0F0"/>
      </patternFill>
    </fill>
    <fill>
      <patternFill patternType="solid">
        <fgColor rgb="00FFF8DC"/>
      </patternFill>
    </fill>
    <fill>
      <patternFill patternType="solid">
        <fgColor rgb="002E86C1"/>
      </patternFill>
    </fill>
    <fill>
      <patternFill patternType="solid">
        <fgColor rgb="00E67E22"/>
      </patternFill>
    </fill>
    <fill>
      <patternFill patternType="solid">
        <fgColor rgb="00FFFDE7"/>
      </patternFill>
    </fill>
    <fill>
      <patternFill patternType="solid">
        <fgColor rgb="005D4037"/>
      </patternFill>
    </fill>
    <fill>
      <patternFill patternType="solid">
        <fgColor rgb="006A1B9A"/>
      </patternFill>
    </fill>
    <fill>
      <patternFill patternType="solid">
        <fgColor rgb="00C62828"/>
      </patternFill>
    </fill>
    <fill>
      <patternFill patternType="solid">
        <fgColor rgb="00D6EAD8"/>
      </patternFill>
    </fill>
    <fill>
      <patternFill patternType="solid">
        <fgColor rgb="00B8E0BF"/>
      </patternFill>
    </fill>
    <fill>
      <patternFill patternType="solid">
        <fgColor rgb="00FDEBD0"/>
      </patternFill>
    </fill>
    <fill>
      <patternFill patternType="solid">
        <fgColor rgb="00F3E5F5"/>
      </patternFill>
    </fill>
    <fill>
      <patternFill patternType="solid">
        <fgColor rgb="00FFEBEE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6" fillId="8" borderId="2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5" fontId="9" fillId="12" borderId="1" applyAlignment="1" pivotButton="0" quotePrefix="0" xfId="0">
      <alignment horizontal="center" vertical="center"/>
    </xf>
    <xf numFmtId="164" fontId="9" fillId="12" borderId="1" applyAlignment="1" pivotButton="0" quotePrefix="0" xfId="0">
      <alignment horizontal="center" vertical="center"/>
    </xf>
    <xf numFmtId="164" fontId="10" fillId="13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164" fontId="11" fillId="14" borderId="1" applyAlignment="1" pivotButton="0" quotePrefix="0" xfId="0">
      <alignment horizontal="center" vertical="center"/>
    </xf>
    <xf numFmtId="166" fontId="3" fillId="4" borderId="1" applyAlignment="1" pivotButton="0" quotePrefix="0" xfId="0">
      <alignment horizontal="center" vertical="center"/>
    </xf>
    <xf numFmtId="165" fontId="10" fillId="12" borderId="1" applyAlignment="1" pivotButton="0" quotePrefix="0" xfId="0">
      <alignment horizontal="center" vertical="center"/>
    </xf>
    <xf numFmtId="164" fontId="12" fillId="15" borderId="1" applyAlignment="1" pivotButton="0" quotePrefix="0" xfId="0">
      <alignment horizontal="center" vertical="center"/>
    </xf>
    <xf numFmtId="164" fontId="13" fillId="16" borderId="1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/>
    </xf>
    <xf numFmtId="0" fontId="14" fillId="11" borderId="0" applyAlignment="1" pivotButton="0" quotePrefix="0" xfId="0">
      <alignment horizontal="center" vertical="center"/>
    </xf>
    <xf numFmtId="0" fontId="15" fillId="16" borderId="0" applyAlignment="1" pivotButton="0" quotePrefix="0" xfId="0">
      <alignment horizontal="center" vertical="center"/>
    </xf>
    <xf numFmtId="2" fontId="13" fillId="16" borderId="1" applyAlignment="1" pivotButton="0" quotePrefix="0" xfId="0">
      <alignment horizontal="center" vertical="center"/>
    </xf>
    <xf numFmtId="2" fontId="12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55" customWidth="1" min="3" max="3"/>
  </cols>
  <sheetData>
    <row r="1" ht="40" customHeight="1">
      <c r="A1" s="1" t="inlineStr">
        <is>
          <t>⚙  CONFIGURAÇÕES GLOBAIS — APP Agro Peças Padrão</t>
        </is>
      </c>
    </row>
    <row r="3" ht="22" customHeight="1">
      <c r="A3" s="2" t="inlineStr">
        <is>
          <t>CUSTOS OPERACIONAIS (% sobre Custo de Aquisição)</t>
        </is>
      </c>
    </row>
    <row r="4" ht="22" customHeight="1">
      <c r="A4" s="3" t="inlineStr">
        <is>
          <t>Overhead operacional (aluguel, salários, energia)</t>
        </is>
      </c>
      <c r="B4" s="4" t="n">
        <v>0.18</v>
      </c>
      <c r="C4" s="5" t="inlineStr">
        <is>
          <t>18% sobre o custo de aquisição — ajuste conforme DRE</t>
        </is>
      </c>
    </row>
    <row r="5" ht="22" customHeight="1">
      <c r="A5" s="3" t="inlineStr">
        <is>
          <t>Embalagem e manuseio</t>
        </is>
      </c>
      <c r="B5" s="4" t="n">
        <v>0.03</v>
      </c>
      <c r="C5" s="5" t="inlineStr">
        <is>
          <t>3% sobre CA — inclui caixas, fita, etiqueta, NF</t>
        </is>
      </c>
    </row>
    <row r="6" ht="22" customHeight="1">
      <c r="A6" s="3" t="inlineStr">
        <is>
          <t>Comissão / marketplace / taxa Shopify</t>
        </is>
      </c>
      <c r="B6" s="4" t="n">
        <v>0.025</v>
      </c>
      <c r="C6" s="5" t="inlineStr">
        <is>
          <t>2.5% — taxa de gateway + plataforma</t>
        </is>
      </c>
    </row>
    <row r="7" ht="22" customHeight="1">
      <c r="A7" s="3" t="inlineStr">
        <is>
          <t>Impostos sobre venda (Simples Nacional)</t>
        </is>
      </c>
      <c r="B7" s="4" t="n">
        <v>0.06</v>
      </c>
      <c r="C7" s="5" t="inlineStr">
        <is>
          <t>6% médio Simples Nacional — verifique sua faixa</t>
        </is>
      </c>
    </row>
    <row r="8" ht="22" customHeight="1">
      <c r="A8" s="3" t="inlineStr">
        <is>
          <t>Inadimplência / perdas estimadas</t>
        </is>
      </c>
      <c r="B8" s="4" t="n">
        <v>0.01</v>
      </c>
      <c r="C8" s="5" t="inlineStr">
        <is>
          <t>1% — provisão para devoluções e perdas</t>
        </is>
      </c>
    </row>
    <row r="9" ht="22" customHeight="1"/>
    <row r="10" ht="22" customHeight="1">
      <c r="A10" s="2" t="inlineStr">
        <is>
          <t>MARGENS DE LUCRO SUGERIDAS POR CATEGORIA</t>
        </is>
      </c>
    </row>
    <row r="11" ht="22" customHeight="1">
      <c r="A11" s="3" t="inlineStr">
        <is>
          <t>Bombas Hidráulicas — margem mínima sobre venda</t>
        </is>
      </c>
      <c r="B11" s="4" t="n">
        <v>0.35</v>
      </c>
      <c r="C11" s="5" t="inlineStr">
        <is>
          <t>35% — produtos de alto valor, menor giro</t>
        </is>
      </c>
    </row>
    <row r="12" ht="22" customHeight="1">
      <c r="A12" s="3" t="inlineStr">
        <is>
          <t>Sensores / GPS / Monitores — margem mínima</t>
        </is>
      </c>
      <c r="B12" s="4" t="n">
        <v>0.4</v>
      </c>
      <c r="C12" s="5" t="inlineStr">
        <is>
          <t>40% — produtos tech, margem maior</t>
        </is>
      </c>
    </row>
    <row r="13" ht="22" customHeight="1">
      <c r="A13" s="3" t="inlineStr">
        <is>
          <t>Peças Plásticas / Plantadeira — margem mínima</t>
        </is>
      </c>
      <c r="B13" s="4" t="n">
        <v>0.45</v>
      </c>
      <c r="C13" s="5" t="inlineStr">
        <is>
          <t>45% — alto giro, margens maiores</t>
        </is>
      </c>
    </row>
    <row r="14" ht="22" customHeight="1">
      <c r="A14" s="3" t="inlineStr">
        <is>
          <t>Margem de segurança adicional (concorrência)</t>
        </is>
      </c>
      <c r="B14" s="4" t="n">
        <v>0.05</v>
      </c>
      <c r="C14" s="5" t="inlineStr">
        <is>
          <t>5% extra para absorver variações de câmbio e insumos</t>
        </is>
      </c>
    </row>
    <row r="15" ht="22" customHeight="1"/>
    <row r="16" ht="22" customHeight="1">
      <c r="A16" s="6" t="inlineStr">
        <is>
          <t>FRETE FÁBRICA → APP (Curitiba-PR)</t>
        </is>
      </c>
    </row>
    <row r="17" ht="22" customHeight="1">
      <c r="A17" s="3" t="inlineStr">
        <is>
          <t>LIVENZA/Sohipren (origem: SP ou importado)</t>
        </is>
      </c>
      <c r="B17" s="4" t="n">
        <v>0.05</v>
      </c>
      <c r="C17" s="5" t="inlineStr">
        <is>
          <t>~5% sobre PF — frete CIF/FOB Curitiba, peso médio 7kg</t>
        </is>
      </c>
    </row>
    <row r="18" ht="22" customHeight="1">
      <c r="A18" s="3" t="inlineStr">
        <is>
          <t>Greco Agro Tech (origem: SP ou PR)</t>
        </is>
      </c>
      <c r="B18" s="4" t="n">
        <v>0.04</v>
      </c>
      <c r="C18" s="5" t="inlineStr">
        <is>
          <t>~4% sobre PF — peças leves, frete mais barato</t>
        </is>
      </c>
    </row>
    <row r="19" ht="22" customHeight="1">
      <c r="A19" s="3" t="inlineStr">
        <is>
          <t>AGCO / ADG (origem: SP)</t>
        </is>
      </c>
      <c r="B19" s="4" t="n">
        <v>0.045</v>
      </c>
      <c r="C19" s="5" t="inlineStr">
        <is>
          <t>~4.5% sobre PF — peças médias/grandes</t>
        </is>
      </c>
    </row>
    <row r="20" ht="22" customHeight="1">
      <c r="A20" s="3" t="inlineStr">
        <is>
          <t>ICMS interestadual médio (SP→PR)</t>
        </is>
      </c>
      <c r="B20" s="4" t="n">
        <v>0.07000000000000001</v>
      </c>
      <c r="C20" s="5" t="inlineStr">
        <is>
          <t>7% — verifique DIFAL e NCM de cada produto</t>
        </is>
      </c>
    </row>
    <row r="21" ht="22" customHeight="1"/>
    <row r="22" ht="22" customHeight="1">
      <c r="A22" s="7" t="inlineStr">
        <is>
          <t>FRETE APP → CLIENTE — BASE POR REGIÃO (R$/pedido)</t>
        </is>
      </c>
    </row>
    <row r="23" ht="22" customHeight="1">
      <c r="A23" s="3" t="inlineStr">
        <is>
          <t>Sul próximo (PR) — base até 3kg</t>
        </is>
      </c>
      <c r="B23" s="4" t="n">
        <v>25</v>
      </c>
      <c r="C23" s="5" t="inlineStr">
        <is>
          <t>Transportadora regional: Jamef, Braspress, TNT</t>
        </is>
      </c>
    </row>
    <row r="24" ht="22" customHeight="1">
      <c r="A24" s="3" t="inlineStr">
        <is>
          <t>Sul (SC, RS) — base até 3kg</t>
        </is>
      </c>
      <c r="B24" s="4" t="n">
        <v>38</v>
      </c>
      <c r="C24" s="5" t="inlineStr"/>
    </row>
    <row r="25" ht="22" customHeight="1">
      <c r="A25" s="3" t="inlineStr">
        <is>
          <t>Sudeste (SP, MG, RJ, ES) — base até 3kg</t>
        </is>
      </c>
      <c r="B25" s="4" t="n">
        <v>48</v>
      </c>
      <c r="C25" s="5" t="inlineStr"/>
    </row>
    <row r="26" ht="22" customHeight="1">
      <c r="A26" s="3" t="inlineStr">
        <is>
          <t>Centro-Oeste (MT, MS, GO, DF) — base até 3kg</t>
        </is>
      </c>
      <c r="B26" s="4" t="n">
        <v>62</v>
      </c>
      <c r="C26" s="5" t="inlineStr"/>
    </row>
    <row r="27" ht="22" customHeight="1">
      <c r="A27" s="3" t="inlineStr">
        <is>
          <t>Nordeste (BA, SE, AL, PE, PB, RN, CE, PI, MA) — base</t>
        </is>
      </c>
      <c r="B27" s="4" t="n">
        <v>85</v>
      </c>
      <c r="C27" s="5" t="inlineStr"/>
    </row>
    <row r="28" ht="22" customHeight="1">
      <c r="A28" s="3" t="inlineStr">
        <is>
          <t>Norte (PA, AM, TO, RO, AC, RR, AP) — base até 3kg</t>
        </is>
      </c>
      <c r="B28" s="4" t="n">
        <v>110</v>
      </c>
      <c r="C28" s="5" t="inlineStr">
        <is>
          <t>Correios ou transportadora regional</t>
        </is>
      </c>
    </row>
    <row r="29" ht="22" customHeight="1">
      <c r="A29" s="3" t="inlineStr">
        <is>
          <t>Acréscimo por kg adicional acima de 3kg (R$/kg)</t>
        </is>
      </c>
      <c r="B29" s="4" t="n">
        <v>14</v>
      </c>
      <c r="C29" s="5" t="inlineStr">
        <is>
          <t>Média nacional para produtos industriais</t>
        </is>
      </c>
    </row>
    <row r="30" ht="22" customHeight="1">
      <c r="A30" s="3" t="inlineStr">
        <is>
          <t>Seguro mínimo (R$)</t>
        </is>
      </c>
      <c r="B30" s="4" t="n">
        <v>10</v>
      </c>
      <c r="C30" s="5" t="inlineStr">
        <is>
          <t>Valor mínimo de seguro por envio</t>
        </is>
      </c>
    </row>
    <row r="31" ht="22" customHeight="1">
      <c r="A31" s="3" t="inlineStr">
        <is>
          <t>Seguro % sobre NF</t>
        </is>
      </c>
      <c r="B31" s="4" t="n">
        <v>0.004</v>
      </c>
      <c r="C31" s="5" t="inlineStr">
        <is>
          <t>0,4% do valor declarado — incluso nas transportadoras sérias</t>
        </is>
      </c>
    </row>
    <row r="33" ht="80" customHeight="1">
      <c r="A33" s="8" t="inlineStr">
        <is>
          <t>📌  COMO USAR:
1. Ajuste os valores em amarelo conforme sua realidade financeira.
2. Na aba '💰 Formação de Preço', preencha APENAS as colunas amarelas (Preço de Fábrica, Markup desejado, Preço mín./máx. mercado).
3. Todas as colunas verdes são calculadas automaticamente por fórmula.
4. Na aba '🛒 Exportação Shopify', copie e cole no arquivo master_products_import.csv para subir preços em lote.</t>
        </is>
      </c>
    </row>
    <row r="34"/>
    <row r="35"/>
    <row r="36"/>
  </sheetData>
  <mergeCells count="6">
    <mergeCell ref="A10:C10"/>
    <mergeCell ref="A1:C1"/>
    <mergeCell ref="A33:C36"/>
    <mergeCell ref="A22:C22"/>
    <mergeCell ref="A3:C3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22" customWidth="1" min="3" max="3"/>
    <col width="22" customWidth="1" min="4" max="4"/>
    <col width="20" customWidth="1" min="5" max="5"/>
    <col width="14" customWidth="1" min="6" max="6"/>
    <col width="12" customWidth="1" min="7" max="7"/>
    <col width="13" customWidth="1" min="8" max="8"/>
    <col width="12" customWidth="1" min="9" max="9"/>
    <col width="12" customWidth="1" min="10" max="10"/>
    <col width="13" customWidth="1" min="11" max="11"/>
    <col width="12" customWidth="1" min="12" max="12"/>
    <col width="13" customWidth="1" min="13" max="13"/>
    <col width="14" customWidth="1" min="14" max="14"/>
    <col width="13" customWidth="1" min="15" max="15"/>
    <col width="14" customWidth="1" min="16" max="16"/>
    <col width="11" customWidth="1" min="17" max="17"/>
    <col width="11" customWidth="1" min="18" max="18"/>
    <col width="11" customWidth="1" min="19" max="19"/>
    <col width="11" customWidth="1" min="20" max="20"/>
    <col width="12" customWidth="1" min="21" max="21"/>
    <col width="11" customWidth="1" min="22" max="22"/>
    <col width="12" customWidth="1" min="23" max="23"/>
    <col width="10" customWidth="1" min="24" max="24"/>
    <col width="12" customWidth="1" min="25" max="25"/>
    <col width="14" customWidth="1" min="26" max="26"/>
    <col width="14" customWidth="1" min="27" max="27"/>
    <col width="15" customWidth="1" min="28" max="28"/>
  </cols>
  <sheetData>
    <row r="1" ht="36" customHeight="1">
      <c r="A1" s="9" t="inlineStr">
        <is>
          <t>💰  TABELA MESTRA DE FORMAÇÃO DE PREÇO — APP Agro Peças Padrão</t>
        </is>
      </c>
    </row>
    <row r="2" ht="18" customHeight="1">
      <c r="A2" s="10" t="inlineStr">
        <is>
          <t>IDENTIFICAÇÃO DO PRODUTO</t>
        </is>
      </c>
      <c r="F2" s="11" t="inlineStr">
        <is>
          <t>CUSTO DE AQUISIÇÃO (fábrica → APP)</t>
        </is>
      </c>
      <c r="J2" s="12" t="inlineStr">
        <is>
          <t>CUSTOS OPERACIONAIS</t>
        </is>
      </c>
      <c r="N2" s="13" t="inlineStr">
        <is>
          <t>CUSTO TOTAL &amp; MARKUP</t>
        </is>
      </c>
      <c r="Q2" s="14" t="inlineStr">
        <is>
          <t>FRETE APP → CLIENTE (por região)</t>
        </is>
      </c>
      <c r="W2" s="12" t="inlineStr">
        <is>
          <t>SEGURO &amp; PREÇO FINAL</t>
        </is>
      </c>
      <c r="Z2" s="15" t="inlineStr">
        <is>
          <t>PESQUISA DE MERCADO</t>
        </is>
      </c>
      <c r="AB2" s="16" t="inlineStr">
        <is>
          <t>EXPORTAÇÃO SHOPIFY</t>
        </is>
      </c>
    </row>
    <row r="3" ht="48" customHeight="1">
      <c r="A3" s="17" t="inlineStr">
        <is>
          <t>Handle
(Shopify)</t>
        </is>
      </c>
      <c r="B3" s="17" t="inlineStr">
        <is>
          <t>Título</t>
        </is>
      </c>
      <c r="C3" s="17" t="inlineStr">
        <is>
          <t>SKU</t>
        </is>
      </c>
      <c r="D3" s="17" t="inlineStr">
        <is>
          <t>Distribuidor</t>
        </is>
      </c>
      <c r="E3" s="17" t="inlineStr">
        <is>
          <t>Tipo / Categoria</t>
        </is>
      </c>
      <c r="F3" s="18" t="inlineStr">
        <is>
          <t>⭐ Preço
de Fábrica
(R$)</t>
        </is>
      </c>
      <c r="G3" s="18" t="inlineStr">
        <is>
          <t>% Frete
Fábrica→APP</t>
        </is>
      </c>
      <c r="H3" s="18" t="inlineStr">
        <is>
          <t>Frete
Fábrica→APP
(R$)</t>
        </is>
      </c>
      <c r="I3" s="18" t="inlineStr">
        <is>
          <t>ICMS
Entrada
(R$)</t>
        </is>
      </c>
      <c r="J3" s="19" t="inlineStr">
        <is>
          <t>% Overhead
+ Embalagem</t>
        </is>
      </c>
      <c r="K3" s="19" t="inlineStr">
        <is>
          <t>Overhead
+ Embalagem
(R$)</t>
        </is>
      </c>
      <c r="L3" s="19" t="inlineStr">
        <is>
          <t>% Impostos
+ Comissão</t>
        </is>
      </c>
      <c r="M3" s="19" t="inlineStr">
        <is>
          <t>Impostos
+ Comissão
(R$)</t>
        </is>
      </c>
      <c r="N3" s="20" t="inlineStr">
        <is>
          <t>Custo Total
(R$)</t>
        </is>
      </c>
      <c r="O3" s="20" t="inlineStr">
        <is>
          <t>⭐ Markup
Desejado %</t>
        </is>
      </c>
      <c r="P3" s="20" t="inlineStr">
        <is>
          <t>Preço de
Venda s/Frete
(R$)</t>
        </is>
      </c>
      <c r="Q3" s="21" t="inlineStr">
        <is>
          <t>Frete Sul
PR (R$)</t>
        </is>
      </c>
      <c r="R3" s="21" t="inlineStr">
        <is>
          <t>Frete Sul
SC/RS (R$)</t>
        </is>
      </c>
      <c r="S3" s="21" t="inlineStr">
        <is>
          <t>Frete
Sudeste (R$)</t>
        </is>
      </c>
      <c r="T3" s="21" t="inlineStr">
        <is>
          <t>Frete
C-Oeste (R$)</t>
        </is>
      </c>
      <c r="U3" s="21" t="inlineStr">
        <is>
          <t>Frete
Nordeste (R$)</t>
        </is>
      </c>
      <c r="V3" s="21" t="inlineStr">
        <is>
          <t>Frete Norte
(R$)</t>
        </is>
      </c>
      <c r="W3" s="19" t="inlineStr">
        <is>
          <t>Seguro
Estimado (R$)</t>
        </is>
      </c>
      <c r="X3" s="19" t="inlineStr">
        <is>
          <t>Peso Unit.
(kg)</t>
        </is>
      </c>
      <c r="Y3" s="19" t="inlineStr">
        <is>
          <t>Margem Real
% s/ Venda</t>
        </is>
      </c>
      <c r="Z3" s="22" t="inlineStr">
        <is>
          <t>⭐ Preço Mín.
Mercado (R$)</t>
        </is>
      </c>
      <c r="AA3" s="22" t="inlineStr">
        <is>
          <t>⭐ Preço Máx.
Mercado (R$)</t>
        </is>
      </c>
      <c r="AB3" s="23" t="inlineStr">
        <is>
          <t>Preço Shopify
(Variant Price)</t>
        </is>
      </c>
    </row>
    <row r="4" ht="20" customHeight="1">
      <c r="A4" s="3" t="inlineStr">
        <is>
          <t>bomba-hidraulica-valtra-valmet-62-65-68-85-86-88-78el-boi-11-e5-p-b4-11-b4-l</t>
        </is>
      </c>
      <c r="B4" s="24" t="inlineStr">
        <is>
          <t>Bomba Hidráulica Valtra-Valmet 62/65/68/85/86/88/78EL — Principal</t>
        </is>
      </c>
      <c r="C4" s="25" t="inlineStr">
        <is>
          <t>5.0220.0547202</t>
        </is>
      </c>
      <c r="D4" s="3" t="inlineStr">
        <is>
          <t>LIVENZA / Sohipren</t>
        </is>
      </c>
      <c r="E4" s="3" t="inlineStr">
        <is>
          <t>Bombas Hidráulicas</t>
        </is>
      </c>
      <c r="F4" s="26" t="n">
        <v>0</v>
      </c>
      <c r="G4" s="27">
        <f>'⚙ Configurações'!$B$17</f>
        <v/>
      </c>
      <c r="H4" s="28">
        <f>F4*G4</f>
        <v/>
      </c>
      <c r="I4" s="28">
        <f>F4*'⚙ Configurações'!$B$20</f>
        <v/>
      </c>
      <c r="J4" s="27">
        <f>'⚙ Configurações'!$B$4+'⚙ Configurações'!$B$5</f>
        <v/>
      </c>
      <c r="K4" s="28">
        <f>(F4+H4+I4)*J4</f>
        <v/>
      </c>
      <c r="L4" s="27">
        <f>'⚙ Configurações'!$B$6+'⚙ Configurações'!$B$7+'⚙ Configurações'!$B$8</f>
        <v/>
      </c>
      <c r="M4" s="28">
        <f>N4*L4/(1-L4)</f>
        <v/>
      </c>
      <c r="N4" s="29">
        <f>F4+H4+I4+K4+M4</f>
        <v/>
      </c>
      <c r="O4" s="30">
        <f>'⚙ Configurações'!$B$11</f>
        <v/>
      </c>
      <c r="P4" s="29">
        <f>IF(O4&gt;=1,N4*2,N4/(1-O4))</f>
        <v/>
      </c>
      <c r="Q4" s="31">
        <f>IF(F4=0,0,ROUND('⚙ Configurações'!$B$23+MAX(0,(6.5-3)*'⚙ Configurações'!$B$29),2))</f>
        <v/>
      </c>
      <c r="R4" s="31">
        <f>IF(F4=0,0,ROUND('⚙ Configurações'!$B$24+MAX(0,(6.5-3)*'⚙ Configurações'!$B$29),2))</f>
        <v/>
      </c>
      <c r="S4" s="31">
        <f>IF(F4=0,0,ROUND('⚙ Configurações'!$B$25+MAX(0,(6.5-3)*'⚙ Configurações'!$B$29),2))</f>
        <v/>
      </c>
      <c r="T4" s="31">
        <f>IF(F4=0,0,ROUND('⚙ Configurações'!$B$26+MAX(0,(6.5-3)*'⚙ Configurações'!$B$29),2))</f>
        <v/>
      </c>
      <c r="U4" s="31">
        <f>IF(F4=0,0,ROUND('⚙ Configurações'!$B$27+MAX(0,(6.5-3)*'⚙ Configurações'!$B$29),2))</f>
        <v/>
      </c>
      <c r="V4" s="31">
        <f>IF(F4=0,0,ROUND('⚙ Configurações'!$B$28+MAX(0,(6.5-3)*'⚙ Configurações'!$B$29),2))</f>
        <v/>
      </c>
      <c r="W4" s="28">
        <f>IF(F4=0,0,ROUND(MAX('⚙ Configurações'!$B$30,P4*'⚙ Configurações'!$B$31),2))</f>
        <v/>
      </c>
      <c r="X4" s="32" t="n">
        <v>6.5</v>
      </c>
      <c r="Y4" s="33">
        <f>IF(P4=0,0,(P4-N4)/P4)</f>
        <v/>
      </c>
      <c r="Z4" s="34" t="n">
        <v>0</v>
      </c>
      <c r="AA4" s="34" t="n">
        <v>0</v>
      </c>
      <c r="AB4" s="35">
        <f>IF(P4&gt;0,ROUND(P4,2),"")</f>
        <v/>
      </c>
    </row>
    <row r="5" ht="20" customHeight="1">
      <c r="A5" s="3" t="inlineStr">
        <is>
          <t>bomba-hidraulica-valtra-valmet-885-985-1280</t>
        </is>
      </c>
      <c r="B5" s="24" t="inlineStr">
        <is>
          <t>Bomba Hidráulica Principal Valtra-Valmet 885/985/1280</t>
        </is>
      </c>
      <c r="C5" s="25" t="inlineStr">
        <is>
          <t>5.0220.0547201</t>
        </is>
      </c>
      <c r="D5" s="3" t="inlineStr">
        <is>
          <t>LIVENZA / Sohipren</t>
        </is>
      </c>
      <c r="E5" s="3" t="inlineStr">
        <is>
          <t>Bombas Hidráulicas</t>
        </is>
      </c>
      <c r="F5" s="26" t="n">
        <v>0</v>
      </c>
      <c r="G5" s="27">
        <f>'⚙ Configurações'!$B$17</f>
        <v/>
      </c>
      <c r="H5" s="28">
        <f>F5*G5</f>
        <v/>
      </c>
      <c r="I5" s="28">
        <f>F5*'⚙ Configurações'!$B$20</f>
        <v/>
      </c>
      <c r="J5" s="27">
        <f>'⚙ Configurações'!$B$4+'⚙ Configurações'!$B$5</f>
        <v/>
      </c>
      <c r="K5" s="28">
        <f>(F5+H5+I5)*J5</f>
        <v/>
      </c>
      <c r="L5" s="27">
        <f>'⚙ Configurações'!$B$6+'⚙ Configurações'!$B$7+'⚙ Configurações'!$B$8</f>
        <v/>
      </c>
      <c r="M5" s="28">
        <f>N5*L5/(1-L5)</f>
        <v/>
      </c>
      <c r="N5" s="29">
        <f>F5+H5+I5+K5+M5</f>
        <v/>
      </c>
      <c r="O5" s="30">
        <f>'⚙ Configurações'!$B$11</f>
        <v/>
      </c>
      <c r="P5" s="29">
        <f>IF(O5&gt;=1,N5*2,N5/(1-O5))</f>
        <v/>
      </c>
      <c r="Q5" s="31">
        <f>IF(F5=0,0,ROUND('⚙ Configurações'!$B$23+MAX(0,(6.5-3)*'⚙ Configurações'!$B$29),2))</f>
        <v/>
      </c>
      <c r="R5" s="31">
        <f>IF(F5=0,0,ROUND('⚙ Configurações'!$B$24+MAX(0,(6.5-3)*'⚙ Configurações'!$B$29),2))</f>
        <v/>
      </c>
      <c r="S5" s="31">
        <f>IF(F5=0,0,ROUND('⚙ Configurações'!$B$25+MAX(0,(6.5-3)*'⚙ Configurações'!$B$29),2))</f>
        <v/>
      </c>
      <c r="T5" s="31">
        <f>IF(F5=0,0,ROUND('⚙ Configurações'!$B$26+MAX(0,(6.5-3)*'⚙ Configurações'!$B$29),2))</f>
        <v/>
      </c>
      <c r="U5" s="31">
        <f>IF(F5=0,0,ROUND('⚙ Configurações'!$B$27+MAX(0,(6.5-3)*'⚙ Configurações'!$B$29),2))</f>
        <v/>
      </c>
      <c r="V5" s="31">
        <f>IF(F5=0,0,ROUND('⚙ Configurações'!$B$28+MAX(0,(6.5-3)*'⚙ Configurações'!$B$29),2))</f>
        <v/>
      </c>
      <c r="W5" s="28">
        <f>IF(F5=0,0,ROUND(MAX('⚙ Configurações'!$B$30,P5*'⚙ Configurações'!$B$31),2))</f>
        <v/>
      </c>
      <c r="X5" s="32" t="n">
        <v>6.5</v>
      </c>
      <c r="Y5" s="33">
        <f>IF(P5=0,0,(P5-N5)/P5)</f>
        <v/>
      </c>
      <c r="Z5" s="34" t="n">
        <v>0</v>
      </c>
      <c r="AA5" s="34" t="n">
        <v>0</v>
      </c>
      <c r="AB5" s="35">
        <f>IF(P5&gt;0,ROUND(P5,2),"")</f>
        <v/>
      </c>
    </row>
    <row r="6" ht="20" customHeight="1">
      <c r="A6" s="3" t="inlineStr">
        <is>
          <t>bomba-hidraulica-valtra-valmet-880-980-1780</t>
        </is>
      </c>
      <c r="B6" s="24" t="inlineStr">
        <is>
          <t>Bomba Hidráulica Principal Valtra-Valmet 880/980/1780</t>
        </is>
      </c>
      <c r="C6" s="25" t="inlineStr">
        <is>
          <t>5.0220.0547205</t>
        </is>
      </c>
      <c r="D6" s="3" t="inlineStr">
        <is>
          <t>LIVENZA / Sohipren</t>
        </is>
      </c>
      <c r="E6" s="3" t="inlineStr">
        <is>
          <t>Bombas Hidráulicas</t>
        </is>
      </c>
      <c r="F6" s="26" t="n">
        <v>0</v>
      </c>
      <c r="G6" s="27">
        <f>'⚙ Configurações'!$B$17</f>
        <v/>
      </c>
      <c r="H6" s="28">
        <f>F6*G6</f>
        <v/>
      </c>
      <c r="I6" s="28">
        <f>F6*'⚙ Configurações'!$B$20</f>
        <v/>
      </c>
      <c r="J6" s="27">
        <f>'⚙ Configurações'!$B$4+'⚙ Configurações'!$B$5</f>
        <v/>
      </c>
      <c r="K6" s="28">
        <f>(F6+H6+I6)*J6</f>
        <v/>
      </c>
      <c r="L6" s="27">
        <f>'⚙ Configurações'!$B$6+'⚙ Configurações'!$B$7+'⚙ Configurações'!$B$8</f>
        <v/>
      </c>
      <c r="M6" s="28">
        <f>N6*L6/(1-L6)</f>
        <v/>
      </c>
      <c r="N6" s="29">
        <f>F6+H6+I6+K6+M6</f>
        <v/>
      </c>
      <c r="O6" s="30">
        <f>'⚙ Configurações'!$B$11</f>
        <v/>
      </c>
      <c r="P6" s="29">
        <f>IF(O6&gt;=1,N6*2,N6/(1-O6))</f>
        <v/>
      </c>
      <c r="Q6" s="31">
        <f>IF(F6=0,0,ROUND('⚙ Configurações'!$B$23+MAX(0,(6.5-3)*'⚙ Configurações'!$B$29),2))</f>
        <v/>
      </c>
      <c r="R6" s="31">
        <f>IF(F6=0,0,ROUND('⚙ Configurações'!$B$24+MAX(0,(6.5-3)*'⚙ Configurações'!$B$29),2))</f>
        <v/>
      </c>
      <c r="S6" s="31">
        <f>IF(F6=0,0,ROUND('⚙ Configurações'!$B$25+MAX(0,(6.5-3)*'⚙ Configurações'!$B$29),2))</f>
        <v/>
      </c>
      <c r="T6" s="31">
        <f>IF(F6=0,0,ROUND('⚙ Configurações'!$B$26+MAX(0,(6.5-3)*'⚙ Configurações'!$B$29),2))</f>
        <v/>
      </c>
      <c r="U6" s="31">
        <f>IF(F6=0,0,ROUND('⚙ Configurações'!$B$27+MAX(0,(6.5-3)*'⚙ Configurações'!$B$29),2))</f>
        <v/>
      </c>
      <c r="V6" s="31">
        <f>IF(F6=0,0,ROUND('⚙ Configurações'!$B$28+MAX(0,(6.5-3)*'⚙ Configurações'!$B$29),2))</f>
        <v/>
      </c>
      <c r="W6" s="28">
        <f>IF(F6=0,0,ROUND(MAX('⚙ Configurações'!$B$30,P6*'⚙ Configurações'!$B$31),2))</f>
        <v/>
      </c>
      <c r="X6" s="32" t="n">
        <v>6.5</v>
      </c>
      <c r="Y6" s="33">
        <f>IF(P6=0,0,(P6-N6)/P6)</f>
        <v/>
      </c>
      <c r="Z6" s="34" t="n">
        <v>0</v>
      </c>
      <c r="AA6" s="34" t="n">
        <v>0</v>
      </c>
      <c r="AB6" s="35">
        <f>IF(P6&gt;0,ROUND(P6,2),"")</f>
        <v/>
      </c>
    </row>
    <row r="7" ht="20" customHeight="1">
      <c r="A7" s="3" t="inlineStr">
        <is>
          <t>bomba-hidraulica-valtra-valmet-118es-128-138-148</t>
        </is>
      </c>
      <c r="B7" s="24" t="inlineStr">
        <is>
          <t>Bomba Hidráulica Principal Valtra-Valmet 118ES/128/138/148</t>
        </is>
      </c>
      <c r="C7" s="25" t="inlineStr">
        <is>
          <t>5.0220.0547206</t>
        </is>
      </c>
      <c r="D7" s="3" t="inlineStr">
        <is>
          <t>LIVENZA / Sohipren</t>
        </is>
      </c>
      <c r="E7" s="3" t="inlineStr">
        <is>
          <t>Bombas Hidráulicas</t>
        </is>
      </c>
      <c r="F7" s="26" t="n">
        <v>0</v>
      </c>
      <c r="G7" s="27">
        <f>'⚙ Configurações'!$B$17</f>
        <v/>
      </c>
      <c r="H7" s="28">
        <f>F7*G7</f>
        <v/>
      </c>
      <c r="I7" s="28">
        <f>F7*'⚙ Configurações'!$B$20</f>
        <v/>
      </c>
      <c r="J7" s="27">
        <f>'⚙ Configurações'!$B$4+'⚙ Configurações'!$B$5</f>
        <v/>
      </c>
      <c r="K7" s="28">
        <f>(F7+H7+I7)*J7</f>
        <v/>
      </c>
      <c r="L7" s="27">
        <f>'⚙ Configurações'!$B$6+'⚙ Configurações'!$B$7+'⚙ Configurações'!$B$8</f>
        <v/>
      </c>
      <c r="M7" s="28">
        <f>N7*L7/(1-L7)</f>
        <v/>
      </c>
      <c r="N7" s="29">
        <f>F7+H7+I7+K7+M7</f>
        <v/>
      </c>
      <c r="O7" s="30">
        <f>'⚙ Configurações'!$B$11</f>
        <v/>
      </c>
      <c r="P7" s="29">
        <f>IF(O7&gt;=1,N7*2,N7/(1-O7))</f>
        <v/>
      </c>
      <c r="Q7" s="31">
        <f>IF(F7=0,0,ROUND('⚙ Configurações'!$B$23+MAX(0,(6.5-3)*'⚙ Configurações'!$B$29),2))</f>
        <v/>
      </c>
      <c r="R7" s="31">
        <f>IF(F7=0,0,ROUND('⚙ Configurações'!$B$24+MAX(0,(6.5-3)*'⚙ Configurações'!$B$29),2))</f>
        <v/>
      </c>
      <c r="S7" s="31">
        <f>IF(F7=0,0,ROUND('⚙ Configurações'!$B$25+MAX(0,(6.5-3)*'⚙ Configurações'!$B$29),2))</f>
        <v/>
      </c>
      <c r="T7" s="31">
        <f>IF(F7=0,0,ROUND('⚙ Configurações'!$B$26+MAX(0,(6.5-3)*'⚙ Configurações'!$B$29),2))</f>
        <v/>
      </c>
      <c r="U7" s="31">
        <f>IF(F7=0,0,ROUND('⚙ Configurações'!$B$27+MAX(0,(6.5-3)*'⚙ Configurações'!$B$29),2))</f>
        <v/>
      </c>
      <c r="V7" s="31">
        <f>IF(F7=0,0,ROUND('⚙ Configurações'!$B$28+MAX(0,(6.5-3)*'⚙ Configurações'!$B$29),2))</f>
        <v/>
      </c>
      <c r="W7" s="28">
        <f>IF(F7=0,0,ROUND(MAX('⚙ Configurações'!$B$30,P7*'⚙ Configurações'!$B$31),2))</f>
        <v/>
      </c>
      <c r="X7" s="32" t="n">
        <v>6.5</v>
      </c>
      <c r="Y7" s="33">
        <f>IF(P7=0,0,(P7-N7)/P7)</f>
        <v/>
      </c>
      <c r="Z7" s="34" t="n">
        <v>0</v>
      </c>
      <c r="AA7" s="34" t="n">
        <v>0</v>
      </c>
      <c r="AB7" s="35">
        <f>IF(P7&gt;0,ROUND(P7,2),"")</f>
        <v/>
      </c>
    </row>
    <row r="8" ht="20" customHeight="1">
      <c r="A8" s="3" t="inlineStr">
        <is>
          <t>bomba-hidraulica-dupla-valtra-valmet-bh160</t>
        </is>
      </c>
      <c r="B8" s="24" t="inlineStr">
        <is>
          <t>Bomba Hidráulica Dupla Valtra-Valmet BH160</t>
        </is>
      </c>
      <c r="C8" s="25" t="inlineStr">
        <is>
          <t>5.0220.0548824-2</t>
        </is>
      </c>
      <c r="D8" s="3" t="inlineStr">
        <is>
          <t>LIVENZA / Sohipren</t>
        </is>
      </c>
      <c r="E8" s="3" t="inlineStr">
        <is>
          <t>Bombas Hidráulicas</t>
        </is>
      </c>
      <c r="F8" s="26" t="n">
        <v>0</v>
      </c>
      <c r="G8" s="27">
        <f>'⚙ Configurações'!$B$17</f>
        <v/>
      </c>
      <c r="H8" s="28">
        <f>F8*G8</f>
        <v/>
      </c>
      <c r="I8" s="28">
        <f>F8*'⚙ Configurações'!$B$20</f>
        <v/>
      </c>
      <c r="J8" s="27">
        <f>'⚙ Configurações'!$B$4+'⚙ Configurações'!$B$5</f>
        <v/>
      </c>
      <c r="K8" s="28">
        <f>(F8+H8+I8)*J8</f>
        <v/>
      </c>
      <c r="L8" s="27">
        <f>'⚙ Configurações'!$B$6+'⚙ Configurações'!$B$7+'⚙ Configurações'!$B$8</f>
        <v/>
      </c>
      <c r="M8" s="28">
        <f>N8*L8/(1-L8)</f>
        <v/>
      </c>
      <c r="N8" s="29">
        <f>F8+H8+I8+K8+M8</f>
        <v/>
      </c>
      <c r="O8" s="30">
        <f>'⚙ Configurações'!$B$11</f>
        <v/>
      </c>
      <c r="P8" s="29">
        <f>IF(O8&gt;=1,N8*2,N8/(1-O8))</f>
        <v/>
      </c>
      <c r="Q8" s="31">
        <f>IF(F8=0,0,ROUND('⚙ Configurações'!$B$23+MAX(0,(6.5-3)*'⚙ Configurações'!$B$29),2))</f>
        <v/>
      </c>
      <c r="R8" s="31">
        <f>IF(F8=0,0,ROUND('⚙ Configurações'!$B$24+MAX(0,(6.5-3)*'⚙ Configurações'!$B$29),2))</f>
        <v/>
      </c>
      <c r="S8" s="31">
        <f>IF(F8=0,0,ROUND('⚙ Configurações'!$B$25+MAX(0,(6.5-3)*'⚙ Configurações'!$B$29),2))</f>
        <v/>
      </c>
      <c r="T8" s="31">
        <f>IF(F8=0,0,ROUND('⚙ Configurações'!$B$26+MAX(0,(6.5-3)*'⚙ Configurações'!$B$29),2))</f>
        <v/>
      </c>
      <c r="U8" s="31">
        <f>IF(F8=0,0,ROUND('⚙ Configurações'!$B$27+MAX(0,(6.5-3)*'⚙ Configurações'!$B$29),2))</f>
        <v/>
      </c>
      <c r="V8" s="31">
        <f>IF(F8=0,0,ROUND('⚙ Configurações'!$B$28+MAX(0,(6.5-3)*'⚙ Configurações'!$B$29),2))</f>
        <v/>
      </c>
      <c r="W8" s="28">
        <f>IF(F8=0,0,ROUND(MAX('⚙ Configurações'!$B$30,P8*'⚙ Configurações'!$B$31),2))</f>
        <v/>
      </c>
      <c r="X8" s="32" t="n">
        <v>6.5</v>
      </c>
      <c r="Y8" s="33">
        <f>IF(P8=0,0,(P8-N8)/P8)</f>
        <v/>
      </c>
      <c r="Z8" s="34" t="n">
        <v>0</v>
      </c>
      <c r="AA8" s="34" t="n">
        <v>0</v>
      </c>
      <c r="AB8" s="35">
        <f>IF(P8&gt;0,ROUND(P8,2),"")</f>
        <v/>
      </c>
    </row>
    <row r="9" ht="20" customHeight="1">
      <c r="A9" s="3" t="inlineStr">
        <is>
          <t>bomba-hidraulica-massey-ferguson-mf85x-185-275-285-290-boi-5-5-c10-c10-c6-t10</t>
        </is>
      </c>
      <c r="B9" s="24" t="inlineStr">
        <is>
          <t>Bomba Hidráulica Massey Ferguson MF85X/185/275/285/290 — Direção</t>
        </is>
      </c>
      <c r="C9" s="25" t="inlineStr">
        <is>
          <t>5.0203.0540803</t>
        </is>
      </c>
      <c r="D9" s="3" t="inlineStr">
        <is>
          <t>LIVENZA / Sohipren</t>
        </is>
      </c>
      <c r="E9" s="3" t="inlineStr">
        <is>
          <t>Bombas Hidráulicas</t>
        </is>
      </c>
      <c r="F9" s="26" t="n">
        <v>0</v>
      </c>
      <c r="G9" s="27">
        <f>'⚙ Configurações'!$B$17</f>
        <v/>
      </c>
      <c r="H9" s="28">
        <f>F9*G9</f>
        <v/>
      </c>
      <c r="I9" s="28">
        <f>F9*'⚙ Configurações'!$B$20</f>
        <v/>
      </c>
      <c r="J9" s="27">
        <f>'⚙ Configurações'!$B$4+'⚙ Configurações'!$B$5</f>
        <v/>
      </c>
      <c r="K9" s="28">
        <f>(F9+H9+I9)*J9</f>
        <v/>
      </c>
      <c r="L9" s="27">
        <f>'⚙ Configurações'!$B$6+'⚙ Configurações'!$B$7+'⚙ Configurações'!$B$8</f>
        <v/>
      </c>
      <c r="M9" s="28">
        <f>N9*L9/(1-L9)</f>
        <v/>
      </c>
      <c r="N9" s="29">
        <f>F9+H9+I9+K9+M9</f>
        <v/>
      </c>
      <c r="O9" s="30">
        <f>'⚙ Configurações'!$B$11</f>
        <v/>
      </c>
      <c r="P9" s="29">
        <f>IF(O9&gt;=1,N9*2,N9/(1-O9))</f>
        <v/>
      </c>
      <c r="Q9" s="31">
        <f>IF(F9=0,0,ROUND('⚙ Configurações'!$B$23+MAX(0,(6.5-3)*'⚙ Configurações'!$B$29),2))</f>
        <v/>
      </c>
      <c r="R9" s="31">
        <f>IF(F9=0,0,ROUND('⚙ Configurações'!$B$24+MAX(0,(6.5-3)*'⚙ Configurações'!$B$29),2))</f>
        <v/>
      </c>
      <c r="S9" s="31">
        <f>IF(F9=0,0,ROUND('⚙ Configurações'!$B$25+MAX(0,(6.5-3)*'⚙ Configurações'!$B$29),2))</f>
        <v/>
      </c>
      <c r="T9" s="31">
        <f>IF(F9=0,0,ROUND('⚙ Configurações'!$B$26+MAX(0,(6.5-3)*'⚙ Configurações'!$B$29),2))</f>
        <v/>
      </c>
      <c r="U9" s="31">
        <f>IF(F9=0,0,ROUND('⚙ Configurações'!$B$27+MAX(0,(6.5-3)*'⚙ Configurações'!$B$29),2))</f>
        <v/>
      </c>
      <c r="V9" s="31">
        <f>IF(F9=0,0,ROUND('⚙ Configurações'!$B$28+MAX(0,(6.5-3)*'⚙ Configurações'!$B$29),2))</f>
        <v/>
      </c>
      <c r="W9" s="28">
        <f>IF(F9=0,0,ROUND(MAX('⚙ Configurações'!$B$30,P9*'⚙ Configurações'!$B$31),2))</f>
        <v/>
      </c>
      <c r="X9" s="32" t="n">
        <v>6.5</v>
      </c>
      <c r="Y9" s="33">
        <f>IF(P9=0,0,(P9-N9)/P9)</f>
        <v/>
      </c>
      <c r="Z9" s="34" t="n">
        <v>0</v>
      </c>
      <c r="AA9" s="34" t="n">
        <v>0</v>
      </c>
      <c r="AB9" s="35">
        <f>IF(P9&gt;0,ROUND(P9,2),"")</f>
        <v/>
      </c>
    </row>
    <row r="10" ht="20" customHeight="1">
      <c r="A10" s="3" t="inlineStr">
        <is>
          <t>bomba-hidraulica-massey-ferguson-mf290-292-4x2-4x4-boi-7-b11-c11-a15-11-a42-l1</t>
        </is>
      </c>
      <c r="B10" s="24" t="inlineStr">
        <is>
          <t>Bomba Hidráulica Massey Ferguson MF290/292 4x4 — Principal e Direção</t>
        </is>
      </c>
      <c r="C10" s="25" t="inlineStr">
        <is>
          <t>5.0220.0547207</t>
        </is>
      </c>
      <c r="D10" s="3" t="inlineStr">
        <is>
          <t>LIVENZA / Sohipren</t>
        </is>
      </c>
      <c r="E10" s="3" t="inlineStr">
        <is>
          <t>Bombas Hidráulicas</t>
        </is>
      </c>
      <c r="F10" s="26" t="n">
        <v>0</v>
      </c>
      <c r="G10" s="27">
        <f>'⚙ Configurações'!$B$17</f>
        <v/>
      </c>
      <c r="H10" s="28">
        <f>F10*G10</f>
        <v/>
      </c>
      <c r="I10" s="28">
        <f>F10*'⚙ Configurações'!$B$20</f>
        <v/>
      </c>
      <c r="J10" s="27">
        <f>'⚙ Configurações'!$B$4+'⚙ Configurações'!$B$5</f>
        <v/>
      </c>
      <c r="K10" s="28">
        <f>(F10+H10+I10)*J10</f>
        <v/>
      </c>
      <c r="L10" s="27">
        <f>'⚙ Configurações'!$B$6+'⚙ Configurações'!$B$7+'⚙ Configurações'!$B$8</f>
        <v/>
      </c>
      <c r="M10" s="28">
        <f>N10*L10/(1-L10)</f>
        <v/>
      </c>
      <c r="N10" s="29">
        <f>F10+H10+I10+K10+M10</f>
        <v/>
      </c>
      <c r="O10" s="30">
        <f>'⚙ Configurações'!$B$11</f>
        <v/>
      </c>
      <c r="P10" s="29">
        <f>IF(O10&gt;=1,N10*2,N10/(1-O10))</f>
        <v/>
      </c>
      <c r="Q10" s="31">
        <f>IF(F10=0,0,ROUND('⚙ Configurações'!$B$23+MAX(0,(6.5-3)*'⚙ Configurações'!$B$29),2))</f>
        <v/>
      </c>
      <c r="R10" s="31">
        <f>IF(F10=0,0,ROUND('⚙ Configurações'!$B$24+MAX(0,(6.5-3)*'⚙ Configurações'!$B$29),2))</f>
        <v/>
      </c>
      <c r="S10" s="31">
        <f>IF(F10=0,0,ROUND('⚙ Configurações'!$B$25+MAX(0,(6.5-3)*'⚙ Configurações'!$B$29),2))</f>
        <v/>
      </c>
      <c r="T10" s="31">
        <f>IF(F10=0,0,ROUND('⚙ Configurações'!$B$26+MAX(0,(6.5-3)*'⚙ Configurações'!$B$29),2))</f>
        <v/>
      </c>
      <c r="U10" s="31">
        <f>IF(F10=0,0,ROUND('⚙ Configurações'!$B$27+MAX(0,(6.5-3)*'⚙ Configurações'!$B$29),2))</f>
        <v/>
      </c>
      <c r="V10" s="31">
        <f>IF(F10=0,0,ROUND('⚙ Configurações'!$B$28+MAX(0,(6.5-3)*'⚙ Configurações'!$B$29),2))</f>
        <v/>
      </c>
      <c r="W10" s="28">
        <f>IF(F10=0,0,ROUND(MAX('⚙ Configurações'!$B$30,P10*'⚙ Configurações'!$B$31),2))</f>
        <v/>
      </c>
      <c r="X10" s="32" t="n">
        <v>6.5</v>
      </c>
      <c r="Y10" s="33">
        <f>IF(P10=0,0,(P10-N10)/P10)</f>
        <v/>
      </c>
      <c r="Z10" s="34" t="n">
        <v>0</v>
      </c>
      <c r="AA10" s="34" t="n">
        <v>0</v>
      </c>
      <c r="AB10" s="35">
        <f>IF(P10&gt;0,ROUND(P10,2),"")</f>
        <v/>
      </c>
    </row>
    <row r="11" ht="20" customHeight="1">
      <c r="A11" s="3" t="inlineStr">
        <is>
          <t>bomba-hidraulica-massey-ferguson-296-4-297-4-299-4-boi-16-b9-p5-a42-19-a42-l1</t>
        </is>
      </c>
      <c r="B11" s="24" t="inlineStr">
        <is>
          <t>Bomba Hidráulica Massey Ferguson 296-4/297-4/299-4 — Principal</t>
        </is>
      </c>
      <c r="C11" s="25" t="inlineStr">
        <is>
          <t>5.0220.0547216</t>
        </is>
      </c>
      <c r="D11" s="3" t="inlineStr">
        <is>
          <t>LIVENZA / Sohipren</t>
        </is>
      </c>
      <c r="E11" s="3" t="inlineStr">
        <is>
          <t>Bombas Hidráulicas</t>
        </is>
      </c>
      <c r="F11" s="26" t="n">
        <v>0</v>
      </c>
      <c r="G11" s="27">
        <f>'⚙ Configurações'!$B$17</f>
        <v/>
      </c>
      <c r="H11" s="28">
        <f>F11*G11</f>
        <v/>
      </c>
      <c r="I11" s="28">
        <f>F11*'⚙ Configurações'!$B$20</f>
        <v/>
      </c>
      <c r="J11" s="27">
        <f>'⚙ Configurações'!$B$4+'⚙ Configurações'!$B$5</f>
        <v/>
      </c>
      <c r="K11" s="28">
        <f>(F11+H11+I11)*J11</f>
        <v/>
      </c>
      <c r="L11" s="27">
        <f>'⚙ Configurações'!$B$6+'⚙ Configurações'!$B$7+'⚙ Configurações'!$B$8</f>
        <v/>
      </c>
      <c r="M11" s="28">
        <f>N11*L11/(1-L11)</f>
        <v/>
      </c>
      <c r="N11" s="29">
        <f>F11+H11+I11+K11+M11</f>
        <v/>
      </c>
      <c r="O11" s="30">
        <f>'⚙ Configurações'!$B$11</f>
        <v/>
      </c>
      <c r="P11" s="29">
        <f>IF(O11&gt;=1,N11*2,N11/(1-O11))</f>
        <v/>
      </c>
      <c r="Q11" s="31">
        <f>IF(F11=0,0,ROUND('⚙ Configurações'!$B$23+MAX(0,(6.5-3)*'⚙ Configurações'!$B$29),2))</f>
        <v/>
      </c>
      <c r="R11" s="31">
        <f>IF(F11=0,0,ROUND('⚙ Configurações'!$B$24+MAX(0,(6.5-3)*'⚙ Configurações'!$B$29),2))</f>
        <v/>
      </c>
      <c r="S11" s="31">
        <f>IF(F11=0,0,ROUND('⚙ Configurações'!$B$25+MAX(0,(6.5-3)*'⚙ Configurações'!$B$29),2))</f>
        <v/>
      </c>
      <c r="T11" s="31">
        <f>IF(F11=0,0,ROUND('⚙ Configurações'!$B$26+MAX(0,(6.5-3)*'⚙ Configurações'!$B$29),2))</f>
        <v/>
      </c>
      <c r="U11" s="31">
        <f>IF(F11=0,0,ROUND('⚙ Configurações'!$B$27+MAX(0,(6.5-3)*'⚙ Configurações'!$B$29),2))</f>
        <v/>
      </c>
      <c r="V11" s="31">
        <f>IF(F11=0,0,ROUND('⚙ Configurações'!$B$28+MAX(0,(6.5-3)*'⚙ Configurações'!$B$29),2))</f>
        <v/>
      </c>
      <c r="W11" s="28">
        <f>IF(F11=0,0,ROUND(MAX('⚙ Configurações'!$B$30,P11*'⚙ Configurações'!$B$31),2))</f>
        <v/>
      </c>
      <c r="X11" s="32" t="n">
        <v>6.5</v>
      </c>
      <c r="Y11" s="33">
        <f>IF(P11=0,0,(P11-N11)/P11)</f>
        <v/>
      </c>
      <c r="Z11" s="34" t="n">
        <v>0</v>
      </c>
      <c r="AA11" s="34" t="n">
        <v>0</v>
      </c>
      <c r="AB11" s="35">
        <f>IF(P11&gt;0,ROUND(P11,2),"")</f>
        <v/>
      </c>
    </row>
    <row r="12" ht="20" customHeight="1">
      <c r="A12" s="3" t="inlineStr">
        <is>
          <t>bomba-hidraulica-massey-ferguson-283-290-292-l5000-boi-7-b11-c12-a-11-a-l</t>
        </is>
      </c>
      <c r="B12" s="24" t="inlineStr">
        <is>
          <t>Bomba Hidráulica Massey Ferguson 283/290/292/L5000 — Direção e Levante</t>
        </is>
      </c>
      <c r="C12" s="25" t="inlineStr">
        <is>
          <t>5.0220.0548817</t>
        </is>
      </c>
      <c r="D12" s="3" t="inlineStr">
        <is>
          <t>LIVENZA / Sohipren</t>
        </is>
      </c>
      <c r="E12" s="3" t="inlineStr">
        <is>
          <t>Bombas Hidráulicas</t>
        </is>
      </c>
      <c r="F12" s="26" t="n">
        <v>0</v>
      </c>
      <c r="G12" s="27">
        <f>'⚙ Configurações'!$B$17</f>
        <v/>
      </c>
      <c r="H12" s="28">
        <f>F12*G12</f>
        <v/>
      </c>
      <c r="I12" s="28">
        <f>F12*'⚙ Configurações'!$B$20</f>
        <v/>
      </c>
      <c r="J12" s="27">
        <f>'⚙ Configurações'!$B$4+'⚙ Configurações'!$B$5</f>
        <v/>
      </c>
      <c r="K12" s="28">
        <f>(F12+H12+I12)*J12</f>
        <v/>
      </c>
      <c r="L12" s="27">
        <f>'⚙ Configurações'!$B$6+'⚙ Configurações'!$B$7+'⚙ Configurações'!$B$8</f>
        <v/>
      </c>
      <c r="M12" s="28">
        <f>N12*L12/(1-L12)</f>
        <v/>
      </c>
      <c r="N12" s="29">
        <f>F12+H12+I12+K12+M12</f>
        <v/>
      </c>
      <c r="O12" s="30">
        <f>'⚙ Configurações'!$B$11</f>
        <v/>
      </c>
      <c r="P12" s="29">
        <f>IF(O12&gt;=1,N12*2,N12/(1-O12))</f>
        <v/>
      </c>
      <c r="Q12" s="31">
        <f>IF(F12=0,0,ROUND('⚙ Configurações'!$B$23+MAX(0,(6.5-3)*'⚙ Configurações'!$B$29),2))</f>
        <v/>
      </c>
      <c r="R12" s="31">
        <f>IF(F12=0,0,ROUND('⚙ Configurações'!$B$24+MAX(0,(6.5-3)*'⚙ Configurações'!$B$29),2))</f>
        <v/>
      </c>
      <c r="S12" s="31">
        <f>IF(F12=0,0,ROUND('⚙ Configurações'!$B$25+MAX(0,(6.5-3)*'⚙ Configurações'!$B$29),2))</f>
        <v/>
      </c>
      <c r="T12" s="31">
        <f>IF(F12=0,0,ROUND('⚙ Configurações'!$B$26+MAX(0,(6.5-3)*'⚙ Configurações'!$B$29),2))</f>
        <v/>
      </c>
      <c r="U12" s="31">
        <f>IF(F12=0,0,ROUND('⚙ Configurações'!$B$27+MAX(0,(6.5-3)*'⚙ Configurações'!$B$29),2))</f>
        <v/>
      </c>
      <c r="V12" s="31">
        <f>IF(F12=0,0,ROUND('⚙ Configurações'!$B$28+MAX(0,(6.5-3)*'⚙ Configurações'!$B$29),2))</f>
        <v/>
      </c>
      <c r="W12" s="28">
        <f>IF(F12=0,0,ROUND(MAX('⚙ Configurações'!$B$30,P12*'⚙ Configurações'!$B$31),2))</f>
        <v/>
      </c>
      <c r="X12" s="32" t="n">
        <v>6.5</v>
      </c>
      <c r="Y12" s="33">
        <f>IF(P12=0,0,(P12-N12)/P12)</f>
        <v/>
      </c>
      <c r="Z12" s="34" t="n">
        <v>0</v>
      </c>
      <c r="AA12" s="34" t="n">
        <v>0</v>
      </c>
      <c r="AB12" s="35">
        <f>IF(P12&gt;0,ROUND(P12,2),"")</f>
        <v/>
      </c>
    </row>
    <row r="13" ht="20" customHeight="1">
      <c r="A13" s="3" t="inlineStr">
        <is>
          <t>bomba-direcao-massey-ferguson-194-4f-362-390</t>
        </is>
      </c>
      <c r="B13" s="24" t="inlineStr">
        <is>
          <t>Bomba de Direção Massey Ferguson 194-4F/362/365/372/390</t>
        </is>
      </c>
      <c r="C13" s="25" t="inlineStr">
        <is>
          <t>5.0220.0548836</t>
        </is>
      </c>
      <c r="D13" s="3" t="inlineStr">
        <is>
          <t>LIVENZA / Sohipren</t>
        </is>
      </c>
      <c r="E13" s="3" t="inlineStr">
        <is>
          <t>Bombas Hidráulicas</t>
        </is>
      </c>
      <c r="F13" s="26" t="n">
        <v>0</v>
      </c>
      <c r="G13" s="27">
        <f>'⚙ Configurações'!$B$17</f>
        <v/>
      </c>
      <c r="H13" s="28">
        <f>F13*G13</f>
        <v/>
      </c>
      <c r="I13" s="28">
        <f>F13*'⚙ Configurações'!$B$20</f>
        <v/>
      </c>
      <c r="J13" s="27">
        <f>'⚙ Configurações'!$B$4+'⚙ Configurações'!$B$5</f>
        <v/>
      </c>
      <c r="K13" s="28">
        <f>(F13+H13+I13)*J13</f>
        <v/>
      </c>
      <c r="L13" s="27">
        <f>'⚙ Configurações'!$B$6+'⚙ Configurações'!$B$7+'⚙ Configurações'!$B$8</f>
        <v/>
      </c>
      <c r="M13" s="28">
        <f>N13*L13/(1-L13)</f>
        <v/>
      </c>
      <c r="N13" s="29">
        <f>F13+H13+I13+K13+M13</f>
        <v/>
      </c>
      <c r="O13" s="30">
        <f>'⚙ Configurações'!$B$11</f>
        <v/>
      </c>
      <c r="P13" s="29">
        <f>IF(O13&gt;=1,N13*2,N13/(1-O13))</f>
        <v/>
      </c>
      <c r="Q13" s="31">
        <f>IF(F13=0,0,ROUND('⚙ Configurações'!$B$23+MAX(0,(6.5-3)*'⚙ Configurações'!$B$29),2))</f>
        <v/>
      </c>
      <c r="R13" s="31">
        <f>IF(F13=0,0,ROUND('⚙ Configurações'!$B$24+MAX(0,(6.5-3)*'⚙ Configurações'!$B$29),2))</f>
        <v/>
      </c>
      <c r="S13" s="31">
        <f>IF(F13=0,0,ROUND('⚙ Configurações'!$B$25+MAX(0,(6.5-3)*'⚙ Configurações'!$B$29),2))</f>
        <v/>
      </c>
      <c r="T13" s="31">
        <f>IF(F13=0,0,ROUND('⚙ Configurações'!$B$26+MAX(0,(6.5-3)*'⚙ Configurações'!$B$29),2))</f>
        <v/>
      </c>
      <c r="U13" s="31">
        <f>IF(F13=0,0,ROUND('⚙ Configurações'!$B$27+MAX(0,(6.5-3)*'⚙ Configurações'!$B$29),2))</f>
        <v/>
      </c>
      <c r="V13" s="31">
        <f>IF(F13=0,0,ROUND('⚙ Configurações'!$B$28+MAX(0,(6.5-3)*'⚙ Configurações'!$B$29),2))</f>
        <v/>
      </c>
      <c r="W13" s="28">
        <f>IF(F13=0,0,ROUND(MAX('⚙ Configurações'!$B$30,P13*'⚙ Configurações'!$B$31),2))</f>
        <v/>
      </c>
      <c r="X13" s="32" t="n">
        <v>6.5</v>
      </c>
      <c r="Y13" s="33">
        <f>IF(P13=0,0,(P13-N13)/P13)</f>
        <v/>
      </c>
      <c r="Z13" s="34" t="n">
        <v>0</v>
      </c>
      <c r="AA13" s="34" t="n">
        <v>0</v>
      </c>
      <c r="AB13" s="35">
        <f>IF(P13&gt;0,ROUND(P13,2),"")</f>
        <v/>
      </c>
    </row>
    <row r="14" ht="20" customHeight="1">
      <c r="A14" s="3" t="inlineStr">
        <is>
          <t>bomba-hidraulica-massey-ferguson-mf-a013</t>
        </is>
      </c>
      <c r="B14" s="24" t="inlineStr">
        <is>
          <t>Bomba Hidráulica Massey Ferguson MF A-013 — Direção e Levante 3000/6000</t>
        </is>
      </c>
      <c r="C14" s="25" t="inlineStr">
        <is>
          <t>5.1302.0547820</t>
        </is>
      </c>
      <c r="D14" s="3" t="inlineStr">
        <is>
          <t>LIVENZA / Sohipren</t>
        </is>
      </c>
      <c r="E14" s="3" t="inlineStr">
        <is>
          <t>Bombas Hidráulicas</t>
        </is>
      </c>
      <c r="F14" s="26" t="n">
        <v>0</v>
      </c>
      <c r="G14" s="27">
        <f>'⚙ Configurações'!$B$17</f>
        <v/>
      </c>
      <c r="H14" s="28">
        <f>F14*G14</f>
        <v/>
      </c>
      <c r="I14" s="28">
        <f>F14*'⚙ Configurações'!$B$20</f>
        <v/>
      </c>
      <c r="J14" s="27">
        <f>'⚙ Configurações'!$B$4+'⚙ Configurações'!$B$5</f>
        <v/>
      </c>
      <c r="K14" s="28">
        <f>(F14+H14+I14)*J14</f>
        <v/>
      </c>
      <c r="L14" s="27">
        <f>'⚙ Configurações'!$B$6+'⚙ Configurações'!$B$7+'⚙ Configurações'!$B$8</f>
        <v/>
      </c>
      <c r="M14" s="28">
        <f>N14*L14/(1-L14)</f>
        <v/>
      </c>
      <c r="N14" s="29">
        <f>F14+H14+I14+K14+M14</f>
        <v/>
      </c>
      <c r="O14" s="30">
        <f>'⚙ Configurações'!$B$11</f>
        <v/>
      </c>
      <c r="P14" s="29">
        <f>IF(O14&gt;=1,N14*2,N14/(1-O14))</f>
        <v/>
      </c>
      <c r="Q14" s="31">
        <f>IF(F14=0,0,ROUND('⚙ Configurações'!$B$23+MAX(0,(6.5-3)*'⚙ Configurações'!$B$29),2))</f>
        <v/>
      </c>
      <c r="R14" s="31">
        <f>IF(F14=0,0,ROUND('⚙ Configurações'!$B$24+MAX(0,(6.5-3)*'⚙ Configurações'!$B$29),2))</f>
        <v/>
      </c>
      <c r="S14" s="31">
        <f>IF(F14=0,0,ROUND('⚙ Configurações'!$B$25+MAX(0,(6.5-3)*'⚙ Configurações'!$B$29),2))</f>
        <v/>
      </c>
      <c r="T14" s="31">
        <f>IF(F14=0,0,ROUND('⚙ Configurações'!$B$26+MAX(0,(6.5-3)*'⚙ Configurações'!$B$29),2))</f>
        <v/>
      </c>
      <c r="U14" s="31">
        <f>IF(F14=0,0,ROUND('⚙ Configurações'!$B$27+MAX(0,(6.5-3)*'⚙ Configurações'!$B$29),2))</f>
        <v/>
      </c>
      <c r="V14" s="31">
        <f>IF(F14=0,0,ROUND('⚙ Configurações'!$B$28+MAX(0,(6.5-3)*'⚙ Configurações'!$B$29),2))</f>
        <v/>
      </c>
      <c r="W14" s="28">
        <f>IF(F14=0,0,ROUND(MAX('⚙ Configurações'!$B$30,P14*'⚙ Configurações'!$B$31),2))</f>
        <v/>
      </c>
      <c r="X14" s="32" t="n">
        <v>6.5</v>
      </c>
      <c r="Y14" s="33">
        <f>IF(P14=0,0,(P14-N14)/P14)</f>
        <v/>
      </c>
      <c r="Z14" s="34" t="n">
        <v>0</v>
      </c>
      <c r="AA14" s="34" t="n">
        <v>0</v>
      </c>
      <c r="AB14" s="35">
        <f>IF(P14&gt;0,ROUND(P14,2),"")</f>
        <v/>
      </c>
    </row>
    <row r="15" ht="20" customHeight="1">
      <c r="A15" s="3" t="inlineStr">
        <is>
          <t>bomba-hidraulica-massey-ferguson-mf-a004-4215-4255</t>
        </is>
      </c>
      <c r="B15" s="24" t="inlineStr">
        <is>
          <t>Bomba Hidráulica Massey Ferguson MF A-004 — 4215/4220/4235/4255</t>
        </is>
      </c>
      <c r="C15" s="25" t="inlineStr">
        <is>
          <t>5.1302.0547844</t>
        </is>
      </c>
      <c r="D15" s="3" t="inlineStr">
        <is>
          <t>LIVENZA / Sohipren</t>
        </is>
      </c>
      <c r="E15" s="3" t="inlineStr">
        <is>
          <t>Bombas Hidráulicas</t>
        </is>
      </c>
      <c r="F15" s="26" t="n">
        <v>0</v>
      </c>
      <c r="G15" s="27">
        <f>'⚙ Configurações'!$B$17</f>
        <v/>
      </c>
      <c r="H15" s="28">
        <f>F15*G15</f>
        <v/>
      </c>
      <c r="I15" s="28">
        <f>F15*'⚙ Configurações'!$B$20</f>
        <v/>
      </c>
      <c r="J15" s="27">
        <f>'⚙ Configurações'!$B$4+'⚙ Configurações'!$B$5</f>
        <v/>
      </c>
      <c r="K15" s="28">
        <f>(F15+H15+I15)*J15</f>
        <v/>
      </c>
      <c r="L15" s="27">
        <f>'⚙ Configurações'!$B$6+'⚙ Configurações'!$B$7+'⚙ Configurações'!$B$8</f>
        <v/>
      </c>
      <c r="M15" s="28">
        <f>N15*L15/(1-L15)</f>
        <v/>
      </c>
      <c r="N15" s="29">
        <f>F15+H15+I15+K15+M15</f>
        <v/>
      </c>
      <c r="O15" s="30">
        <f>'⚙ Configurações'!$B$11</f>
        <v/>
      </c>
      <c r="P15" s="29">
        <f>IF(O15&gt;=1,N15*2,N15/(1-O15))</f>
        <v/>
      </c>
      <c r="Q15" s="31">
        <f>IF(F15=0,0,ROUND('⚙ Configurações'!$B$23+MAX(0,(6.5-3)*'⚙ Configurações'!$B$29),2))</f>
        <v/>
      </c>
      <c r="R15" s="31">
        <f>IF(F15=0,0,ROUND('⚙ Configurações'!$B$24+MAX(0,(6.5-3)*'⚙ Configurações'!$B$29),2))</f>
        <v/>
      </c>
      <c r="S15" s="31">
        <f>IF(F15=0,0,ROUND('⚙ Configurações'!$B$25+MAX(0,(6.5-3)*'⚙ Configurações'!$B$29),2))</f>
        <v/>
      </c>
      <c r="T15" s="31">
        <f>IF(F15=0,0,ROUND('⚙ Configurações'!$B$26+MAX(0,(6.5-3)*'⚙ Configurações'!$B$29),2))</f>
        <v/>
      </c>
      <c r="U15" s="31">
        <f>IF(F15=0,0,ROUND('⚙ Configurações'!$B$27+MAX(0,(6.5-3)*'⚙ Configurações'!$B$29),2))</f>
        <v/>
      </c>
      <c r="V15" s="31">
        <f>IF(F15=0,0,ROUND('⚙ Configurações'!$B$28+MAX(0,(6.5-3)*'⚙ Configurações'!$B$29),2))</f>
        <v/>
      </c>
      <c r="W15" s="28">
        <f>IF(F15=0,0,ROUND(MAX('⚙ Configurações'!$B$30,P15*'⚙ Configurações'!$B$31),2))</f>
        <v/>
      </c>
      <c r="X15" s="32" t="n">
        <v>6.5</v>
      </c>
      <c r="Y15" s="33">
        <f>IF(P15=0,0,(P15-N15)/P15)</f>
        <v/>
      </c>
      <c r="Z15" s="34" t="n">
        <v>0</v>
      </c>
      <c r="AA15" s="34" t="n">
        <v>0</v>
      </c>
      <c r="AB15" s="35">
        <f>IF(P15&gt;0,ROUND(P15,2),"")</f>
        <v/>
      </c>
    </row>
    <row r="16" ht="20" customHeight="1">
      <c r="A16" s="3" t="inlineStr">
        <is>
          <t>bomba-hidraulica-massey-ferguson-mf-a016-4299</t>
        </is>
      </c>
      <c r="B16" s="24" t="inlineStr">
        <is>
          <t>Bomba Hidráulica Massey Ferguson MF A-016 — Trator 4299</t>
        </is>
      </c>
      <c r="C16" s="25" t="inlineStr">
        <is>
          <t>5.1302.0565053</t>
        </is>
      </c>
      <c r="D16" s="3" t="inlineStr">
        <is>
          <t>LIVENZA / Sohipren</t>
        </is>
      </c>
      <c r="E16" s="3" t="inlineStr">
        <is>
          <t>Bombas Hidráulicas</t>
        </is>
      </c>
      <c r="F16" s="26" t="n">
        <v>0</v>
      </c>
      <c r="G16" s="27">
        <f>'⚙ Configurações'!$B$17</f>
        <v/>
      </c>
      <c r="H16" s="28">
        <f>F16*G16</f>
        <v/>
      </c>
      <c r="I16" s="28">
        <f>F16*'⚙ Configurações'!$B$20</f>
        <v/>
      </c>
      <c r="J16" s="27">
        <f>'⚙ Configurações'!$B$4+'⚙ Configurações'!$B$5</f>
        <v/>
      </c>
      <c r="K16" s="28">
        <f>(F16+H16+I16)*J16</f>
        <v/>
      </c>
      <c r="L16" s="27">
        <f>'⚙ Configurações'!$B$6+'⚙ Configurações'!$B$7+'⚙ Configurações'!$B$8</f>
        <v/>
      </c>
      <c r="M16" s="28">
        <f>N16*L16/(1-L16)</f>
        <v/>
      </c>
      <c r="N16" s="29">
        <f>F16+H16+I16+K16+M16</f>
        <v/>
      </c>
      <c r="O16" s="30">
        <f>'⚙ Configurações'!$B$11</f>
        <v/>
      </c>
      <c r="P16" s="29">
        <f>IF(O16&gt;=1,N16*2,N16/(1-O16))</f>
        <v/>
      </c>
      <c r="Q16" s="31">
        <f>IF(F16=0,0,ROUND('⚙ Configurações'!$B$23+MAX(0,(6.5-3)*'⚙ Configurações'!$B$29),2))</f>
        <v/>
      </c>
      <c r="R16" s="31">
        <f>IF(F16=0,0,ROUND('⚙ Configurações'!$B$24+MAX(0,(6.5-3)*'⚙ Configurações'!$B$29),2))</f>
        <v/>
      </c>
      <c r="S16" s="31">
        <f>IF(F16=0,0,ROUND('⚙ Configurações'!$B$25+MAX(0,(6.5-3)*'⚙ Configurações'!$B$29),2))</f>
        <v/>
      </c>
      <c r="T16" s="31">
        <f>IF(F16=0,0,ROUND('⚙ Configurações'!$B$26+MAX(0,(6.5-3)*'⚙ Configurações'!$B$29),2))</f>
        <v/>
      </c>
      <c r="U16" s="31">
        <f>IF(F16=0,0,ROUND('⚙ Configurações'!$B$27+MAX(0,(6.5-3)*'⚙ Configurações'!$B$29),2))</f>
        <v/>
      </c>
      <c r="V16" s="31">
        <f>IF(F16=0,0,ROUND('⚙ Configurações'!$B$28+MAX(0,(6.5-3)*'⚙ Configurações'!$B$29),2))</f>
        <v/>
      </c>
      <c r="W16" s="28">
        <f>IF(F16=0,0,ROUND(MAX('⚙ Configurações'!$B$30,P16*'⚙ Configurações'!$B$31),2))</f>
        <v/>
      </c>
      <c r="X16" s="32" t="n">
        <v>6.5</v>
      </c>
      <c r="Y16" s="33">
        <f>IF(P16=0,0,(P16-N16)/P16)</f>
        <v/>
      </c>
      <c r="Z16" s="34" t="n">
        <v>0</v>
      </c>
      <c r="AA16" s="34" t="n">
        <v>0</v>
      </c>
      <c r="AB16" s="35">
        <f>IF(P16&gt;0,ROUND(P16,2),"")</f>
        <v/>
      </c>
    </row>
    <row r="17" ht="20" customHeight="1">
      <c r="A17" s="3" t="inlineStr">
        <is>
          <t>bomba-hidraulica-ford-new-holland-cnh-a001</t>
        </is>
      </c>
      <c r="B17" s="24" t="inlineStr">
        <is>
          <t>Bomba Hidráulica Ford New Holland CNH A-001 — 5600/6600/7600/7700</t>
        </is>
      </c>
      <c r="C17" s="25" t="inlineStr">
        <is>
          <t>5.1301.0565001</t>
        </is>
      </c>
      <c r="D17" s="3" t="inlineStr">
        <is>
          <t>LIVENZA / Sohipren</t>
        </is>
      </c>
      <c r="E17" s="3" t="inlineStr">
        <is>
          <t>Bombas Hidráulicas</t>
        </is>
      </c>
      <c r="F17" s="26" t="n">
        <v>0</v>
      </c>
      <c r="G17" s="27">
        <f>'⚙ Configurações'!$B$17</f>
        <v/>
      </c>
      <c r="H17" s="28">
        <f>F17*G17</f>
        <v/>
      </c>
      <c r="I17" s="28">
        <f>F17*'⚙ Configurações'!$B$20</f>
        <v/>
      </c>
      <c r="J17" s="27">
        <f>'⚙ Configurações'!$B$4+'⚙ Configurações'!$B$5</f>
        <v/>
      </c>
      <c r="K17" s="28">
        <f>(F17+H17+I17)*J17</f>
        <v/>
      </c>
      <c r="L17" s="27">
        <f>'⚙ Configurações'!$B$6+'⚙ Configurações'!$B$7+'⚙ Configurações'!$B$8</f>
        <v/>
      </c>
      <c r="M17" s="28">
        <f>N17*L17/(1-L17)</f>
        <v/>
      </c>
      <c r="N17" s="29">
        <f>F17+H17+I17+K17+M17</f>
        <v/>
      </c>
      <c r="O17" s="30">
        <f>'⚙ Configurações'!$B$11</f>
        <v/>
      </c>
      <c r="P17" s="29">
        <f>IF(O17&gt;=1,N17*2,N17/(1-O17))</f>
        <v/>
      </c>
      <c r="Q17" s="31">
        <f>IF(F17=0,0,ROUND('⚙ Configurações'!$B$23+MAX(0,(6.5-3)*'⚙ Configurações'!$B$29),2))</f>
        <v/>
      </c>
      <c r="R17" s="31">
        <f>IF(F17=0,0,ROUND('⚙ Configurações'!$B$24+MAX(0,(6.5-3)*'⚙ Configurações'!$B$29),2))</f>
        <v/>
      </c>
      <c r="S17" s="31">
        <f>IF(F17=0,0,ROUND('⚙ Configurações'!$B$25+MAX(0,(6.5-3)*'⚙ Configurações'!$B$29),2))</f>
        <v/>
      </c>
      <c r="T17" s="31">
        <f>IF(F17=0,0,ROUND('⚙ Configurações'!$B$26+MAX(0,(6.5-3)*'⚙ Configurações'!$B$29),2))</f>
        <v/>
      </c>
      <c r="U17" s="31">
        <f>IF(F17=0,0,ROUND('⚙ Configurações'!$B$27+MAX(0,(6.5-3)*'⚙ Configurações'!$B$29),2))</f>
        <v/>
      </c>
      <c r="V17" s="31">
        <f>IF(F17=0,0,ROUND('⚙ Configurações'!$B$28+MAX(0,(6.5-3)*'⚙ Configurações'!$B$29),2))</f>
        <v/>
      </c>
      <c r="W17" s="28">
        <f>IF(F17=0,0,ROUND(MAX('⚙ Configurações'!$B$30,P17*'⚙ Configurações'!$B$31),2))</f>
        <v/>
      </c>
      <c r="X17" s="32" t="n">
        <v>6.5</v>
      </c>
      <c r="Y17" s="33">
        <f>IF(P17=0,0,(P17-N17)/P17)</f>
        <v/>
      </c>
      <c r="Z17" s="34" t="n">
        <v>0</v>
      </c>
      <c r="AA17" s="34" t="n">
        <v>0</v>
      </c>
      <c r="AB17" s="35">
        <f>IF(P17&gt;0,ROUND(P17,2),"")</f>
        <v/>
      </c>
    </row>
    <row r="18" ht="20" customHeight="1">
      <c r="A18" s="3" t="inlineStr">
        <is>
          <t>bomba-hidraulica-ford-new-holland-cnh-a002-5610-7810</t>
        </is>
      </c>
      <c r="B18" s="24" t="inlineStr">
        <is>
          <t>Bomba Hidráulica Principal Ford New Holland CNH A-002 — 5610/7610/7810</t>
        </is>
      </c>
      <c r="C18" s="25" t="inlineStr">
        <is>
          <t>5.1301.0565002</t>
        </is>
      </c>
      <c r="D18" s="3" t="inlineStr">
        <is>
          <t>LIVENZA / Sohipren</t>
        </is>
      </c>
      <c r="E18" s="3" t="inlineStr">
        <is>
          <t>Bombas Hidráulicas</t>
        </is>
      </c>
      <c r="F18" s="26" t="n">
        <v>0</v>
      </c>
      <c r="G18" s="27">
        <f>'⚙ Configurações'!$B$17</f>
        <v/>
      </c>
      <c r="H18" s="28">
        <f>F18*G18</f>
        <v/>
      </c>
      <c r="I18" s="28">
        <f>F18*'⚙ Configurações'!$B$20</f>
        <v/>
      </c>
      <c r="J18" s="27">
        <f>'⚙ Configurações'!$B$4+'⚙ Configurações'!$B$5</f>
        <v/>
      </c>
      <c r="K18" s="28">
        <f>(F18+H18+I18)*J18</f>
        <v/>
      </c>
      <c r="L18" s="27">
        <f>'⚙ Configurações'!$B$6+'⚙ Configurações'!$B$7+'⚙ Configurações'!$B$8</f>
        <v/>
      </c>
      <c r="M18" s="28">
        <f>N18*L18/(1-L18)</f>
        <v/>
      </c>
      <c r="N18" s="29">
        <f>F18+H18+I18+K18+M18</f>
        <v/>
      </c>
      <c r="O18" s="30">
        <f>'⚙ Configurações'!$B$11</f>
        <v/>
      </c>
      <c r="P18" s="29">
        <f>IF(O18&gt;=1,N18*2,N18/(1-O18))</f>
        <v/>
      </c>
      <c r="Q18" s="31">
        <f>IF(F18=0,0,ROUND('⚙ Configurações'!$B$23+MAX(0,(6.5-3)*'⚙ Configurações'!$B$29),2))</f>
        <v/>
      </c>
      <c r="R18" s="31">
        <f>IF(F18=0,0,ROUND('⚙ Configurações'!$B$24+MAX(0,(6.5-3)*'⚙ Configurações'!$B$29),2))</f>
        <v/>
      </c>
      <c r="S18" s="31">
        <f>IF(F18=0,0,ROUND('⚙ Configurações'!$B$25+MAX(0,(6.5-3)*'⚙ Configurações'!$B$29),2))</f>
        <v/>
      </c>
      <c r="T18" s="31">
        <f>IF(F18=0,0,ROUND('⚙ Configurações'!$B$26+MAX(0,(6.5-3)*'⚙ Configurações'!$B$29),2))</f>
        <v/>
      </c>
      <c r="U18" s="31">
        <f>IF(F18=0,0,ROUND('⚙ Configurações'!$B$27+MAX(0,(6.5-3)*'⚙ Configurações'!$B$29),2))</f>
        <v/>
      </c>
      <c r="V18" s="31">
        <f>IF(F18=0,0,ROUND('⚙ Configurações'!$B$28+MAX(0,(6.5-3)*'⚙ Configurações'!$B$29),2))</f>
        <v/>
      </c>
      <c r="W18" s="28">
        <f>IF(F18=0,0,ROUND(MAX('⚙ Configurações'!$B$30,P18*'⚙ Configurações'!$B$31),2))</f>
        <v/>
      </c>
      <c r="X18" s="32" t="n">
        <v>6.5</v>
      </c>
      <c r="Y18" s="33">
        <f>IF(P18=0,0,(P18-N18)/P18)</f>
        <v/>
      </c>
      <c r="Z18" s="34" t="n">
        <v>0</v>
      </c>
      <c r="AA18" s="34" t="n">
        <v>0</v>
      </c>
      <c r="AB18" s="35">
        <f>IF(P18&gt;0,ROUND(P18,2),"")</f>
        <v/>
      </c>
    </row>
    <row r="19" ht="20" customHeight="1">
      <c r="A19" s="3" t="inlineStr">
        <is>
          <t>bomba-hidraulica-ford-new-holland-cnh-a004-340-4630</t>
        </is>
      </c>
      <c r="B19" s="24" t="inlineStr">
        <is>
          <t>Bomba Hidráulica Ford New Holland CNH A-004 — 340/2910/3930/4630</t>
        </is>
      </c>
      <c r="C19" s="25" t="inlineStr">
        <is>
          <t>5.1301.0565004</t>
        </is>
      </c>
      <c r="D19" s="3" t="inlineStr">
        <is>
          <t>LIVENZA / Sohipren</t>
        </is>
      </c>
      <c r="E19" s="3" t="inlineStr">
        <is>
          <t>Bombas Hidráulicas</t>
        </is>
      </c>
      <c r="F19" s="26" t="n">
        <v>0</v>
      </c>
      <c r="G19" s="27">
        <f>'⚙ Configurações'!$B$17</f>
        <v/>
      </c>
      <c r="H19" s="28">
        <f>F19*G19</f>
        <v/>
      </c>
      <c r="I19" s="28">
        <f>F19*'⚙ Configurações'!$B$20</f>
        <v/>
      </c>
      <c r="J19" s="27">
        <f>'⚙ Configurações'!$B$4+'⚙ Configurações'!$B$5</f>
        <v/>
      </c>
      <c r="K19" s="28">
        <f>(F19+H19+I19)*J19</f>
        <v/>
      </c>
      <c r="L19" s="27">
        <f>'⚙ Configurações'!$B$6+'⚙ Configurações'!$B$7+'⚙ Configurações'!$B$8</f>
        <v/>
      </c>
      <c r="M19" s="28">
        <f>N19*L19/(1-L19)</f>
        <v/>
      </c>
      <c r="N19" s="29">
        <f>F19+H19+I19+K19+M19</f>
        <v/>
      </c>
      <c r="O19" s="30">
        <f>'⚙ Configurações'!$B$11</f>
        <v/>
      </c>
      <c r="P19" s="29">
        <f>IF(O19&gt;=1,N19*2,N19/(1-O19))</f>
        <v/>
      </c>
      <c r="Q19" s="31">
        <f>IF(F19=0,0,ROUND('⚙ Configurações'!$B$23+MAX(0,(6.5-3)*'⚙ Configurações'!$B$29),2))</f>
        <v/>
      </c>
      <c r="R19" s="31">
        <f>IF(F19=0,0,ROUND('⚙ Configurações'!$B$24+MAX(0,(6.5-3)*'⚙ Configurações'!$B$29),2))</f>
        <v/>
      </c>
      <c r="S19" s="31">
        <f>IF(F19=0,0,ROUND('⚙ Configurações'!$B$25+MAX(0,(6.5-3)*'⚙ Configurações'!$B$29),2))</f>
        <v/>
      </c>
      <c r="T19" s="31">
        <f>IF(F19=0,0,ROUND('⚙ Configurações'!$B$26+MAX(0,(6.5-3)*'⚙ Configurações'!$B$29),2))</f>
        <v/>
      </c>
      <c r="U19" s="31">
        <f>IF(F19=0,0,ROUND('⚙ Configurações'!$B$27+MAX(0,(6.5-3)*'⚙ Configurações'!$B$29),2))</f>
        <v/>
      </c>
      <c r="V19" s="31">
        <f>IF(F19=0,0,ROUND('⚙ Configurações'!$B$28+MAX(0,(6.5-3)*'⚙ Configurações'!$B$29),2))</f>
        <v/>
      </c>
      <c r="W19" s="28">
        <f>IF(F19=0,0,ROUND(MAX('⚙ Configurações'!$B$30,P19*'⚙ Configurações'!$B$31),2))</f>
        <v/>
      </c>
      <c r="X19" s="32" t="n">
        <v>6.5</v>
      </c>
      <c r="Y19" s="33">
        <f>IF(P19=0,0,(P19-N19)/P19)</f>
        <v/>
      </c>
      <c r="Z19" s="34" t="n">
        <v>0</v>
      </c>
      <c r="AA19" s="34" t="n">
        <v>0</v>
      </c>
      <c r="AB19" s="35">
        <f>IF(P19&gt;0,ROUND(P19,2),"")</f>
        <v/>
      </c>
    </row>
    <row r="20" ht="20" customHeight="1">
      <c r="A20" s="3" t="inlineStr">
        <is>
          <t>bomba-hidraulica-cnh-a008-ford-new-holland</t>
        </is>
      </c>
      <c r="B20" s="24" t="inlineStr">
        <is>
          <t>Bomba Hidráulica Ford New Holland CNH A-008 — Série TB/TS</t>
        </is>
      </c>
      <c r="C20" s="25" t="inlineStr">
        <is>
          <t>5.1301.0565008</t>
        </is>
      </c>
      <c r="D20" s="3" t="inlineStr">
        <is>
          <t>LIVENZA / Sohipren</t>
        </is>
      </c>
      <c r="E20" s="3" t="inlineStr">
        <is>
          <t>Bombas Hidráulicas</t>
        </is>
      </c>
      <c r="F20" s="26" t="n">
        <v>0</v>
      </c>
      <c r="G20" s="27">
        <f>'⚙ Configurações'!$B$17</f>
        <v/>
      </c>
      <c r="H20" s="28">
        <f>F20*G20</f>
        <v/>
      </c>
      <c r="I20" s="28">
        <f>F20*'⚙ Configurações'!$B$20</f>
        <v/>
      </c>
      <c r="J20" s="27">
        <f>'⚙ Configurações'!$B$4+'⚙ Configurações'!$B$5</f>
        <v/>
      </c>
      <c r="K20" s="28">
        <f>(F20+H20+I20)*J20</f>
        <v/>
      </c>
      <c r="L20" s="27">
        <f>'⚙ Configurações'!$B$6+'⚙ Configurações'!$B$7+'⚙ Configurações'!$B$8</f>
        <v/>
      </c>
      <c r="M20" s="28">
        <f>N20*L20/(1-L20)</f>
        <v/>
      </c>
      <c r="N20" s="29">
        <f>F20+H20+I20+K20+M20</f>
        <v/>
      </c>
      <c r="O20" s="30">
        <f>'⚙ Configurações'!$B$11</f>
        <v/>
      </c>
      <c r="P20" s="29">
        <f>IF(O20&gt;=1,N20*2,N20/(1-O20))</f>
        <v/>
      </c>
      <c r="Q20" s="31">
        <f>IF(F20=0,0,ROUND('⚙ Configurações'!$B$23+MAX(0,(6.5-3)*'⚙ Configurações'!$B$29),2))</f>
        <v/>
      </c>
      <c r="R20" s="31">
        <f>IF(F20=0,0,ROUND('⚙ Configurações'!$B$24+MAX(0,(6.5-3)*'⚙ Configurações'!$B$29),2))</f>
        <v/>
      </c>
      <c r="S20" s="31">
        <f>IF(F20=0,0,ROUND('⚙ Configurações'!$B$25+MAX(0,(6.5-3)*'⚙ Configurações'!$B$29),2))</f>
        <v/>
      </c>
      <c r="T20" s="31">
        <f>IF(F20=0,0,ROUND('⚙ Configurações'!$B$26+MAX(0,(6.5-3)*'⚙ Configurações'!$B$29),2))</f>
        <v/>
      </c>
      <c r="U20" s="31">
        <f>IF(F20=0,0,ROUND('⚙ Configurações'!$B$27+MAX(0,(6.5-3)*'⚙ Configurações'!$B$29),2))</f>
        <v/>
      </c>
      <c r="V20" s="31">
        <f>IF(F20=0,0,ROUND('⚙ Configurações'!$B$28+MAX(0,(6.5-3)*'⚙ Configurações'!$B$29),2))</f>
        <v/>
      </c>
      <c r="W20" s="28">
        <f>IF(F20=0,0,ROUND(MAX('⚙ Configurações'!$B$30,P20*'⚙ Configurações'!$B$31),2))</f>
        <v/>
      </c>
      <c r="X20" s="32" t="n">
        <v>6.5</v>
      </c>
      <c r="Y20" s="33">
        <f>IF(P20=0,0,(P20-N20)/P20)</f>
        <v/>
      </c>
      <c r="Z20" s="34" t="n">
        <v>0</v>
      </c>
      <c r="AA20" s="34" t="n">
        <v>0</v>
      </c>
      <c r="AB20" s="35">
        <f>IF(P20&gt;0,ROUND(P20,2),"")</f>
        <v/>
      </c>
    </row>
    <row r="21" ht="20" customHeight="1">
      <c r="A21" s="3" t="inlineStr">
        <is>
          <t>bomba-hidraulica-cnh-a017-ford-new-holland-ts6000</t>
        </is>
      </c>
      <c r="B21" s="24" t="inlineStr">
        <is>
          <t>Bomba Hidráulica Ford New Holland CNH A-017 — Série TS6000</t>
        </is>
      </c>
      <c r="C21" s="25" t="inlineStr">
        <is>
          <t>5.1301.0565017</t>
        </is>
      </c>
      <c r="D21" s="3" t="inlineStr">
        <is>
          <t>LIVENZA / Sohipren</t>
        </is>
      </c>
      <c r="E21" s="3" t="inlineStr">
        <is>
          <t>Bombas Hidráulicas</t>
        </is>
      </c>
      <c r="F21" s="26" t="n">
        <v>0</v>
      </c>
      <c r="G21" s="27">
        <f>'⚙ Configurações'!$B$17</f>
        <v/>
      </c>
      <c r="H21" s="28">
        <f>F21*G21</f>
        <v/>
      </c>
      <c r="I21" s="28">
        <f>F21*'⚙ Configurações'!$B$20</f>
        <v/>
      </c>
      <c r="J21" s="27">
        <f>'⚙ Configurações'!$B$4+'⚙ Configurações'!$B$5</f>
        <v/>
      </c>
      <c r="K21" s="28">
        <f>(F21+H21+I21)*J21</f>
        <v/>
      </c>
      <c r="L21" s="27">
        <f>'⚙ Configurações'!$B$6+'⚙ Configurações'!$B$7+'⚙ Configurações'!$B$8</f>
        <v/>
      </c>
      <c r="M21" s="28">
        <f>N21*L21/(1-L21)</f>
        <v/>
      </c>
      <c r="N21" s="29">
        <f>F21+H21+I21+K21+M21</f>
        <v/>
      </c>
      <c r="O21" s="30">
        <f>'⚙ Configurações'!$B$11</f>
        <v/>
      </c>
      <c r="P21" s="29">
        <f>IF(O21&gt;=1,N21*2,N21/(1-O21))</f>
        <v/>
      </c>
      <c r="Q21" s="31">
        <f>IF(F21=0,0,ROUND('⚙ Configurações'!$B$23+MAX(0,(6.5-3)*'⚙ Configurações'!$B$29),2))</f>
        <v/>
      </c>
      <c r="R21" s="31">
        <f>IF(F21=0,0,ROUND('⚙ Configurações'!$B$24+MAX(0,(6.5-3)*'⚙ Configurações'!$B$29),2))</f>
        <v/>
      </c>
      <c r="S21" s="31">
        <f>IF(F21=0,0,ROUND('⚙ Configurações'!$B$25+MAX(0,(6.5-3)*'⚙ Configurações'!$B$29),2))</f>
        <v/>
      </c>
      <c r="T21" s="31">
        <f>IF(F21=0,0,ROUND('⚙ Configurações'!$B$26+MAX(0,(6.5-3)*'⚙ Configurações'!$B$29),2))</f>
        <v/>
      </c>
      <c r="U21" s="31">
        <f>IF(F21=0,0,ROUND('⚙ Configurações'!$B$27+MAX(0,(6.5-3)*'⚙ Configurações'!$B$29),2))</f>
        <v/>
      </c>
      <c r="V21" s="31">
        <f>IF(F21=0,0,ROUND('⚙ Configurações'!$B$28+MAX(0,(6.5-3)*'⚙ Configurações'!$B$29),2))</f>
        <v/>
      </c>
      <c r="W21" s="28">
        <f>IF(F21=0,0,ROUND(MAX('⚙ Configurações'!$B$30,P21*'⚙ Configurações'!$B$31),2))</f>
        <v/>
      </c>
      <c r="X21" s="32" t="n">
        <v>6.5</v>
      </c>
      <c r="Y21" s="33">
        <f>IF(P21=0,0,(P21-N21)/P21)</f>
        <v/>
      </c>
      <c r="Z21" s="34" t="n">
        <v>0</v>
      </c>
      <c r="AA21" s="34" t="n">
        <v>0</v>
      </c>
      <c r="AB21" s="35">
        <f>IF(P21&gt;0,ROUND(P21,2),"")</f>
        <v/>
      </c>
    </row>
    <row r="22" ht="20" customHeight="1">
      <c r="A22" s="3" t="inlineStr">
        <is>
          <t>bomba-hidraulica-new-holland-tc57-bomba-aplicacao-cnh-a-020</t>
        </is>
      </c>
      <c r="B22" s="24" t="inlineStr">
        <is>
          <t>Bomba Hidráulica New Holland TC57 — Colhedeira CNH A-020</t>
        </is>
      </c>
      <c r="C22" s="25" t="inlineStr">
        <is>
          <t>5.1301.0565029</t>
        </is>
      </c>
      <c r="D22" s="3" t="inlineStr">
        <is>
          <t>LIVENZA / Sohipren</t>
        </is>
      </c>
      <c r="E22" s="3" t="inlineStr">
        <is>
          <t>Bombas Hidráulicas</t>
        </is>
      </c>
      <c r="F22" s="26" t="n">
        <v>0</v>
      </c>
      <c r="G22" s="27">
        <f>'⚙ Configurações'!$B$17</f>
        <v/>
      </c>
      <c r="H22" s="28">
        <f>F22*G22</f>
        <v/>
      </c>
      <c r="I22" s="28">
        <f>F22*'⚙ Configurações'!$B$20</f>
        <v/>
      </c>
      <c r="J22" s="27">
        <f>'⚙ Configurações'!$B$4+'⚙ Configurações'!$B$5</f>
        <v/>
      </c>
      <c r="K22" s="28">
        <f>(F22+H22+I22)*J22</f>
        <v/>
      </c>
      <c r="L22" s="27">
        <f>'⚙ Configurações'!$B$6+'⚙ Configurações'!$B$7+'⚙ Configurações'!$B$8</f>
        <v/>
      </c>
      <c r="M22" s="28">
        <f>N22*L22/(1-L22)</f>
        <v/>
      </c>
      <c r="N22" s="29">
        <f>F22+H22+I22+K22+M22</f>
        <v/>
      </c>
      <c r="O22" s="30">
        <f>'⚙ Configurações'!$B$11</f>
        <v/>
      </c>
      <c r="P22" s="29">
        <f>IF(O22&gt;=1,N22*2,N22/(1-O22))</f>
        <v/>
      </c>
      <c r="Q22" s="31">
        <f>IF(F22=0,0,ROUND('⚙ Configurações'!$B$23+MAX(0,(6.5-3)*'⚙ Configurações'!$B$29),2))</f>
        <v/>
      </c>
      <c r="R22" s="31">
        <f>IF(F22=0,0,ROUND('⚙ Configurações'!$B$24+MAX(0,(6.5-3)*'⚙ Configurações'!$B$29),2))</f>
        <v/>
      </c>
      <c r="S22" s="31">
        <f>IF(F22=0,0,ROUND('⚙ Configurações'!$B$25+MAX(0,(6.5-3)*'⚙ Configurações'!$B$29),2))</f>
        <v/>
      </c>
      <c r="T22" s="31">
        <f>IF(F22=0,0,ROUND('⚙ Configurações'!$B$26+MAX(0,(6.5-3)*'⚙ Configurações'!$B$29),2))</f>
        <v/>
      </c>
      <c r="U22" s="31">
        <f>IF(F22=0,0,ROUND('⚙ Configurações'!$B$27+MAX(0,(6.5-3)*'⚙ Configurações'!$B$29),2))</f>
        <v/>
      </c>
      <c r="V22" s="31">
        <f>IF(F22=0,0,ROUND('⚙ Configurações'!$B$28+MAX(0,(6.5-3)*'⚙ Configurações'!$B$29),2))</f>
        <v/>
      </c>
      <c r="W22" s="28">
        <f>IF(F22=0,0,ROUND(MAX('⚙ Configurações'!$B$30,P22*'⚙ Configurações'!$B$31),2))</f>
        <v/>
      </c>
      <c r="X22" s="32" t="n">
        <v>6.5</v>
      </c>
      <c r="Y22" s="33">
        <f>IF(P22=0,0,(P22-N22)/P22)</f>
        <v/>
      </c>
      <c r="Z22" s="34" t="n">
        <v>0</v>
      </c>
      <c r="AA22" s="34" t="n">
        <v>0</v>
      </c>
      <c r="AB22" s="35">
        <f>IF(P22&gt;0,ROUND(P22,2),"")</f>
        <v/>
      </c>
    </row>
    <row r="23" ht="20" customHeight="1">
      <c r="A23" s="3" t="inlineStr">
        <is>
          <t>bomba-hidraulica-cnh-a024-new-holland-t6</t>
        </is>
      </c>
      <c r="B23" s="24" t="inlineStr">
        <is>
          <t>Bomba Hidráulica New Holland CNH A-024 — Série T6</t>
        </is>
      </c>
      <c r="C23" s="25" t="inlineStr">
        <is>
          <t>5.1301.0565035</t>
        </is>
      </c>
      <c r="D23" s="3" t="inlineStr">
        <is>
          <t>LIVENZA / Sohipren</t>
        </is>
      </c>
      <c r="E23" s="3" t="inlineStr">
        <is>
          <t>Bombas Hidráulicas</t>
        </is>
      </c>
      <c r="F23" s="26" t="n">
        <v>0</v>
      </c>
      <c r="G23" s="27">
        <f>'⚙ Configurações'!$B$17</f>
        <v/>
      </c>
      <c r="H23" s="28">
        <f>F23*G23</f>
        <v/>
      </c>
      <c r="I23" s="28">
        <f>F23*'⚙ Configurações'!$B$20</f>
        <v/>
      </c>
      <c r="J23" s="27">
        <f>'⚙ Configurações'!$B$4+'⚙ Configurações'!$B$5</f>
        <v/>
      </c>
      <c r="K23" s="28">
        <f>(F23+H23+I23)*J23</f>
        <v/>
      </c>
      <c r="L23" s="27">
        <f>'⚙ Configurações'!$B$6+'⚙ Configurações'!$B$7+'⚙ Configurações'!$B$8</f>
        <v/>
      </c>
      <c r="M23" s="28">
        <f>N23*L23/(1-L23)</f>
        <v/>
      </c>
      <c r="N23" s="29">
        <f>F23+H23+I23+K23+M23</f>
        <v/>
      </c>
      <c r="O23" s="30">
        <f>'⚙ Configurações'!$B$11</f>
        <v/>
      </c>
      <c r="P23" s="29">
        <f>IF(O23&gt;=1,N23*2,N23/(1-O23))</f>
        <v/>
      </c>
      <c r="Q23" s="31">
        <f>IF(F23=0,0,ROUND('⚙ Configurações'!$B$23+MAX(0,(6.5-3)*'⚙ Configurações'!$B$29),2))</f>
        <v/>
      </c>
      <c r="R23" s="31">
        <f>IF(F23=0,0,ROUND('⚙ Configurações'!$B$24+MAX(0,(6.5-3)*'⚙ Configurações'!$B$29),2))</f>
        <v/>
      </c>
      <c r="S23" s="31">
        <f>IF(F23=0,0,ROUND('⚙ Configurações'!$B$25+MAX(0,(6.5-3)*'⚙ Configurações'!$B$29),2))</f>
        <v/>
      </c>
      <c r="T23" s="31">
        <f>IF(F23=0,0,ROUND('⚙ Configurações'!$B$26+MAX(0,(6.5-3)*'⚙ Configurações'!$B$29),2))</f>
        <v/>
      </c>
      <c r="U23" s="31">
        <f>IF(F23=0,0,ROUND('⚙ Configurações'!$B$27+MAX(0,(6.5-3)*'⚙ Configurações'!$B$29),2))</f>
        <v/>
      </c>
      <c r="V23" s="31">
        <f>IF(F23=0,0,ROUND('⚙ Configurações'!$B$28+MAX(0,(6.5-3)*'⚙ Configurações'!$B$29),2))</f>
        <v/>
      </c>
      <c r="W23" s="28">
        <f>IF(F23=0,0,ROUND(MAX('⚙ Configurações'!$B$30,P23*'⚙ Configurações'!$B$31),2))</f>
        <v/>
      </c>
      <c r="X23" s="32" t="n">
        <v>6.5</v>
      </c>
      <c r="Y23" s="33">
        <f>IF(P23=0,0,(P23-N23)/P23)</f>
        <v/>
      </c>
      <c r="Z23" s="34" t="n">
        <v>0</v>
      </c>
      <c r="AA23" s="34" t="n">
        <v>0</v>
      </c>
      <c r="AB23" s="35">
        <f>IF(P23&gt;0,ROUND(P23,2),"")</f>
        <v/>
      </c>
    </row>
    <row r="24" ht="20" customHeight="1">
      <c r="A24" s="3" t="inlineStr">
        <is>
          <t>bomba-hidraulica-john-deere-a003-serie-6000</t>
        </is>
      </c>
      <c r="B24" s="24" t="inlineStr">
        <is>
          <t>Bomba Hidráulica Principal John Deere A-003 — Série 6000</t>
        </is>
      </c>
      <c r="C24" s="25" t="inlineStr">
        <is>
          <t>5.1305.0565036</t>
        </is>
      </c>
      <c r="D24" s="3" t="inlineStr">
        <is>
          <t>LIVENZA / Sohipren</t>
        </is>
      </c>
      <c r="E24" s="3" t="inlineStr">
        <is>
          <t>Bombas Hidráulicas</t>
        </is>
      </c>
      <c r="F24" s="26" t="n">
        <v>0</v>
      </c>
      <c r="G24" s="27">
        <f>'⚙ Configurações'!$B$17</f>
        <v/>
      </c>
      <c r="H24" s="28">
        <f>F24*G24</f>
        <v/>
      </c>
      <c r="I24" s="28">
        <f>F24*'⚙ Configurações'!$B$20</f>
        <v/>
      </c>
      <c r="J24" s="27">
        <f>'⚙ Configurações'!$B$4+'⚙ Configurações'!$B$5</f>
        <v/>
      </c>
      <c r="K24" s="28">
        <f>(F24+H24+I24)*J24</f>
        <v/>
      </c>
      <c r="L24" s="27">
        <f>'⚙ Configurações'!$B$6+'⚙ Configurações'!$B$7+'⚙ Configurações'!$B$8</f>
        <v/>
      </c>
      <c r="M24" s="28">
        <f>N24*L24/(1-L24)</f>
        <v/>
      </c>
      <c r="N24" s="29">
        <f>F24+H24+I24+K24+M24</f>
        <v/>
      </c>
      <c r="O24" s="30">
        <f>'⚙ Configurações'!$B$11</f>
        <v/>
      </c>
      <c r="P24" s="29">
        <f>IF(O24&gt;=1,N24*2,N24/(1-O24))</f>
        <v/>
      </c>
      <c r="Q24" s="31">
        <f>IF(F24=0,0,ROUND('⚙ Configurações'!$B$23+MAX(0,(6.5-3)*'⚙ Configurações'!$B$29),2))</f>
        <v/>
      </c>
      <c r="R24" s="31">
        <f>IF(F24=0,0,ROUND('⚙ Configurações'!$B$24+MAX(0,(6.5-3)*'⚙ Configurações'!$B$29),2))</f>
        <v/>
      </c>
      <c r="S24" s="31">
        <f>IF(F24=0,0,ROUND('⚙ Configurações'!$B$25+MAX(0,(6.5-3)*'⚙ Configurações'!$B$29),2))</f>
        <v/>
      </c>
      <c r="T24" s="31">
        <f>IF(F24=0,0,ROUND('⚙ Configurações'!$B$26+MAX(0,(6.5-3)*'⚙ Configurações'!$B$29),2))</f>
        <v/>
      </c>
      <c r="U24" s="31">
        <f>IF(F24=0,0,ROUND('⚙ Configurações'!$B$27+MAX(0,(6.5-3)*'⚙ Configurações'!$B$29),2))</f>
        <v/>
      </c>
      <c r="V24" s="31">
        <f>IF(F24=0,0,ROUND('⚙ Configurações'!$B$28+MAX(0,(6.5-3)*'⚙ Configurações'!$B$29),2))</f>
        <v/>
      </c>
      <c r="W24" s="28">
        <f>IF(F24=0,0,ROUND(MAX('⚙ Configurações'!$B$30,P24*'⚙ Configurações'!$B$31),2))</f>
        <v/>
      </c>
      <c r="X24" s="32" t="n">
        <v>6.5</v>
      </c>
      <c r="Y24" s="33">
        <f>IF(P24=0,0,(P24-N24)/P24)</f>
        <v/>
      </c>
      <c r="Z24" s="34" t="n">
        <v>0</v>
      </c>
      <c r="AA24" s="34" t="n">
        <v>0</v>
      </c>
      <c r="AB24" s="35">
        <f>IF(P24&gt;0,ROUND(P24,2),"")</f>
        <v/>
      </c>
    </row>
    <row r="25" ht="20" customHeight="1">
      <c r="A25" s="3" t="inlineStr">
        <is>
          <t>bomba-direcao-levante-john-deere-a004</t>
        </is>
      </c>
      <c r="B25" s="24" t="inlineStr">
        <is>
          <t>Bomba Hidráulica Direção e Levante John Deere A-004 — Série 5000/6000</t>
        </is>
      </c>
      <c r="C25" s="25" t="inlineStr">
        <is>
          <t>5.1305.0565071</t>
        </is>
      </c>
      <c r="D25" s="3" t="inlineStr">
        <is>
          <t>LIVENZA / Sohipren</t>
        </is>
      </c>
      <c r="E25" s="3" t="inlineStr">
        <is>
          <t>Bombas Hidráulicas</t>
        </is>
      </c>
      <c r="F25" s="26" t="n">
        <v>0</v>
      </c>
      <c r="G25" s="27">
        <f>'⚙ Configurações'!$B$17</f>
        <v/>
      </c>
      <c r="H25" s="28">
        <f>F25*G25</f>
        <v/>
      </c>
      <c r="I25" s="28">
        <f>F25*'⚙ Configurações'!$B$20</f>
        <v/>
      </c>
      <c r="J25" s="27">
        <f>'⚙ Configurações'!$B$4+'⚙ Configurações'!$B$5</f>
        <v/>
      </c>
      <c r="K25" s="28">
        <f>(F25+H25+I25)*J25</f>
        <v/>
      </c>
      <c r="L25" s="27">
        <f>'⚙ Configurações'!$B$6+'⚙ Configurações'!$B$7+'⚙ Configurações'!$B$8</f>
        <v/>
      </c>
      <c r="M25" s="28">
        <f>N25*L25/(1-L25)</f>
        <v/>
      </c>
      <c r="N25" s="29">
        <f>F25+H25+I25+K25+M25</f>
        <v/>
      </c>
      <c r="O25" s="30">
        <f>'⚙ Configurações'!$B$11</f>
        <v/>
      </c>
      <c r="P25" s="29">
        <f>IF(O25&gt;=1,N25*2,N25/(1-O25))</f>
        <v/>
      </c>
      <c r="Q25" s="31">
        <f>IF(F25=0,0,ROUND('⚙ Configurações'!$B$23+MAX(0,(6.5-3)*'⚙ Configurações'!$B$29),2))</f>
        <v/>
      </c>
      <c r="R25" s="31">
        <f>IF(F25=0,0,ROUND('⚙ Configurações'!$B$24+MAX(0,(6.5-3)*'⚙ Configurações'!$B$29),2))</f>
        <v/>
      </c>
      <c r="S25" s="31">
        <f>IF(F25=0,0,ROUND('⚙ Configurações'!$B$25+MAX(0,(6.5-3)*'⚙ Configurações'!$B$29),2))</f>
        <v/>
      </c>
      <c r="T25" s="31">
        <f>IF(F25=0,0,ROUND('⚙ Configurações'!$B$26+MAX(0,(6.5-3)*'⚙ Configurações'!$B$29),2))</f>
        <v/>
      </c>
      <c r="U25" s="31">
        <f>IF(F25=0,0,ROUND('⚙ Configurações'!$B$27+MAX(0,(6.5-3)*'⚙ Configurações'!$B$29),2))</f>
        <v/>
      </c>
      <c r="V25" s="31">
        <f>IF(F25=0,0,ROUND('⚙ Configurações'!$B$28+MAX(0,(6.5-3)*'⚙ Configurações'!$B$29),2))</f>
        <v/>
      </c>
      <c r="W25" s="28">
        <f>IF(F25=0,0,ROUND(MAX('⚙ Configurações'!$B$30,P25*'⚙ Configurações'!$B$31),2))</f>
        <v/>
      </c>
      <c r="X25" s="32" t="n">
        <v>6.5</v>
      </c>
      <c r="Y25" s="33">
        <f>IF(P25=0,0,(P25-N25)/P25)</f>
        <v/>
      </c>
      <c r="Z25" s="34" t="n">
        <v>0</v>
      </c>
      <c r="AA25" s="34" t="n">
        <v>0</v>
      </c>
      <c r="AB25" s="35">
        <f>IF(P25&gt;0,ROUND(P25,2),"")</f>
        <v/>
      </c>
    </row>
    <row r="26" ht="20" customHeight="1">
      <c r="A26" s="3" t="inlineStr">
        <is>
          <t>bomba-hidraulica-john-deere-serie-5000-5003-5010-5020-6000-bomba-aplicacao-jd-a-005</t>
        </is>
      </c>
      <c r="B26" s="24" t="inlineStr">
        <is>
          <t>Bomba Hidráulica John Deere A-005 — Série 5000/5010/5020/6000</t>
        </is>
      </c>
      <c r="C26" s="25" t="inlineStr">
        <is>
          <t>5.1305.0565077</t>
        </is>
      </c>
      <c r="D26" s="3" t="inlineStr">
        <is>
          <t>LIVENZA / Sohipren</t>
        </is>
      </c>
      <c r="E26" s="3" t="inlineStr">
        <is>
          <t>Bombas Hidráulicas</t>
        </is>
      </c>
      <c r="F26" s="26" t="n">
        <v>0</v>
      </c>
      <c r="G26" s="27">
        <f>'⚙ Configurações'!$B$17</f>
        <v/>
      </c>
      <c r="H26" s="28">
        <f>F26*G26</f>
        <v/>
      </c>
      <c r="I26" s="28">
        <f>F26*'⚙ Configurações'!$B$20</f>
        <v/>
      </c>
      <c r="J26" s="27">
        <f>'⚙ Configurações'!$B$4+'⚙ Configurações'!$B$5</f>
        <v/>
      </c>
      <c r="K26" s="28">
        <f>(F26+H26+I26)*J26</f>
        <v/>
      </c>
      <c r="L26" s="27">
        <f>'⚙ Configurações'!$B$6+'⚙ Configurações'!$B$7+'⚙ Configurações'!$B$8</f>
        <v/>
      </c>
      <c r="M26" s="28">
        <f>N26*L26/(1-L26)</f>
        <v/>
      </c>
      <c r="N26" s="29">
        <f>F26+H26+I26+K26+M26</f>
        <v/>
      </c>
      <c r="O26" s="30">
        <f>'⚙ Configurações'!$B$11</f>
        <v/>
      </c>
      <c r="P26" s="29">
        <f>IF(O26&gt;=1,N26*2,N26/(1-O26))</f>
        <v/>
      </c>
      <c r="Q26" s="31">
        <f>IF(F26=0,0,ROUND('⚙ Configurações'!$B$23+MAX(0,(6.5-3)*'⚙ Configurações'!$B$29),2))</f>
        <v/>
      </c>
      <c r="R26" s="31">
        <f>IF(F26=0,0,ROUND('⚙ Configurações'!$B$24+MAX(0,(6.5-3)*'⚙ Configurações'!$B$29),2))</f>
        <v/>
      </c>
      <c r="S26" s="31">
        <f>IF(F26=0,0,ROUND('⚙ Configurações'!$B$25+MAX(0,(6.5-3)*'⚙ Configurações'!$B$29),2))</f>
        <v/>
      </c>
      <c r="T26" s="31">
        <f>IF(F26=0,0,ROUND('⚙ Configurações'!$B$26+MAX(0,(6.5-3)*'⚙ Configurações'!$B$29),2))</f>
        <v/>
      </c>
      <c r="U26" s="31">
        <f>IF(F26=0,0,ROUND('⚙ Configurações'!$B$27+MAX(0,(6.5-3)*'⚙ Configurações'!$B$29),2))</f>
        <v/>
      </c>
      <c r="V26" s="31">
        <f>IF(F26=0,0,ROUND('⚙ Configurações'!$B$28+MAX(0,(6.5-3)*'⚙ Configurações'!$B$29),2))</f>
        <v/>
      </c>
      <c r="W26" s="28">
        <f>IF(F26=0,0,ROUND(MAX('⚙ Configurações'!$B$30,P26*'⚙ Configurações'!$B$31),2))</f>
        <v/>
      </c>
      <c r="X26" s="32" t="n">
        <v>6.5</v>
      </c>
      <c r="Y26" s="33">
        <f>IF(P26=0,0,(P26-N26)/P26)</f>
        <v/>
      </c>
      <c r="Z26" s="34" t="n">
        <v>0</v>
      </c>
      <c r="AA26" s="34" t="n">
        <v>0</v>
      </c>
      <c r="AB26" s="35">
        <f>IF(P26&gt;0,ROUND(P26,2),"")</f>
        <v/>
      </c>
    </row>
    <row r="27" ht="20" customHeight="1">
      <c r="A27" s="3" t="inlineStr">
        <is>
          <t>bomba-hidraulica-john-deere-colhedeira-1150-1165-1185-7300-7500-8500-boi-11-b9-p4-a42</t>
        </is>
      </c>
      <c r="B27" s="24" t="inlineStr">
        <is>
          <t>Bomba Hidráulica John Deere Colhedeira 1150/1165/1185/7300/7500/8500</t>
        </is>
      </c>
      <c r="C27" s="25" t="inlineStr">
        <is>
          <t>5.0209.0547219</t>
        </is>
      </c>
      <c r="D27" s="3" t="inlineStr">
        <is>
          <t>LIVENZA / Sohipren</t>
        </is>
      </c>
      <c r="E27" s="3" t="inlineStr">
        <is>
          <t>Bombas Hidráulicas</t>
        </is>
      </c>
      <c r="F27" s="26" t="n">
        <v>0</v>
      </c>
      <c r="G27" s="27">
        <f>'⚙ Configurações'!$B$17</f>
        <v/>
      </c>
      <c r="H27" s="28">
        <f>F27*G27</f>
        <v/>
      </c>
      <c r="I27" s="28">
        <f>F27*'⚙ Configurações'!$B$20</f>
        <v/>
      </c>
      <c r="J27" s="27">
        <f>'⚙ Configurações'!$B$4+'⚙ Configurações'!$B$5</f>
        <v/>
      </c>
      <c r="K27" s="28">
        <f>(F27+H27+I27)*J27</f>
        <v/>
      </c>
      <c r="L27" s="27">
        <f>'⚙ Configurações'!$B$6+'⚙ Configurações'!$B$7+'⚙ Configurações'!$B$8</f>
        <v/>
      </c>
      <c r="M27" s="28">
        <f>N27*L27/(1-L27)</f>
        <v/>
      </c>
      <c r="N27" s="29">
        <f>F27+H27+I27+K27+M27</f>
        <v/>
      </c>
      <c r="O27" s="30">
        <f>'⚙ Configurações'!$B$11</f>
        <v/>
      </c>
      <c r="P27" s="29">
        <f>IF(O27&gt;=1,N27*2,N27/(1-O27))</f>
        <v/>
      </c>
      <c r="Q27" s="31">
        <f>IF(F27=0,0,ROUND('⚙ Configurações'!$B$23+MAX(0,(6.5-3)*'⚙ Configurações'!$B$29),2))</f>
        <v/>
      </c>
      <c r="R27" s="31">
        <f>IF(F27=0,0,ROUND('⚙ Configurações'!$B$24+MAX(0,(6.5-3)*'⚙ Configurações'!$B$29),2))</f>
        <v/>
      </c>
      <c r="S27" s="31">
        <f>IF(F27=0,0,ROUND('⚙ Configurações'!$B$25+MAX(0,(6.5-3)*'⚙ Configurações'!$B$29),2))</f>
        <v/>
      </c>
      <c r="T27" s="31">
        <f>IF(F27=0,0,ROUND('⚙ Configurações'!$B$26+MAX(0,(6.5-3)*'⚙ Configurações'!$B$29),2))</f>
        <v/>
      </c>
      <c r="U27" s="31">
        <f>IF(F27=0,0,ROUND('⚙ Configurações'!$B$27+MAX(0,(6.5-3)*'⚙ Configurações'!$B$29),2))</f>
        <v/>
      </c>
      <c r="V27" s="31">
        <f>IF(F27=0,0,ROUND('⚙ Configurações'!$B$28+MAX(0,(6.5-3)*'⚙ Configurações'!$B$29),2))</f>
        <v/>
      </c>
      <c r="W27" s="28">
        <f>IF(F27=0,0,ROUND(MAX('⚙ Configurações'!$B$30,P27*'⚙ Configurações'!$B$31),2))</f>
        <v/>
      </c>
      <c r="X27" s="32" t="n">
        <v>6.5</v>
      </c>
      <c r="Y27" s="33">
        <f>IF(P27=0,0,(P27-N27)/P27)</f>
        <v/>
      </c>
      <c r="Z27" s="34" t="n">
        <v>0</v>
      </c>
      <c r="AA27" s="34" t="n">
        <v>0</v>
      </c>
      <c r="AB27" s="35">
        <f>IF(P27&gt;0,ROUND(P27,2),"")</f>
        <v/>
      </c>
    </row>
    <row r="28" ht="20" customHeight="1">
      <c r="A28" s="3" t="inlineStr">
        <is>
          <t>sensor-fluxo-sflx2-agral</t>
        </is>
      </c>
      <c r="B28" s="24" t="inlineStr">
        <is>
          <t>Sensor de Fluxo SFLX2 — Agral | Plantadeiras de Precisão</t>
        </is>
      </c>
      <c r="C28" s="25" t="inlineStr">
        <is>
          <t>SFLX2</t>
        </is>
      </c>
      <c r="D28" s="3" t="inlineStr">
        <is>
          <t>Agral (ADG)</t>
        </is>
      </c>
      <c r="E28" s="3" t="inlineStr">
        <is>
          <t>Sensores Agrícolas</t>
        </is>
      </c>
      <c r="F28" s="26" t="n">
        <v>0</v>
      </c>
      <c r="G28" s="27">
        <f>'⚙ Configurações'!$B$19</f>
        <v/>
      </c>
      <c r="H28" s="28">
        <f>F28*G28</f>
        <v/>
      </c>
      <c r="I28" s="28">
        <f>F28*'⚙ Configurações'!$B$20</f>
        <v/>
      </c>
      <c r="J28" s="27">
        <f>'⚙ Configurações'!$B$4+'⚙ Configurações'!$B$5</f>
        <v/>
      </c>
      <c r="K28" s="28">
        <f>(F28+H28+I28)*J28</f>
        <v/>
      </c>
      <c r="L28" s="27">
        <f>'⚙ Configurações'!$B$6+'⚙ Configurações'!$B$7+'⚙ Configurações'!$B$8</f>
        <v/>
      </c>
      <c r="M28" s="28">
        <f>N28*L28/(1-L28)</f>
        <v/>
      </c>
      <c r="N28" s="29">
        <f>F28+H28+I28+K28+M28</f>
        <v/>
      </c>
      <c r="O28" s="30">
        <f>'⚙ Configurações'!$B$12</f>
        <v/>
      </c>
      <c r="P28" s="29">
        <f>IF(O28&gt;=1,N28*2,N28/(1-O28))</f>
        <v/>
      </c>
      <c r="Q28" s="31">
        <f>IF(F28=0,0,ROUND('⚙ Configurações'!$B$23+MAX(0,(0.3-3)*'⚙ Configurações'!$B$29),2))</f>
        <v/>
      </c>
      <c r="R28" s="31">
        <f>IF(F28=0,0,ROUND('⚙ Configurações'!$B$24+MAX(0,(0.3-3)*'⚙ Configurações'!$B$29),2))</f>
        <v/>
      </c>
      <c r="S28" s="31">
        <f>IF(F28=0,0,ROUND('⚙ Configurações'!$B$25+MAX(0,(0.3-3)*'⚙ Configurações'!$B$29),2))</f>
        <v/>
      </c>
      <c r="T28" s="31">
        <f>IF(F28=0,0,ROUND('⚙ Configurações'!$B$26+MAX(0,(0.3-3)*'⚙ Configurações'!$B$29),2))</f>
        <v/>
      </c>
      <c r="U28" s="31">
        <f>IF(F28=0,0,ROUND('⚙ Configurações'!$B$27+MAX(0,(0.3-3)*'⚙ Configurações'!$B$29),2))</f>
        <v/>
      </c>
      <c r="V28" s="31">
        <f>IF(F28=0,0,ROUND('⚙ Configurações'!$B$28+MAX(0,(0.3-3)*'⚙ Configurações'!$B$29),2))</f>
        <v/>
      </c>
      <c r="W28" s="28">
        <f>IF(F28=0,0,ROUND(MAX('⚙ Configurações'!$B$30,P28*'⚙ Configurações'!$B$31),2))</f>
        <v/>
      </c>
      <c r="X28" s="32" t="n">
        <v>0.3</v>
      </c>
      <c r="Y28" s="33">
        <f>IF(P28=0,0,(P28-N28)/P28)</f>
        <v/>
      </c>
      <c r="Z28" s="34" t="n">
        <v>0</v>
      </c>
      <c r="AA28" s="34" t="n">
        <v>0</v>
      </c>
      <c r="AB28" s="35">
        <f>IF(P28&gt;0,ROUND(P28,2),"")</f>
        <v/>
      </c>
    </row>
    <row r="29" ht="20" customHeight="1">
      <c r="A29" s="3" t="inlineStr">
        <is>
          <t>sensor-semente-pul2-agral</t>
        </is>
      </c>
      <c r="B29" s="24" t="inlineStr">
        <is>
          <t>Sensor de Semente PUL-2 — Agral | Plantadeiras de Precisão</t>
        </is>
      </c>
      <c r="C29" s="25" t="inlineStr">
        <is>
          <t>PUL-2</t>
        </is>
      </c>
      <c r="D29" s="3" t="inlineStr">
        <is>
          <t>Agral (ADG)</t>
        </is>
      </c>
      <c r="E29" s="3" t="inlineStr">
        <is>
          <t>Sensores Agrícolas</t>
        </is>
      </c>
      <c r="F29" s="26" t="n">
        <v>0</v>
      </c>
      <c r="G29" s="27">
        <f>'⚙ Configurações'!$B$19</f>
        <v/>
      </c>
      <c r="H29" s="28">
        <f>F29*G29</f>
        <v/>
      </c>
      <c r="I29" s="28">
        <f>F29*'⚙ Configurações'!$B$20</f>
        <v/>
      </c>
      <c r="J29" s="27">
        <f>'⚙ Configurações'!$B$4+'⚙ Configurações'!$B$5</f>
        <v/>
      </c>
      <c r="K29" s="28">
        <f>(F29+H29+I29)*J29</f>
        <v/>
      </c>
      <c r="L29" s="27">
        <f>'⚙ Configurações'!$B$6+'⚙ Configurações'!$B$7+'⚙ Configurações'!$B$8</f>
        <v/>
      </c>
      <c r="M29" s="28">
        <f>N29*L29/(1-L29)</f>
        <v/>
      </c>
      <c r="N29" s="29">
        <f>F29+H29+I29+K29+M29</f>
        <v/>
      </c>
      <c r="O29" s="30">
        <f>'⚙ Configurações'!$B$12</f>
        <v/>
      </c>
      <c r="P29" s="29">
        <f>IF(O29&gt;=1,N29*2,N29/(1-O29))</f>
        <v/>
      </c>
      <c r="Q29" s="31">
        <f>IF(F29=0,0,ROUND('⚙ Configurações'!$B$23+MAX(0,(0.3-3)*'⚙ Configurações'!$B$29),2))</f>
        <v/>
      </c>
      <c r="R29" s="31">
        <f>IF(F29=0,0,ROUND('⚙ Configurações'!$B$24+MAX(0,(0.3-3)*'⚙ Configurações'!$B$29),2))</f>
        <v/>
      </c>
      <c r="S29" s="31">
        <f>IF(F29=0,0,ROUND('⚙ Configurações'!$B$25+MAX(0,(0.3-3)*'⚙ Configurações'!$B$29),2))</f>
        <v/>
      </c>
      <c r="T29" s="31">
        <f>IF(F29=0,0,ROUND('⚙ Configurações'!$B$26+MAX(0,(0.3-3)*'⚙ Configurações'!$B$29),2))</f>
        <v/>
      </c>
      <c r="U29" s="31">
        <f>IF(F29=0,0,ROUND('⚙ Configurações'!$B$27+MAX(0,(0.3-3)*'⚙ Configurações'!$B$29),2))</f>
        <v/>
      </c>
      <c r="V29" s="31">
        <f>IF(F29=0,0,ROUND('⚙ Configurações'!$B$28+MAX(0,(0.3-3)*'⚙ Configurações'!$B$29),2))</f>
        <v/>
      </c>
      <c r="W29" s="28">
        <f>IF(F29=0,0,ROUND(MAX('⚙ Configurações'!$B$30,P29*'⚙ Configurações'!$B$31),2))</f>
        <v/>
      </c>
      <c r="X29" s="32" t="n">
        <v>0.3</v>
      </c>
      <c r="Y29" s="33">
        <f>IF(P29=0,0,(P29-N29)/P29)</f>
        <v/>
      </c>
      <c r="Z29" s="34" t="n">
        <v>0</v>
      </c>
      <c r="AA29" s="34" t="n">
        <v>0</v>
      </c>
      <c r="AB29" s="35">
        <f>IF(P29&gt;0,ROUND(P29,2),"")</f>
        <v/>
      </c>
    </row>
    <row r="30" ht="20" customHeight="1">
      <c r="A30" s="3" t="inlineStr">
        <is>
          <t>gps-agricola-gr200-greco-agro-tech-navegacao-de-precisao</t>
        </is>
      </c>
      <c r="B30" s="24" t="inlineStr">
        <is>
          <t>GPS Agrícola GR200 — Greco Agro Tech | Navegação de Precisão</t>
        </is>
      </c>
      <c r="C30" s="25" t="inlineStr">
        <is>
          <t>GR141207</t>
        </is>
      </c>
      <c r="D30" s="3" t="inlineStr">
        <is>
          <t>Greco Agro Tech</t>
        </is>
      </c>
      <c r="E30" s="3" t="inlineStr">
        <is>
          <t>GPS Agrícola</t>
        </is>
      </c>
      <c r="F30" s="26" t="n">
        <v>0</v>
      </c>
      <c r="G30" s="27">
        <f>'⚙ Configurações'!$B$18</f>
        <v/>
      </c>
      <c r="H30" s="28">
        <f>F30*G30</f>
        <v/>
      </c>
      <c r="I30" s="28">
        <f>F30*'⚙ Configurações'!$B$20</f>
        <v/>
      </c>
      <c r="J30" s="27">
        <f>'⚙ Configurações'!$B$4+'⚙ Configurações'!$B$5</f>
        <v/>
      </c>
      <c r="K30" s="28">
        <f>(F30+H30+I30)*J30</f>
        <v/>
      </c>
      <c r="L30" s="27">
        <f>'⚙ Configurações'!$B$6+'⚙ Configurações'!$B$7+'⚙ Configurações'!$B$8</f>
        <v/>
      </c>
      <c r="M30" s="28">
        <f>N30*L30/(1-L30)</f>
        <v/>
      </c>
      <c r="N30" s="29">
        <f>F30+H30+I30+K30+M30</f>
        <v/>
      </c>
      <c r="O30" s="30">
        <f>'⚙ Configurações'!$B$12</f>
        <v/>
      </c>
      <c r="P30" s="29">
        <f>IF(O30&gt;=1,N30*2,N30/(1-O30))</f>
        <v/>
      </c>
      <c r="Q30" s="31">
        <f>IF(F30=0,0,ROUND('⚙ Configurações'!$B$23+MAX(0,(0.8-3)*'⚙ Configurações'!$B$29),2))</f>
        <v/>
      </c>
      <c r="R30" s="31">
        <f>IF(F30=0,0,ROUND('⚙ Configurações'!$B$24+MAX(0,(0.8-3)*'⚙ Configurações'!$B$29),2))</f>
        <v/>
      </c>
      <c r="S30" s="31">
        <f>IF(F30=0,0,ROUND('⚙ Configurações'!$B$25+MAX(0,(0.8-3)*'⚙ Configurações'!$B$29),2))</f>
        <v/>
      </c>
      <c r="T30" s="31">
        <f>IF(F30=0,0,ROUND('⚙ Configurações'!$B$26+MAX(0,(0.8-3)*'⚙ Configurações'!$B$29),2))</f>
        <v/>
      </c>
      <c r="U30" s="31">
        <f>IF(F30=0,0,ROUND('⚙ Configurações'!$B$27+MAX(0,(0.8-3)*'⚙ Configurações'!$B$29),2))</f>
        <v/>
      </c>
      <c r="V30" s="31">
        <f>IF(F30=0,0,ROUND('⚙ Configurações'!$B$28+MAX(0,(0.8-3)*'⚙ Configurações'!$B$29),2))</f>
        <v/>
      </c>
      <c r="W30" s="28">
        <f>IF(F30=0,0,ROUND(MAX('⚙ Configurações'!$B$30,P30*'⚙ Configurações'!$B$31),2))</f>
        <v/>
      </c>
      <c r="X30" s="32" t="n">
        <v>0.8</v>
      </c>
      <c r="Y30" s="33">
        <f>IF(P30=0,0,(P30-N30)/P30)</f>
        <v/>
      </c>
      <c r="Z30" s="34" t="n">
        <v>0</v>
      </c>
      <c r="AA30" s="34" t="n">
        <v>0</v>
      </c>
      <c r="AB30" s="35">
        <f>IF(P30&gt;0,ROUND(P30,2),"")</f>
        <v/>
      </c>
    </row>
    <row r="31" ht="20" customHeight="1">
      <c r="A31" s="3" t="inlineStr">
        <is>
          <t>kit-de-iluminacao-noturna-pulverizacao-greco-agro-tech</t>
        </is>
      </c>
      <c r="B31" s="24" t="inlineStr">
        <is>
          <t>Kit de Iluminação Noturna Pulverização — Greco Agro Tech</t>
        </is>
      </c>
      <c r="C31" s="25" t="inlineStr">
        <is>
          <t>GR141165</t>
        </is>
      </c>
      <c r="D31" s="3" t="inlineStr">
        <is>
          <t>Greco Agro Tech</t>
        </is>
      </c>
      <c r="E31" s="3" t="inlineStr">
        <is>
          <t>Iluminação Agrícola</t>
        </is>
      </c>
      <c r="F31" s="26" t="n">
        <v>0</v>
      </c>
      <c r="G31" s="27">
        <f>'⚙ Configurações'!$B$18</f>
        <v/>
      </c>
      <c r="H31" s="28">
        <f>F31*G31</f>
        <v/>
      </c>
      <c r="I31" s="28">
        <f>F31*'⚙ Configurações'!$B$20</f>
        <v/>
      </c>
      <c r="J31" s="27">
        <f>'⚙ Configurações'!$B$4+'⚙ Configurações'!$B$5</f>
        <v/>
      </c>
      <c r="K31" s="28">
        <f>(F31+H31+I31)*J31</f>
        <v/>
      </c>
      <c r="L31" s="27">
        <f>'⚙ Configurações'!$B$6+'⚙ Configurações'!$B$7+'⚙ Configurações'!$B$8</f>
        <v/>
      </c>
      <c r="M31" s="28">
        <f>N31*L31/(1-L31)</f>
        <v/>
      </c>
      <c r="N31" s="29">
        <f>F31+H31+I31+K31+M31</f>
        <v/>
      </c>
      <c r="O31" s="30">
        <f>'⚙ Configurações'!$B$12</f>
        <v/>
      </c>
      <c r="P31" s="29">
        <f>IF(O31&gt;=1,N31*2,N31/(1-O31))</f>
        <v/>
      </c>
      <c r="Q31" s="31">
        <f>IF(F31=0,0,ROUND('⚙ Configurações'!$B$23+MAX(0,(0.5-3)*'⚙ Configurações'!$B$29),2))</f>
        <v/>
      </c>
      <c r="R31" s="31">
        <f>IF(F31=0,0,ROUND('⚙ Configurações'!$B$24+MAX(0,(0.5-3)*'⚙ Configurações'!$B$29),2))</f>
        <v/>
      </c>
      <c r="S31" s="31">
        <f>IF(F31=0,0,ROUND('⚙ Configurações'!$B$25+MAX(0,(0.5-3)*'⚙ Configurações'!$B$29),2))</f>
        <v/>
      </c>
      <c r="T31" s="31">
        <f>IF(F31=0,0,ROUND('⚙ Configurações'!$B$26+MAX(0,(0.5-3)*'⚙ Configurações'!$B$29),2))</f>
        <v/>
      </c>
      <c r="U31" s="31">
        <f>IF(F31=0,0,ROUND('⚙ Configurações'!$B$27+MAX(0,(0.5-3)*'⚙ Configurações'!$B$29),2))</f>
        <v/>
      </c>
      <c r="V31" s="31">
        <f>IF(F31=0,0,ROUND('⚙ Configurações'!$B$28+MAX(0,(0.5-3)*'⚙ Configurações'!$B$29),2))</f>
        <v/>
      </c>
      <c r="W31" s="28">
        <f>IF(F31=0,0,ROUND(MAX('⚙ Configurações'!$B$30,P31*'⚙ Configurações'!$B$31),2))</f>
        <v/>
      </c>
      <c r="X31" s="32" t="n">
        <v>0.5</v>
      </c>
      <c r="Y31" s="33">
        <f>IF(P31=0,0,(P31-N31)/P31)</f>
        <v/>
      </c>
      <c r="Z31" s="34" t="n">
        <v>0</v>
      </c>
      <c r="AA31" s="34" t="n">
        <v>0</v>
      </c>
      <c r="AB31" s="35">
        <f>IF(P31&gt;0,ROUND(P31,2),"")</f>
        <v/>
      </c>
    </row>
    <row r="32" ht="20" customHeight="1">
      <c r="A32" s="3" t="inlineStr">
        <is>
          <t>kit-ponta-de-cerca-greco-agro-tech</t>
        </is>
      </c>
      <c r="B32" s="24" t="inlineStr">
        <is>
          <t>Kit Ponta de Cerca — Greco Agro Tech</t>
        </is>
      </c>
      <c r="C32" s="25" t="inlineStr">
        <is>
          <t>GR140990-30M</t>
        </is>
      </c>
      <c r="D32" s="3" t="inlineStr">
        <is>
          <t>Greco Agro Tech</t>
        </is>
      </c>
      <c r="E32" s="3" t="inlineStr">
        <is>
          <t>Kits Agrícolas</t>
        </is>
      </c>
      <c r="F32" s="26" t="n">
        <v>0</v>
      </c>
      <c r="G32" s="27">
        <f>'⚙ Configurações'!$B$18</f>
        <v/>
      </c>
      <c r="H32" s="28">
        <f>F32*G32</f>
        <v/>
      </c>
      <c r="I32" s="28">
        <f>F32*'⚙ Configurações'!$B$20</f>
        <v/>
      </c>
      <c r="J32" s="27">
        <f>'⚙ Configurações'!$B$4+'⚙ Configurações'!$B$5</f>
        <v/>
      </c>
      <c r="K32" s="28">
        <f>(F32+H32+I32)*J32</f>
        <v/>
      </c>
      <c r="L32" s="27">
        <f>'⚙ Configurações'!$B$6+'⚙ Configurações'!$B$7+'⚙ Configurações'!$B$8</f>
        <v/>
      </c>
      <c r="M32" s="28">
        <f>N32*L32/(1-L32)</f>
        <v/>
      </c>
      <c r="N32" s="29">
        <f>F32+H32+I32+K32+M32</f>
        <v/>
      </c>
      <c r="O32" s="30">
        <f>'⚙ Configurações'!$B$12</f>
        <v/>
      </c>
      <c r="P32" s="29">
        <f>IF(O32&gt;=1,N32*2,N32/(1-O32))</f>
        <v/>
      </c>
      <c r="Q32" s="31">
        <f>IF(F32=0,0,ROUND('⚙ Configurações'!$B$23+MAX(0,(0.4-3)*'⚙ Configurações'!$B$29),2))</f>
        <v/>
      </c>
      <c r="R32" s="31">
        <f>IF(F32=0,0,ROUND('⚙ Configurações'!$B$24+MAX(0,(0.4-3)*'⚙ Configurações'!$B$29),2))</f>
        <v/>
      </c>
      <c r="S32" s="31">
        <f>IF(F32=0,0,ROUND('⚙ Configurações'!$B$25+MAX(0,(0.4-3)*'⚙ Configurações'!$B$29),2))</f>
        <v/>
      </c>
      <c r="T32" s="31">
        <f>IF(F32=0,0,ROUND('⚙ Configurações'!$B$26+MAX(0,(0.4-3)*'⚙ Configurações'!$B$29),2))</f>
        <v/>
      </c>
      <c r="U32" s="31">
        <f>IF(F32=0,0,ROUND('⚙ Configurações'!$B$27+MAX(0,(0.4-3)*'⚙ Configurações'!$B$29),2))</f>
        <v/>
      </c>
      <c r="V32" s="31">
        <f>IF(F32=0,0,ROUND('⚙ Configurações'!$B$28+MAX(0,(0.4-3)*'⚙ Configurações'!$B$29),2))</f>
        <v/>
      </c>
      <c r="W32" s="28">
        <f>IF(F32=0,0,ROUND(MAX('⚙ Configurações'!$B$30,P32*'⚙ Configurações'!$B$31),2))</f>
        <v/>
      </c>
      <c r="X32" s="32" t="n">
        <v>0.4</v>
      </c>
      <c r="Y32" s="33">
        <f>IF(P32=0,0,(P32-N32)/P32)</f>
        <v/>
      </c>
      <c r="Z32" s="34" t="n">
        <v>0</v>
      </c>
      <c r="AA32" s="34" t="n">
        <v>0</v>
      </c>
      <c r="AB32" s="35">
        <f>IF(P32&gt;0,ROUND(P32,2),"")</f>
        <v/>
      </c>
    </row>
    <row r="33" ht="20" customHeight="1">
      <c r="A33" s="3" t="inlineStr">
        <is>
          <t>sensor-de-levante-haste-greco-agro-tech-precision-planting-pm400</t>
        </is>
      </c>
      <c r="B33" s="24" t="inlineStr">
        <is>
          <t>Sensor de Levante Haste — Greco Agro Tech | Precision Planting PM400</t>
        </is>
      </c>
      <c r="C33" s="25" t="inlineStr">
        <is>
          <t>GR140682</t>
        </is>
      </c>
      <c r="D33" s="3" t="inlineStr">
        <is>
          <t>Agral (ADG)</t>
        </is>
      </c>
      <c r="E33" s="3" t="inlineStr">
        <is>
          <t>Sensores Agrícolas</t>
        </is>
      </c>
      <c r="F33" s="26" t="n">
        <v>0</v>
      </c>
      <c r="G33" s="27">
        <f>'⚙ Configurações'!$B$19</f>
        <v/>
      </c>
      <c r="H33" s="28">
        <f>F33*G33</f>
        <v/>
      </c>
      <c r="I33" s="28">
        <f>F33*'⚙ Configurações'!$B$20</f>
        <v/>
      </c>
      <c r="J33" s="27">
        <f>'⚙ Configurações'!$B$4+'⚙ Configurações'!$B$5</f>
        <v/>
      </c>
      <c r="K33" s="28">
        <f>(F33+H33+I33)*J33</f>
        <v/>
      </c>
      <c r="L33" s="27">
        <f>'⚙ Configurações'!$B$6+'⚙ Configurações'!$B$7+'⚙ Configurações'!$B$8</f>
        <v/>
      </c>
      <c r="M33" s="28">
        <f>N33*L33/(1-L33)</f>
        <v/>
      </c>
      <c r="N33" s="29">
        <f>F33+H33+I33+K33+M33</f>
        <v/>
      </c>
      <c r="O33" s="30">
        <f>'⚙ Configurações'!$B$12</f>
        <v/>
      </c>
      <c r="P33" s="29">
        <f>IF(O33&gt;=1,N33*2,N33/(1-O33))</f>
        <v/>
      </c>
      <c r="Q33" s="31">
        <f>IF(F33=0,0,ROUND('⚙ Configurações'!$B$23+MAX(0,(0.3-3)*'⚙ Configurações'!$B$29),2))</f>
        <v/>
      </c>
      <c r="R33" s="31">
        <f>IF(F33=0,0,ROUND('⚙ Configurações'!$B$24+MAX(0,(0.3-3)*'⚙ Configurações'!$B$29),2))</f>
        <v/>
      </c>
      <c r="S33" s="31">
        <f>IF(F33=0,0,ROUND('⚙ Configurações'!$B$25+MAX(0,(0.3-3)*'⚙ Configurações'!$B$29),2))</f>
        <v/>
      </c>
      <c r="T33" s="31">
        <f>IF(F33=0,0,ROUND('⚙ Configurações'!$B$26+MAX(0,(0.3-3)*'⚙ Configurações'!$B$29),2))</f>
        <v/>
      </c>
      <c r="U33" s="31">
        <f>IF(F33=0,0,ROUND('⚙ Configurações'!$B$27+MAX(0,(0.3-3)*'⚙ Configurações'!$B$29),2))</f>
        <v/>
      </c>
      <c r="V33" s="31">
        <f>IF(F33=0,0,ROUND('⚙ Configurações'!$B$28+MAX(0,(0.3-3)*'⚙ Configurações'!$B$29),2))</f>
        <v/>
      </c>
      <c r="W33" s="28">
        <f>IF(F33=0,0,ROUND(MAX('⚙ Configurações'!$B$30,P33*'⚙ Configurações'!$B$31),2))</f>
        <v/>
      </c>
      <c r="X33" s="32" t="n">
        <v>0.3</v>
      </c>
      <c r="Y33" s="33">
        <f>IF(P33=0,0,(P33-N33)/P33)</f>
        <v/>
      </c>
      <c r="Z33" s="34" t="n">
        <v>0</v>
      </c>
      <c r="AA33" s="34" t="n">
        <v>0</v>
      </c>
      <c r="AB33" s="35">
        <f>IF(P33&gt;0,ROUND(P33,2),"")</f>
        <v/>
      </c>
    </row>
    <row r="34" ht="20" customHeight="1">
      <c r="A34" s="3" t="inlineStr">
        <is>
          <t>sensor-de-levante-corrente-greco-agro-tech-precision-planting-pm400</t>
        </is>
      </c>
      <c r="B34" s="24" t="inlineStr">
        <is>
          <t>Sensor de Levante Corrente — Greco Agro Tech | Precision Planting PM400</t>
        </is>
      </c>
      <c r="C34" s="25" t="inlineStr">
        <is>
          <t>GR140012</t>
        </is>
      </c>
      <c r="D34" s="3" t="inlineStr">
        <is>
          <t>Agral (ADG)</t>
        </is>
      </c>
      <c r="E34" s="3" t="inlineStr">
        <is>
          <t>Sensores Agrícolas</t>
        </is>
      </c>
      <c r="F34" s="26" t="n">
        <v>0</v>
      </c>
      <c r="G34" s="27">
        <f>'⚙ Configurações'!$B$19</f>
        <v/>
      </c>
      <c r="H34" s="28">
        <f>F34*G34</f>
        <v/>
      </c>
      <c r="I34" s="28">
        <f>F34*'⚙ Configurações'!$B$20</f>
        <v/>
      </c>
      <c r="J34" s="27">
        <f>'⚙ Configurações'!$B$4+'⚙ Configurações'!$B$5</f>
        <v/>
      </c>
      <c r="K34" s="28">
        <f>(F34+H34+I34)*J34</f>
        <v/>
      </c>
      <c r="L34" s="27">
        <f>'⚙ Configurações'!$B$6+'⚙ Configurações'!$B$7+'⚙ Configurações'!$B$8</f>
        <v/>
      </c>
      <c r="M34" s="28">
        <f>N34*L34/(1-L34)</f>
        <v/>
      </c>
      <c r="N34" s="29">
        <f>F34+H34+I34+K34+M34</f>
        <v/>
      </c>
      <c r="O34" s="30">
        <f>'⚙ Configurações'!$B$12</f>
        <v/>
      </c>
      <c r="P34" s="29">
        <f>IF(O34&gt;=1,N34*2,N34/(1-O34))</f>
        <v/>
      </c>
      <c r="Q34" s="31">
        <f>IF(F34=0,0,ROUND('⚙ Configurações'!$B$23+MAX(0,(0.3-3)*'⚙ Configurações'!$B$29),2))</f>
        <v/>
      </c>
      <c r="R34" s="31">
        <f>IF(F34=0,0,ROUND('⚙ Configurações'!$B$24+MAX(0,(0.3-3)*'⚙ Configurações'!$B$29),2))</f>
        <v/>
      </c>
      <c r="S34" s="31">
        <f>IF(F34=0,0,ROUND('⚙ Configurações'!$B$25+MAX(0,(0.3-3)*'⚙ Configurações'!$B$29),2))</f>
        <v/>
      </c>
      <c r="T34" s="31">
        <f>IF(F34=0,0,ROUND('⚙ Configurações'!$B$26+MAX(0,(0.3-3)*'⚙ Configurações'!$B$29),2))</f>
        <v/>
      </c>
      <c r="U34" s="31">
        <f>IF(F34=0,0,ROUND('⚙ Configurações'!$B$27+MAX(0,(0.3-3)*'⚙ Configurações'!$B$29),2))</f>
        <v/>
      </c>
      <c r="V34" s="31">
        <f>IF(F34=0,0,ROUND('⚙ Configurações'!$B$28+MAX(0,(0.3-3)*'⚙ Configurações'!$B$29),2))</f>
        <v/>
      </c>
      <c r="W34" s="28">
        <f>IF(F34=0,0,ROUND(MAX('⚙ Configurações'!$B$30,P34*'⚙ Configurações'!$B$31),2))</f>
        <v/>
      </c>
      <c r="X34" s="32" t="n">
        <v>0.3</v>
      </c>
      <c r="Y34" s="33">
        <f>IF(P34=0,0,(P34-N34)/P34)</f>
        <v/>
      </c>
      <c r="Z34" s="34" t="n">
        <v>0</v>
      </c>
      <c r="AA34" s="34" t="n">
        <v>0</v>
      </c>
      <c r="AB34" s="35">
        <f>IF(P34&gt;0,ROUND(P34,2),"")</f>
        <v/>
      </c>
    </row>
    <row r="35" ht="20" customHeight="1">
      <c r="A35" s="3" t="inlineStr">
        <is>
          <t>monitor-de-fluxo-de-sementes-gr500-greco-agro-tech</t>
        </is>
      </c>
      <c r="B35" s="24" t="inlineStr">
        <is>
          <t>Monitor de Fluxo de Sementes GR500 — Greco Agro Tech</t>
        </is>
      </c>
      <c r="C35" s="25" t="inlineStr">
        <is>
          <t>GR142398</t>
        </is>
      </c>
      <c r="D35" s="3" t="inlineStr">
        <is>
          <t>Greco Agro Tech</t>
        </is>
      </c>
      <c r="E35" s="3" t="inlineStr">
        <is>
          <t>Monitores Agrícolas</t>
        </is>
      </c>
      <c r="F35" s="26" t="n">
        <v>0</v>
      </c>
      <c r="G35" s="27">
        <f>'⚙ Configurações'!$B$18</f>
        <v/>
      </c>
      <c r="H35" s="28">
        <f>F35*G35</f>
        <v/>
      </c>
      <c r="I35" s="28">
        <f>F35*'⚙ Configurações'!$B$20</f>
        <v/>
      </c>
      <c r="J35" s="27">
        <f>'⚙ Configurações'!$B$4+'⚙ Configurações'!$B$5</f>
        <v/>
      </c>
      <c r="K35" s="28">
        <f>(F35+H35+I35)*J35</f>
        <v/>
      </c>
      <c r="L35" s="27">
        <f>'⚙ Configurações'!$B$6+'⚙ Configurações'!$B$7+'⚙ Configurações'!$B$8</f>
        <v/>
      </c>
      <c r="M35" s="28">
        <f>N35*L35/(1-L35)</f>
        <v/>
      </c>
      <c r="N35" s="29">
        <f>F35+H35+I35+K35+M35</f>
        <v/>
      </c>
      <c r="O35" s="30">
        <f>'⚙ Configurações'!$B$12</f>
        <v/>
      </c>
      <c r="P35" s="29">
        <f>IF(O35&gt;=1,N35*2,N35/(1-O35))</f>
        <v/>
      </c>
      <c r="Q35" s="31">
        <f>IF(F35=0,0,ROUND('⚙ Configurações'!$B$23+MAX(0,(1.2-3)*'⚙ Configurações'!$B$29),2))</f>
        <v/>
      </c>
      <c r="R35" s="31">
        <f>IF(F35=0,0,ROUND('⚙ Configurações'!$B$24+MAX(0,(1.2-3)*'⚙ Configurações'!$B$29),2))</f>
        <v/>
      </c>
      <c r="S35" s="31">
        <f>IF(F35=0,0,ROUND('⚙ Configurações'!$B$25+MAX(0,(1.2-3)*'⚙ Configurações'!$B$29),2))</f>
        <v/>
      </c>
      <c r="T35" s="31">
        <f>IF(F35=0,0,ROUND('⚙ Configurações'!$B$26+MAX(0,(1.2-3)*'⚙ Configurações'!$B$29),2))</f>
        <v/>
      </c>
      <c r="U35" s="31">
        <f>IF(F35=0,0,ROUND('⚙ Configurações'!$B$27+MAX(0,(1.2-3)*'⚙ Configurações'!$B$29),2))</f>
        <v/>
      </c>
      <c r="V35" s="31">
        <f>IF(F35=0,0,ROUND('⚙ Configurações'!$B$28+MAX(0,(1.2-3)*'⚙ Configurações'!$B$29),2))</f>
        <v/>
      </c>
      <c r="W35" s="28">
        <f>IF(F35=0,0,ROUND(MAX('⚙ Configurações'!$B$30,P35*'⚙ Configurações'!$B$31),2))</f>
        <v/>
      </c>
      <c r="X35" s="32" t="n">
        <v>1.2</v>
      </c>
      <c r="Y35" s="33">
        <f>IF(P35=0,0,(P35-N35)/P35)</f>
        <v/>
      </c>
      <c r="Z35" s="34" t="n">
        <v>0</v>
      </c>
      <c r="AA35" s="34" t="n">
        <v>0</v>
      </c>
      <c r="AB35" s="35">
        <f>IF(P35&gt;0,ROUND(P35,2),"")</f>
        <v/>
      </c>
    </row>
    <row r="36" ht="20" customHeight="1">
      <c r="A36" s="3" t="inlineStr">
        <is>
          <t>sensor-de-fluxo-25-4mm-greco-agro-tech-precision-planting-pm400</t>
        </is>
      </c>
      <c r="B36" s="24" t="inlineStr">
        <is>
          <t>Sensor de Fluxo 25,4mm — Greco Agro Tech | Precision Planting PM400</t>
        </is>
      </c>
      <c r="C36" s="25" t="inlineStr">
        <is>
          <t>GR142226</t>
        </is>
      </c>
      <c r="D36" s="3" t="inlineStr">
        <is>
          <t>Agral (ADG)</t>
        </is>
      </c>
      <c r="E36" s="3" t="inlineStr">
        <is>
          <t>Sensores Agrícolas</t>
        </is>
      </c>
      <c r="F36" s="26" t="n">
        <v>0</v>
      </c>
      <c r="G36" s="27">
        <f>'⚙ Configurações'!$B$19</f>
        <v/>
      </c>
      <c r="H36" s="28">
        <f>F36*G36</f>
        <v/>
      </c>
      <c r="I36" s="28">
        <f>F36*'⚙ Configurações'!$B$20</f>
        <v/>
      </c>
      <c r="J36" s="27">
        <f>'⚙ Configurações'!$B$4+'⚙ Configurações'!$B$5</f>
        <v/>
      </c>
      <c r="K36" s="28">
        <f>(F36+H36+I36)*J36</f>
        <v/>
      </c>
      <c r="L36" s="27">
        <f>'⚙ Configurações'!$B$6+'⚙ Configurações'!$B$7+'⚙ Configurações'!$B$8</f>
        <v/>
      </c>
      <c r="M36" s="28">
        <f>N36*L36/(1-L36)</f>
        <v/>
      </c>
      <c r="N36" s="29">
        <f>F36+H36+I36+K36+M36</f>
        <v/>
      </c>
      <c r="O36" s="30">
        <f>'⚙ Configurações'!$B$12</f>
        <v/>
      </c>
      <c r="P36" s="29">
        <f>IF(O36&gt;=1,N36*2,N36/(1-O36))</f>
        <v/>
      </c>
      <c r="Q36" s="31">
        <f>IF(F36=0,0,ROUND('⚙ Configurações'!$B$23+MAX(0,(0.3-3)*'⚙ Configurações'!$B$29),2))</f>
        <v/>
      </c>
      <c r="R36" s="31">
        <f>IF(F36=0,0,ROUND('⚙ Configurações'!$B$24+MAX(0,(0.3-3)*'⚙ Configurações'!$B$29),2))</f>
        <v/>
      </c>
      <c r="S36" s="31">
        <f>IF(F36=0,0,ROUND('⚙ Configurações'!$B$25+MAX(0,(0.3-3)*'⚙ Configurações'!$B$29),2))</f>
        <v/>
      </c>
      <c r="T36" s="31">
        <f>IF(F36=0,0,ROUND('⚙ Configurações'!$B$26+MAX(0,(0.3-3)*'⚙ Configurações'!$B$29),2))</f>
        <v/>
      </c>
      <c r="U36" s="31">
        <f>IF(F36=0,0,ROUND('⚙ Configurações'!$B$27+MAX(0,(0.3-3)*'⚙ Configurações'!$B$29),2))</f>
        <v/>
      </c>
      <c r="V36" s="31">
        <f>IF(F36=0,0,ROUND('⚙ Configurações'!$B$28+MAX(0,(0.3-3)*'⚙ Configurações'!$B$29),2))</f>
        <v/>
      </c>
      <c r="W36" s="28">
        <f>IF(F36=0,0,ROUND(MAX('⚙ Configurações'!$B$30,P36*'⚙ Configurações'!$B$31),2))</f>
        <v/>
      </c>
      <c r="X36" s="32" t="n">
        <v>0.3</v>
      </c>
      <c r="Y36" s="33">
        <f>IF(P36=0,0,(P36-N36)/P36)</f>
        <v/>
      </c>
      <c r="Z36" s="34" t="n">
        <v>0</v>
      </c>
      <c r="AA36" s="34" t="n">
        <v>0</v>
      </c>
      <c r="AB36" s="35">
        <f>IF(P36&gt;0,ROUND(P36,2),"")</f>
        <v/>
      </c>
    </row>
    <row r="37" ht="20" customHeight="1">
      <c r="A37" s="3" t="inlineStr">
        <is>
          <t>sensor-de-fluxo-32mm-greco-agro-tech-precision-planting-pm400</t>
        </is>
      </c>
      <c r="B37" s="24" t="inlineStr">
        <is>
          <t>Sensor de Fluxo 32mm — Greco Agro Tech | Precision Planting PM400</t>
        </is>
      </c>
      <c r="C37" s="25" t="inlineStr">
        <is>
          <t>GR142227</t>
        </is>
      </c>
      <c r="D37" s="3" t="inlineStr">
        <is>
          <t>Agral (ADG)</t>
        </is>
      </c>
      <c r="E37" s="3" t="inlineStr">
        <is>
          <t>Sensores Agrícolas</t>
        </is>
      </c>
      <c r="F37" s="26" t="n">
        <v>0</v>
      </c>
      <c r="G37" s="27">
        <f>'⚙ Configurações'!$B$19</f>
        <v/>
      </c>
      <c r="H37" s="28">
        <f>F37*G37</f>
        <v/>
      </c>
      <c r="I37" s="28">
        <f>F37*'⚙ Configurações'!$B$20</f>
        <v/>
      </c>
      <c r="J37" s="27">
        <f>'⚙ Configurações'!$B$4+'⚙ Configurações'!$B$5</f>
        <v/>
      </c>
      <c r="K37" s="28">
        <f>(F37+H37+I37)*J37</f>
        <v/>
      </c>
      <c r="L37" s="27">
        <f>'⚙ Configurações'!$B$6+'⚙ Configurações'!$B$7+'⚙ Configurações'!$B$8</f>
        <v/>
      </c>
      <c r="M37" s="28">
        <f>N37*L37/(1-L37)</f>
        <v/>
      </c>
      <c r="N37" s="29">
        <f>F37+H37+I37+K37+M37</f>
        <v/>
      </c>
      <c r="O37" s="30">
        <f>'⚙ Configurações'!$B$12</f>
        <v/>
      </c>
      <c r="P37" s="29">
        <f>IF(O37&gt;=1,N37*2,N37/(1-O37))</f>
        <v/>
      </c>
      <c r="Q37" s="31">
        <f>IF(F37=0,0,ROUND('⚙ Configurações'!$B$23+MAX(0,(0.3-3)*'⚙ Configurações'!$B$29),2))</f>
        <v/>
      </c>
      <c r="R37" s="31">
        <f>IF(F37=0,0,ROUND('⚙ Configurações'!$B$24+MAX(0,(0.3-3)*'⚙ Configurações'!$B$29),2))</f>
        <v/>
      </c>
      <c r="S37" s="31">
        <f>IF(F37=0,0,ROUND('⚙ Configurações'!$B$25+MAX(0,(0.3-3)*'⚙ Configurações'!$B$29),2))</f>
        <v/>
      </c>
      <c r="T37" s="31">
        <f>IF(F37=0,0,ROUND('⚙ Configurações'!$B$26+MAX(0,(0.3-3)*'⚙ Configurações'!$B$29),2))</f>
        <v/>
      </c>
      <c r="U37" s="31">
        <f>IF(F37=0,0,ROUND('⚙ Configurações'!$B$27+MAX(0,(0.3-3)*'⚙ Configurações'!$B$29),2))</f>
        <v/>
      </c>
      <c r="V37" s="31">
        <f>IF(F37=0,0,ROUND('⚙ Configurações'!$B$28+MAX(0,(0.3-3)*'⚙ Configurações'!$B$29),2))</f>
        <v/>
      </c>
      <c r="W37" s="28">
        <f>IF(F37=0,0,ROUND(MAX('⚙ Configurações'!$B$30,P37*'⚙ Configurações'!$B$31),2))</f>
        <v/>
      </c>
      <c r="X37" s="32" t="n">
        <v>0.3</v>
      </c>
      <c r="Y37" s="33">
        <f>IF(P37=0,0,(P37-N37)/P37)</f>
        <v/>
      </c>
      <c r="Z37" s="34" t="n">
        <v>0</v>
      </c>
      <c r="AA37" s="34" t="n">
        <v>0</v>
      </c>
      <c r="AB37" s="35">
        <f>IF(P37&gt;0,ROUND(P37,2),"")</f>
        <v/>
      </c>
    </row>
    <row r="38" ht="20" customHeight="1">
      <c r="A38" s="3" t="inlineStr">
        <is>
          <t>sensor-de-fluxo-50-8mm-greco-agro-tech-precision-planting-pm400</t>
        </is>
      </c>
      <c r="B38" s="24" t="inlineStr">
        <is>
          <t>Sensor de Fluxo 50,8mm — Greco Agro Tech | Precision Planting PM400</t>
        </is>
      </c>
      <c r="C38" s="25" t="inlineStr">
        <is>
          <t>GR142228</t>
        </is>
      </c>
      <c r="D38" s="3" t="inlineStr">
        <is>
          <t>Agral (ADG)</t>
        </is>
      </c>
      <c r="E38" s="3" t="inlineStr">
        <is>
          <t>Sensores Agrícolas</t>
        </is>
      </c>
      <c r="F38" s="26" t="n">
        <v>0</v>
      </c>
      <c r="G38" s="27">
        <f>'⚙ Configurações'!$B$19</f>
        <v/>
      </c>
      <c r="H38" s="28">
        <f>F38*G38</f>
        <v/>
      </c>
      <c r="I38" s="28">
        <f>F38*'⚙ Configurações'!$B$20</f>
        <v/>
      </c>
      <c r="J38" s="27">
        <f>'⚙ Configurações'!$B$4+'⚙ Configurações'!$B$5</f>
        <v/>
      </c>
      <c r="K38" s="28">
        <f>(F38+H38+I38)*J38</f>
        <v/>
      </c>
      <c r="L38" s="27">
        <f>'⚙ Configurações'!$B$6+'⚙ Configurações'!$B$7+'⚙ Configurações'!$B$8</f>
        <v/>
      </c>
      <c r="M38" s="28">
        <f>N38*L38/(1-L38)</f>
        <v/>
      </c>
      <c r="N38" s="29">
        <f>F38+H38+I38+K38+M38</f>
        <v/>
      </c>
      <c r="O38" s="30">
        <f>'⚙ Configurações'!$B$12</f>
        <v/>
      </c>
      <c r="P38" s="29">
        <f>IF(O38&gt;=1,N38*2,N38/(1-O38))</f>
        <v/>
      </c>
      <c r="Q38" s="31">
        <f>IF(F38=0,0,ROUND('⚙ Configurações'!$B$23+MAX(0,(0.3-3)*'⚙ Configurações'!$B$29),2))</f>
        <v/>
      </c>
      <c r="R38" s="31">
        <f>IF(F38=0,0,ROUND('⚙ Configurações'!$B$24+MAX(0,(0.3-3)*'⚙ Configurações'!$B$29),2))</f>
        <v/>
      </c>
      <c r="S38" s="31">
        <f>IF(F38=0,0,ROUND('⚙ Configurações'!$B$25+MAX(0,(0.3-3)*'⚙ Configurações'!$B$29),2))</f>
        <v/>
      </c>
      <c r="T38" s="31">
        <f>IF(F38=0,0,ROUND('⚙ Configurações'!$B$26+MAX(0,(0.3-3)*'⚙ Configurações'!$B$29),2))</f>
        <v/>
      </c>
      <c r="U38" s="31">
        <f>IF(F38=0,0,ROUND('⚙ Configurações'!$B$27+MAX(0,(0.3-3)*'⚙ Configurações'!$B$29),2))</f>
        <v/>
      </c>
      <c r="V38" s="31">
        <f>IF(F38=0,0,ROUND('⚙ Configurações'!$B$28+MAX(0,(0.3-3)*'⚙ Configurações'!$B$29),2))</f>
        <v/>
      </c>
      <c r="W38" s="28">
        <f>IF(F38=0,0,ROUND(MAX('⚙ Configurações'!$B$30,P38*'⚙ Configurações'!$B$31),2))</f>
        <v/>
      </c>
      <c r="X38" s="32" t="n">
        <v>0.3</v>
      </c>
      <c r="Y38" s="33">
        <f>IF(P38=0,0,(P38-N38)/P38)</f>
        <v/>
      </c>
      <c r="Z38" s="34" t="n">
        <v>0</v>
      </c>
      <c r="AA38" s="34" t="n">
        <v>0</v>
      </c>
      <c r="AB38" s="35">
        <f>IF(P38&gt;0,ROUND(P38,2),"")</f>
        <v/>
      </c>
    </row>
    <row r="39" ht="20" customHeight="1">
      <c r="A39" s="3" t="inlineStr">
        <is>
          <t>sensor-de-semente-greco-agro-tech-precision-planting-pm400</t>
        </is>
      </c>
      <c r="B39" s="24" t="inlineStr">
        <is>
          <t>Sensor de Semente — Greco Agro Tech | Precision Planting PM400</t>
        </is>
      </c>
      <c r="C39" s="25" t="inlineStr">
        <is>
          <t>GR142229</t>
        </is>
      </c>
      <c r="D39" s="3" t="inlineStr">
        <is>
          <t>Agral (ADG)</t>
        </is>
      </c>
      <c r="E39" s="3" t="inlineStr">
        <is>
          <t>Sensores Agrícolas</t>
        </is>
      </c>
      <c r="F39" s="26" t="n">
        <v>0</v>
      </c>
      <c r="G39" s="27">
        <f>'⚙ Configurações'!$B$19</f>
        <v/>
      </c>
      <c r="H39" s="28">
        <f>F39*G39</f>
        <v/>
      </c>
      <c r="I39" s="28">
        <f>F39*'⚙ Configurações'!$B$20</f>
        <v/>
      </c>
      <c r="J39" s="27">
        <f>'⚙ Configurações'!$B$4+'⚙ Configurações'!$B$5</f>
        <v/>
      </c>
      <c r="K39" s="28">
        <f>(F39+H39+I39)*J39</f>
        <v/>
      </c>
      <c r="L39" s="27">
        <f>'⚙ Configurações'!$B$6+'⚙ Configurações'!$B$7+'⚙ Configurações'!$B$8</f>
        <v/>
      </c>
      <c r="M39" s="28">
        <f>N39*L39/(1-L39)</f>
        <v/>
      </c>
      <c r="N39" s="29">
        <f>F39+H39+I39+K39+M39</f>
        <v/>
      </c>
      <c r="O39" s="30">
        <f>'⚙ Configurações'!$B$12</f>
        <v/>
      </c>
      <c r="P39" s="29">
        <f>IF(O39&gt;=1,N39*2,N39/(1-O39))</f>
        <v/>
      </c>
      <c r="Q39" s="31">
        <f>IF(F39=0,0,ROUND('⚙ Configurações'!$B$23+MAX(0,(0.3-3)*'⚙ Configurações'!$B$29),2))</f>
        <v/>
      </c>
      <c r="R39" s="31">
        <f>IF(F39=0,0,ROUND('⚙ Configurações'!$B$24+MAX(0,(0.3-3)*'⚙ Configurações'!$B$29),2))</f>
        <v/>
      </c>
      <c r="S39" s="31">
        <f>IF(F39=0,0,ROUND('⚙ Configurações'!$B$25+MAX(0,(0.3-3)*'⚙ Configurações'!$B$29),2))</f>
        <v/>
      </c>
      <c r="T39" s="31">
        <f>IF(F39=0,0,ROUND('⚙ Configurações'!$B$26+MAX(0,(0.3-3)*'⚙ Configurações'!$B$29),2))</f>
        <v/>
      </c>
      <c r="U39" s="31">
        <f>IF(F39=0,0,ROUND('⚙ Configurações'!$B$27+MAX(0,(0.3-3)*'⚙ Configurações'!$B$29),2))</f>
        <v/>
      </c>
      <c r="V39" s="31">
        <f>IF(F39=0,0,ROUND('⚙ Configurações'!$B$28+MAX(0,(0.3-3)*'⚙ Configurações'!$B$29),2))</f>
        <v/>
      </c>
      <c r="W39" s="28">
        <f>IF(F39=0,0,ROUND(MAX('⚙ Configurações'!$B$30,P39*'⚙ Configurações'!$B$31),2))</f>
        <v/>
      </c>
      <c r="X39" s="32" t="n">
        <v>0.3</v>
      </c>
      <c r="Y39" s="33">
        <f>IF(P39=0,0,(P39-N39)/P39)</f>
        <v/>
      </c>
      <c r="Z39" s="34" t="n">
        <v>0</v>
      </c>
      <c r="AA39" s="34" t="n">
        <v>0</v>
      </c>
      <c r="AB39" s="35">
        <f>IF(P39&gt;0,ROUND(P39,2),"")</f>
        <v/>
      </c>
    </row>
    <row r="40" ht="20" customHeight="1">
      <c r="A40" s="3" t="inlineStr">
        <is>
          <t>suporte-do-dosador-agco-acx3266690-plantadeira-momentum</t>
        </is>
      </c>
      <c r="B40" s="24" t="inlineStr">
        <is>
          <t>Suporte do Dosador — AGCO ACX3266690 | Plantadeira Momentum</t>
        </is>
      </c>
      <c r="C40" s="25" t="inlineStr">
        <is>
          <t>ACX3266690</t>
        </is>
      </c>
      <c r="D40" s="3" t="inlineStr">
        <is>
          <t>AGCO (ADG)</t>
        </is>
      </c>
      <c r="E40" s="3" t="inlineStr">
        <is>
          <t>Peças para Plantadeira</t>
        </is>
      </c>
      <c r="F40" s="26" t="n">
        <v>0</v>
      </c>
      <c r="G40" s="27">
        <f>'⚙ Configurações'!$B$19</f>
        <v/>
      </c>
      <c r="H40" s="28">
        <f>F40*G40</f>
        <v/>
      </c>
      <c r="I40" s="28">
        <f>F40*'⚙ Configurações'!$B$20</f>
        <v/>
      </c>
      <c r="J40" s="27">
        <f>'⚙ Configurações'!$B$4+'⚙ Configurações'!$B$5</f>
        <v/>
      </c>
      <c r="K40" s="28">
        <f>(F40+H40+I40)*J40</f>
        <v/>
      </c>
      <c r="L40" s="27">
        <f>'⚙ Configurações'!$B$6+'⚙ Configurações'!$B$7+'⚙ Configurações'!$B$8</f>
        <v/>
      </c>
      <c r="M40" s="28">
        <f>N40*L40/(1-L40)</f>
        <v/>
      </c>
      <c r="N40" s="29">
        <f>F40+H40+I40+K40+M40</f>
        <v/>
      </c>
      <c r="O40" s="30">
        <f>'⚙ Configurações'!$B$13</f>
        <v/>
      </c>
      <c r="P40" s="29">
        <f>IF(O40&gt;=1,N40*2,N40/(1-O40))</f>
        <v/>
      </c>
      <c r="Q40" s="31">
        <f>IF(F40=0,0,ROUND('⚙ Configurações'!$B$23+MAX(0,(0.2-3)*'⚙ Configurações'!$B$29),2))</f>
        <v/>
      </c>
      <c r="R40" s="31">
        <f>IF(F40=0,0,ROUND('⚙ Configurações'!$B$24+MAX(0,(0.2-3)*'⚙ Configurações'!$B$29),2))</f>
        <v/>
      </c>
      <c r="S40" s="31">
        <f>IF(F40=0,0,ROUND('⚙ Configurações'!$B$25+MAX(0,(0.2-3)*'⚙ Configurações'!$B$29),2))</f>
        <v/>
      </c>
      <c r="T40" s="31">
        <f>IF(F40=0,0,ROUND('⚙ Configurações'!$B$26+MAX(0,(0.2-3)*'⚙ Configurações'!$B$29),2))</f>
        <v/>
      </c>
      <c r="U40" s="31">
        <f>IF(F40=0,0,ROUND('⚙ Configurações'!$B$27+MAX(0,(0.2-3)*'⚙ Configurações'!$B$29),2))</f>
        <v/>
      </c>
      <c r="V40" s="31">
        <f>IF(F40=0,0,ROUND('⚙ Configurações'!$B$28+MAX(0,(0.2-3)*'⚙ Configurações'!$B$29),2))</f>
        <v/>
      </c>
      <c r="W40" s="28">
        <f>IF(F40=0,0,ROUND(MAX('⚙ Configurações'!$B$30,P40*'⚙ Configurações'!$B$31),2))</f>
        <v/>
      </c>
      <c r="X40" s="32" t="n">
        <v>0.2</v>
      </c>
      <c r="Y40" s="33">
        <f>IF(P40=0,0,(P40-N40)/P40)</f>
        <v/>
      </c>
      <c r="Z40" s="34" t="n">
        <v>0</v>
      </c>
      <c r="AA40" s="34" t="n">
        <v>0</v>
      </c>
      <c r="AB40" s="35">
        <f>IF(P40&gt;0,ROUND(P40,2),"")</f>
        <v/>
      </c>
    </row>
    <row r="41" ht="20" customHeight="1">
      <c r="A41" s="3" t="inlineStr">
        <is>
          <t>conjunto-montado-reservatorio-de-sementes-mecanico-agco-acx3454710</t>
        </is>
      </c>
      <c r="B41" s="24" t="inlineStr">
        <is>
          <t>Conjunto Montado Reservatório de Sementes Mecânico — AGCO ACX3454710</t>
        </is>
      </c>
      <c r="C41" s="25" t="inlineStr">
        <is>
          <t>ACX3454710</t>
        </is>
      </c>
      <c r="D41" s="3" t="inlineStr">
        <is>
          <t>AGCO (ADG)</t>
        </is>
      </c>
      <c r="E41" s="3" t="inlineStr">
        <is>
          <t>Peças para Plantadeira</t>
        </is>
      </c>
      <c r="F41" s="26" t="n">
        <v>0</v>
      </c>
      <c r="G41" s="27">
        <f>'⚙ Configurações'!$B$19</f>
        <v/>
      </c>
      <c r="H41" s="28">
        <f>F41*G41</f>
        <v/>
      </c>
      <c r="I41" s="28">
        <f>F41*'⚙ Configurações'!$B$20</f>
        <v/>
      </c>
      <c r="J41" s="27">
        <f>'⚙ Configurações'!$B$4+'⚙ Configurações'!$B$5</f>
        <v/>
      </c>
      <c r="K41" s="28">
        <f>(F41+H41+I41)*J41</f>
        <v/>
      </c>
      <c r="L41" s="27">
        <f>'⚙ Configurações'!$B$6+'⚙ Configurações'!$B$7+'⚙ Configurações'!$B$8</f>
        <v/>
      </c>
      <c r="M41" s="28">
        <f>N41*L41/(1-L41)</f>
        <v/>
      </c>
      <c r="N41" s="29">
        <f>F41+H41+I41+K41+M41</f>
        <v/>
      </c>
      <c r="O41" s="30">
        <f>'⚙ Configurações'!$B$13</f>
        <v/>
      </c>
      <c r="P41" s="29">
        <f>IF(O41&gt;=1,N41*2,N41/(1-O41))</f>
        <v/>
      </c>
      <c r="Q41" s="31">
        <f>IF(F41=0,0,ROUND('⚙ Configurações'!$B$23+MAX(0,(0.2-3)*'⚙ Configurações'!$B$29),2))</f>
        <v/>
      </c>
      <c r="R41" s="31">
        <f>IF(F41=0,0,ROUND('⚙ Configurações'!$B$24+MAX(0,(0.2-3)*'⚙ Configurações'!$B$29),2))</f>
        <v/>
      </c>
      <c r="S41" s="31">
        <f>IF(F41=0,0,ROUND('⚙ Configurações'!$B$25+MAX(0,(0.2-3)*'⚙ Configurações'!$B$29),2))</f>
        <v/>
      </c>
      <c r="T41" s="31">
        <f>IF(F41=0,0,ROUND('⚙ Configurações'!$B$26+MAX(0,(0.2-3)*'⚙ Configurações'!$B$29),2))</f>
        <v/>
      </c>
      <c r="U41" s="31">
        <f>IF(F41=0,0,ROUND('⚙ Configurações'!$B$27+MAX(0,(0.2-3)*'⚙ Configurações'!$B$29),2))</f>
        <v/>
      </c>
      <c r="V41" s="31">
        <f>IF(F41=0,0,ROUND('⚙ Configurações'!$B$28+MAX(0,(0.2-3)*'⚙ Configurações'!$B$29),2))</f>
        <v/>
      </c>
      <c r="W41" s="28">
        <f>IF(F41=0,0,ROUND(MAX('⚙ Configurações'!$B$30,P41*'⚙ Configurações'!$B$31),2))</f>
        <v/>
      </c>
      <c r="X41" s="32" t="n">
        <v>0.2</v>
      </c>
      <c r="Y41" s="33">
        <f>IF(P41=0,0,(P41-N41)/P41)</f>
        <v/>
      </c>
      <c r="Z41" s="34" t="n">
        <v>0</v>
      </c>
      <c r="AA41" s="34" t="n">
        <v>0</v>
      </c>
      <c r="AB41" s="35">
        <f>IF(P41&gt;0,ROUND(P41,2),"")</f>
        <v/>
      </c>
    </row>
    <row r="42" ht="20" customHeight="1">
      <c r="A42" s="3" t="inlineStr">
        <is>
          <t>condutor-de-sementes-para-sensor-agco-acw0551840</t>
        </is>
      </c>
      <c r="B42" s="24" t="inlineStr">
        <is>
          <t>Condutor de Sementes para Sensor — AGCO ACW0551840</t>
        </is>
      </c>
      <c r="C42" s="25" t="inlineStr">
        <is>
          <t>ACW0551840</t>
        </is>
      </c>
      <c r="D42" s="3" t="inlineStr">
        <is>
          <t>AGCO (ADG)</t>
        </is>
      </c>
      <c r="E42" s="3" t="inlineStr">
        <is>
          <t>Peças para Plantadeira</t>
        </is>
      </c>
      <c r="F42" s="26" t="n">
        <v>0</v>
      </c>
      <c r="G42" s="27">
        <f>'⚙ Configurações'!$B$19</f>
        <v/>
      </c>
      <c r="H42" s="28">
        <f>F42*G42</f>
        <v/>
      </c>
      <c r="I42" s="28">
        <f>F42*'⚙ Configurações'!$B$20</f>
        <v/>
      </c>
      <c r="J42" s="27">
        <f>'⚙ Configurações'!$B$4+'⚙ Configurações'!$B$5</f>
        <v/>
      </c>
      <c r="K42" s="28">
        <f>(F42+H42+I42)*J42</f>
        <v/>
      </c>
      <c r="L42" s="27">
        <f>'⚙ Configurações'!$B$6+'⚙ Configurações'!$B$7+'⚙ Configurações'!$B$8</f>
        <v/>
      </c>
      <c r="M42" s="28">
        <f>N42*L42/(1-L42)</f>
        <v/>
      </c>
      <c r="N42" s="29">
        <f>F42+H42+I42+K42+M42</f>
        <v/>
      </c>
      <c r="O42" s="30">
        <f>'⚙ Configurações'!$B$13</f>
        <v/>
      </c>
      <c r="P42" s="29">
        <f>IF(O42&gt;=1,N42*2,N42/(1-O42))</f>
        <v/>
      </c>
      <c r="Q42" s="31">
        <f>IF(F42=0,0,ROUND('⚙ Configurações'!$B$23+MAX(0,(0.2-3)*'⚙ Configurações'!$B$29),2))</f>
        <v/>
      </c>
      <c r="R42" s="31">
        <f>IF(F42=0,0,ROUND('⚙ Configurações'!$B$24+MAX(0,(0.2-3)*'⚙ Configurações'!$B$29),2))</f>
        <v/>
      </c>
      <c r="S42" s="31">
        <f>IF(F42=0,0,ROUND('⚙ Configurações'!$B$25+MAX(0,(0.2-3)*'⚙ Configurações'!$B$29),2))</f>
        <v/>
      </c>
      <c r="T42" s="31">
        <f>IF(F42=0,0,ROUND('⚙ Configurações'!$B$26+MAX(0,(0.2-3)*'⚙ Configurações'!$B$29),2))</f>
        <v/>
      </c>
      <c r="U42" s="31">
        <f>IF(F42=0,0,ROUND('⚙ Configurações'!$B$27+MAX(0,(0.2-3)*'⚙ Configurações'!$B$29),2))</f>
        <v/>
      </c>
      <c r="V42" s="31">
        <f>IF(F42=0,0,ROUND('⚙ Configurações'!$B$28+MAX(0,(0.2-3)*'⚙ Configurações'!$B$29),2))</f>
        <v/>
      </c>
      <c r="W42" s="28">
        <f>IF(F42=0,0,ROUND(MAX('⚙ Configurações'!$B$30,P42*'⚙ Configurações'!$B$31),2))</f>
        <v/>
      </c>
      <c r="X42" s="32" t="n">
        <v>0.2</v>
      </c>
      <c r="Y42" s="33">
        <f>IF(P42=0,0,(P42-N42)/P42)</f>
        <v/>
      </c>
      <c r="Z42" s="34" t="n">
        <v>0</v>
      </c>
      <c r="AA42" s="34" t="n">
        <v>0</v>
      </c>
      <c r="AB42" s="35">
        <f>IF(P42&gt;0,ROUND(P42,2),"")</f>
        <v/>
      </c>
    </row>
    <row r="43" ht="20" customHeight="1">
      <c r="A43" s="3" t="inlineStr">
        <is>
          <t>condutor-reto-de-sementes-agco-33070004</t>
        </is>
      </c>
      <c r="B43" s="24" t="inlineStr">
        <is>
          <t>Condutor Reto de Sementes — AGCO 33070004</t>
        </is>
      </c>
      <c r="C43" s="25" t="inlineStr">
        <is>
          <t>33070004</t>
        </is>
      </c>
      <c r="D43" s="3" t="inlineStr">
        <is>
          <t>AGCO (ADG)</t>
        </is>
      </c>
      <c r="E43" s="3" t="inlineStr">
        <is>
          <t>Peças para Plantadeira</t>
        </is>
      </c>
      <c r="F43" s="26" t="n">
        <v>0</v>
      </c>
      <c r="G43" s="27">
        <f>'⚙ Configurações'!$B$19</f>
        <v/>
      </c>
      <c r="H43" s="28">
        <f>F43*G43</f>
        <v/>
      </c>
      <c r="I43" s="28">
        <f>F43*'⚙ Configurações'!$B$20</f>
        <v/>
      </c>
      <c r="J43" s="27">
        <f>'⚙ Configurações'!$B$4+'⚙ Configurações'!$B$5</f>
        <v/>
      </c>
      <c r="K43" s="28">
        <f>(F43+H43+I43)*J43</f>
        <v/>
      </c>
      <c r="L43" s="27">
        <f>'⚙ Configurações'!$B$6+'⚙ Configurações'!$B$7+'⚙ Configurações'!$B$8</f>
        <v/>
      </c>
      <c r="M43" s="28">
        <f>N43*L43/(1-L43)</f>
        <v/>
      </c>
      <c r="N43" s="29">
        <f>F43+H43+I43+K43+M43</f>
        <v/>
      </c>
      <c r="O43" s="30">
        <f>'⚙ Configurações'!$B$13</f>
        <v/>
      </c>
      <c r="P43" s="29">
        <f>IF(O43&gt;=1,N43*2,N43/(1-O43))</f>
        <v/>
      </c>
      <c r="Q43" s="31">
        <f>IF(F43=0,0,ROUND('⚙ Configurações'!$B$23+MAX(0,(0.2-3)*'⚙ Configurações'!$B$29),2))</f>
        <v/>
      </c>
      <c r="R43" s="31">
        <f>IF(F43=0,0,ROUND('⚙ Configurações'!$B$24+MAX(0,(0.2-3)*'⚙ Configurações'!$B$29),2))</f>
        <v/>
      </c>
      <c r="S43" s="31">
        <f>IF(F43=0,0,ROUND('⚙ Configurações'!$B$25+MAX(0,(0.2-3)*'⚙ Configurações'!$B$29),2))</f>
        <v/>
      </c>
      <c r="T43" s="31">
        <f>IF(F43=0,0,ROUND('⚙ Configurações'!$B$26+MAX(0,(0.2-3)*'⚙ Configurações'!$B$29),2))</f>
        <v/>
      </c>
      <c r="U43" s="31">
        <f>IF(F43=0,0,ROUND('⚙ Configurações'!$B$27+MAX(0,(0.2-3)*'⚙ Configurações'!$B$29),2))</f>
        <v/>
      </c>
      <c r="V43" s="31">
        <f>IF(F43=0,0,ROUND('⚙ Configurações'!$B$28+MAX(0,(0.2-3)*'⚙ Configurações'!$B$29),2))</f>
        <v/>
      </c>
      <c r="W43" s="28">
        <f>IF(F43=0,0,ROUND(MAX('⚙ Configurações'!$B$30,P43*'⚙ Configurações'!$B$31),2))</f>
        <v/>
      </c>
      <c r="X43" s="32" t="n">
        <v>0.2</v>
      </c>
      <c r="Y43" s="33">
        <f>IF(P43=0,0,(P43-N43)/P43)</f>
        <v/>
      </c>
      <c r="Z43" s="34" t="n">
        <v>0</v>
      </c>
      <c r="AA43" s="34" t="n">
        <v>0</v>
      </c>
      <c r="AB43" s="35">
        <f>IF(P43&gt;0,ROUND(P43,2),"")</f>
        <v/>
      </c>
    </row>
    <row r="44" ht="20" customHeight="1">
      <c r="A44" s="3" t="inlineStr">
        <is>
          <t>tampa-maior-do-tubo-agco-acx3473430</t>
        </is>
      </c>
      <c r="B44" s="24" t="inlineStr">
        <is>
          <t>Tampa Maior do Tubo — AGCO ACX3473430</t>
        </is>
      </c>
      <c r="C44" s="25" t="inlineStr">
        <is>
          <t>ACX3473430</t>
        </is>
      </c>
      <c r="D44" s="3" t="inlineStr">
        <is>
          <t>AGCO (ADG)</t>
        </is>
      </c>
      <c r="E44" s="3" t="inlineStr">
        <is>
          <t>Peças para Plantadeira</t>
        </is>
      </c>
      <c r="F44" s="26" t="n">
        <v>0</v>
      </c>
      <c r="G44" s="27">
        <f>'⚙ Configurações'!$B$19</f>
        <v/>
      </c>
      <c r="H44" s="28">
        <f>F44*G44</f>
        <v/>
      </c>
      <c r="I44" s="28">
        <f>F44*'⚙ Configurações'!$B$20</f>
        <v/>
      </c>
      <c r="J44" s="27">
        <f>'⚙ Configurações'!$B$4+'⚙ Configurações'!$B$5</f>
        <v/>
      </c>
      <c r="K44" s="28">
        <f>(F44+H44+I44)*J44</f>
        <v/>
      </c>
      <c r="L44" s="27">
        <f>'⚙ Configurações'!$B$6+'⚙ Configurações'!$B$7+'⚙ Configurações'!$B$8</f>
        <v/>
      </c>
      <c r="M44" s="28">
        <f>N44*L44/(1-L44)</f>
        <v/>
      </c>
      <c r="N44" s="29">
        <f>F44+H44+I44+K44+M44</f>
        <v/>
      </c>
      <c r="O44" s="30">
        <f>'⚙ Configurações'!$B$13</f>
        <v/>
      </c>
      <c r="P44" s="29">
        <f>IF(O44&gt;=1,N44*2,N44/(1-O44))</f>
        <v/>
      </c>
      <c r="Q44" s="31">
        <f>IF(F44=0,0,ROUND('⚙ Configurações'!$B$23+MAX(0,(0.2-3)*'⚙ Configurações'!$B$29),2))</f>
        <v/>
      </c>
      <c r="R44" s="31">
        <f>IF(F44=0,0,ROUND('⚙ Configurações'!$B$24+MAX(0,(0.2-3)*'⚙ Configurações'!$B$29),2))</f>
        <v/>
      </c>
      <c r="S44" s="31">
        <f>IF(F44=0,0,ROUND('⚙ Configurações'!$B$25+MAX(0,(0.2-3)*'⚙ Configurações'!$B$29),2))</f>
        <v/>
      </c>
      <c r="T44" s="31">
        <f>IF(F44=0,0,ROUND('⚙ Configurações'!$B$26+MAX(0,(0.2-3)*'⚙ Configurações'!$B$29),2))</f>
        <v/>
      </c>
      <c r="U44" s="31">
        <f>IF(F44=0,0,ROUND('⚙ Configurações'!$B$27+MAX(0,(0.2-3)*'⚙ Configurações'!$B$29),2))</f>
        <v/>
      </c>
      <c r="V44" s="31">
        <f>IF(F44=0,0,ROUND('⚙ Configurações'!$B$28+MAX(0,(0.2-3)*'⚙ Configurações'!$B$29),2))</f>
        <v/>
      </c>
      <c r="W44" s="28">
        <f>IF(F44=0,0,ROUND(MAX('⚙ Configurações'!$B$30,P44*'⚙ Configurações'!$B$31),2))</f>
        <v/>
      </c>
      <c r="X44" s="32" t="n">
        <v>0.2</v>
      </c>
      <c r="Y44" s="33">
        <f>IF(P44=0,0,(P44-N44)/P44)</f>
        <v/>
      </c>
      <c r="Z44" s="34" t="n">
        <v>0</v>
      </c>
      <c r="AA44" s="34" t="n">
        <v>0</v>
      </c>
      <c r="AB44" s="35">
        <f>IF(P44&gt;0,ROUND(P44,2),"")</f>
        <v/>
      </c>
    </row>
    <row r="45" ht="20" customHeight="1">
      <c r="A45" s="3" t="inlineStr">
        <is>
          <t>copo-venturi-b-agco-acx363311b-dosador-pneumatico</t>
        </is>
      </c>
      <c r="B45" s="24" t="inlineStr">
        <is>
          <t>Copo Venturi B — AGCO ACX363311B | Dosador Pneumático</t>
        </is>
      </c>
      <c r="C45" s="25" t="inlineStr">
        <is>
          <t>ACX363311B</t>
        </is>
      </c>
      <c r="D45" s="3" t="inlineStr">
        <is>
          <t>AGCO (ADG)</t>
        </is>
      </c>
      <c r="E45" s="3" t="inlineStr">
        <is>
          <t>Peças para Plantadeira</t>
        </is>
      </c>
      <c r="F45" s="26" t="n">
        <v>0</v>
      </c>
      <c r="G45" s="27">
        <f>'⚙ Configurações'!$B$19</f>
        <v/>
      </c>
      <c r="H45" s="28">
        <f>F45*G45</f>
        <v/>
      </c>
      <c r="I45" s="28">
        <f>F45*'⚙ Configurações'!$B$20</f>
        <v/>
      </c>
      <c r="J45" s="27">
        <f>'⚙ Configurações'!$B$4+'⚙ Configurações'!$B$5</f>
        <v/>
      </c>
      <c r="K45" s="28">
        <f>(F45+H45+I45)*J45</f>
        <v/>
      </c>
      <c r="L45" s="27">
        <f>'⚙ Configurações'!$B$6+'⚙ Configurações'!$B$7+'⚙ Configurações'!$B$8</f>
        <v/>
      </c>
      <c r="M45" s="28">
        <f>N45*L45/(1-L45)</f>
        <v/>
      </c>
      <c r="N45" s="29">
        <f>F45+H45+I45+K45+M45</f>
        <v/>
      </c>
      <c r="O45" s="30">
        <f>'⚙ Configurações'!$B$13</f>
        <v/>
      </c>
      <c r="P45" s="29">
        <f>IF(O45&gt;=1,N45*2,N45/(1-O45))</f>
        <v/>
      </c>
      <c r="Q45" s="31">
        <f>IF(F45=0,0,ROUND('⚙ Configurações'!$B$23+MAX(0,(0.2-3)*'⚙ Configurações'!$B$29),2))</f>
        <v/>
      </c>
      <c r="R45" s="31">
        <f>IF(F45=0,0,ROUND('⚙ Configurações'!$B$24+MAX(0,(0.2-3)*'⚙ Configurações'!$B$29),2))</f>
        <v/>
      </c>
      <c r="S45" s="31">
        <f>IF(F45=0,0,ROUND('⚙ Configurações'!$B$25+MAX(0,(0.2-3)*'⚙ Configurações'!$B$29),2))</f>
        <v/>
      </c>
      <c r="T45" s="31">
        <f>IF(F45=0,0,ROUND('⚙ Configurações'!$B$26+MAX(0,(0.2-3)*'⚙ Configurações'!$B$29),2))</f>
        <v/>
      </c>
      <c r="U45" s="31">
        <f>IF(F45=0,0,ROUND('⚙ Configurações'!$B$27+MAX(0,(0.2-3)*'⚙ Configurações'!$B$29),2))</f>
        <v/>
      </c>
      <c r="V45" s="31">
        <f>IF(F45=0,0,ROUND('⚙ Configurações'!$B$28+MAX(0,(0.2-3)*'⚙ Configurações'!$B$29),2))</f>
        <v/>
      </c>
      <c r="W45" s="28">
        <f>IF(F45=0,0,ROUND(MAX('⚙ Configurações'!$B$30,P45*'⚙ Configurações'!$B$31),2))</f>
        <v/>
      </c>
      <c r="X45" s="32" t="n">
        <v>0.2</v>
      </c>
      <c r="Y45" s="33">
        <f>IF(P45=0,0,(P45-N45)/P45)</f>
        <v/>
      </c>
      <c r="Z45" s="34" t="n">
        <v>0</v>
      </c>
      <c r="AA45" s="34" t="n">
        <v>0</v>
      </c>
      <c r="AB45" s="35">
        <f>IF(P45&gt;0,ROUND(P45,2),"")</f>
        <v/>
      </c>
    </row>
    <row r="46" ht="20" customHeight="1">
      <c r="A46" s="3" t="inlineStr">
        <is>
          <t>copo-venturi-c-agco-acx363311c-dosador-pneumatico</t>
        </is>
      </c>
      <c r="B46" s="24" t="inlineStr">
        <is>
          <t>Copo Venturi C — AGCO ACX363311C | Dosador Pneumático</t>
        </is>
      </c>
      <c r="C46" s="25" t="inlineStr">
        <is>
          <t>ACX363311C</t>
        </is>
      </c>
      <c r="D46" s="3" t="inlineStr">
        <is>
          <t>AGCO (ADG)</t>
        </is>
      </c>
      <c r="E46" s="3" t="inlineStr">
        <is>
          <t>Peças para Plantadeira</t>
        </is>
      </c>
      <c r="F46" s="26" t="n">
        <v>0</v>
      </c>
      <c r="G46" s="27">
        <f>'⚙ Configurações'!$B$19</f>
        <v/>
      </c>
      <c r="H46" s="28">
        <f>F46*G46</f>
        <v/>
      </c>
      <c r="I46" s="28">
        <f>F46*'⚙ Configurações'!$B$20</f>
        <v/>
      </c>
      <c r="J46" s="27">
        <f>'⚙ Configurações'!$B$4+'⚙ Configurações'!$B$5</f>
        <v/>
      </c>
      <c r="K46" s="28">
        <f>(F46+H46+I46)*J46</f>
        <v/>
      </c>
      <c r="L46" s="27">
        <f>'⚙ Configurações'!$B$6+'⚙ Configurações'!$B$7+'⚙ Configurações'!$B$8</f>
        <v/>
      </c>
      <c r="M46" s="28">
        <f>N46*L46/(1-L46)</f>
        <v/>
      </c>
      <c r="N46" s="29">
        <f>F46+H46+I46+K46+M46</f>
        <v/>
      </c>
      <c r="O46" s="30">
        <f>'⚙ Configurações'!$B$13</f>
        <v/>
      </c>
      <c r="P46" s="29">
        <f>IF(O46&gt;=1,N46*2,N46/(1-O46))</f>
        <v/>
      </c>
      <c r="Q46" s="31">
        <f>IF(F46=0,0,ROUND('⚙ Configurações'!$B$23+MAX(0,(0.2-3)*'⚙ Configurações'!$B$29),2))</f>
        <v/>
      </c>
      <c r="R46" s="31">
        <f>IF(F46=0,0,ROUND('⚙ Configurações'!$B$24+MAX(0,(0.2-3)*'⚙ Configurações'!$B$29),2))</f>
        <v/>
      </c>
      <c r="S46" s="31">
        <f>IF(F46=0,0,ROUND('⚙ Configurações'!$B$25+MAX(0,(0.2-3)*'⚙ Configurações'!$B$29),2))</f>
        <v/>
      </c>
      <c r="T46" s="31">
        <f>IF(F46=0,0,ROUND('⚙ Configurações'!$B$26+MAX(0,(0.2-3)*'⚙ Configurações'!$B$29),2))</f>
        <v/>
      </c>
      <c r="U46" s="31">
        <f>IF(F46=0,0,ROUND('⚙ Configurações'!$B$27+MAX(0,(0.2-3)*'⚙ Configurações'!$B$29),2))</f>
        <v/>
      </c>
      <c r="V46" s="31">
        <f>IF(F46=0,0,ROUND('⚙ Configurações'!$B$28+MAX(0,(0.2-3)*'⚙ Configurações'!$B$29),2))</f>
        <v/>
      </c>
      <c r="W46" s="28">
        <f>IF(F46=0,0,ROUND(MAX('⚙ Configurações'!$B$30,P46*'⚙ Configurações'!$B$31),2))</f>
        <v/>
      </c>
      <c r="X46" s="32" t="n">
        <v>0.2</v>
      </c>
      <c r="Y46" s="33">
        <f>IF(P46=0,0,(P46-N46)/P46)</f>
        <v/>
      </c>
      <c r="Z46" s="34" t="n">
        <v>0</v>
      </c>
      <c r="AA46" s="34" t="n">
        <v>0</v>
      </c>
      <c r="AB46" s="35">
        <f>IF(P46&gt;0,ROUND(P46,2),"")</f>
        <v/>
      </c>
    </row>
    <row r="47" ht="20" customHeight="1">
      <c r="A47" s="3" t="inlineStr">
        <is>
          <t>copo-venturi-agco-acx3601860-dosador-pneumatico</t>
        </is>
      </c>
      <c r="B47" s="24" t="inlineStr">
        <is>
          <t>Copo Venturi — AGCO ACX3601860 | Dosador Pneumático</t>
        </is>
      </c>
      <c r="C47" s="25" t="inlineStr">
        <is>
          <t>ACX3601860</t>
        </is>
      </c>
      <c r="D47" s="3" t="inlineStr">
        <is>
          <t>AGCO (ADG)</t>
        </is>
      </c>
      <c r="E47" s="3" t="inlineStr">
        <is>
          <t>Peças para Plantadeira</t>
        </is>
      </c>
      <c r="F47" s="26" t="n">
        <v>0</v>
      </c>
      <c r="G47" s="27">
        <f>'⚙ Configurações'!$B$19</f>
        <v/>
      </c>
      <c r="H47" s="28">
        <f>F47*G47</f>
        <v/>
      </c>
      <c r="I47" s="28">
        <f>F47*'⚙ Configurações'!$B$20</f>
        <v/>
      </c>
      <c r="J47" s="27">
        <f>'⚙ Configurações'!$B$4+'⚙ Configurações'!$B$5</f>
        <v/>
      </c>
      <c r="K47" s="28">
        <f>(F47+H47+I47)*J47</f>
        <v/>
      </c>
      <c r="L47" s="27">
        <f>'⚙ Configurações'!$B$6+'⚙ Configurações'!$B$7+'⚙ Configurações'!$B$8</f>
        <v/>
      </c>
      <c r="M47" s="28">
        <f>N47*L47/(1-L47)</f>
        <v/>
      </c>
      <c r="N47" s="29">
        <f>F47+H47+I47+K47+M47</f>
        <v/>
      </c>
      <c r="O47" s="30">
        <f>'⚙ Configurações'!$B$13</f>
        <v/>
      </c>
      <c r="P47" s="29">
        <f>IF(O47&gt;=1,N47*2,N47/(1-O47))</f>
        <v/>
      </c>
      <c r="Q47" s="31">
        <f>IF(F47=0,0,ROUND('⚙ Configurações'!$B$23+MAX(0,(0.2-3)*'⚙ Configurações'!$B$29),2))</f>
        <v/>
      </c>
      <c r="R47" s="31">
        <f>IF(F47=0,0,ROUND('⚙ Configurações'!$B$24+MAX(0,(0.2-3)*'⚙ Configurações'!$B$29),2))</f>
        <v/>
      </c>
      <c r="S47" s="31">
        <f>IF(F47=0,0,ROUND('⚙ Configurações'!$B$25+MAX(0,(0.2-3)*'⚙ Configurações'!$B$29),2))</f>
        <v/>
      </c>
      <c r="T47" s="31">
        <f>IF(F47=0,0,ROUND('⚙ Configurações'!$B$26+MAX(0,(0.2-3)*'⚙ Configurações'!$B$29),2))</f>
        <v/>
      </c>
      <c r="U47" s="31">
        <f>IF(F47=0,0,ROUND('⚙ Configurações'!$B$27+MAX(0,(0.2-3)*'⚙ Configurações'!$B$29),2))</f>
        <v/>
      </c>
      <c r="V47" s="31">
        <f>IF(F47=0,0,ROUND('⚙ Configurações'!$B$28+MAX(0,(0.2-3)*'⚙ Configurações'!$B$29),2))</f>
        <v/>
      </c>
      <c r="W47" s="28">
        <f>IF(F47=0,0,ROUND(MAX('⚙ Configurações'!$B$30,P47*'⚙ Configurações'!$B$31),2))</f>
        <v/>
      </c>
      <c r="X47" s="32" t="n">
        <v>0.2</v>
      </c>
      <c r="Y47" s="33">
        <f>IF(P47=0,0,(P47-N47)/P47)</f>
        <v/>
      </c>
      <c r="Z47" s="34" t="n">
        <v>0</v>
      </c>
      <c r="AA47" s="34" t="n">
        <v>0</v>
      </c>
      <c r="AB47" s="35">
        <f>IF(P47&gt;0,ROUND(P47,2),"")</f>
        <v/>
      </c>
    </row>
    <row r="48" ht="20" customHeight="1">
      <c r="A48" s="3" t="inlineStr">
        <is>
          <t>vedacao-tubo-de-ar-agco-acx283890a-sistema-pneumatico</t>
        </is>
      </c>
      <c r="B48" s="24" t="inlineStr">
        <is>
          <t>Vedação Tubo de Ar — AGCO ACX283890A | Sistema Pneumático</t>
        </is>
      </c>
      <c r="C48" s="25" t="inlineStr">
        <is>
          <t>ACX283890A</t>
        </is>
      </c>
      <c r="D48" s="3" t="inlineStr">
        <is>
          <t>AGCO (ADG)</t>
        </is>
      </c>
      <c r="E48" s="3" t="inlineStr">
        <is>
          <t>Peças para Plantadeira</t>
        </is>
      </c>
      <c r="F48" s="26" t="n">
        <v>0</v>
      </c>
      <c r="G48" s="27">
        <f>'⚙ Configurações'!$B$19</f>
        <v/>
      </c>
      <c r="H48" s="28">
        <f>F48*G48</f>
        <v/>
      </c>
      <c r="I48" s="28">
        <f>F48*'⚙ Configurações'!$B$20</f>
        <v/>
      </c>
      <c r="J48" s="27">
        <f>'⚙ Configurações'!$B$4+'⚙ Configurações'!$B$5</f>
        <v/>
      </c>
      <c r="K48" s="28">
        <f>(F48+H48+I48)*J48</f>
        <v/>
      </c>
      <c r="L48" s="27">
        <f>'⚙ Configurações'!$B$6+'⚙ Configurações'!$B$7+'⚙ Configurações'!$B$8</f>
        <v/>
      </c>
      <c r="M48" s="28">
        <f>N48*L48/(1-L48)</f>
        <v/>
      </c>
      <c r="N48" s="29">
        <f>F48+H48+I48+K48+M48</f>
        <v/>
      </c>
      <c r="O48" s="30">
        <f>'⚙ Configurações'!$B$13</f>
        <v/>
      </c>
      <c r="P48" s="29">
        <f>IF(O48&gt;=1,N48*2,N48/(1-O48))</f>
        <v/>
      </c>
      <c r="Q48" s="31">
        <f>IF(F48=0,0,ROUND('⚙ Configurações'!$B$23+MAX(0,(0.2-3)*'⚙ Configurações'!$B$29),2))</f>
        <v/>
      </c>
      <c r="R48" s="31">
        <f>IF(F48=0,0,ROUND('⚙ Configurações'!$B$24+MAX(0,(0.2-3)*'⚙ Configurações'!$B$29),2))</f>
        <v/>
      </c>
      <c r="S48" s="31">
        <f>IF(F48=0,0,ROUND('⚙ Configurações'!$B$25+MAX(0,(0.2-3)*'⚙ Configurações'!$B$29),2))</f>
        <v/>
      </c>
      <c r="T48" s="31">
        <f>IF(F48=0,0,ROUND('⚙ Configurações'!$B$26+MAX(0,(0.2-3)*'⚙ Configurações'!$B$29),2))</f>
        <v/>
      </c>
      <c r="U48" s="31">
        <f>IF(F48=0,0,ROUND('⚙ Configurações'!$B$27+MAX(0,(0.2-3)*'⚙ Configurações'!$B$29),2))</f>
        <v/>
      </c>
      <c r="V48" s="31">
        <f>IF(F48=0,0,ROUND('⚙ Configurações'!$B$28+MAX(0,(0.2-3)*'⚙ Configurações'!$B$29),2))</f>
        <v/>
      </c>
      <c r="W48" s="28">
        <f>IF(F48=0,0,ROUND(MAX('⚙ Configurações'!$B$30,P48*'⚙ Configurações'!$B$31),2))</f>
        <v/>
      </c>
      <c r="X48" s="32" t="n">
        <v>0.2</v>
      </c>
      <c r="Y48" s="33">
        <f>IF(P48=0,0,(P48-N48)/P48)</f>
        <v/>
      </c>
      <c r="Z48" s="34" t="n">
        <v>0</v>
      </c>
      <c r="AA48" s="34" t="n">
        <v>0</v>
      </c>
      <c r="AB48" s="35">
        <f>IF(P48&gt;0,ROUND(P48,2),"")</f>
        <v/>
      </c>
    </row>
    <row r="49" ht="20" customHeight="1">
      <c r="A49" s="3" t="inlineStr">
        <is>
          <t>manipulo-pneumatico-agco-acx310603a</t>
        </is>
      </c>
      <c r="B49" s="24" t="inlineStr">
        <is>
          <t>Manípulo Pneumático — AGCO ACX310603A</t>
        </is>
      </c>
      <c r="C49" s="25" t="inlineStr">
        <is>
          <t>ACX310603A</t>
        </is>
      </c>
      <c r="D49" s="3" t="inlineStr">
        <is>
          <t>AGCO (ADG)</t>
        </is>
      </c>
      <c r="E49" s="3" t="inlineStr">
        <is>
          <t>Peças para Plantadeira</t>
        </is>
      </c>
      <c r="F49" s="26" t="n">
        <v>0</v>
      </c>
      <c r="G49" s="27">
        <f>'⚙ Configurações'!$B$19</f>
        <v/>
      </c>
      <c r="H49" s="28">
        <f>F49*G49</f>
        <v/>
      </c>
      <c r="I49" s="28">
        <f>F49*'⚙ Configurações'!$B$20</f>
        <v/>
      </c>
      <c r="J49" s="27">
        <f>'⚙ Configurações'!$B$4+'⚙ Configurações'!$B$5</f>
        <v/>
      </c>
      <c r="K49" s="28">
        <f>(F49+H49+I49)*J49</f>
        <v/>
      </c>
      <c r="L49" s="27">
        <f>'⚙ Configurações'!$B$6+'⚙ Configurações'!$B$7+'⚙ Configurações'!$B$8</f>
        <v/>
      </c>
      <c r="M49" s="28">
        <f>N49*L49/(1-L49)</f>
        <v/>
      </c>
      <c r="N49" s="29">
        <f>F49+H49+I49+K49+M49</f>
        <v/>
      </c>
      <c r="O49" s="30">
        <f>'⚙ Configurações'!$B$13</f>
        <v/>
      </c>
      <c r="P49" s="29">
        <f>IF(O49&gt;=1,N49*2,N49/(1-O49))</f>
        <v/>
      </c>
      <c r="Q49" s="31">
        <f>IF(F49=0,0,ROUND('⚙ Configurações'!$B$23+MAX(0,(0.2-3)*'⚙ Configurações'!$B$29),2))</f>
        <v/>
      </c>
      <c r="R49" s="31">
        <f>IF(F49=0,0,ROUND('⚙ Configurações'!$B$24+MAX(0,(0.2-3)*'⚙ Configurações'!$B$29),2))</f>
        <v/>
      </c>
      <c r="S49" s="31">
        <f>IF(F49=0,0,ROUND('⚙ Configurações'!$B$25+MAX(0,(0.2-3)*'⚙ Configurações'!$B$29),2))</f>
        <v/>
      </c>
      <c r="T49" s="31">
        <f>IF(F49=0,0,ROUND('⚙ Configurações'!$B$26+MAX(0,(0.2-3)*'⚙ Configurações'!$B$29),2))</f>
        <v/>
      </c>
      <c r="U49" s="31">
        <f>IF(F49=0,0,ROUND('⚙ Configurações'!$B$27+MAX(0,(0.2-3)*'⚙ Configurações'!$B$29),2))</f>
        <v/>
      </c>
      <c r="V49" s="31">
        <f>IF(F49=0,0,ROUND('⚙ Configurações'!$B$28+MAX(0,(0.2-3)*'⚙ Configurações'!$B$29),2))</f>
        <v/>
      </c>
      <c r="W49" s="28">
        <f>IF(F49=0,0,ROUND(MAX('⚙ Configurações'!$B$30,P49*'⚙ Configurações'!$B$31),2))</f>
        <v/>
      </c>
      <c r="X49" s="32" t="n">
        <v>0.2</v>
      </c>
      <c r="Y49" s="33">
        <f>IF(P49=0,0,(P49-N49)/P49)</f>
        <v/>
      </c>
      <c r="Z49" s="34" t="n">
        <v>0</v>
      </c>
      <c r="AA49" s="34" t="n">
        <v>0</v>
      </c>
      <c r="AB49" s="35">
        <f>IF(P49&gt;0,ROUND(P49,2),"")</f>
        <v/>
      </c>
    </row>
    <row r="50" ht="20" customHeight="1">
      <c r="A50" s="3" t="inlineStr">
        <is>
          <t>conjunto-adaptador-de-vacuo-agco-acx2414460</t>
        </is>
      </c>
      <c r="B50" s="24" t="inlineStr">
        <is>
          <t>Conjunto Adaptador de Vácuo — AGCO ACX2414460</t>
        </is>
      </c>
      <c r="C50" s="25" t="inlineStr">
        <is>
          <t>ACX2414460</t>
        </is>
      </c>
      <c r="D50" s="3" t="inlineStr">
        <is>
          <t>AGCO (ADG)</t>
        </is>
      </c>
      <c r="E50" s="3" t="inlineStr">
        <is>
          <t>Peças para Plantadeira</t>
        </is>
      </c>
      <c r="F50" s="26" t="n">
        <v>0</v>
      </c>
      <c r="G50" s="27">
        <f>'⚙ Configurações'!$B$19</f>
        <v/>
      </c>
      <c r="H50" s="28">
        <f>F50*G50</f>
        <v/>
      </c>
      <c r="I50" s="28">
        <f>F50*'⚙ Configurações'!$B$20</f>
        <v/>
      </c>
      <c r="J50" s="27">
        <f>'⚙ Configurações'!$B$4+'⚙ Configurações'!$B$5</f>
        <v/>
      </c>
      <c r="K50" s="28">
        <f>(F50+H50+I50)*J50</f>
        <v/>
      </c>
      <c r="L50" s="27">
        <f>'⚙ Configurações'!$B$6+'⚙ Configurações'!$B$7+'⚙ Configurações'!$B$8</f>
        <v/>
      </c>
      <c r="M50" s="28">
        <f>N50*L50/(1-L50)</f>
        <v/>
      </c>
      <c r="N50" s="29">
        <f>F50+H50+I50+K50+M50</f>
        <v/>
      </c>
      <c r="O50" s="30">
        <f>'⚙ Configurações'!$B$13</f>
        <v/>
      </c>
      <c r="P50" s="29">
        <f>IF(O50&gt;=1,N50*2,N50/(1-O50))</f>
        <v/>
      </c>
      <c r="Q50" s="31">
        <f>IF(F50=0,0,ROUND('⚙ Configurações'!$B$23+MAX(0,(0.2-3)*'⚙ Configurações'!$B$29),2))</f>
        <v/>
      </c>
      <c r="R50" s="31">
        <f>IF(F50=0,0,ROUND('⚙ Configurações'!$B$24+MAX(0,(0.2-3)*'⚙ Configurações'!$B$29),2))</f>
        <v/>
      </c>
      <c r="S50" s="31">
        <f>IF(F50=0,0,ROUND('⚙ Configurações'!$B$25+MAX(0,(0.2-3)*'⚙ Configurações'!$B$29),2))</f>
        <v/>
      </c>
      <c r="T50" s="31">
        <f>IF(F50=0,0,ROUND('⚙ Configurações'!$B$26+MAX(0,(0.2-3)*'⚙ Configurações'!$B$29),2))</f>
        <v/>
      </c>
      <c r="U50" s="31">
        <f>IF(F50=0,0,ROUND('⚙ Configurações'!$B$27+MAX(0,(0.2-3)*'⚙ Configurações'!$B$29),2))</f>
        <v/>
      </c>
      <c r="V50" s="31">
        <f>IF(F50=0,0,ROUND('⚙ Configurações'!$B$28+MAX(0,(0.2-3)*'⚙ Configurações'!$B$29),2))</f>
        <v/>
      </c>
      <c r="W50" s="28">
        <f>IF(F50=0,0,ROUND(MAX('⚙ Configurações'!$B$30,P50*'⚙ Configurações'!$B$31),2))</f>
        <v/>
      </c>
      <c r="X50" s="32" t="n">
        <v>0.2</v>
      </c>
      <c r="Y50" s="33">
        <f>IF(P50=0,0,(P50-N50)/P50)</f>
        <v/>
      </c>
      <c r="Z50" s="34" t="n">
        <v>0</v>
      </c>
      <c r="AA50" s="34" t="n">
        <v>0</v>
      </c>
      <c r="AB50" s="35">
        <f>IF(P50&gt;0,ROUND(P50,2),"")</f>
        <v/>
      </c>
    </row>
    <row r="51" ht="20" customHeight="1">
      <c r="A51" s="3" t="inlineStr">
        <is>
          <t>bocal-cotovelo-de-vacuo-agco-acx3371800</t>
        </is>
      </c>
      <c r="B51" s="24" t="inlineStr">
        <is>
          <t>Bocal Cotovelo de Vácuo — AGCO ACX3371800</t>
        </is>
      </c>
      <c r="C51" s="25" t="inlineStr">
        <is>
          <t>ACX3371800</t>
        </is>
      </c>
      <c r="D51" s="3" t="inlineStr">
        <is>
          <t>AGCO (ADG)</t>
        </is>
      </c>
      <c r="E51" s="3" t="inlineStr">
        <is>
          <t>Peças para Plantadeira</t>
        </is>
      </c>
      <c r="F51" s="26" t="n">
        <v>0</v>
      </c>
      <c r="G51" s="27">
        <f>'⚙ Configurações'!$B$19</f>
        <v/>
      </c>
      <c r="H51" s="28">
        <f>F51*G51</f>
        <v/>
      </c>
      <c r="I51" s="28">
        <f>F51*'⚙ Configurações'!$B$20</f>
        <v/>
      </c>
      <c r="J51" s="27">
        <f>'⚙ Configurações'!$B$4+'⚙ Configurações'!$B$5</f>
        <v/>
      </c>
      <c r="K51" s="28">
        <f>(F51+H51+I51)*J51</f>
        <v/>
      </c>
      <c r="L51" s="27">
        <f>'⚙ Configurações'!$B$6+'⚙ Configurações'!$B$7+'⚙ Configurações'!$B$8</f>
        <v/>
      </c>
      <c r="M51" s="28">
        <f>N51*L51/(1-L51)</f>
        <v/>
      </c>
      <c r="N51" s="29">
        <f>F51+H51+I51+K51+M51</f>
        <v/>
      </c>
      <c r="O51" s="30">
        <f>'⚙ Configurações'!$B$13</f>
        <v/>
      </c>
      <c r="P51" s="29">
        <f>IF(O51&gt;=1,N51*2,N51/(1-O51))</f>
        <v/>
      </c>
      <c r="Q51" s="31">
        <f>IF(F51=0,0,ROUND('⚙ Configurações'!$B$23+MAX(0,(0.2-3)*'⚙ Configurações'!$B$29),2))</f>
        <v/>
      </c>
      <c r="R51" s="31">
        <f>IF(F51=0,0,ROUND('⚙ Configurações'!$B$24+MAX(0,(0.2-3)*'⚙ Configurações'!$B$29),2))</f>
        <v/>
      </c>
      <c r="S51" s="31">
        <f>IF(F51=0,0,ROUND('⚙ Configurações'!$B$25+MAX(0,(0.2-3)*'⚙ Configurações'!$B$29),2))</f>
        <v/>
      </c>
      <c r="T51" s="31">
        <f>IF(F51=0,0,ROUND('⚙ Configurações'!$B$26+MAX(0,(0.2-3)*'⚙ Configurações'!$B$29),2))</f>
        <v/>
      </c>
      <c r="U51" s="31">
        <f>IF(F51=0,0,ROUND('⚙ Configurações'!$B$27+MAX(0,(0.2-3)*'⚙ Configurações'!$B$29),2))</f>
        <v/>
      </c>
      <c r="V51" s="31">
        <f>IF(F51=0,0,ROUND('⚙ Configurações'!$B$28+MAX(0,(0.2-3)*'⚙ Configurações'!$B$29),2))</f>
        <v/>
      </c>
      <c r="W51" s="28">
        <f>IF(F51=0,0,ROUND(MAX('⚙ Configurações'!$B$30,P51*'⚙ Configurações'!$B$31),2))</f>
        <v/>
      </c>
      <c r="X51" s="32" t="n">
        <v>0.2</v>
      </c>
      <c r="Y51" s="33">
        <f>IF(P51=0,0,(P51-N51)/P51)</f>
        <v/>
      </c>
      <c r="Z51" s="34" t="n">
        <v>0</v>
      </c>
      <c r="AA51" s="34" t="n">
        <v>0</v>
      </c>
      <c r="AB51" s="35">
        <f>IF(P51&gt;0,ROUND(P51,2),"")</f>
        <v/>
      </c>
    </row>
    <row r="52" ht="20" customHeight="1">
      <c r="A52" s="3" t="inlineStr">
        <is>
          <t>conjunto-montado-joelho-agco-acx2719210</t>
        </is>
      </c>
      <c r="B52" s="24" t="inlineStr">
        <is>
          <t>Conjunto Montado Joelho — AGCO ACX2719210</t>
        </is>
      </c>
      <c r="C52" s="25" t="inlineStr">
        <is>
          <t>ACX2719210</t>
        </is>
      </c>
      <c r="D52" s="3" t="inlineStr">
        <is>
          <t>AGCO (ADG)</t>
        </is>
      </c>
      <c r="E52" s="3" t="inlineStr">
        <is>
          <t>Peças para Plantadeira</t>
        </is>
      </c>
      <c r="F52" s="26" t="n">
        <v>0</v>
      </c>
      <c r="G52" s="27">
        <f>'⚙ Configurações'!$B$19</f>
        <v/>
      </c>
      <c r="H52" s="28">
        <f>F52*G52</f>
        <v/>
      </c>
      <c r="I52" s="28">
        <f>F52*'⚙ Configurações'!$B$20</f>
        <v/>
      </c>
      <c r="J52" s="27">
        <f>'⚙ Configurações'!$B$4+'⚙ Configurações'!$B$5</f>
        <v/>
      </c>
      <c r="K52" s="28">
        <f>(F52+H52+I52)*J52</f>
        <v/>
      </c>
      <c r="L52" s="27">
        <f>'⚙ Configurações'!$B$6+'⚙ Configurações'!$B$7+'⚙ Configurações'!$B$8</f>
        <v/>
      </c>
      <c r="M52" s="28">
        <f>N52*L52/(1-L52)</f>
        <v/>
      </c>
      <c r="N52" s="29">
        <f>F52+H52+I52+K52+M52</f>
        <v/>
      </c>
      <c r="O52" s="30">
        <f>'⚙ Configurações'!$B$13</f>
        <v/>
      </c>
      <c r="P52" s="29">
        <f>IF(O52&gt;=1,N52*2,N52/(1-O52))</f>
        <v/>
      </c>
      <c r="Q52" s="31">
        <f>IF(F52=0,0,ROUND('⚙ Configurações'!$B$23+MAX(0,(0.2-3)*'⚙ Configurações'!$B$29),2))</f>
        <v/>
      </c>
      <c r="R52" s="31">
        <f>IF(F52=0,0,ROUND('⚙ Configurações'!$B$24+MAX(0,(0.2-3)*'⚙ Configurações'!$B$29),2))</f>
        <v/>
      </c>
      <c r="S52" s="31">
        <f>IF(F52=0,0,ROUND('⚙ Configurações'!$B$25+MAX(0,(0.2-3)*'⚙ Configurações'!$B$29),2))</f>
        <v/>
      </c>
      <c r="T52" s="31">
        <f>IF(F52=0,0,ROUND('⚙ Configurações'!$B$26+MAX(0,(0.2-3)*'⚙ Configurações'!$B$29),2))</f>
        <v/>
      </c>
      <c r="U52" s="31">
        <f>IF(F52=0,0,ROUND('⚙ Configurações'!$B$27+MAX(0,(0.2-3)*'⚙ Configurações'!$B$29),2))</f>
        <v/>
      </c>
      <c r="V52" s="31">
        <f>IF(F52=0,0,ROUND('⚙ Configurações'!$B$28+MAX(0,(0.2-3)*'⚙ Configurações'!$B$29),2))</f>
        <v/>
      </c>
      <c r="W52" s="28">
        <f>IF(F52=0,0,ROUND(MAX('⚙ Configurações'!$B$30,P52*'⚙ Configurações'!$B$31),2))</f>
        <v/>
      </c>
      <c r="X52" s="32" t="n">
        <v>0.2</v>
      </c>
      <c r="Y52" s="33">
        <f>IF(P52=0,0,(P52-N52)/P52)</f>
        <v/>
      </c>
      <c r="Z52" s="34" t="n">
        <v>0</v>
      </c>
      <c r="AA52" s="34" t="n">
        <v>0</v>
      </c>
      <c r="AB52" s="35">
        <f>IF(P52&gt;0,ROUND(P52,2),"")</f>
        <v/>
      </c>
    </row>
    <row r="53" ht="20" customHeight="1">
      <c r="A53" s="3" t="inlineStr">
        <is>
          <t>acoplamento-do-condutor-massey-ferguson-7038105m1</t>
        </is>
      </c>
      <c r="B53" s="24" t="inlineStr">
        <is>
          <t>Acoplamento do Condutor — Massey Ferguson 7038105M1</t>
        </is>
      </c>
      <c r="C53" s="25" t="inlineStr">
        <is>
          <t>7038105M1</t>
        </is>
      </c>
      <c r="D53" s="3" t="inlineStr">
        <is>
          <t>AGCO (ADG)</t>
        </is>
      </c>
      <c r="E53" s="3" t="inlineStr">
        <is>
          <t>Peças para Plantadeira</t>
        </is>
      </c>
      <c r="F53" s="26" t="n">
        <v>0</v>
      </c>
      <c r="G53" s="27">
        <f>'⚙ Configurações'!$B$19</f>
        <v/>
      </c>
      <c r="H53" s="28">
        <f>F53*G53</f>
        <v/>
      </c>
      <c r="I53" s="28">
        <f>F53*'⚙ Configurações'!$B$20</f>
        <v/>
      </c>
      <c r="J53" s="27">
        <f>'⚙ Configurações'!$B$4+'⚙ Configurações'!$B$5</f>
        <v/>
      </c>
      <c r="K53" s="28">
        <f>(F53+H53+I53)*J53</f>
        <v/>
      </c>
      <c r="L53" s="27">
        <f>'⚙ Configurações'!$B$6+'⚙ Configurações'!$B$7+'⚙ Configurações'!$B$8</f>
        <v/>
      </c>
      <c r="M53" s="28">
        <f>N53*L53/(1-L53)</f>
        <v/>
      </c>
      <c r="N53" s="29">
        <f>F53+H53+I53+K53+M53</f>
        <v/>
      </c>
      <c r="O53" s="30">
        <f>'⚙ Configurações'!$B$13</f>
        <v/>
      </c>
      <c r="P53" s="29">
        <f>IF(O53&gt;=1,N53*2,N53/(1-O53))</f>
        <v/>
      </c>
      <c r="Q53" s="31">
        <f>IF(F53=0,0,ROUND('⚙ Configurações'!$B$23+MAX(0,(0.2-3)*'⚙ Configurações'!$B$29),2))</f>
        <v/>
      </c>
      <c r="R53" s="31">
        <f>IF(F53=0,0,ROUND('⚙ Configurações'!$B$24+MAX(0,(0.2-3)*'⚙ Configurações'!$B$29),2))</f>
        <v/>
      </c>
      <c r="S53" s="31">
        <f>IF(F53=0,0,ROUND('⚙ Configurações'!$B$25+MAX(0,(0.2-3)*'⚙ Configurações'!$B$29),2))</f>
        <v/>
      </c>
      <c r="T53" s="31">
        <f>IF(F53=0,0,ROUND('⚙ Configurações'!$B$26+MAX(0,(0.2-3)*'⚙ Configurações'!$B$29),2))</f>
        <v/>
      </c>
      <c r="U53" s="31">
        <f>IF(F53=0,0,ROUND('⚙ Configurações'!$B$27+MAX(0,(0.2-3)*'⚙ Configurações'!$B$29),2))</f>
        <v/>
      </c>
      <c r="V53" s="31">
        <f>IF(F53=0,0,ROUND('⚙ Configurações'!$B$28+MAX(0,(0.2-3)*'⚙ Configurações'!$B$29),2))</f>
        <v/>
      </c>
      <c r="W53" s="28">
        <f>IF(F53=0,0,ROUND(MAX('⚙ Configurações'!$B$30,P53*'⚙ Configurações'!$B$31),2))</f>
        <v/>
      </c>
      <c r="X53" s="32" t="n">
        <v>0.2</v>
      </c>
      <c r="Y53" s="33">
        <f>IF(P53=0,0,(P53-N53)/P53)</f>
        <v/>
      </c>
      <c r="Z53" s="34" t="n">
        <v>0</v>
      </c>
      <c r="AA53" s="34" t="n">
        <v>0</v>
      </c>
      <c r="AB53" s="35">
        <f>IF(P53&gt;0,ROUND(P53,2),"")</f>
        <v/>
      </c>
    </row>
    <row r="54" ht="20" customHeight="1">
      <c r="A54" s="3" t="inlineStr">
        <is>
          <t>acoplamento-da-curva-massey-ferguson-7038106m1</t>
        </is>
      </c>
      <c r="B54" s="24" t="inlineStr">
        <is>
          <t>Acoplamento da Curva — Massey Ferguson 7038106M1</t>
        </is>
      </c>
      <c r="C54" s="25" t="inlineStr">
        <is>
          <t>7038106M1</t>
        </is>
      </c>
      <c r="D54" s="3" t="inlineStr">
        <is>
          <t>AGCO (ADG)</t>
        </is>
      </c>
      <c r="E54" s="3" t="inlineStr">
        <is>
          <t>Peças para Plantadeira</t>
        </is>
      </c>
      <c r="F54" s="26" t="n">
        <v>0</v>
      </c>
      <c r="G54" s="27">
        <f>'⚙ Configurações'!$B$19</f>
        <v/>
      </c>
      <c r="H54" s="28">
        <f>F54*G54</f>
        <v/>
      </c>
      <c r="I54" s="28">
        <f>F54*'⚙ Configurações'!$B$20</f>
        <v/>
      </c>
      <c r="J54" s="27">
        <f>'⚙ Configurações'!$B$4+'⚙ Configurações'!$B$5</f>
        <v/>
      </c>
      <c r="K54" s="28">
        <f>(F54+H54+I54)*J54</f>
        <v/>
      </c>
      <c r="L54" s="27">
        <f>'⚙ Configurações'!$B$6+'⚙ Configurações'!$B$7+'⚙ Configurações'!$B$8</f>
        <v/>
      </c>
      <c r="M54" s="28">
        <f>N54*L54/(1-L54)</f>
        <v/>
      </c>
      <c r="N54" s="29">
        <f>F54+H54+I54+K54+M54</f>
        <v/>
      </c>
      <c r="O54" s="30">
        <f>'⚙ Configurações'!$B$13</f>
        <v/>
      </c>
      <c r="P54" s="29">
        <f>IF(O54&gt;=1,N54*2,N54/(1-O54))</f>
        <v/>
      </c>
      <c r="Q54" s="31">
        <f>IF(F54=0,0,ROUND('⚙ Configurações'!$B$23+MAX(0,(0.2-3)*'⚙ Configurações'!$B$29),2))</f>
        <v/>
      </c>
      <c r="R54" s="31">
        <f>IF(F54=0,0,ROUND('⚙ Configurações'!$B$24+MAX(0,(0.2-3)*'⚙ Configurações'!$B$29),2))</f>
        <v/>
      </c>
      <c r="S54" s="31">
        <f>IF(F54=0,0,ROUND('⚙ Configurações'!$B$25+MAX(0,(0.2-3)*'⚙ Configurações'!$B$29),2))</f>
        <v/>
      </c>
      <c r="T54" s="31">
        <f>IF(F54=0,0,ROUND('⚙ Configurações'!$B$26+MAX(0,(0.2-3)*'⚙ Configurações'!$B$29),2))</f>
        <v/>
      </c>
      <c r="U54" s="31">
        <f>IF(F54=0,0,ROUND('⚙ Configurações'!$B$27+MAX(0,(0.2-3)*'⚙ Configurações'!$B$29),2))</f>
        <v/>
      </c>
      <c r="V54" s="31">
        <f>IF(F54=0,0,ROUND('⚙ Configurações'!$B$28+MAX(0,(0.2-3)*'⚙ Configurações'!$B$29),2))</f>
        <v/>
      </c>
      <c r="W54" s="28">
        <f>IF(F54=0,0,ROUND(MAX('⚙ Configurações'!$B$30,P54*'⚙ Configurações'!$B$31),2))</f>
        <v/>
      </c>
      <c r="X54" s="32" t="n">
        <v>0.2</v>
      </c>
      <c r="Y54" s="33">
        <f>IF(P54=0,0,(P54-N54)/P54)</f>
        <v/>
      </c>
      <c r="Z54" s="34" t="n">
        <v>0</v>
      </c>
      <c r="AA54" s="34" t="n">
        <v>0</v>
      </c>
      <c r="AB54" s="35">
        <f>IF(P54&gt;0,ROUND(P54,2),"")</f>
        <v/>
      </c>
    </row>
    <row r="55" ht="20" customHeight="1">
      <c r="A55" s="3" t="inlineStr">
        <is>
          <t>tampa-do-modulo-srm-agco-acx2865730-monitor-de-linhas</t>
        </is>
      </c>
      <c r="B55" s="24" t="inlineStr">
        <is>
          <t>Tampa do Módulo SRM — AGCO ACX2865730 | Monitor de Linhas</t>
        </is>
      </c>
      <c r="C55" s="25" t="inlineStr">
        <is>
          <t>ACX2865730</t>
        </is>
      </c>
      <c r="D55" s="3" t="inlineStr">
        <is>
          <t>AGCO (ADG)</t>
        </is>
      </c>
      <c r="E55" s="3" t="inlineStr">
        <is>
          <t>Peças para Plantadeira</t>
        </is>
      </c>
      <c r="F55" s="26" t="n">
        <v>0</v>
      </c>
      <c r="G55" s="27">
        <f>'⚙ Configurações'!$B$19</f>
        <v/>
      </c>
      <c r="H55" s="28">
        <f>F55*G55</f>
        <v/>
      </c>
      <c r="I55" s="28">
        <f>F55*'⚙ Configurações'!$B$20</f>
        <v/>
      </c>
      <c r="J55" s="27">
        <f>'⚙ Configurações'!$B$4+'⚙ Configurações'!$B$5</f>
        <v/>
      </c>
      <c r="K55" s="28">
        <f>(F55+H55+I55)*J55</f>
        <v/>
      </c>
      <c r="L55" s="27">
        <f>'⚙ Configurações'!$B$6+'⚙ Configurações'!$B$7+'⚙ Configurações'!$B$8</f>
        <v/>
      </c>
      <c r="M55" s="28">
        <f>N55*L55/(1-L55)</f>
        <v/>
      </c>
      <c r="N55" s="29">
        <f>F55+H55+I55+K55+M55</f>
        <v/>
      </c>
      <c r="O55" s="30">
        <f>'⚙ Configurações'!$B$13</f>
        <v/>
      </c>
      <c r="P55" s="29">
        <f>IF(O55&gt;=1,N55*2,N55/(1-O55))</f>
        <v/>
      </c>
      <c r="Q55" s="31">
        <f>IF(F55=0,0,ROUND('⚙ Configurações'!$B$23+MAX(0,(0.2-3)*'⚙ Configurações'!$B$29),2))</f>
        <v/>
      </c>
      <c r="R55" s="31">
        <f>IF(F55=0,0,ROUND('⚙ Configurações'!$B$24+MAX(0,(0.2-3)*'⚙ Configurações'!$B$29),2))</f>
        <v/>
      </c>
      <c r="S55" s="31">
        <f>IF(F55=0,0,ROUND('⚙ Configurações'!$B$25+MAX(0,(0.2-3)*'⚙ Configurações'!$B$29),2))</f>
        <v/>
      </c>
      <c r="T55" s="31">
        <f>IF(F55=0,0,ROUND('⚙ Configurações'!$B$26+MAX(0,(0.2-3)*'⚙ Configurações'!$B$29),2))</f>
        <v/>
      </c>
      <c r="U55" s="31">
        <f>IF(F55=0,0,ROUND('⚙ Configurações'!$B$27+MAX(0,(0.2-3)*'⚙ Configurações'!$B$29),2))</f>
        <v/>
      </c>
      <c r="V55" s="31">
        <f>IF(F55=0,0,ROUND('⚙ Configurações'!$B$28+MAX(0,(0.2-3)*'⚙ Configurações'!$B$29),2))</f>
        <v/>
      </c>
      <c r="W55" s="28">
        <f>IF(F55=0,0,ROUND(MAX('⚙ Configurações'!$B$30,P55*'⚙ Configurações'!$B$31),2))</f>
        <v/>
      </c>
      <c r="X55" s="32" t="n">
        <v>0.2</v>
      </c>
      <c r="Y55" s="33">
        <f>IF(P55=0,0,(P55-N55)/P55)</f>
        <v/>
      </c>
      <c r="Z55" s="34" t="n">
        <v>0</v>
      </c>
      <c r="AA55" s="34" t="n">
        <v>0</v>
      </c>
      <c r="AB55" s="35">
        <f>IF(P55&gt;0,ROUND(P55,2),"")</f>
        <v/>
      </c>
    </row>
    <row r="56" ht="20" customHeight="1">
      <c r="A56" s="3" t="inlineStr">
        <is>
          <t>protecao-srm-agco-acx5458940-monitor-de-linhas</t>
        </is>
      </c>
      <c r="B56" s="24" t="inlineStr">
        <is>
          <t>Proteção SRM — AGCO ACX5458940 | Monitor de Linhas</t>
        </is>
      </c>
      <c r="C56" s="25" t="inlineStr">
        <is>
          <t>ACX5458940</t>
        </is>
      </c>
      <c r="D56" s="3" t="inlineStr">
        <is>
          <t>AGCO (ADG)</t>
        </is>
      </c>
      <c r="E56" s="3" t="inlineStr">
        <is>
          <t>Peças para Plantadeira</t>
        </is>
      </c>
      <c r="F56" s="26" t="n">
        <v>0</v>
      </c>
      <c r="G56" s="27">
        <f>'⚙ Configurações'!$B$19</f>
        <v/>
      </c>
      <c r="H56" s="28">
        <f>F56*G56</f>
        <v/>
      </c>
      <c r="I56" s="28">
        <f>F56*'⚙ Configurações'!$B$20</f>
        <v/>
      </c>
      <c r="J56" s="27">
        <f>'⚙ Configurações'!$B$4+'⚙ Configurações'!$B$5</f>
        <v/>
      </c>
      <c r="K56" s="28">
        <f>(F56+H56+I56)*J56</f>
        <v/>
      </c>
      <c r="L56" s="27">
        <f>'⚙ Configurações'!$B$6+'⚙ Configurações'!$B$7+'⚙ Configurações'!$B$8</f>
        <v/>
      </c>
      <c r="M56" s="28">
        <f>N56*L56/(1-L56)</f>
        <v/>
      </c>
      <c r="N56" s="29">
        <f>F56+H56+I56+K56+M56</f>
        <v/>
      </c>
      <c r="O56" s="30">
        <f>'⚙ Configurações'!$B$13</f>
        <v/>
      </c>
      <c r="P56" s="29">
        <f>IF(O56&gt;=1,N56*2,N56/(1-O56))</f>
        <v/>
      </c>
      <c r="Q56" s="31">
        <f>IF(F56=0,0,ROUND('⚙ Configurações'!$B$23+MAX(0,(0.2-3)*'⚙ Configurações'!$B$29),2))</f>
        <v/>
      </c>
      <c r="R56" s="31">
        <f>IF(F56=0,0,ROUND('⚙ Configurações'!$B$24+MAX(0,(0.2-3)*'⚙ Configurações'!$B$29),2))</f>
        <v/>
      </c>
      <c r="S56" s="31">
        <f>IF(F56=0,0,ROUND('⚙ Configurações'!$B$25+MAX(0,(0.2-3)*'⚙ Configurações'!$B$29),2))</f>
        <v/>
      </c>
      <c r="T56" s="31">
        <f>IF(F56=0,0,ROUND('⚙ Configurações'!$B$26+MAX(0,(0.2-3)*'⚙ Configurações'!$B$29),2))</f>
        <v/>
      </c>
      <c r="U56" s="31">
        <f>IF(F56=0,0,ROUND('⚙ Configurações'!$B$27+MAX(0,(0.2-3)*'⚙ Configurações'!$B$29),2))</f>
        <v/>
      </c>
      <c r="V56" s="31">
        <f>IF(F56=0,0,ROUND('⚙ Configurações'!$B$28+MAX(0,(0.2-3)*'⚙ Configurações'!$B$29),2))</f>
        <v/>
      </c>
      <c r="W56" s="28">
        <f>IF(F56=0,0,ROUND(MAX('⚙ Configurações'!$B$30,P56*'⚙ Configurações'!$B$31),2))</f>
        <v/>
      </c>
      <c r="X56" s="32" t="n">
        <v>0.2</v>
      </c>
      <c r="Y56" s="33">
        <f>IF(P56=0,0,(P56-N56)/P56)</f>
        <v/>
      </c>
      <c r="Z56" s="34" t="n">
        <v>0</v>
      </c>
      <c r="AA56" s="34" t="n">
        <v>0</v>
      </c>
      <c r="AB56" s="35">
        <f>IF(P56&gt;0,ROUND(P56,2),"")</f>
        <v/>
      </c>
    </row>
    <row r="57" ht="20" customHeight="1">
      <c r="A57" s="3" t="inlineStr">
        <is>
          <t>dobradica-esquerda-inferior-massey-ferguson-4383927m4</t>
        </is>
      </c>
      <c r="B57" s="24" t="inlineStr">
        <is>
          <t>Dobradiça Esquerda Inferior — Massey Ferguson 4383927M4</t>
        </is>
      </c>
      <c r="C57" s="25" t="inlineStr">
        <is>
          <t>4383927M4</t>
        </is>
      </c>
      <c r="D57" s="3" t="inlineStr">
        <is>
          <t>AGCO (ADG)</t>
        </is>
      </c>
      <c r="E57" s="3" t="inlineStr">
        <is>
          <t>Peças para Plantadeira</t>
        </is>
      </c>
      <c r="F57" s="26" t="n">
        <v>0</v>
      </c>
      <c r="G57" s="27">
        <f>'⚙ Configurações'!$B$19</f>
        <v/>
      </c>
      <c r="H57" s="28">
        <f>F57*G57</f>
        <v/>
      </c>
      <c r="I57" s="28">
        <f>F57*'⚙ Configurações'!$B$20</f>
        <v/>
      </c>
      <c r="J57" s="27">
        <f>'⚙ Configurações'!$B$4+'⚙ Configurações'!$B$5</f>
        <v/>
      </c>
      <c r="K57" s="28">
        <f>(F57+H57+I57)*J57</f>
        <v/>
      </c>
      <c r="L57" s="27">
        <f>'⚙ Configurações'!$B$6+'⚙ Configurações'!$B$7+'⚙ Configurações'!$B$8</f>
        <v/>
      </c>
      <c r="M57" s="28">
        <f>N57*L57/(1-L57)</f>
        <v/>
      </c>
      <c r="N57" s="29">
        <f>F57+H57+I57+K57+M57</f>
        <v/>
      </c>
      <c r="O57" s="30">
        <f>'⚙ Configurações'!$B$13</f>
        <v/>
      </c>
      <c r="P57" s="29">
        <f>IF(O57&gt;=1,N57*2,N57/(1-O57))</f>
        <v/>
      </c>
      <c r="Q57" s="31">
        <f>IF(F57=0,0,ROUND('⚙ Configurações'!$B$23+MAX(0,(0.2-3)*'⚙ Configurações'!$B$29),2))</f>
        <v/>
      </c>
      <c r="R57" s="31">
        <f>IF(F57=0,0,ROUND('⚙ Configurações'!$B$24+MAX(0,(0.2-3)*'⚙ Configurações'!$B$29),2))</f>
        <v/>
      </c>
      <c r="S57" s="31">
        <f>IF(F57=0,0,ROUND('⚙ Configurações'!$B$25+MAX(0,(0.2-3)*'⚙ Configurações'!$B$29),2))</f>
        <v/>
      </c>
      <c r="T57" s="31">
        <f>IF(F57=0,0,ROUND('⚙ Configurações'!$B$26+MAX(0,(0.2-3)*'⚙ Configurações'!$B$29),2))</f>
        <v/>
      </c>
      <c r="U57" s="31">
        <f>IF(F57=0,0,ROUND('⚙ Configurações'!$B$27+MAX(0,(0.2-3)*'⚙ Configurações'!$B$29),2))</f>
        <v/>
      </c>
      <c r="V57" s="31">
        <f>IF(F57=0,0,ROUND('⚙ Configurações'!$B$28+MAX(0,(0.2-3)*'⚙ Configurações'!$B$29),2))</f>
        <v/>
      </c>
      <c r="W57" s="28">
        <f>IF(F57=0,0,ROUND(MAX('⚙ Configurações'!$B$30,P57*'⚙ Configurações'!$B$31),2))</f>
        <v/>
      </c>
      <c r="X57" s="32" t="n">
        <v>0.2</v>
      </c>
      <c r="Y57" s="33">
        <f>IF(P57=0,0,(P57-N57)/P57)</f>
        <v/>
      </c>
      <c r="Z57" s="34" t="n">
        <v>0</v>
      </c>
      <c r="AA57" s="34" t="n">
        <v>0</v>
      </c>
      <c r="AB57" s="35">
        <f>IF(P57&gt;0,ROUND(P57,2),"")</f>
        <v/>
      </c>
    </row>
    <row r="58" ht="20" customHeight="1">
      <c r="A58" s="3" t="inlineStr">
        <is>
          <t>dobradica-esquerda-superior-massey-ferguson-4383923m4</t>
        </is>
      </c>
      <c r="B58" s="24" t="inlineStr">
        <is>
          <t>Dobradiça Esquerda Superior — Massey Ferguson 4383923M4</t>
        </is>
      </c>
      <c r="C58" s="25" t="inlineStr">
        <is>
          <t>4383923M4</t>
        </is>
      </c>
      <c r="D58" s="3" t="inlineStr">
        <is>
          <t>AGCO (ADG)</t>
        </is>
      </c>
      <c r="E58" s="3" t="inlineStr">
        <is>
          <t>Peças para Plantadeira</t>
        </is>
      </c>
      <c r="F58" s="26" t="n">
        <v>0</v>
      </c>
      <c r="G58" s="27">
        <f>'⚙ Configurações'!$B$19</f>
        <v/>
      </c>
      <c r="H58" s="28">
        <f>F58*G58</f>
        <v/>
      </c>
      <c r="I58" s="28">
        <f>F58*'⚙ Configurações'!$B$20</f>
        <v/>
      </c>
      <c r="J58" s="27">
        <f>'⚙ Configurações'!$B$4+'⚙ Configurações'!$B$5</f>
        <v/>
      </c>
      <c r="K58" s="28">
        <f>(F58+H58+I58)*J58</f>
        <v/>
      </c>
      <c r="L58" s="27">
        <f>'⚙ Configurações'!$B$6+'⚙ Configurações'!$B$7+'⚙ Configurações'!$B$8</f>
        <v/>
      </c>
      <c r="M58" s="28">
        <f>N58*L58/(1-L58)</f>
        <v/>
      </c>
      <c r="N58" s="29">
        <f>F58+H58+I58+K58+M58</f>
        <v/>
      </c>
      <c r="O58" s="30">
        <f>'⚙ Configurações'!$B$13</f>
        <v/>
      </c>
      <c r="P58" s="29">
        <f>IF(O58&gt;=1,N58*2,N58/(1-O58))</f>
        <v/>
      </c>
      <c r="Q58" s="31">
        <f>IF(F58=0,0,ROUND('⚙ Configurações'!$B$23+MAX(0,(0.2-3)*'⚙ Configurações'!$B$29),2))</f>
        <v/>
      </c>
      <c r="R58" s="31">
        <f>IF(F58=0,0,ROUND('⚙ Configurações'!$B$24+MAX(0,(0.2-3)*'⚙ Configurações'!$B$29),2))</f>
        <v/>
      </c>
      <c r="S58" s="31">
        <f>IF(F58=0,0,ROUND('⚙ Configurações'!$B$25+MAX(0,(0.2-3)*'⚙ Configurações'!$B$29),2))</f>
        <v/>
      </c>
      <c r="T58" s="31">
        <f>IF(F58=0,0,ROUND('⚙ Configurações'!$B$26+MAX(0,(0.2-3)*'⚙ Configurações'!$B$29),2))</f>
        <v/>
      </c>
      <c r="U58" s="31">
        <f>IF(F58=0,0,ROUND('⚙ Configurações'!$B$27+MAX(0,(0.2-3)*'⚙ Configurações'!$B$29),2))</f>
        <v/>
      </c>
      <c r="V58" s="31">
        <f>IF(F58=0,0,ROUND('⚙ Configurações'!$B$28+MAX(0,(0.2-3)*'⚙ Configurações'!$B$29),2))</f>
        <v/>
      </c>
      <c r="W58" s="28">
        <f>IF(F58=0,0,ROUND(MAX('⚙ Configurações'!$B$30,P58*'⚙ Configurações'!$B$31),2))</f>
        <v/>
      </c>
      <c r="X58" s="32" t="n">
        <v>0.2</v>
      </c>
      <c r="Y58" s="33">
        <f>IF(P58=0,0,(P58-N58)/P58)</f>
        <v/>
      </c>
      <c r="Z58" s="34" t="n">
        <v>0</v>
      </c>
      <c r="AA58" s="34" t="n">
        <v>0</v>
      </c>
      <c r="AB58" s="35">
        <f>IF(P58&gt;0,ROUND(P58,2),"")</f>
        <v/>
      </c>
    </row>
    <row r="59" ht="20" customHeight="1">
      <c r="A59" s="3" t="inlineStr">
        <is>
          <t>dobradica-direita-superior-massey-ferguson-4383933m4</t>
        </is>
      </c>
      <c r="B59" s="24" t="inlineStr">
        <is>
          <t>Dobradiça Direita Superior — Massey Ferguson 4383933M4</t>
        </is>
      </c>
      <c r="C59" s="25" t="inlineStr">
        <is>
          <t>4383933M4</t>
        </is>
      </c>
      <c r="D59" s="3" t="inlineStr">
        <is>
          <t>AGCO (ADG)</t>
        </is>
      </c>
      <c r="E59" s="3" t="inlineStr">
        <is>
          <t>Peças para Plantadeira</t>
        </is>
      </c>
      <c r="F59" s="26" t="n">
        <v>0</v>
      </c>
      <c r="G59" s="27">
        <f>'⚙ Configurações'!$B$19</f>
        <v/>
      </c>
      <c r="H59" s="28">
        <f>F59*G59</f>
        <v/>
      </c>
      <c r="I59" s="28">
        <f>F59*'⚙ Configurações'!$B$20</f>
        <v/>
      </c>
      <c r="J59" s="27">
        <f>'⚙ Configurações'!$B$4+'⚙ Configurações'!$B$5</f>
        <v/>
      </c>
      <c r="K59" s="28">
        <f>(F59+H59+I59)*J59</f>
        <v/>
      </c>
      <c r="L59" s="27">
        <f>'⚙ Configurações'!$B$6+'⚙ Configurações'!$B$7+'⚙ Configurações'!$B$8</f>
        <v/>
      </c>
      <c r="M59" s="28">
        <f>N59*L59/(1-L59)</f>
        <v/>
      </c>
      <c r="N59" s="29">
        <f>F59+H59+I59+K59+M59</f>
        <v/>
      </c>
      <c r="O59" s="30">
        <f>'⚙ Configurações'!$B$13</f>
        <v/>
      </c>
      <c r="P59" s="29">
        <f>IF(O59&gt;=1,N59*2,N59/(1-O59))</f>
        <v/>
      </c>
      <c r="Q59" s="31">
        <f>IF(F59=0,0,ROUND('⚙ Configurações'!$B$23+MAX(0,(0.2-3)*'⚙ Configurações'!$B$29),2))</f>
        <v/>
      </c>
      <c r="R59" s="31">
        <f>IF(F59=0,0,ROUND('⚙ Configurações'!$B$24+MAX(0,(0.2-3)*'⚙ Configurações'!$B$29),2))</f>
        <v/>
      </c>
      <c r="S59" s="31">
        <f>IF(F59=0,0,ROUND('⚙ Configurações'!$B$25+MAX(0,(0.2-3)*'⚙ Configurações'!$B$29),2))</f>
        <v/>
      </c>
      <c r="T59" s="31">
        <f>IF(F59=0,0,ROUND('⚙ Configurações'!$B$26+MAX(0,(0.2-3)*'⚙ Configurações'!$B$29),2))</f>
        <v/>
      </c>
      <c r="U59" s="31">
        <f>IF(F59=0,0,ROUND('⚙ Configurações'!$B$27+MAX(0,(0.2-3)*'⚙ Configurações'!$B$29),2))</f>
        <v/>
      </c>
      <c r="V59" s="31">
        <f>IF(F59=0,0,ROUND('⚙ Configurações'!$B$28+MAX(0,(0.2-3)*'⚙ Configurações'!$B$29),2))</f>
        <v/>
      </c>
      <c r="W59" s="28">
        <f>IF(F59=0,0,ROUND(MAX('⚙ Configurações'!$B$30,P59*'⚙ Configurações'!$B$31),2))</f>
        <v/>
      </c>
      <c r="X59" s="32" t="n">
        <v>0.2</v>
      </c>
      <c r="Y59" s="33">
        <f>IF(P59=0,0,(P59-N59)/P59)</f>
        <v/>
      </c>
      <c r="Z59" s="34" t="n">
        <v>0</v>
      </c>
      <c r="AA59" s="34" t="n">
        <v>0</v>
      </c>
      <c r="AB59" s="35">
        <f>IF(P59&gt;0,ROUND(P59,2),"")</f>
        <v/>
      </c>
    </row>
    <row r="60" ht="20" customHeight="1">
      <c r="A60" s="3" t="inlineStr">
        <is>
          <t>dobradica-direita-inferior-massey-ferguson-4383934m4</t>
        </is>
      </c>
      <c r="B60" s="24" t="inlineStr">
        <is>
          <t>Dobradiça Direita Inferior — Massey Ferguson 4383934M4</t>
        </is>
      </c>
      <c r="C60" s="25" t="inlineStr">
        <is>
          <t>4383934M4</t>
        </is>
      </c>
      <c r="D60" s="3" t="inlineStr">
        <is>
          <t>AGCO (ADG)</t>
        </is>
      </c>
      <c r="E60" s="3" t="inlineStr">
        <is>
          <t>Peças para Plantadeira</t>
        </is>
      </c>
      <c r="F60" s="26" t="n">
        <v>0</v>
      </c>
      <c r="G60" s="27">
        <f>'⚙ Configurações'!$B$19</f>
        <v/>
      </c>
      <c r="H60" s="28">
        <f>F60*G60</f>
        <v/>
      </c>
      <c r="I60" s="28">
        <f>F60*'⚙ Configurações'!$B$20</f>
        <v/>
      </c>
      <c r="J60" s="27">
        <f>'⚙ Configurações'!$B$4+'⚙ Configurações'!$B$5</f>
        <v/>
      </c>
      <c r="K60" s="28">
        <f>(F60+H60+I60)*J60</f>
        <v/>
      </c>
      <c r="L60" s="27">
        <f>'⚙ Configurações'!$B$6+'⚙ Configurações'!$B$7+'⚙ Configurações'!$B$8</f>
        <v/>
      </c>
      <c r="M60" s="28">
        <f>N60*L60/(1-L60)</f>
        <v/>
      </c>
      <c r="N60" s="29">
        <f>F60+H60+I60+K60+M60</f>
        <v/>
      </c>
      <c r="O60" s="30">
        <f>'⚙ Configurações'!$B$13</f>
        <v/>
      </c>
      <c r="P60" s="29">
        <f>IF(O60&gt;=1,N60*2,N60/(1-O60))</f>
        <v/>
      </c>
      <c r="Q60" s="31">
        <f>IF(F60=0,0,ROUND('⚙ Configurações'!$B$23+MAX(0,(0.2-3)*'⚙ Configurações'!$B$29),2))</f>
        <v/>
      </c>
      <c r="R60" s="31">
        <f>IF(F60=0,0,ROUND('⚙ Configurações'!$B$24+MAX(0,(0.2-3)*'⚙ Configurações'!$B$29),2))</f>
        <v/>
      </c>
      <c r="S60" s="31">
        <f>IF(F60=0,0,ROUND('⚙ Configurações'!$B$25+MAX(0,(0.2-3)*'⚙ Configurações'!$B$29),2))</f>
        <v/>
      </c>
      <c r="T60" s="31">
        <f>IF(F60=0,0,ROUND('⚙ Configurações'!$B$26+MAX(0,(0.2-3)*'⚙ Configurações'!$B$29),2))</f>
        <v/>
      </c>
      <c r="U60" s="31">
        <f>IF(F60=0,0,ROUND('⚙ Configurações'!$B$27+MAX(0,(0.2-3)*'⚙ Configurações'!$B$29),2))</f>
        <v/>
      </c>
      <c r="V60" s="31">
        <f>IF(F60=0,0,ROUND('⚙ Configurações'!$B$28+MAX(0,(0.2-3)*'⚙ Configurações'!$B$29),2))</f>
        <v/>
      </c>
      <c r="W60" s="28">
        <f>IF(F60=0,0,ROUND(MAX('⚙ Configurações'!$B$30,P60*'⚙ Configurações'!$B$31),2))</f>
        <v/>
      </c>
      <c r="X60" s="32" t="n">
        <v>0.2</v>
      </c>
      <c r="Y60" s="33">
        <f>IF(P60=0,0,(P60-N60)/P60)</f>
        <v/>
      </c>
      <c r="Z60" s="34" t="n">
        <v>0</v>
      </c>
      <c r="AA60" s="34" t="n">
        <v>0</v>
      </c>
      <c r="AB60" s="35">
        <f>IF(P60&gt;0,ROUND(P60,2),"")</f>
        <v/>
      </c>
    </row>
    <row r="61" ht="20" customHeight="1">
      <c r="A61" s="3" t="inlineStr">
        <is>
          <t>defletor-do-radiador-agco-acx329796a</t>
        </is>
      </c>
      <c r="B61" s="24" t="inlineStr">
        <is>
          <t>Defletor do Radiador — AGCO ACX329796A</t>
        </is>
      </c>
      <c r="C61" s="25" t="inlineStr">
        <is>
          <t>ACX329796A</t>
        </is>
      </c>
      <c r="D61" s="3" t="inlineStr">
        <is>
          <t>AGCO (ADG)</t>
        </is>
      </c>
      <c r="E61" s="3" t="inlineStr">
        <is>
          <t>Peças para Trator</t>
        </is>
      </c>
      <c r="F61" s="26" t="n">
        <v>0</v>
      </c>
      <c r="G61" s="27">
        <f>'⚙ Configurações'!$B$19</f>
        <v/>
      </c>
      <c r="H61" s="28">
        <f>F61*G61</f>
        <v/>
      </c>
      <c r="I61" s="28">
        <f>F61*'⚙ Configurações'!$B$20</f>
        <v/>
      </c>
      <c r="J61" s="27">
        <f>'⚙ Configurações'!$B$4+'⚙ Configurações'!$B$5</f>
        <v/>
      </c>
      <c r="K61" s="28">
        <f>(F61+H61+I61)*J61</f>
        <v/>
      </c>
      <c r="L61" s="27">
        <f>'⚙ Configurações'!$B$6+'⚙ Configurações'!$B$7+'⚙ Configurações'!$B$8</f>
        <v/>
      </c>
      <c r="M61" s="28">
        <f>N61*L61/(1-L61)</f>
        <v/>
      </c>
      <c r="N61" s="29">
        <f>F61+H61+I61+K61+M61</f>
        <v/>
      </c>
      <c r="O61" s="30">
        <f>'⚙ Configurações'!$B$13</f>
        <v/>
      </c>
      <c r="P61" s="29">
        <f>IF(O61&gt;=1,N61*2,N61/(1-O61))</f>
        <v/>
      </c>
      <c r="Q61" s="31">
        <f>IF(F61=0,0,ROUND('⚙ Configurações'!$B$23+MAX(0,(0.3-3)*'⚙ Configurações'!$B$29),2))</f>
        <v/>
      </c>
      <c r="R61" s="31">
        <f>IF(F61=0,0,ROUND('⚙ Configurações'!$B$24+MAX(0,(0.3-3)*'⚙ Configurações'!$B$29),2))</f>
        <v/>
      </c>
      <c r="S61" s="31">
        <f>IF(F61=0,0,ROUND('⚙ Configurações'!$B$25+MAX(0,(0.3-3)*'⚙ Configurações'!$B$29),2))</f>
        <v/>
      </c>
      <c r="T61" s="31">
        <f>IF(F61=0,0,ROUND('⚙ Configurações'!$B$26+MAX(0,(0.3-3)*'⚙ Configurações'!$B$29),2))</f>
        <v/>
      </c>
      <c r="U61" s="31">
        <f>IF(F61=0,0,ROUND('⚙ Configurações'!$B$27+MAX(0,(0.3-3)*'⚙ Configurações'!$B$29),2))</f>
        <v/>
      </c>
      <c r="V61" s="31">
        <f>IF(F61=0,0,ROUND('⚙ Configurações'!$B$28+MAX(0,(0.3-3)*'⚙ Configurações'!$B$29),2))</f>
        <v/>
      </c>
      <c r="W61" s="28">
        <f>IF(F61=0,0,ROUND(MAX('⚙ Configurações'!$B$30,P61*'⚙ Configurações'!$B$31),2))</f>
        <v/>
      </c>
      <c r="X61" s="32" t="n">
        <v>0.3</v>
      </c>
      <c r="Y61" s="33">
        <f>IF(P61=0,0,(P61-N61)/P61)</f>
        <v/>
      </c>
      <c r="Z61" s="34" t="n">
        <v>0</v>
      </c>
      <c r="AA61" s="34" t="n">
        <v>0</v>
      </c>
      <c r="AB61" s="35">
        <f>IF(P61&gt;0,ROUND(P61,2),"")</f>
        <v/>
      </c>
    </row>
    <row r="63">
      <c r="A63" s="36" t="inlineStr">
        <is>
          <t>⭐ Colunas com estrela = preencher manualmente     🟡 Amarelo = input     🟢 Verde = calculado automaticamente     🟠 Laranja = frete por região (automático)</t>
        </is>
      </c>
    </row>
  </sheetData>
  <autoFilter ref="A3:AB61"/>
  <mergeCells count="10">
    <mergeCell ref="Q2:V2"/>
    <mergeCell ref="N2:P2"/>
    <mergeCell ref="A2:E2"/>
    <mergeCell ref="Z2:AA2"/>
    <mergeCell ref="A63:AB63"/>
    <mergeCell ref="F2:I2"/>
    <mergeCell ref="AB2"/>
    <mergeCell ref="A1:AB1"/>
    <mergeCell ref="J2:M2"/>
    <mergeCell ref="W2:Y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52" customWidth="1" min="2" max="2"/>
    <col width="22" customWidth="1" min="3" max="3"/>
    <col width="26" customWidth="1" min="4" max="4"/>
  </cols>
  <sheetData>
    <row r="1" ht="36" customHeight="1">
      <c r="A1" s="37" t="inlineStr">
        <is>
          <t>🛒  EXPORTAÇÃO SHOPIFY — Cole estes dados no Shopify Admin → Products → Import</t>
        </is>
      </c>
    </row>
    <row r="2" ht="14" customHeight="1">
      <c r="A2" s="38" t="inlineStr">
        <is>
          <t>Copie a coluna 'Variant Price' e cole no campo correspondente do master_products_import.csv para subir preços em lote.</t>
        </is>
      </c>
    </row>
    <row r="3" ht="24" customHeight="1">
      <c r="A3" s="17" t="inlineStr">
        <is>
          <t>Handle</t>
        </is>
      </c>
      <c r="B3" s="17" t="inlineStr">
        <is>
          <t>Título (ref.)</t>
        </is>
      </c>
      <c r="C3" s="17" t="inlineStr">
        <is>
          <t>Variant Price (R$)</t>
        </is>
      </c>
      <c r="D3" s="17" t="inlineStr">
        <is>
          <t>Variant Compare At Price (R$)</t>
        </is>
      </c>
    </row>
    <row r="4" ht="18" customHeight="1">
      <c r="A4" s="3" t="inlineStr">
        <is>
          <t>bomba-hidraulica-valtra-valmet-62-65-68-85-86-88-78el-boi-11-e5-p-b4-11-b4-l</t>
        </is>
      </c>
      <c r="B4" s="24" t="inlineStr">
        <is>
          <t>Bomba Hidráulica Valtra-Valmet 62/65/68/85/86/88/78EL — Principal</t>
        </is>
      </c>
      <c r="C4" s="39">
        <f>IF('💰 Formação de Preço'!P4&gt;0,ROUND('💰 Formação de Preço'!P4,2),"")</f>
        <v/>
      </c>
      <c r="D4" s="40">
        <f>IF('💰 Formação de Preço'!AA4&gt;0,ROUND('💰 Formação de Preço'!AA4,2),"")</f>
        <v/>
      </c>
    </row>
    <row r="5" ht="18" customHeight="1">
      <c r="A5" s="3" t="inlineStr">
        <is>
          <t>bomba-hidraulica-valtra-valmet-885-985-1280</t>
        </is>
      </c>
      <c r="B5" s="24" t="inlineStr">
        <is>
          <t>Bomba Hidráulica Principal Valtra-Valmet 885/985/1280</t>
        </is>
      </c>
      <c r="C5" s="39">
        <f>IF('💰 Formação de Preço'!P5&gt;0,ROUND('💰 Formação de Preço'!P5,2),"")</f>
        <v/>
      </c>
      <c r="D5" s="40">
        <f>IF('💰 Formação de Preço'!AA5&gt;0,ROUND('💰 Formação de Preço'!AA5,2),"")</f>
        <v/>
      </c>
    </row>
    <row r="6" ht="18" customHeight="1">
      <c r="A6" s="3" t="inlineStr">
        <is>
          <t>bomba-hidraulica-valtra-valmet-880-980-1780</t>
        </is>
      </c>
      <c r="B6" s="24" t="inlineStr">
        <is>
          <t>Bomba Hidráulica Principal Valtra-Valmet 880/980/1780</t>
        </is>
      </c>
      <c r="C6" s="39">
        <f>IF('💰 Formação de Preço'!P6&gt;0,ROUND('💰 Formação de Preço'!P6,2),"")</f>
        <v/>
      </c>
      <c r="D6" s="40">
        <f>IF('💰 Formação de Preço'!AA6&gt;0,ROUND('💰 Formação de Preço'!AA6,2),"")</f>
        <v/>
      </c>
    </row>
    <row r="7" ht="18" customHeight="1">
      <c r="A7" s="3" t="inlineStr">
        <is>
          <t>bomba-hidraulica-valtra-valmet-118es-128-138-148</t>
        </is>
      </c>
      <c r="B7" s="24" t="inlineStr">
        <is>
          <t>Bomba Hidráulica Principal Valtra-Valmet 118ES/128/138/148</t>
        </is>
      </c>
      <c r="C7" s="39">
        <f>IF('💰 Formação de Preço'!P7&gt;0,ROUND('💰 Formação de Preço'!P7,2),"")</f>
        <v/>
      </c>
      <c r="D7" s="40">
        <f>IF('💰 Formação de Preço'!AA7&gt;0,ROUND('💰 Formação de Preço'!AA7,2),"")</f>
        <v/>
      </c>
    </row>
    <row r="8" ht="18" customHeight="1">
      <c r="A8" s="3" t="inlineStr">
        <is>
          <t>bomba-hidraulica-dupla-valtra-valmet-bh160</t>
        </is>
      </c>
      <c r="B8" s="24" t="inlineStr">
        <is>
          <t>Bomba Hidráulica Dupla Valtra-Valmet BH160</t>
        </is>
      </c>
      <c r="C8" s="39">
        <f>IF('💰 Formação de Preço'!P8&gt;0,ROUND('💰 Formação de Preço'!P8,2),"")</f>
        <v/>
      </c>
      <c r="D8" s="40">
        <f>IF('💰 Formação de Preço'!AA8&gt;0,ROUND('💰 Formação de Preço'!AA8,2),"")</f>
        <v/>
      </c>
    </row>
    <row r="9" ht="18" customHeight="1">
      <c r="A9" s="3" t="inlineStr">
        <is>
          <t>bomba-hidraulica-massey-ferguson-mf85x-185-275-285-290-boi-5-5-c10-c10-c6-t10</t>
        </is>
      </c>
      <c r="B9" s="24" t="inlineStr">
        <is>
          <t>Bomba Hidráulica Massey Ferguson MF85X/185/275/285/290 — Direção</t>
        </is>
      </c>
      <c r="C9" s="39">
        <f>IF('💰 Formação de Preço'!P9&gt;0,ROUND('💰 Formação de Preço'!P9,2),"")</f>
        <v/>
      </c>
      <c r="D9" s="40">
        <f>IF('💰 Formação de Preço'!AA9&gt;0,ROUND('💰 Formação de Preço'!AA9,2),"")</f>
        <v/>
      </c>
    </row>
    <row r="10" ht="18" customHeight="1">
      <c r="A10" s="3" t="inlineStr">
        <is>
          <t>bomba-hidraulica-massey-ferguson-mf290-292-4x2-4x4-boi-7-b11-c11-a15-11-a42-l1</t>
        </is>
      </c>
      <c r="B10" s="24" t="inlineStr">
        <is>
          <t>Bomba Hidráulica Massey Ferguson MF290/292 4x4 — Principal e Direção</t>
        </is>
      </c>
      <c r="C10" s="39">
        <f>IF('💰 Formação de Preço'!P10&gt;0,ROUND('💰 Formação de Preço'!P10,2),"")</f>
        <v/>
      </c>
      <c r="D10" s="40">
        <f>IF('💰 Formação de Preço'!AA10&gt;0,ROUND('💰 Formação de Preço'!AA10,2),"")</f>
        <v/>
      </c>
    </row>
    <row r="11" ht="18" customHeight="1">
      <c r="A11" s="3" t="inlineStr">
        <is>
          <t>bomba-hidraulica-massey-ferguson-296-4-297-4-299-4-boi-16-b9-p5-a42-19-a42-l1</t>
        </is>
      </c>
      <c r="B11" s="24" t="inlineStr">
        <is>
          <t>Bomba Hidráulica Massey Ferguson 296-4/297-4/299-4 — Principal</t>
        </is>
      </c>
      <c r="C11" s="39">
        <f>IF('💰 Formação de Preço'!P11&gt;0,ROUND('💰 Formação de Preço'!P11,2),"")</f>
        <v/>
      </c>
      <c r="D11" s="40">
        <f>IF('💰 Formação de Preço'!AA11&gt;0,ROUND('💰 Formação de Preço'!AA11,2),"")</f>
        <v/>
      </c>
    </row>
    <row r="12" ht="18" customHeight="1">
      <c r="A12" s="3" t="inlineStr">
        <is>
          <t>bomba-hidraulica-massey-ferguson-283-290-292-l5000-boi-7-b11-c12-a-11-a-l</t>
        </is>
      </c>
      <c r="B12" s="24" t="inlineStr">
        <is>
          <t>Bomba Hidráulica Massey Ferguson 283/290/292/L5000 — Direção e Levante</t>
        </is>
      </c>
      <c r="C12" s="39">
        <f>IF('💰 Formação de Preço'!P12&gt;0,ROUND('💰 Formação de Preço'!P12,2),"")</f>
        <v/>
      </c>
      <c r="D12" s="40">
        <f>IF('💰 Formação de Preço'!AA12&gt;0,ROUND('💰 Formação de Preço'!AA12,2),"")</f>
        <v/>
      </c>
    </row>
    <row r="13" ht="18" customHeight="1">
      <c r="A13" s="3" t="inlineStr">
        <is>
          <t>bomba-direcao-massey-ferguson-194-4f-362-390</t>
        </is>
      </c>
      <c r="B13" s="24" t="inlineStr">
        <is>
          <t>Bomba de Direção Massey Ferguson 194-4F/362/365/372/390</t>
        </is>
      </c>
      <c r="C13" s="39">
        <f>IF('💰 Formação de Preço'!P13&gt;0,ROUND('💰 Formação de Preço'!P13,2),"")</f>
        <v/>
      </c>
      <c r="D13" s="40">
        <f>IF('💰 Formação de Preço'!AA13&gt;0,ROUND('💰 Formação de Preço'!AA13,2),"")</f>
        <v/>
      </c>
    </row>
    <row r="14" ht="18" customHeight="1">
      <c r="A14" s="3" t="inlineStr">
        <is>
          <t>bomba-hidraulica-massey-ferguson-mf-a013</t>
        </is>
      </c>
      <c r="B14" s="24" t="inlineStr">
        <is>
          <t>Bomba Hidráulica Massey Ferguson MF A-013 — Direção e Levante 3000/6000</t>
        </is>
      </c>
      <c r="C14" s="39">
        <f>IF('💰 Formação de Preço'!P14&gt;0,ROUND('💰 Formação de Preço'!P14,2),"")</f>
        <v/>
      </c>
      <c r="D14" s="40">
        <f>IF('💰 Formação de Preço'!AA14&gt;0,ROUND('💰 Formação de Preço'!AA14,2),"")</f>
        <v/>
      </c>
    </row>
    <row r="15" ht="18" customHeight="1">
      <c r="A15" s="3" t="inlineStr">
        <is>
          <t>bomba-hidraulica-massey-ferguson-mf-a004-4215-4255</t>
        </is>
      </c>
      <c r="B15" s="24" t="inlineStr">
        <is>
          <t>Bomba Hidráulica Massey Ferguson MF A-004 — 4215/4220/4235/4255</t>
        </is>
      </c>
      <c r="C15" s="39">
        <f>IF('💰 Formação de Preço'!P15&gt;0,ROUND('💰 Formação de Preço'!P15,2),"")</f>
        <v/>
      </c>
      <c r="D15" s="40">
        <f>IF('💰 Formação de Preço'!AA15&gt;0,ROUND('💰 Formação de Preço'!AA15,2),"")</f>
        <v/>
      </c>
    </row>
    <row r="16" ht="18" customHeight="1">
      <c r="A16" s="3" t="inlineStr">
        <is>
          <t>bomba-hidraulica-massey-ferguson-mf-a016-4299</t>
        </is>
      </c>
      <c r="B16" s="24" t="inlineStr">
        <is>
          <t>Bomba Hidráulica Massey Ferguson MF A-016 — Trator 4299</t>
        </is>
      </c>
      <c r="C16" s="39">
        <f>IF('💰 Formação de Preço'!P16&gt;0,ROUND('💰 Formação de Preço'!P16,2),"")</f>
        <v/>
      </c>
      <c r="D16" s="40">
        <f>IF('💰 Formação de Preço'!AA16&gt;0,ROUND('💰 Formação de Preço'!AA16,2),"")</f>
        <v/>
      </c>
    </row>
    <row r="17" ht="18" customHeight="1">
      <c r="A17" s="3" t="inlineStr">
        <is>
          <t>bomba-hidraulica-ford-new-holland-cnh-a001</t>
        </is>
      </c>
      <c r="B17" s="24" t="inlineStr">
        <is>
          <t>Bomba Hidráulica Ford New Holland CNH A-001 — 5600/6600/7600/7700</t>
        </is>
      </c>
      <c r="C17" s="39">
        <f>IF('💰 Formação de Preço'!P17&gt;0,ROUND('💰 Formação de Preço'!P17,2),"")</f>
        <v/>
      </c>
      <c r="D17" s="40">
        <f>IF('💰 Formação de Preço'!AA17&gt;0,ROUND('💰 Formação de Preço'!AA17,2),"")</f>
        <v/>
      </c>
    </row>
    <row r="18" ht="18" customHeight="1">
      <c r="A18" s="3" t="inlineStr">
        <is>
          <t>bomba-hidraulica-ford-new-holland-cnh-a002-5610-7810</t>
        </is>
      </c>
      <c r="B18" s="24" t="inlineStr">
        <is>
          <t>Bomba Hidráulica Principal Ford New Holland CNH A-002 — 5610/7610/7810</t>
        </is>
      </c>
      <c r="C18" s="39">
        <f>IF('💰 Formação de Preço'!P18&gt;0,ROUND('💰 Formação de Preço'!P18,2),"")</f>
        <v/>
      </c>
      <c r="D18" s="40">
        <f>IF('💰 Formação de Preço'!AA18&gt;0,ROUND('💰 Formação de Preço'!AA18,2),"")</f>
        <v/>
      </c>
    </row>
    <row r="19" ht="18" customHeight="1">
      <c r="A19" s="3" t="inlineStr">
        <is>
          <t>bomba-hidraulica-ford-new-holland-cnh-a004-340-4630</t>
        </is>
      </c>
      <c r="B19" s="24" t="inlineStr">
        <is>
          <t>Bomba Hidráulica Ford New Holland CNH A-004 — 340/2910/3930/4630</t>
        </is>
      </c>
      <c r="C19" s="39">
        <f>IF('💰 Formação de Preço'!P19&gt;0,ROUND('💰 Formação de Preço'!P19,2),"")</f>
        <v/>
      </c>
      <c r="D19" s="40">
        <f>IF('💰 Formação de Preço'!AA19&gt;0,ROUND('💰 Formação de Preço'!AA19,2),"")</f>
        <v/>
      </c>
    </row>
    <row r="20" ht="18" customHeight="1">
      <c r="A20" s="3" t="inlineStr">
        <is>
          <t>bomba-hidraulica-cnh-a008-ford-new-holland</t>
        </is>
      </c>
      <c r="B20" s="24" t="inlineStr">
        <is>
          <t>Bomba Hidráulica Ford New Holland CNH A-008 — Série TB/TS</t>
        </is>
      </c>
      <c r="C20" s="39">
        <f>IF('💰 Formação de Preço'!P20&gt;0,ROUND('💰 Formação de Preço'!P20,2),"")</f>
        <v/>
      </c>
      <c r="D20" s="40">
        <f>IF('💰 Formação de Preço'!AA20&gt;0,ROUND('💰 Formação de Preço'!AA20,2),"")</f>
        <v/>
      </c>
    </row>
    <row r="21" ht="18" customHeight="1">
      <c r="A21" s="3" t="inlineStr">
        <is>
          <t>bomba-hidraulica-cnh-a017-ford-new-holland-ts6000</t>
        </is>
      </c>
      <c r="B21" s="24" t="inlineStr">
        <is>
          <t>Bomba Hidráulica Ford New Holland CNH A-017 — Série TS6000</t>
        </is>
      </c>
      <c r="C21" s="39">
        <f>IF('💰 Formação de Preço'!P21&gt;0,ROUND('💰 Formação de Preço'!P21,2),"")</f>
        <v/>
      </c>
      <c r="D21" s="40">
        <f>IF('💰 Formação de Preço'!AA21&gt;0,ROUND('💰 Formação de Preço'!AA21,2),"")</f>
        <v/>
      </c>
    </row>
    <row r="22" ht="18" customHeight="1">
      <c r="A22" s="3" t="inlineStr">
        <is>
          <t>bomba-hidraulica-new-holland-tc57-bomba-aplicacao-cnh-a-020</t>
        </is>
      </c>
      <c r="B22" s="24" t="inlineStr">
        <is>
          <t>Bomba Hidráulica New Holland TC57 — Colhedeira CNH A-020</t>
        </is>
      </c>
      <c r="C22" s="39">
        <f>IF('💰 Formação de Preço'!P22&gt;0,ROUND('💰 Formação de Preço'!P22,2),"")</f>
        <v/>
      </c>
      <c r="D22" s="40">
        <f>IF('💰 Formação de Preço'!AA22&gt;0,ROUND('💰 Formação de Preço'!AA22,2),"")</f>
        <v/>
      </c>
    </row>
    <row r="23" ht="18" customHeight="1">
      <c r="A23" s="3" t="inlineStr">
        <is>
          <t>bomba-hidraulica-cnh-a024-new-holland-t6</t>
        </is>
      </c>
      <c r="B23" s="24" t="inlineStr">
        <is>
          <t>Bomba Hidráulica New Holland CNH A-024 — Série T6</t>
        </is>
      </c>
      <c r="C23" s="39">
        <f>IF('💰 Formação de Preço'!P23&gt;0,ROUND('💰 Formação de Preço'!P23,2),"")</f>
        <v/>
      </c>
      <c r="D23" s="40">
        <f>IF('💰 Formação de Preço'!AA23&gt;0,ROUND('💰 Formação de Preço'!AA23,2),"")</f>
        <v/>
      </c>
    </row>
    <row r="24" ht="18" customHeight="1">
      <c r="A24" s="3" t="inlineStr">
        <is>
          <t>bomba-hidraulica-john-deere-a003-serie-6000</t>
        </is>
      </c>
      <c r="B24" s="24" t="inlineStr">
        <is>
          <t>Bomba Hidráulica Principal John Deere A-003 — Série 6000</t>
        </is>
      </c>
      <c r="C24" s="39">
        <f>IF('💰 Formação de Preço'!P24&gt;0,ROUND('💰 Formação de Preço'!P24,2),"")</f>
        <v/>
      </c>
      <c r="D24" s="40">
        <f>IF('💰 Formação de Preço'!AA24&gt;0,ROUND('💰 Formação de Preço'!AA24,2),"")</f>
        <v/>
      </c>
    </row>
    <row r="25" ht="18" customHeight="1">
      <c r="A25" s="3" t="inlineStr">
        <is>
          <t>bomba-direcao-levante-john-deere-a004</t>
        </is>
      </c>
      <c r="B25" s="24" t="inlineStr">
        <is>
          <t>Bomba Hidráulica Direção e Levante John Deere A-004 — Série 5000/6000</t>
        </is>
      </c>
      <c r="C25" s="39">
        <f>IF('💰 Formação de Preço'!P25&gt;0,ROUND('💰 Formação de Preço'!P25,2),"")</f>
        <v/>
      </c>
      <c r="D25" s="40">
        <f>IF('💰 Formação de Preço'!AA25&gt;0,ROUND('💰 Formação de Preço'!AA25,2),"")</f>
        <v/>
      </c>
    </row>
    <row r="26" ht="18" customHeight="1">
      <c r="A26" s="3" t="inlineStr">
        <is>
          <t>bomba-hidraulica-john-deere-serie-5000-5003-5010-5020-6000-bomba-aplicacao-jd-a-005</t>
        </is>
      </c>
      <c r="B26" s="24" t="inlineStr">
        <is>
          <t>Bomba Hidráulica John Deere A-005 — Série 5000/5010/5020/6000</t>
        </is>
      </c>
      <c r="C26" s="39">
        <f>IF('💰 Formação de Preço'!P26&gt;0,ROUND('💰 Formação de Preço'!P26,2),"")</f>
        <v/>
      </c>
      <c r="D26" s="40">
        <f>IF('💰 Formação de Preço'!AA26&gt;0,ROUND('💰 Formação de Preço'!AA26,2),"")</f>
        <v/>
      </c>
    </row>
    <row r="27" ht="18" customHeight="1">
      <c r="A27" s="3" t="inlineStr">
        <is>
          <t>bomba-hidraulica-john-deere-colhedeira-1150-1165-1185-7300-7500-8500-boi-11-b9-p4-a42</t>
        </is>
      </c>
      <c r="B27" s="24" t="inlineStr">
        <is>
          <t>Bomba Hidráulica John Deere Colhedeira 1150/1165/1185/7300/7500/8500</t>
        </is>
      </c>
      <c r="C27" s="39">
        <f>IF('💰 Formação de Preço'!P27&gt;0,ROUND('💰 Formação de Preço'!P27,2),"")</f>
        <v/>
      </c>
      <c r="D27" s="40">
        <f>IF('💰 Formação de Preço'!AA27&gt;0,ROUND('💰 Formação de Preço'!AA27,2),"")</f>
        <v/>
      </c>
    </row>
    <row r="28" ht="18" customHeight="1">
      <c r="A28" s="3" t="inlineStr">
        <is>
          <t>sensor-fluxo-sflx2-agral</t>
        </is>
      </c>
      <c r="B28" s="24" t="inlineStr">
        <is>
          <t>Sensor de Fluxo SFLX2 — Agral | Plantadeiras de Precisão</t>
        </is>
      </c>
      <c r="C28" s="39">
        <f>IF('💰 Formação de Preço'!P28&gt;0,ROUND('💰 Formação de Preço'!P28,2),"")</f>
        <v/>
      </c>
      <c r="D28" s="40">
        <f>IF('💰 Formação de Preço'!AA28&gt;0,ROUND('💰 Formação de Preço'!AA28,2),"")</f>
        <v/>
      </c>
    </row>
    <row r="29" ht="18" customHeight="1">
      <c r="A29" s="3" t="inlineStr">
        <is>
          <t>sensor-semente-pul2-agral</t>
        </is>
      </c>
      <c r="B29" s="24" t="inlineStr">
        <is>
          <t>Sensor de Semente PUL-2 — Agral | Plantadeiras de Precisão</t>
        </is>
      </c>
      <c r="C29" s="39">
        <f>IF('💰 Formação de Preço'!P29&gt;0,ROUND('💰 Formação de Preço'!P29,2),"")</f>
        <v/>
      </c>
      <c r="D29" s="40">
        <f>IF('💰 Formação de Preço'!AA29&gt;0,ROUND('💰 Formação de Preço'!AA29,2),"")</f>
        <v/>
      </c>
    </row>
    <row r="30" ht="18" customHeight="1">
      <c r="A30" s="3" t="inlineStr">
        <is>
          <t>gps-agricola-gr200-greco-agro-tech-navegacao-de-precisao</t>
        </is>
      </c>
      <c r="B30" s="24" t="inlineStr">
        <is>
          <t>GPS Agrícola GR200 — Greco Agro Tech | Navegação de Precisão</t>
        </is>
      </c>
      <c r="C30" s="39">
        <f>IF('💰 Formação de Preço'!P30&gt;0,ROUND('💰 Formação de Preço'!P30,2),"")</f>
        <v/>
      </c>
      <c r="D30" s="40">
        <f>IF('💰 Formação de Preço'!AA30&gt;0,ROUND('💰 Formação de Preço'!AA30,2),"")</f>
        <v/>
      </c>
    </row>
    <row r="31" ht="18" customHeight="1">
      <c r="A31" s="3" t="inlineStr">
        <is>
          <t>kit-de-iluminacao-noturna-pulverizacao-greco-agro-tech</t>
        </is>
      </c>
      <c r="B31" s="24" t="inlineStr">
        <is>
          <t>Kit de Iluminação Noturna Pulverização — Greco Agro Tech</t>
        </is>
      </c>
      <c r="C31" s="39">
        <f>IF('💰 Formação de Preço'!P31&gt;0,ROUND('💰 Formação de Preço'!P31,2),"")</f>
        <v/>
      </c>
      <c r="D31" s="40">
        <f>IF('💰 Formação de Preço'!AA31&gt;0,ROUND('💰 Formação de Preço'!AA31,2),"")</f>
        <v/>
      </c>
    </row>
    <row r="32" ht="18" customHeight="1">
      <c r="A32" s="3" t="inlineStr">
        <is>
          <t>kit-ponta-de-cerca-greco-agro-tech</t>
        </is>
      </c>
      <c r="B32" s="24" t="inlineStr">
        <is>
          <t>Kit Ponta de Cerca — Greco Agro Tech</t>
        </is>
      </c>
      <c r="C32" s="39">
        <f>IF('💰 Formação de Preço'!P32&gt;0,ROUND('💰 Formação de Preço'!P32,2),"")</f>
        <v/>
      </c>
      <c r="D32" s="40">
        <f>IF('💰 Formação de Preço'!AA32&gt;0,ROUND('💰 Formação de Preço'!AA32,2),"")</f>
        <v/>
      </c>
    </row>
    <row r="33" ht="18" customHeight="1">
      <c r="A33" s="3" t="inlineStr">
        <is>
          <t>sensor-de-levante-haste-greco-agro-tech-precision-planting-pm400</t>
        </is>
      </c>
      <c r="B33" s="24" t="inlineStr">
        <is>
          <t>Sensor de Levante Haste — Greco Agro Tech | Precision Planting PM400</t>
        </is>
      </c>
      <c r="C33" s="39">
        <f>IF('💰 Formação de Preço'!P33&gt;0,ROUND('💰 Formação de Preço'!P33,2),"")</f>
        <v/>
      </c>
      <c r="D33" s="40">
        <f>IF('💰 Formação de Preço'!AA33&gt;0,ROUND('💰 Formação de Preço'!AA33,2),"")</f>
        <v/>
      </c>
    </row>
    <row r="34" ht="18" customHeight="1">
      <c r="A34" s="3" t="inlineStr">
        <is>
          <t>sensor-de-levante-corrente-greco-agro-tech-precision-planting-pm400</t>
        </is>
      </c>
      <c r="B34" s="24" t="inlineStr">
        <is>
          <t>Sensor de Levante Corrente — Greco Agro Tech | Precision Planting PM400</t>
        </is>
      </c>
      <c r="C34" s="39">
        <f>IF('💰 Formação de Preço'!P34&gt;0,ROUND('💰 Formação de Preço'!P34,2),"")</f>
        <v/>
      </c>
      <c r="D34" s="40">
        <f>IF('💰 Formação de Preço'!AA34&gt;0,ROUND('💰 Formação de Preço'!AA34,2),"")</f>
        <v/>
      </c>
    </row>
    <row r="35" ht="18" customHeight="1">
      <c r="A35" s="3" t="inlineStr">
        <is>
          <t>monitor-de-fluxo-de-sementes-gr500-greco-agro-tech</t>
        </is>
      </c>
      <c r="B35" s="24" t="inlineStr">
        <is>
          <t>Monitor de Fluxo de Sementes GR500 — Greco Agro Tech</t>
        </is>
      </c>
      <c r="C35" s="39">
        <f>IF('💰 Formação de Preço'!P35&gt;0,ROUND('💰 Formação de Preço'!P35,2),"")</f>
        <v/>
      </c>
      <c r="D35" s="40">
        <f>IF('💰 Formação de Preço'!AA35&gt;0,ROUND('💰 Formação de Preço'!AA35,2),"")</f>
        <v/>
      </c>
    </row>
    <row r="36" ht="18" customHeight="1">
      <c r="A36" s="3" t="inlineStr">
        <is>
          <t>sensor-de-fluxo-25-4mm-greco-agro-tech-precision-planting-pm400</t>
        </is>
      </c>
      <c r="B36" s="24" t="inlineStr">
        <is>
          <t>Sensor de Fluxo 25,4mm — Greco Agro Tech | Precision Planting PM400</t>
        </is>
      </c>
      <c r="C36" s="39">
        <f>IF('💰 Formação de Preço'!P36&gt;0,ROUND('💰 Formação de Preço'!P36,2),"")</f>
        <v/>
      </c>
      <c r="D36" s="40">
        <f>IF('💰 Formação de Preço'!AA36&gt;0,ROUND('💰 Formação de Preço'!AA36,2),"")</f>
        <v/>
      </c>
    </row>
    <row r="37" ht="18" customHeight="1">
      <c r="A37" s="3" t="inlineStr">
        <is>
          <t>sensor-de-fluxo-32mm-greco-agro-tech-precision-planting-pm400</t>
        </is>
      </c>
      <c r="B37" s="24" t="inlineStr">
        <is>
          <t>Sensor de Fluxo 32mm — Greco Agro Tech | Precision Planting PM400</t>
        </is>
      </c>
      <c r="C37" s="39">
        <f>IF('💰 Formação de Preço'!P37&gt;0,ROUND('💰 Formação de Preço'!P37,2),"")</f>
        <v/>
      </c>
      <c r="D37" s="40">
        <f>IF('💰 Formação de Preço'!AA37&gt;0,ROUND('💰 Formação de Preço'!AA37,2),"")</f>
        <v/>
      </c>
    </row>
    <row r="38" ht="18" customHeight="1">
      <c r="A38" s="3" t="inlineStr">
        <is>
          <t>sensor-de-fluxo-50-8mm-greco-agro-tech-precision-planting-pm400</t>
        </is>
      </c>
      <c r="B38" s="24" t="inlineStr">
        <is>
          <t>Sensor de Fluxo 50,8mm — Greco Agro Tech | Precision Planting PM400</t>
        </is>
      </c>
      <c r="C38" s="39">
        <f>IF('💰 Formação de Preço'!P38&gt;0,ROUND('💰 Formação de Preço'!P38,2),"")</f>
        <v/>
      </c>
      <c r="D38" s="40">
        <f>IF('💰 Formação de Preço'!AA38&gt;0,ROUND('💰 Formação de Preço'!AA38,2),"")</f>
        <v/>
      </c>
    </row>
    <row r="39" ht="18" customHeight="1">
      <c r="A39" s="3" t="inlineStr">
        <is>
          <t>sensor-de-semente-greco-agro-tech-precision-planting-pm400</t>
        </is>
      </c>
      <c r="B39" s="24" t="inlineStr">
        <is>
          <t>Sensor de Semente — Greco Agro Tech | Precision Planting PM400</t>
        </is>
      </c>
      <c r="C39" s="39">
        <f>IF('💰 Formação de Preço'!P39&gt;0,ROUND('💰 Formação de Preço'!P39,2),"")</f>
        <v/>
      </c>
      <c r="D39" s="40">
        <f>IF('💰 Formação de Preço'!AA39&gt;0,ROUND('💰 Formação de Preço'!AA39,2),"")</f>
        <v/>
      </c>
    </row>
    <row r="40" ht="18" customHeight="1">
      <c r="A40" s="3" t="inlineStr">
        <is>
          <t>suporte-do-dosador-agco-acx3266690-plantadeira-momentum</t>
        </is>
      </c>
      <c r="B40" s="24" t="inlineStr">
        <is>
          <t>Suporte do Dosador — AGCO ACX3266690 | Plantadeira Momentum</t>
        </is>
      </c>
      <c r="C40" s="39">
        <f>IF('💰 Formação de Preço'!P40&gt;0,ROUND('💰 Formação de Preço'!P40,2),"")</f>
        <v/>
      </c>
      <c r="D40" s="40">
        <f>IF('💰 Formação de Preço'!AA40&gt;0,ROUND('💰 Formação de Preço'!AA40,2),"")</f>
        <v/>
      </c>
    </row>
    <row r="41" ht="18" customHeight="1">
      <c r="A41" s="3" t="inlineStr">
        <is>
          <t>conjunto-montado-reservatorio-de-sementes-mecanico-agco-acx3454710</t>
        </is>
      </c>
      <c r="B41" s="24" t="inlineStr">
        <is>
          <t>Conjunto Montado Reservatório de Sementes Mecânico — AGCO ACX3454710</t>
        </is>
      </c>
      <c r="C41" s="39">
        <f>IF('💰 Formação de Preço'!P41&gt;0,ROUND('💰 Formação de Preço'!P41,2),"")</f>
        <v/>
      </c>
      <c r="D41" s="40">
        <f>IF('💰 Formação de Preço'!AA41&gt;0,ROUND('💰 Formação de Preço'!AA41,2),"")</f>
        <v/>
      </c>
    </row>
    <row r="42" ht="18" customHeight="1">
      <c r="A42" s="3" t="inlineStr">
        <is>
          <t>condutor-de-sementes-para-sensor-agco-acw0551840</t>
        </is>
      </c>
      <c r="B42" s="24" t="inlineStr">
        <is>
          <t>Condutor de Sementes para Sensor — AGCO ACW0551840</t>
        </is>
      </c>
      <c r="C42" s="39">
        <f>IF('💰 Formação de Preço'!P42&gt;0,ROUND('💰 Formação de Preço'!P42,2),"")</f>
        <v/>
      </c>
      <c r="D42" s="40">
        <f>IF('💰 Formação de Preço'!AA42&gt;0,ROUND('💰 Formação de Preço'!AA42,2),"")</f>
        <v/>
      </c>
    </row>
    <row r="43" ht="18" customHeight="1">
      <c r="A43" s="3" t="inlineStr">
        <is>
          <t>condutor-reto-de-sementes-agco-33070004</t>
        </is>
      </c>
      <c r="B43" s="24" t="inlineStr">
        <is>
          <t>Condutor Reto de Sementes — AGCO 33070004</t>
        </is>
      </c>
      <c r="C43" s="39">
        <f>IF('💰 Formação de Preço'!P43&gt;0,ROUND('💰 Formação de Preço'!P43,2),"")</f>
        <v/>
      </c>
      <c r="D43" s="40">
        <f>IF('💰 Formação de Preço'!AA43&gt;0,ROUND('💰 Formação de Preço'!AA43,2),"")</f>
        <v/>
      </c>
    </row>
    <row r="44" ht="18" customHeight="1">
      <c r="A44" s="3" t="inlineStr">
        <is>
          <t>tampa-maior-do-tubo-agco-acx3473430</t>
        </is>
      </c>
      <c r="B44" s="24" t="inlineStr">
        <is>
          <t>Tampa Maior do Tubo — AGCO ACX3473430</t>
        </is>
      </c>
      <c r="C44" s="39">
        <f>IF('💰 Formação de Preço'!P44&gt;0,ROUND('💰 Formação de Preço'!P44,2),"")</f>
        <v/>
      </c>
      <c r="D44" s="40">
        <f>IF('💰 Formação de Preço'!AA44&gt;0,ROUND('💰 Formação de Preço'!AA44,2),"")</f>
        <v/>
      </c>
    </row>
    <row r="45" ht="18" customHeight="1">
      <c r="A45" s="3" t="inlineStr">
        <is>
          <t>copo-venturi-b-agco-acx363311b-dosador-pneumatico</t>
        </is>
      </c>
      <c r="B45" s="24" t="inlineStr">
        <is>
          <t>Copo Venturi B — AGCO ACX363311B | Dosador Pneumático</t>
        </is>
      </c>
      <c r="C45" s="39">
        <f>IF('💰 Formação de Preço'!P45&gt;0,ROUND('💰 Formação de Preço'!P45,2),"")</f>
        <v/>
      </c>
      <c r="D45" s="40">
        <f>IF('💰 Formação de Preço'!AA45&gt;0,ROUND('💰 Formação de Preço'!AA45,2),"")</f>
        <v/>
      </c>
    </row>
    <row r="46" ht="18" customHeight="1">
      <c r="A46" s="3" t="inlineStr">
        <is>
          <t>copo-venturi-c-agco-acx363311c-dosador-pneumatico</t>
        </is>
      </c>
      <c r="B46" s="24" t="inlineStr">
        <is>
          <t>Copo Venturi C — AGCO ACX363311C | Dosador Pneumático</t>
        </is>
      </c>
      <c r="C46" s="39">
        <f>IF('💰 Formação de Preço'!P46&gt;0,ROUND('💰 Formação de Preço'!P46,2),"")</f>
        <v/>
      </c>
      <c r="D46" s="40">
        <f>IF('💰 Formação de Preço'!AA46&gt;0,ROUND('💰 Formação de Preço'!AA46,2),"")</f>
        <v/>
      </c>
    </row>
    <row r="47" ht="18" customHeight="1">
      <c r="A47" s="3" t="inlineStr">
        <is>
          <t>copo-venturi-agco-acx3601860-dosador-pneumatico</t>
        </is>
      </c>
      <c r="B47" s="24" t="inlineStr">
        <is>
          <t>Copo Venturi — AGCO ACX3601860 | Dosador Pneumático</t>
        </is>
      </c>
      <c r="C47" s="39">
        <f>IF('💰 Formação de Preço'!P47&gt;0,ROUND('💰 Formação de Preço'!P47,2),"")</f>
        <v/>
      </c>
      <c r="D47" s="40">
        <f>IF('💰 Formação de Preço'!AA47&gt;0,ROUND('💰 Formação de Preço'!AA47,2),"")</f>
        <v/>
      </c>
    </row>
    <row r="48" ht="18" customHeight="1">
      <c r="A48" s="3" t="inlineStr">
        <is>
          <t>vedacao-tubo-de-ar-agco-acx283890a-sistema-pneumatico</t>
        </is>
      </c>
      <c r="B48" s="24" t="inlineStr">
        <is>
          <t>Vedação Tubo de Ar — AGCO ACX283890A | Sistema Pneumático</t>
        </is>
      </c>
      <c r="C48" s="39">
        <f>IF('💰 Formação de Preço'!P48&gt;0,ROUND('💰 Formação de Preço'!P48,2),"")</f>
        <v/>
      </c>
      <c r="D48" s="40">
        <f>IF('💰 Formação de Preço'!AA48&gt;0,ROUND('💰 Formação de Preço'!AA48,2),"")</f>
        <v/>
      </c>
    </row>
    <row r="49" ht="18" customHeight="1">
      <c r="A49" s="3" t="inlineStr">
        <is>
          <t>manipulo-pneumatico-agco-acx310603a</t>
        </is>
      </c>
      <c r="B49" s="24" t="inlineStr">
        <is>
          <t>Manípulo Pneumático — AGCO ACX310603A</t>
        </is>
      </c>
      <c r="C49" s="39">
        <f>IF('💰 Formação de Preço'!P49&gt;0,ROUND('💰 Formação de Preço'!P49,2),"")</f>
        <v/>
      </c>
      <c r="D49" s="40">
        <f>IF('💰 Formação de Preço'!AA49&gt;0,ROUND('💰 Formação de Preço'!AA49,2),"")</f>
        <v/>
      </c>
    </row>
    <row r="50" ht="18" customHeight="1">
      <c r="A50" s="3" t="inlineStr">
        <is>
          <t>conjunto-adaptador-de-vacuo-agco-acx2414460</t>
        </is>
      </c>
      <c r="B50" s="24" t="inlineStr">
        <is>
          <t>Conjunto Adaptador de Vácuo — AGCO ACX2414460</t>
        </is>
      </c>
      <c r="C50" s="39">
        <f>IF('💰 Formação de Preço'!P50&gt;0,ROUND('💰 Formação de Preço'!P50,2),"")</f>
        <v/>
      </c>
      <c r="D50" s="40">
        <f>IF('💰 Formação de Preço'!AA50&gt;0,ROUND('💰 Formação de Preço'!AA50,2),"")</f>
        <v/>
      </c>
    </row>
    <row r="51" ht="18" customHeight="1">
      <c r="A51" s="3" t="inlineStr">
        <is>
          <t>bocal-cotovelo-de-vacuo-agco-acx3371800</t>
        </is>
      </c>
      <c r="B51" s="24" t="inlineStr">
        <is>
          <t>Bocal Cotovelo de Vácuo — AGCO ACX3371800</t>
        </is>
      </c>
      <c r="C51" s="39">
        <f>IF('💰 Formação de Preço'!P51&gt;0,ROUND('💰 Formação de Preço'!P51,2),"")</f>
        <v/>
      </c>
      <c r="D51" s="40">
        <f>IF('💰 Formação de Preço'!AA51&gt;0,ROUND('💰 Formação de Preço'!AA51,2),"")</f>
        <v/>
      </c>
    </row>
    <row r="52" ht="18" customHeight="1">
      <c r="A52" s="3" t="inlineStr">
        <is>
          <t>conjunto-montado-joelho-agco-acx2719210</t>
        </is>
      </c>
      <c r="B52" s="24" t="inlineStr">
        <is>
          <t>Conjunto Montado Joelho — AGCO ACX2719210</t>
        </is>
      </c>
      <c r="C52" s="39">
        <f>IF('💰 Formação de Preço'!P52&gt;0,ROUND('💰 Formação de Preço'!P52,2),"")</f>
        <v/>
      </c>
      <c r="D52" s="40">
        <f>IF('💰 Formação de Preço'!AA52&gt;0,ROUND('💰 Formação de Preço'!AA52,2),"")</f>
        <v/>
      </c>
    </row>
    <row r="53" ht="18" customHeight="1">
      <c r="A53" s="3" t="inlineStr">
        <is>
          <t>acoplamento-do-condutor-massey-ferguson-7038105m1</t>
        </is>
      </c>
      <c r="B53" s="24" t="inlineStr">
        <is>
          <t>Acoplamento do Condutor — Massey Ferguson 7038105M1</t>
        </is>
      </c>
      <c r="C53" s="39">
        <f>IF('💰 Formação de Preço'!P53&gt;0,ROUND('💰 Formação de Preço'!P53,2),"")</f>
        <v/>
      </c>
      <c r="D53" s="40">
        <f>IF('💰 Formação de Preço'!AA53&gt;0,ROUND('💰 Formação de Preço'!AA53,2),"")</f>
        <v/>
      </c>
    </row>
    <row r="54" ht="18" customHeight="1">
      <c r="A54" s="3" t="inlineStr">
        <is>
          <t>acoplamento-da-curva-massey-ferguson-7038106m1</t>
        </is>
      </c>
      <c r="B54" s="24" t="inlineStr">
        <is>
          <t>Acoplamento da Curva — Massey Ferguson 7038106M1</t>
        </is>
      </c>
      <c r="C54" s="39">
        <f>IF('💰 Formação de Preço'!P54&gt;0,ROUND('💰 Formação de Preço'!P54,2),"")</f>
        <v/>
      </c>
      <c r="D54" s="40">
        <f>IF('💰 Formação de Preço'!AA54&gt;0,ROUND('💰 Formação de Preço'!AA54,2),"")</f>
        <v/>
      </c>
    </row>
    <row r="55" ht="18" customHeight="1">
      <c r="A55" s="3" t="inlineStr">
        <is>
          <t>tampa-do-modulo-srm-agco-acx2865730-monitor-de-linhas</t>
        </is>
      </c>
      <c r="B55" s="24" t="inlineStr">
        <is>
          <t>Tampa do Módulo SRM — AGCO ACX2865730 | Monitor de Linhas</t>
        </is>
      </c>
      <c r="C55" s="39">
        <f>IF('💰 Formação de Preço'!P55&gt;0,ROUND('💰 Formação de Preço'!P55,2),"")</f>
        <v/>
      </c>
      <c r="D55" s="40">
        <f>IF('💰 Formação de Preço'!AA55&gt;0,ROUND('💰 Formação de Preço'!AA55,2),"")</f>
        <v/>
      </c>
    </row>
    <row r="56" ht="18" customHeight="1">
      <c r="A56" s="3" t="inlineStr">
        <is>
          <t>protecao-srm-agco-acx5458940-monitor-de-linhas</t>
        </is>
      </c>
      <c r="B56" s="24" t="inlineStr">
        <is>
          <t>Proteção SRM — AGCO ACX5458940 | Monitor de Linhas</t>
        </is>
      </c>
      <c r="C56" s="39">
        <f>IF('💰 Formação de Preço'!P56&gt;0,ROUND('💰 Formação de Preço'!P56,2),"")</f>
        <v/>
      </c>
      <c r="D56" s="40">
        <f>IF('💰 Formação de Preço'!AA56&gt;0,ROUND('💰 Formação de Preço'!AA56,2),"")</f>
        <v/>
      </c>
    </row>
    <row r="57" ht="18" customHeight="1">
      <c r="A57" s="3" t="inlineStr">
        <is>
          <t>dobradica-esquerda-inferior-massey-ferguson-4383927m4</t>
        </is>
      </c>
      <c r="B57" s="24" t="inlineStr">
        <is>
          <t>Dobradiça Esquerda Inferior — Massey Ferguson 4383927M4</t>
        </is>
      </c>
      <c r="C57" s="39">
        <f>IF('💰 Formação de Preço'!P57&gt;0,ROUND('💰 Formação de Preço'!P57,2),"")</f>
        <v/>
      </c>
      <c r="D57" s="40">
        <f>IF('💰 Formação de Preço'!AA57&gt;0,ROUND('💰 Formação de Preço'!AA57,2),"")</f>
        <v/>
      </c>
    </row>
    <row r="58" ht="18" customHeight="1">
      <c r="A58" s="3" t="inlineStr">
        <is>
          <t>dobradica-esquerda-superior-massey-ferguson-4383923m4</t>
        </is>
      </c>
      <c r="B58" s="24" t="inlineStr">
        <is>
          <t>Dobradiça Esquerda Superior — Massey Ferguson 4383923M4</t>
        </is>
      </c>
      <c r="C58" s="39">
        <f>IF('💰 Formação de Preço'!P58&gt;0,ROUND('💰 Formação de Preço'!P58,2),"")</f>
        <v/>
      </c>
      <c r="D58" s="40">
        <f>IF('💰 Formação de Preço'!AA58&gt;0,ROUND('💰 Formação de Preço'!AA58,2),"")</f>
        <v/>
      </c>
    </row>
    <row r="59" ht="18" customHeight="1">
      <c r="A59" s="3" t="inlineStr">
        <is>
          <t>dobradica-direita-superior-massey-ferguson-4383933m4</t>
        </is>
      </c>
      <c r="B59" s="24" t="inlineStr">
        <is>
          <t>Dobradiça Direita Superior — Massey Ferguson 4383933M4</t>
        </is>
      </c>
      <c r="C59" s="39">
        <f>IF('💰 Formação de Preço'!P59&gt;0,ROUND('💰 Formação de Preço'!P59,2),"")</f>
        <v/>
      </c>
      <c r="D59" s="40">
        <f>IF('💰 Formação de Preço'!AA59&gt;0,ROUND('💰 Formação de Preço'!AA59,2),"")</f>
        <v/>
      </c>
    </row>
    <row r="60" ht="18" customHeight="1">
      <c r="A60" s="3" t="inlineStr">
        <is>
          <t>dobradica-direita-inferior-massey-ferguson-4383934m4</t>
        </is>
      </c>
      <c r="B60" s="24" t="inlineStr">
        <is>
          <t>Dobradiça Direita Inferior — Massey Ferguson 4383934M4</t>
        </is>
      </c>
      <c r="C60" s="39">
        <f>IF('💰 Formação de Preço'!P60&gt;0,ROUND('💰 Formação de Preço'!P60,2),"")</f>
        <v/>
      </c>
      <c r="D60" s="40">
        <f>IF('💰 Formação de Preço'!AA60&gt;0,ROUND('💰 Formação de Preço'!AA60,2),"")</f>
        <v/>
      </c>
    </row>
    <row r="61" ht="18" customHeight="1">
      <c r="A61" s="3" t="inlineStr">
        <is>
          <t>defletor-do-radiador-agco-acx329796a</t>
        </is>
      </c>
      <c r="B61" s="24" t="inlineStr">
        <is>
          <t>Defletor do Radiador — AGCO ACX329796A</t>
        </is>
      </c>
      <c r="C61" s="39">
        <f>IF('💰 Formação de Preço'!P61&gt;0,ROUND('💰 Formação de Preço'!P61,2),"")</f>
        <v/>
      </c>
      <c r="D61" s="40">
        <f>IF('💰 Formação de Preço'!AA61&gt;0,ROUND('💰 Formação de Preço'!AA61,2),"")</f>
        <v/>
      </c>
    </row>
    <row r="63" ht="24" customHeight="1">
      <c r="A63" s="8" t="inlineStr">
        <is>
          <t>📤 COMO EXPORTAR PARA O SHOPIFY:
1. Abra o arquivo master_products_import.csv em editor de texto ou Excel.
2. Substitua os valores na coluna 'Variant Price' pelos da coluna C desta aba.
3. Importe no Shopify Admin → Products → Import → 'Overwrite existing products'.
4. O campo 'Variant Compare At Price' exibe o preço riscado (pesquisa de mercado máximo).</t>
        </is>
      </c>
    </row>
    <row r="64" ht="24" customHeight="1"/>
    <row r="65" ht="24" customHeight="1"/>
  </sheetData>
  <mergeCells count="3">
    <mergeCell ref="A1:D1"/>
    <mergeCell ref="A63:D65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2026-05-12T18:49:12Z</dcterms:created>
  <dcterms:modified xsi:type="dcterms:W3CDTF">2026-05-12T18:49:12Z</dcterms:modified>
</cp:coreProperties>
</file>